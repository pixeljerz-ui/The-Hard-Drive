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INDEX" sheetId="2" r:id="rId5"/>
    <sheet state="visible" name="Item Building Guide" sheetId="3" r:id="rId6"/>
    <sheet state="visible" name="Rarities" sheetId="4" r:id="rId7"/>
    <sheet state="visible" name="Weapon Parts List" sheetId="5" r:id="rId8"/>
    <sheet state="visible" name="Weapon Elemental" sheetId="6" r:id="rId9"/>
    <sheet state="visible" name="Legendary Weapon Perks" sheetId="7" r:id="rId10"/>
    <sheet state="visible" name="Heavy Weapons" sheetId="8" r:id="rId11"/>
    <sheet state="visible" name="Repkits" sheetId="9" r:id="rId12"/>
    <sheet state="visible" name="Grenades" sheetId="10" r:id="rId13"/>
    <sheet state="visible" name="Class Mods" sheetId="11" r:id="rId14"/>
    <sheet state="visible" name="Shields" sheetId="12" r:id="rId15"/>
    <sheet state="visible" name="Enhancements" sheetId="13" r:id="rId16"/>
    <sheet state="visible" name="Firmware" sheetId="14" r:id="rId17"/>
    <sheet state="visible" name="Item Type IDs" sheetId="15" r:id="rId18"/>
    <sheet state="visible" name="Weapon Skin Code" sheetId="16" r:id="rId19"/>
    <sheet state="visible" name="Notable Interaction" sheetId="17" r:id="rId20"/>
    <sheet state="visible" name="MASTER LIST" sheetId="18" r:id="rId21"/>
    <sheet state="visible" name="Weapon Parts Lookup Table V2" sheetId="19" r:id="rId22"/>
    <sheet state="visible" name="Wepon Parts Lookup" sheetId="20" r:id="rId23"/>
  </sheets>
  <definedNames>
    <definedName name="Stats">'Wepon Parts Lookup'!$G$6</definedName>
    <definedName name="WeaponType">'Wepon Parts Lookup'!$B$6</definedName>
    <definedName name="Manufacturer">'Wepon Parts Lookup'!$A$6</definedName>
    <definedName name="Weapons">'Weapon Parts List'!$A$1:$I$1978</definedName>
    <definedName name="PartType">'Wepon Parts Lookup'!$D$6</definedName>
    <definedName hidden="1" localSheetId="3" name="_xlnm._FilterDatabase">Rarities!$A$1:$G$457</definedName>
    <definedName hidden="1" localSheetId="4" name="_xlnm._FilterDatabase">'Weapon Parts List'!$A$1:$K$1978</definedName>
    <definedName hidden="1" localSheetId="7" name="_xlnm._FilterDatabase">'Heavy Weapons'!$A$1:$H$97</definedName>
    <definedName hidden="1" localSheetId="8" name="_xlnm._FilterDatabase">Repkits!$A$1:$H$125</definedName>
    <definedName hidden="1" localSheetId="9" name="_xlnm._FilterDatabase">Grenades!$A$1:$H$109</definedName>
    <definedName hidden="1" localSheetId="12" name="_xlnm._FilterDatabase">Enhancements!$A$1:$G$293</definedName>
    <definedName hidden="1" localSheetId="17" name="_xlnm._FilterDatabase">'MASTER LIST'!$A$1:$H$844</definedName>
    <definedName hidden="1" localSheetId="4" name="Z_D050691C_8046_4CD2_9A4D_A63E36CD4768_.wvu.FilterData">'Weapon Parts List'!$A$1:$K$1978</definedName>
    <definedName hidden="1" localSheetId="4" name="Z_2518ED6E_EA5F_4E23_934B_C17FD29FC216_.wvu.FilterData">'Weapon Parts List'!$A$1:$K$1978</definedName>
    <definedName hidden="1" localSheetId="4" name="Z_1DB3845C_94FD_40DA_B239_1BB7FBCC68D4_.wvu.FilterData">'Weapon Parts List'!$A$1:$I$1978</definedName>
    <definedName hidden="1" localSheetId="4" name="Z_0DD19080_80FE_4248_9666_DBA3FCA54C26_.wvu.FilterData">'Weapon Parts List'!$A$1:$K$1978</definedName>
    <definedName hidden="1" localSheetId="4" name="Z_47102868_21FF_4A8F_9F56_DA64E33DE7EB_.wvu.FilterData">'Weapon Parts List'!$A$1:$K$1978</definedName>
    <definedName hidden="1" localSheetId="4" name="Z_218E1C3E_DD2B_4AFA_AD58_D910C2F787D1_.wvu.FilterData">'Weapon Parts List'!$A$1:$K$1978</definedName>
    <definedName hidden="1" localSheetId="4" name="Z_EF49AFF9_ED0E_4826_A737_2F9BB6128457_.wvu.FilterData">'Weapon Parts List'!$A$1:$K$1978</definedName>
    <definedName hidden="1" localSheetId="4" name="Z_6E12540D_5CF2_4462_BC63_ADE350DC906D_.wvu.FilterData">'Weapon Parts List'!$A$1:$K$1978</definedName>
    <definedName hidden="1" localSheetId="4" name="Z_177AEB7B_13C7_4E1E_852D_629C199ED95B_.wvu.FilterData">'Weapon Parts List'!$A$1:$K$1978</definedName>
    <definedName hidden="1" localSheetId="4" name="Z_B6E2FD33_C1A4_423F_8799_CAAE3A83B9C0_.wvu.FilterData">'Weapon Parts List'!$A$1:$K$1978</definedName>
    <definedName hidden="1" localSheetId="4" name="Z_60A48C14_7B37_434F_8A64_5F06CFA14AAA_.wvu.FilterData">'Weapon Parts List'!$A$1:$I$1978</definedName>
    <definedName hidden="1" localSheetId="4" name="Z_74B3D800_BB03_4159_96D0_FD1414451D37_.wvu.FilterData">'Weapon Parts List'!$A$1:$I$1978</definedName>
    <definedName hidden="1" localSheetId="4" name="Z_E15A8782_D8C6_481A_986F_4AACC232B713_.wvu.FilterData">'Weapon Parts List'!$A$1:$K$1978</definedName>
    <definedName hidden="1" localSheetId="18" name="Z_55FC51A6_F677_4009_8D70_098139117CFE_.wvu.FilterData">'Weapon Parts Lookup Table V2'!$A$2:$L$1968</definedName>
    <definedName hidden="1" localSheetId="4" name="Z_C7A34CCC_77A1_4743_9C92_436B9ED5A18F_.wvu.FilterData">'Weapon Parts List'!$A$1:$I$1978</definedName>
    <definedName name="SlicerCache_Table_2_Col_1">#N/A</definedName>
    <definedName name="SlicerCache_Table_2_Col_2">#N/A</definedName>
    <definedName name="SlicerCache_Table_2_Col_4">#N/A</definedName>
    <definedName name="SlicerCache_Table_2_Col_7">#N/A</definedName>
  </definedNames>
  <calcPr/>
  <customWorkbookViews>
    <customWorkbookView activeSheetId="0" maximized="1" windowHeight="0" windowWidth="0" guid="{218E1C3E-DD2B-4AFA-AD58-D910C2F787D1}" name="Maliwan SMG"/>
    <customWorkbookView activeSheetId="0" maximized="1" windowHeight="0" windowWidth="0" guid="{47102868-21FF-4A8F-9F56-DA64E33DE7EB}" name="Order Pistol"/>
    <customWorkbookView activeSheetId="0" maximized="1" windowHeight="0" windowWidth="0" guid="{0DD19080-80FE-4248-9666-DBA3FCA54C26}" name="Jakobs Sniper"/>
    <customWorkbookView activeSheetId="0" maximized="1" windowHeight="0" windowWidth="0" guid="{6E12540D-5CF2-4462-BC63-ADE350DC906D}" name="Order AR"/>
    <customWorkbookView activeSheetId="0" maximized="1" windowHeight="0" windowWidth="0" guid="{E15A8782-D8C6-481A-986F-4AACC232B713}" name="Order Sniper"/>
    <customWorkbookView activeSheetId="0" maximized="1" windowHeight="0" windowWidth="0" guid="{B6E2FD33-C1A4-423F-8799-CAAE3A83B9C0}" name="Jakobs Shotgun"/>
    <customWorkbookView activeSheetId="0" maximized="1" windowHeight="0" windowWidth="0" guid="{EF49AFF9-ED0E-4826-A737-2F9BB6128457}" name="Maliwan Sniper"/>
    <customWorkbookView activeSheetId="0" maximized="1" windowHeight="0" windowWidth="0" guid="{1DB3845C-94FD-40DA-B239-1BB7FBCC68D4}" name="Daedalus Shotgun"/>
    <customWorkbookView activeSheetId="0" maximized="1" windowHeight="0" windowWidth="0" guid="{D050691C-8046-4CD2-9A4D-A63E36CD4768}" name="Jakobs Pistol"/>
    <customWorkbookView activeSheetId="0" maximized="1" windowHeight="0" windowWidth="0" guid="{177AEB7B-13C7-4E1E-852D-629C199ED95B}" name="Maliwan Shotgun"/>
    <customWorkbookView activeSheetId="0" maximized="1" windowHeight="0" windowWidth="0" guid="{60A48C14-7B37-434F-8A64-5F06CFA14AAA}" name="Daedalus Pistol"/>
    <customWorkbookView activeSheetId="0" maximized="1" windowHeight="0" windowWidth="0" guid="{55FC51A6-F677-4009-8D70-098139117CFE}" name="Filter 1"/>
    <customWorkbookView activeSheetId="0" maximized="1" windowHeight="0" windowWidth="0" guid="{C7A34CCC-77A1-4743-9C92-436B9ED5A18F}" name="Daedalus SMG"/>
    <customWorkbookView activeSheetId="0" maximized="1" windowHeight="0" windowWidth="0" guid="{74B3D800-BB03-4159-96D0-FD1414451D37}" name="Daedalus AR"/>
    <customWorkbookView activeSheetId="0" maximized="1" windowHeight="0" windowWidth="0" guid="{2518ED6E-EA5F-4E23-934B-C17FD29FC216}" name="Jakobs AR"/>
  </customWorkbookViews>
  <extLst>
    <ext uri="{46BE6895-7355-4a93-B00E-2C351335B9C9}">
      <x15:slicerCaches>
        <x14:slicerCache r:id="rId24"/>
        <x14:slicerCache r:id="rId25"/>
        <x14:slicerCache r:id="rId26"/>
        <x14:slicerCache r:id="rId27"/>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3">
      <text>
        <t xml:space="preserve">Very COOOOOOOOL I love it</t>
      </text>
    </comment>
  </commentList>
</comments>
</file>

<file path=xl/sharedStrings.xml><?xml version="1.0" encoding="utf-8"?>
<sst xmlns="http://schemas.openxmlformats.org/spreadsheetml/2006/main" count="20281" uniqueCount="5503">
  <si>
    <t>✨ Ultimate Item Parts List ✨</t>
  </si>
  <si>
    <t>❤️ Special Thanks ❤️</t>
  </si>
  <si>
    <t>This spreasheet is a compilation of work from many different individuals. It took many weeks to compile all of this data and we're still not finished! That said, it's about 95% COMPLETE and covers EVERY item in the game. 
I have spent the past few days compiling all of this data and putting it into a standardized format complete with in-game string names, stats and side effects. I’ve done my best to verify every single part, but I’m only human. If you notice any mistakes or inconsistencies, please let me know.
I would like to give a special thank you to everyone in the Borderlands Modding Discord for their hard work in assisting in the collection and compilation of this data. 
@THATDONFC</t>
  </si>
  <si>
    <r>
      <rPr>
        <rFont val="Arial"/>
        <b/>
        <color theme="1"/>
        <sz val="11.0"/>
      </rPr>
      <t>Nicnl</t>
    </r>
    <r>
      <rPr>
        <rFont val="Arial"/>
        <color theme="1"/>
        <sz val="11.0"/>
      </rPr>
      <t xml:space="preserve"> &amp; </t>
    </r>
    <r>
      <rPr>
        <rFont val="Arial"/>
        <b/>
        <color theme="1"/>
        <sz val="11.0"/>
      </rPr>
      <t>InflamedSebi</t>
    </r>
    <r>
      <rPr>
        <rFont val="Arial"/>
        <color theme="1"/>
        <sz val="11.0"/>
      </rPr>
      <t xml:space="preserve"> for the Deserialization Tool - Without this tool none of this would be possible
</t>
    </r>
    <r>
      <rPr>
        <rFont val="Arial"/>
        <b/>
        <color theme="1"/>
        <sz val="11.0"/>
      </rPr>
      <t>Sparkie</t>
    </r>
    <r>
      <rPr>
        <rFont val="Arial"/>
        <color theme="1"/>
        <sz val="11.0"/>
      </rPr>
      <t xml:space="preserve"> for the initial B85 decryption tool and NCS dumps with item strings
</t>
    </r>
    <r>
      <rPr>
        <rFont val="Arial"/>
        <b/>
        <color theme="1"/>
        <sz val="11.0"/>
      </rPr>
      <t>Mattmab</t>
    </r>
    <r>
      <rPr>
        <rFont val="Arial"/>
        <color theme="1"/>
        <sz val="11.0"/>
      </rPr>
      <t xml:space="preserve"> for the meticulous hours spent figuring out how class mods work
</t>
    </r>
    <r>
      <rPr>
        <rFont val="Arial"/>
        <b/>
        <color theme="1"/>
        <sz val="11.0"/>
      </rPr>
      <t>Whiteshark</t>
    </r>
    <r>
      <rPr>
        <rFont val="Arial"/>
        <color theme="1"/>
        <sz val="11.0"/>
      </rPr>
      <t xml:space="preserve"> for maintaining the databases and hosting all of our site for FREE
</t>
    </r>
    <r>
      <rPr>
        <rFont val="Arial"/>
        <b/>
        <color theme="1"/>
        <sz val="11.0"/>
      </rPr>
      <t>Anro, Codebam, CraZyMarty, Cr4nkSt4r, Dinossom, Dura, Gerber, Narrik Synthfox, RDP/Squiggs, Super Exboom, Shirtnoservice</t>
    </r>
    <r>
      <rPr>
        <rFont val="Arial"/>
        <color theme="1"/>
        <sz val="11.0"/>
      </rPr>
      <t xml:space="preserve"> for their contirbutions to the weapon part research and recording 
</t>
    </r>
    <r>
      <rPr>
        <rFont val="Arial"/>
        <b/>
        <color theme="1"/>
        <sz val="11.0"/>
      </rPr>
      <t>Moxx</t>
    </r>
    <r>
      <rPr>
        <rFont val="Arial"/>
        <color theme="1"/>
        <sz val="11.0"/>
      </rPr>
      <t xml:space="preserve"> for the intial matching of strings to item numbers which helped kickstart this project</t>
    </r>
  </si>
  <si>
    <t>How to use this sheet:</t>
  </si>
  <si>
    <t>🔗 Links and resources:</t>
  </si>
  <si>
    <r>
      <rPr>
        <sz val="11.0"/>
      </rPr>
      <t xml:space="preserve">In order to use the filters and part viewers you must make a copy of this sheet File &gt; Make a copy
</t>
    </r>
    <r>
      <rPr>
        <color rgb="FF1155CC"/>
        <sz val="11.0"/>
        <u/>
      </rPr>
      <t xml:space="preserve">
</t>
    </r>
    <r>
      <rPr>
        <sz val="11.0"/>
      </rPr>
      <t xml:space="preserve">
</t>
    </r>
  </si>
  <si>
    <r>
      <rPr>
        <b/>
        <color theme="4"/>
        <sz val="11.0"/>
      </rPr>
      <t>Sairouth's</t>
    </r>
    <r>
      <rPr>
        <sz val="11.0"/>
      </rPr>
      <t xml:space="preserve"> Borderlands Modding Discord: </t>
    </r>
    <r>
      <rPr>
        <color rgb="FF1155CC"/>
        <sz val="11.0"/>
        <u/>
      </rPr>
      <t>https://discord.gg/DAJEz9KQ</t>
    </r>
  </si>
  <si>
    <r>
      <rPr>
        <sz val="11.0"/>
      </rPr>
      <t xml:space="preserve">Once you have your copy you can filter any of the tables and use the special </t>
    </r>
    <r>
      <rPr>
        <color rgb="FF1155CC"/>
        <sz val="11.0"/>
        <u/>
      </rPr>
      <t>weapon parts viewers</t>
    </r>
  </si>
  <si>
    <r>
      <rPr>
        <sz val="11.0"/>
      </rPr>
      <t xml:space="preserve">Deserialization tool: </t>
    </r>
    <r>
      <rPr>
        <color rgb="FF1155CC"/>
        <sz val="11.0"/>
        <u/>
      </rPr>
      <t>https://borderlands4-deserializer.nicnl.com/</t>
    </r>
  </si>
  <si>
    <r>
      <rPr>
        <sz val="11.0"/>
      </rPr>
      <t xml:space="preserve">You can find an Index of the pages </t>
    </r>
    <r>
      <rPr>
        <color rgb="FF1155CC"/>
        <sz val="11.0"/>
        <u/>
      </rPr>
      <t>here</t>
    </r>
  </si>
  <si>
    <r>
      <rPr>
        <sz val="11.0"/>
      </rPr>
      <t xml:space="preserve">Source code: </t>
    </r>
    <r>
      <rPr>
        <color rgb="FF1155CC"/>
        <sz val="11.0"/>
        <u/>
      </rPr>
      <t>https://github.com/Nicnl/borderlands4-serials</t>
    </r>
  </si>
  <si>
    <r>
      <rPr>
        <sz val="11.0"/>
      </rPr>
      <t xml:space="preserve">You can read about how items are built in game </t>
    </r>
    <r>
      <rPr>
        <color rgb="FF1155CC"/>
        <sz val="11.0"/>
        <u/>
      </rPr>
      <t>here</t>
    </r>
  </si>
  <si>
    <r>
      <rPr>
        <sz val="11.0"/>
      </rPr>
      <t xml:space="preserve">Borderlands 4 Hub: </t>
    </r>
    <r>
      <rPr>
        <color rgb="FF1155CC"/>
        <sz val="11.0"/>
        <u/>
      </rPr>
      <t>https://borderlands.be/</t>
    </r>
  </si>
  <si>
    <t>❤️ Special thanks to all the great contributors who are part of this:</t>
  </si>
  <si>
    <t>🧠 How does it work? How can I use this?</t>
  </si>
  <si>
    <t>Mattmab</t>
  </si>
  <si>
    <t>CraZy Marty</t>
  </si>
  <si>
    <t>THATDONFC</t>
  </si>
  <si>
    <t>Geber</t>
  </si>
  <si>
    <r>
      <rPr>
        <rFont val="Arial"/>
        <b/>
        <color theme="1"/>
        <sz val="11.0"/>
      </rPr>
      <t xml:space="preserve">1. What are item serials?
</t>
    </r>
    <r>
      <rPr>
        <rFont val="Arial"/>
        <color theme="1"/>
        <sz val="11.0"/>
      </rPr>
      <t>The game stores its weapons and items inside "serials" that looks like this:
      @Ugy3L+2}TYg%$yC%i7M2gZldO)@}cgb!l34$a-qf{00
These serials contains core informations about the item (ex: manufacturer, type, level, and its "parts").
However, as you can see... those informations are scrambled, and not easily readable nor modifiable.</t>
    </r>
  </si>
  <si>
    <t>Super Exboom</t>
  </si>
  <si>
    <t>Anro</t>
  </si>
  <si>
    <t>Dura</t>
  </si>
  <si>
    <t>Hobamj</t>
  </si>
  <si>
    <t>Adozon</t>
  </si>
  <si>
    <t>Narrik Synthfox</t>
  </si>
  <si>
    <t>Codebam</t>
  </si>
  <si>
    <t>RDP/Squiggs</t>
  </si>
  <si>
    <t>Dinossom/Dira!</t>
  </si>
  <si>
    <t>Nicnl</t>
  </si>
  <si>
    <t>InflamedSebi</t>
  </si>
  <si>
    <t>Cr4nkSt4r</t>
  </si>
  <si>
    <t>⚖️ Rules and boundaries regarding 2K and Gearbox:</t>
  </si>
  <si>
    <r>
      <rPr>
        <rFont val="Arial"/>
        <color theme="1"/>
        <sz val="11.0"/>
      </rPr>
      <t xml:space="preserve">During the BL3 modding era, some people received a cease and desist letter from 2K.
This happened notably when people touched at paid or unreleased content.
In this mindset, we want to play </t>
    </r>
    <r>
      <rPr>
        <rFont val="Arial"/>
        <b/>
        <color rgb="FF38761D"/>
        <sz val="11.0"/>
      </rPr>
      <t>fair and square</t>
    </r>
    <r>
      <rPr>
        <rFont val="Arial"/>
        <color theme="1"/>
        <sz val="11.0"/>
      </rPr>
      <t xml:space="preserve">.
</t>
    </r>
    <r>
      <rPr>
        <rFont val="Arial"/>
        <b/>
        <color rgb="FF38761D"/>
        <sz val="11.0"/>
      </rPr>
      <t>=&gt; We do not interfere with their revenue stream from paid content.</t>
    </r>
    <r>
      <rPr>
        <rFont val="Arial"/>
        <color theme="1"/>
        <sz val="11.0"/>
      </rPr>
      <t xml:space="preserve">
</t>
    </r>
    <r>
      <rPr>
        <rFont val="Arial"/>
        <b/>
        <color theme="1"/>
        <sz val="11.0"/>
      </rPr>
      <t xml:space="preserve">1. We don't touch paid DLC stuff.
</t>
    </r>
    <r>
      <rPr>
        <rFont val="Arial"/>
        <color theme="1"/>
        <sz val="11.0"/>
      </rPr>
      <t xml:space="preserve">If during research you stumble on stuff related to paid DLC items:
  =&gt; Stop and discard everything. Don't write anything in this spreadsheet.
</t>
    </r>
    <r>
      <rPr>
        <rFont val="Arial"/>
        <b/>
        <color theme="1"/>
        <sz val="11.0"/>
      </rPr>
      <t>2. We don't touch unreleased stuff.</t>
    </r>
    <r>
      <rPr>
        <rFont val="Arial"/>
        <color theme="1"/>
        <sz val="11.0"/>
      </rPr>
      <t xml:space="preserve">
If during research you stumble on stuff that is not released in the game:
  =&gt; Stop and discard everything. Don't write anything in this spreadsheet.
</t>
    </r>
    <r>
      <rPr>
        <rFont val="Arial"/>
        <b/>
        <color theme="1"/>
        <sz val="11.0"/>
      </rPr>
      <t>3. We don't accept donations.</t>
    </r>
    <r>
      <rPr>
        <rFont val="Arial"/>
        <color theme="1"/>
        <sz val="11.0"/>
      </rPr>
      <t xml:space="preserve">
This project is here to help build fun items, or adjust their weapons to their liking.
It is a community initiative that is completely free and accessible to all.
Important: were you asked to pay to access this document? If yes, this was a scam.
Please report as soon as possible to the discord server's moderators.
</t>
    </r>
    <r>
      <rPr>
        <rFont val="Arial"/>
        <b/>
        <color theme="1"/>
        <sz val="11.0"/>
      </rPr>
      <t xml:space="preserve">
4. We don't touch game files.</t>
    </r>
    <r>
      <rPr>
        <rFont val="Arial"/>
        <color theme="1"/>
        <sz val="11.0"/>
      </rPr>
      <t xml:space="preserve">
We are not reading or modifying stuff from the game files.
 =&gt; We generate serials, put it inside our OWN save games, and write down the results.
Those rules may be frustrating, but they are important for protecting this research project.
</t>
    </r>
    <r>
      <rPr>
        <rFont val="Arial"/>
        <b/>
        <color theme="1"/>
        <sz val="11.0"/>
      </rPr>
      <t>LEGAL DISCLAIMER:</t>
    </r>
    <r>
      <rPr>
        <rFont val="Arial"/>
        <color theme="1"/>
        <sz val="11.0"/>
      </rPr>
      <t xml:space="preserve">
This project and its contributors are not affiliated, associated, authorized, endorsed by,
or in any way officially connected with Gearbox Software, 2K Games, Inc.,
or any of their subsidiaries or affiliates.
The names "Borderlands," "Gearbox," "2K," as well as any related names, marks, emblems,
and images are registered trademarks of their respective owners.</t>
    </r>
  </si>
  <si>
    <r>
      <rPr>
        <b/>
        <sz val="11.0"/>
      </rPr>
      <t>2. What does the deserializer do?</t>
    </r>
    <r>
      <rPr>
        <sz val="11.0"/>
      </rPr>
      <t xml:space="preserve">
The deserialization tool is available here:  </t>
    </r>
    <r>
      <rPr>
        <color rgb="FF1155CC"/>
        <sz val="11.0"/>
        <u/>
      </rPr>
      <t>https://borderlands4-deserializer.nicnl.com</t>
    </r>
    <r>
      <rPr>
        <sz val="11.0"/>
      </rPr>
      <t xml:space="preserve">
Basically, it decodes the "scrambled" serials into their core values, making them easy to read.
But most importantly, the deserializer works both ways: you can modify the values and reserialize your item.
This allows you to adjust your trusty Daedalus Darkbeast by putting the glass scope you like best.</t>
    </r>
  </si>
  <si>
    <r>
      <rPr>
        <rFont val="Arial"/>
        <b/>
        <color theme="1"/>
        <sz val="11.0"/>
      </rPr>
      <t>3. Help, I don't understand the output of the deserializer!</t>
    </r>
    <r>
      <rPr>
        <rFont val="Arial"/>
        <color theme="1"/>
        <sz val="11.0"/>
      </rPr>
      <t xml:space="preserve">
Don't worry, it's not very complicated. Here are the basics.
We'll start with this serial, a "Ricocheting GCX":
</t>
    </r>
    <r>
      <rPr>
        <rFont val="Consolas"/>
        <color rgb="FF434343"/>
        <sz val="11.0"/>
      </rPr>
      <t xml:space="preserve">  @UgwSAs2}TYg%+Cc1jp~P5)T82}IyDEC3v~`v4&gt;e=}</t>
    </r>
    <r>
      <rPr>
        <rFont val="Arial"/>
        <color theme="1"/>
        <sz val="11.0"/>
      </rPr>
      <t xml:space="preserve">
Putting it in the deserializer gives the following result:
</t>
    </r>
    <r>
      <rPr>
        <rFont val="Consolas"/>
        <color rgb="FF434343"/>
        <sz val="11.0"/>
      </rPr>
      <t xml:space="preserve">  20, 0, 1, 50| 2, 1439|| {96} {62} {5} {7} {88} {14} {25} {44} {51} {58} {1:12}|</t>
    </r>
    <r>
      <rPr>
        <rFont val="Arial"/>
        <color theme="1"/>
        <sz val="11.0"/>
      </rPr>
      <t xml:space="preserve">
Here is what those number means.</t>
    </r>
  </si>
  <si>
    <r>
      <rPr>
        <rFont val="Consolas"/>
        <b/>
        <color rgb="FFFF00FF"/>
        <sz val="11.0"/>
      </rPr>
      <t>20</t>
    </r>
    <r>
      <rPr>
        <rFont val="Consolas"/>
        <color rgb="FF434343"/>
        <sz val="11.0"/>
      </rPr>
      <t>, 0, 1, 50| 2, 1439|| {96} {62} {5} {7} {88} {14} {25} {44} {51} {58} {1:12}|</t>
    </r>
  </si>
  <si>
    <t>^^</t>
  </si>
  <si>
    <r>
      <rPr>
        <rFont val="Arial"/>
        <color theme="1"/>
        <sz val="11.0"/>
      </rPr>
      <t>This is the manufacturer index : "</t>
    </r>
    <r>
      <rPr>
        <rFont val="Arial"/>
        <b/>
        <color rgb="FFFF00FF"/>
        <sz val="11.0"/>
      </rPr>
      <t>20</t>
    </r>
    <r>
      <rPr>
        <rFont val="Arial"/>
        <color theme="1"/>
        <sz val="11.0"/>
      </rPr>
      <t>" means "</t>
    </r>
    <r>
      <rPr>
        <rFont val="Arial"/>
        <b/>
        <color rgb="FFFF00FF"/>
        <sz val="11.0"/>
      </rPr>
      <t>daedalus:smg</t>
    </r>
    <r>
      <rPr>
        <rFont val="Arial"/>
        <color theme="1"/>
        <sz val="11.0"/>
      </rPr>
      <t xml:space="preserve">".
(See the </t>
    </r>
    <r>
      <rPr>
        <rFont val="Arial"/>
        <i/>
        <color rgb="FF666666"/>
        <sz val="11.0"/>
      </rPr>
      <t>"Item Types &amp; Manufacturers"</t>
    </r>
    <r>
      <rPr>
        <rFont val="Arial"/>
        <color theme="1"/>
        <sz val="11.0"/>
      </rPr>
      <t xml:space="preserve"> tab at the bottom.)
Usually you </t>
    </r>
    <r>
      <rPr>
        <rFont val="Arial"/>
        <b/>
        <color rgb="FF990000"/>
        <sz val="11.0"/>
      </rPr>
      <t xml:space="preserve">don't </t>
    </r>
    <r>
      <rPr>
        <rFont val="Arial"/>
        <color theme="1"/>
        <sz val="11.0"/>
      </rPr>
      <t>want to touch this number because it'll break the parts that comes afterwards.</t>
    </r>
  </si>
  <si>
    <r>
      <rPr>
        <rFont val="Consolas"/>
        <color rgb="FF434343"/>
        <sz val="11.0"/>
      </rPr>
      <t>20, 0, 1,</t>
    </r>
    <r>
      <rPr>
        <rFont val="Consolas"/>
        <color theme="1"/>
        <sz val="11.0"/>
      </rPr>
      <t xml:space="preserve"> </t>
    </r>
    <r>
      <rPr>
        <rFont val="Consolas"/>
        <b/>
        <color rgb="FFFF0000"/>
        <sz val="11.0"/>
      </rPr>
      <t>50</t>
    </r>
    <r>
      <rPr>
        <rFont val="Consolas"/>
        <color rgb="FF434343"/>
        <sz val="11.0"/>
      </rPr>
      <t>| 2, 1439|| {96} {62} {5} {7} {88} {14} {25} {44} {51} {58} {1:12}|</t>
    </r>
  </si>
  <si>
    <r>
      <rPr>
        <rFont val="Consolas"/>
        <b/>
        <color rgb="FFFF00FF"/>
        <sz val="11.0"/>
      </rPr>
      <t xml:space="preserve">          </t>
    </r>
    <r>
      <rPr>
        <rFont val="Consolas"/>
        <b/>
        <color rgb="FFFF0000"/>
        <sz val="11.0"/>
      </rPr>
      <t>^^</t>
    </r>
  </si>
  <si>
    <r>
      <rPr>
        <rFont val="Arial"/>
        <color theme="1"/>
        <sz val="11.0"/>
      </rPr>
      <t xml:space="preserve">This is the </t>
    </r>
    <r>
      <rPr>
        <rFont val="Arial"/>
        <b/>
        <color rgb="FFFF0000"/>
        <sz val="11.0"/>
      </rPr>
      <t>level</t>
    </r>
    <r>
      <rPr>
        <rFont val="Arial"/>
        <color theme="1"/>
        <sz val="11.0"/>
      </rPr>
      <t xml:space="preserve"> =&gt; this weapon is level "</t>
    </r>
    <r>
      <rPr>
        <rFont val="Arial"/>
        <b/>
        <color rgb="FFFF0000"/>
        <sz val="11.0"/>
      </rPr>
      <t>50</t>
    </r>
    <r>
      <rPr>
        <rFont val="Arial"/>
        <color theme="1"/>
        <sz val="11.0"/>
      </rPr>
      <t>".
Do you want to bump the level of your item? Simply change this number, and you're good to go!
Note: currently, the game refuse item level higher than 50. If you set level 51 or higher, it won't spawn.</t>
    </r>
  </si>
  <si>
    <r>
      <rPr>
        <rFont val="Consolas"/>
        <color rgb="FF434343"/>
        <sz val="11.0"/>
      </rPr>
      <t>20, 0, 1, 50| 2, 1439||</t>
    </r>
    <r>
      <rPr>
        <rFont val="Consolas"/>
        <color theme="1"/>
        <sz val="11.0"/>
      </rPr>
      <t xml:space="preserve"> </t>
    </r>
    <r>
      <rPr>
        <rFont val="Consolas"/>
        <b/>
        <color rgb="FF34A853"/>
        <sz val="11.0"/>
      </rPr>
      <t>{96}</t>
    </r>
    <r>
      <rPr>
        <rFont val="Consolas"/>
        <color theme="1"/>
        <sz val="11.0"/>
      </rPr>
      <t xml:space="preserve"> </t>
    </r>
    <r>
      <rPr>
        <rFont val="Consolas"/>
        <color rgb="FF434343"/>
        <sz val="11.0"/>
      </rPr>
      <t>{62} {5} {7} {88} {14} {25} {44} {51} {58} {1:12}|</t>
    </r>
  </si>
  <si>
    <r>
      <rPr>
        <rFont val="Consolas"/>
        <b/>
        <color rgb="FFFF00FF"/>
        <sz val="11.0"/>
      </rPr>
      <t xml:space="preserve">          </t>
    </r>
    <r>
      <rPr>
        <rFont val="Consolas"/>
        <b/>
        <color theme="7"/>
        <sz val="11.0"/>
      </rPr>
      <t xml:space="preserve">              ^^^^</t>
    </r>
  </si>
  <si>
    <r>
      <rPr>
        <rFont val="Arial"/>
        <color theme="1"/>
        <sz val="11.0"/>
      </rPr>
      <t>Number inside brackets are parts. The first part decides the rarity and base name of the item.
Here the part "</t>
    </r>
    <r>
      <rPr>
        <rFont val="Arial"/>
        <b/>
        <color rgb="FF34A853"/>
        <sz val="11.0"/>
      </rPr>
      <t>{96}</t>
    </r>
    <r>
      <rPr>
        <rFont val="Arial"/>
        <color theme="1"/>
        <sz val="11.0"/>
      </rPr>
      <t xml:space="preserve">" tells us it is a </t>
    </r>
    <r>
      <rPr>
        <rFont val="Arial"/>
        <b/>
        <color rgb="FF34A853"/>
        <sz val="11.0"/>
      </rPr>
      <t>green/uncommon</t>
    </r>
    <r>
      <rPr>
        <rFont val="Arial"/>
        <color theme="1"/>
        <sz val="11.0"/>
      </rPr>
      <t xml:space="preserve"> weapon.
(See the </t>
    </r>
    <r>
      <rPr>
        <rFont val="Arial"/>
        <i/>
        <color rgb="FF666666"/>
        <sz val="11.0"/>
      </rPr>
      <t>"Weapon List"</t>
    </r>
    <r>
      <rPr>
        <rFont val="Arial"/>
        <color theme="1"/>
        <sz val="11.0"/>
      </rPr>
      <t xml:space="preserve"> tab at the bottom.)</t>
    </r>
  </si>
  <si>
    <r>
      <rPr>
        <rFont val="Consolas"/>
        <color rgb="FF434343"/>
        <sz val="11.0"/>
      </rPr>
      <t>20, 0, 1, 50| 2, 1439|| {96}</t>
    </r>
    <r>
      <rPr>
        <rFont val="Consolas"/>
        <color theme="1"/>
        <sz val="11.0"/>
      </rPr>
      <t xml:space="preserve"> </t>
    </r>
    <r>
      <rPr>
        <rFont val="Consolas"/>
        <b/>
        <color rgb="FFB45F06"/>
        <sz val="11.0"/>
      </rPr>
      <t>{62} {5} {7} {88} {14} {25} {44} {51} {58} {1:12}</t>
    </r>
    <r>
      <rPr>
        <rFont val="Consolas"/>
        <color rgb="FF434343"/>
        <sz val="11.0"/>
      </rPr>
      <t>|</t>
    </r>
  </si>
  <si>
    <r>
      <rPr>
        <rFont val="Consolas"/>
        <b/>
        <color rgb="FFFF00FF"/>
        <sz val="11.0"/>
      </rPr>
      <t xml:space="preserve">          </t>
    </r>
    <r>
      <rPr>
        <rFont val="Consolas"/>
        <b/>
        <color rgb="FF34A853"/>
        <sz val="11.0"/>
      </rPr>
      <t xml:space="preserve">                   </t>
    </r>
    <r>
      <rPr>
        <rFont val="Consolas"/>
        <b/>
        <color rgb="FFB45F06"/>
        <sz val="11.0"/>
      </rPr>
      <t>^^^^^^^^^^^^^^^^^^^^^^^^^^^^^^^^^^^^^^^^^^^^^^^^^</t>
    </r>
  </si>
  <si>
    <r>
      <rPr>
        <rFont val="Arial"/>
        <color theme="1"/>
        <sz val="11.0"/>
      </rPr>
      <t xml:space="preserve">The other parts following the first </t>
    </r>
    <r>
      <rPr>
        <rFont val="Arial"/>
        <b/>
        <color theme="1"/>
        <sz val="11.0"/>
      </rPr>
      <t>are</t>
    </r>
    <r>
      <rPr>
        <rFont val="Arial"/>
        <color theme="1"/>
        <sz val="11.0"/>
      </rPr>
      <t xml:space="preserve"> the actual parts and effect of your weapon.
Problem, they can be anything: magazine, scope, barrel, underbarrel, grip, elemental effect...
Additionally, their meaning depends on the manufacturer index seen before :
    Example: "{47}" on a daedalus smg means something different on a jakobs sniper.
This is why this spreadsheet exists: we discover (by trial and error) what those parts are and write it down.</t>
    </r>
  </si>
  <si>
    <r>
      <rPr>
        <rFont val="Consolas"/>
        <color rgb="FF434343"/>
        <sz val="11.0"/>
      </rPr>
      <t>20, 0, 1, 50| 2, 1439|| {96}</t>
    </r>
    <r>
      <rPr>
        <rFont val="Consolas"/>
        <color theme="1"/>
        <sz val="11.0"/>
      </rPr>
      <t xml:space="preserve"> </t>
    </r>
    <r>
      <rPr>
        <rFont val="Consolas"/>
        <color rgb="FF434343"/>
        <sz val="11.0"/>
      </rPr>
      <t>{62} {5} {7} {88} {14} {25} {44} {51} {58}</t>
    </r>
    <r>
      <rPr>
        <rFont val="Consolas"/>
        <b/>
        <color rgb="FF434343"/>
        <sz val="11.0"/>
      </rPr>
      <t xml:space="preserve"> </t>
    </r>
    <r>
      <rPr>
        <rFont val="Consolas"/>
        <b/>
        <color theme="8"/>
        <sz val="11.0"/>
      </rPr>
      <t>{1:12}</t>
    </r>
    <r>
      <rPr>
        <rFont val="Consolas"/>
        <color rgb="FF434343"/>
        <sz val="11.0"/>
      </rPr>
      <t>|</t>
    </r>
  </si>
  <si>
    <r>
      <rPr>
        <rFont val="Consolas"/>
        <b/>
        <color rgb="FFFF00FF"/>
        <sz val="11.0"/>
      </rPr>
      <t xml:space="preserve">          </t>
    </r>
    <r>
      <rPr>
        <rFont val="Consolas"/>
        <b/>
        <color rgb="FF34A853"/>
        <sz val="11.0"/>
      </rPr>
      <t xml:space="preserve">                                                              </t>
    </r>
    <r>
      <rPr>
        <rFont val="Consolas"/>
        <b/>
        <color theme="8"/>
        <sz val="11.0"/>
      </rPr>
      <t>^^^^^^</t>
    </r>
  </si>
  <si>
    <r>
      <rPr>
        <rFont val="Arial"/>
        <color theme="1"/>
        <sz val="11.0"/>
      </rPr>
      <t xml:space="preserve">In our example, the part </t>
    </r>
    <r>
      <rPr>
        <rFont val="Arial"/>
        <b/>
        <color rgb="FFFF6D01"/>
        <sz val="11.0"/>
      </rPr>
      <t>{1:12}</t>
    </r>
    <r>
      <rPr>
        <rFont val="Arial"/>
        <color theme="1"/>
        <sz val="11.0"/>
      </rPr>
      <t xml:space="preserve"> means it has </t>
    </r>
    <r>
      <rPr>
        <rFont val="Arial"/>
        <b/>
        <color rgb="FFFF6D01"/>
        <sz val="11.0"/>
      </rPr>
      <t>fire elemental damage</t>
    </r>
    <r>
      <rPr>
        <rFont val="Arial"/>
        <color theme="1"/>
        <sz val="11.0"/>
      </rPr>
      <t xml:space="preserve">.
You can swap it to </t>
    </r>
    <r>
      <rPr>
        <rFont val="Arial"/>
        <b/>
        <color rgb="FF4285F4"/>
        <sz val="11.0"/>
      </rPr>
      <t>elemental shock damage</t>
    </r>
    <r>
      <rPr>
        <rFont val="Arial"/>
        <color theme="1"/>
        <sz val="11.0"/>
      </rPr>
      <t xml:space="preserve"> by putting </t>
    </r>
    <r>
      <rPr>
        <rFont val="Arial"/>
        <b/>
        <color rgb="FF4285F4"/>
        <sz val="11.0"/>
      </rPr>
      <t>{1:14}</t>
    </r>
    <r>
      <rPr>
        <rFont val="Arial"/>
        <color theme="1"/>
        <sz val="11.0"/>
      </rPr>
      <t xml:space="preserve"> instead.
(See </t>
    </r>
    <r>
      <rPr>
        <rFont val="Arial"/>
        <i/>
        <color rgb="FF666666"/>
        <sz val="11.0"/>
      </rPr>
      <t>"Elemental effects"</t>
    </r>
    <r>
      <rPr>
        <rFont val="Arial"/>
        <color theme="1"/>
        <sz val="11.0"/>
      </rPr>
      <t xml:space="preserve"> tab at the bottom.)
Please keep in mind that we haven't figured out all the parts yet.
So... just explore this spreadsheet, and try to find the informations you want.
If you don't find what you need, it simply hasn't been discovered yet.</t>
    </r>
  </si>
  <si>
    <t>Borderlands 4 Parts List Bookmark</t>
  </si>
  <si>
    <t>/</t>
  </si>
  <si>
    <t>Name</t>
  </si>
  <si>
    <t>Note</t>
  </si>
  <si>
    <t>Item Building Guide</t>
  </si>
  <si>
    <t>Rarities</t>
  </si>
  <si>
    <t>Weapon Parts List</t>
  </si>
  <si>
    <t>Weapon Parts Lookup Table</t>
  </si>
  <si>
    <t>Weapon Elemental Effects</t>
  </si>
  <si>
    <t>Legendary Weapon Perks</t>
  </si>
  <si>
    <t>Heavy Weapon List</t>
  </si>
  <si>
    <t>Repkits</t>
  </si>
  <si>
    <t>Grenades</t>
  </si>
  <si>
    <t>Class Mods</t>
  </si>
  <si>
    <t>Shield</t>
  </si>
  <si>
    <t>Enchancements</t>
  </si>
  <si>
    <t>Firmware</t>
  </si>
  <si>
    <t>Item Type IDs</t>
  </si>
  <si>
    <t>Weapon Skin Codes</t>
  </si>
  <si>
    <t>For ALL Items EXCEPT Enhancement &amp; Class Mod, RARITY is either one of the 4 base rarities OR the Unique Legendary Rarity</t>
  </si>
  <si>
    <t>Weapons</t>
  </si>
  <si>
    <t>Rarity is either the Base Rarity OR the Unique Legendary Rarity</t>
  </si>
  <si>
    <t>Legendary perks are PARTS, mostly Barrels or Underbarrels, sometimes both</t>
  </si>
  <si>
    <t>Some parts are required by other parts
Example: Torgue Stickies MFR part requires the Torgue Magazine. Hyperion Shields require the Hyperion MFR Part in addition to the shield type</t>
  </si>
  <si>
    <t>A weapon will not have more than 3 parts that increase the value of the same stat
So even though a gun might have 5 parts that increase damage, a legit roll will never have more than 3 of those parts</t>
  </si>
  <si>
    <r>
      <rPr>
        <rFont val="Arial"/>
        <color theme="1"/>
      </rPr>
      <t xml:space="preserve">A gun will not </t>
    </r>
    <r>
      <rPr>
        <rFont val="Arial"/>
        <i/>
        <color theme="1"/>
      </rPr>
      <t>usually</t>
    </r>
    <r>
      <rPr>
        <rFont val="Arial"/>
        <color theme="1"/>
      </rPr>
      <t xml:space="preserve"> have an underbarrel AND a foregrip although these combinations do exist in the game under certain circumstances</t>
    </r>
  </si>
  <si>
    <t>Manufacturer</t>
  </si>
  <si>
    <t>Level</t>
  </si>
  <si>
    <t>Rarity</t>
  </si>
  <si>
    <t>Body</t>
  </si>
  <si>
    <t>Body Accs</t>
  </si>
  <si>
    <t>Element</t>
  </si>
  <si>
    <t>Barrel</t>
  </si>
  <si>
    <t>Barrel Accs</t>
  </si>
  <si>
    <t>MFR Parts</t>
  </si>
  <si>
    <t>Magazine</t>
  </si>
  <si>
    <t>Scope</t>
  </si>
  <si>
    <t>Scope Acc</t>
  </si>
  <si>
    <t>Grip</t>
  </si>
  <si>
    <t>Foregrip</t>
  </si>
  <si>
    <t>Underbarrel</t>
  </si>
  <si>
    <t>Heavy Weapons</t>
  </si>
  <si>
    <t>Similar to how weapons work. Barrels hold the Legendary perks for HW's</t>
  </si>
  <si>
    <t>Firmware 244:</t>
  </si>
  <si>
    <t>All Repkits require the Base Body while Legendary Repkits ALSO need the Legendary Part</t>
  </si>
  <si>
    <t>Repkits use Primary and Secondary Perks. When either is not present, MUST include Parts for the Missing Perks</t>
  </si>
  <si>
    <t>Missing Primary: USE Lookup 243, Parts 53, 55, OR 72</t>
  </si>
  <si>
    <t>Missing Secondary: USE Lookup 243, Parts 76, 78, OR 95</t>
  </si>
  <si>
    <t>Base Body</t>
  </si>
  <si>
    <t>Legendary Part</t>
  </si>
  <si>
    <t>Parts 243:</t>
  </si>
  <si>
    <t>Firmware 243:</t>
  </si>
  <si>
    <t>All Grenades use EITHER the Base Body OR the Legendary Body</t>
  </si>
  <si>
    <t>Parts can be Elemental Status, Payload, Augment, Stats</t>
  </si>
  <si>
    <t>Parts 245:</t>
  </si>
  <si>
    <t>Firmware 245:</t>
  </si>
  <si>
    <t>Common-Epic Class Mods have 10 different bodies, the Body determines the Class Mod Type</t>
  </si>
  <si>
    <t>Legendary Class Mods have 6 different bodies. The Body MUST match the Rarity</t>
  </si>
  <si>
    <t>Skills</t>
  </si>
  <si>
    <t>Perks 234:</t>
  </si>
  <si>
    <t>Firmware 234:</t>
  </si>
  <si>
    <t>Shields</t>
  </si>
  <si>
    <t>Some Legendary shields require the base model as well as the legendary part, might be best to just include the base body on all shields by default</t>
  </si>
  <si>
    <t>Perks are universal for all shield types, Parts are dependent on the shield type. Armor Shields get Armor Shield Parts, Energy Shields get Energy Shield Parts</t>
  </si>
  <si>
    <t>ALL Perks have 2 variations, a Primary and Secondary. Primary has higher values than Secondary. Can combine Primary AND Secondary for higher stats</t>
  </si>
  <si>
    <t>Perks can be Elemental Resist, Perks. When no Elemental Resist is used MUST USE Part 246:21</t>
  </si>
  <si>
    <t>Perks 246:</t>
  </si>
  <si>
    <t xml:space="preserve">Armor 237: </t>
  </si>
  <si>
    <t xml:space="preserve">Energy 248: </t>
  </si>
  <si>
    <t>Firmware 246:</t>
  </si>
  <si>
    <t>Enhancements</t>
  </si>
  <si>
    <t>Enhancements use the base body that coresponds to the rarity of the Item, Lookup 247 Parts 76-80</t>
  </si>
  <si>
    <t>A secondary rarity lookup table exists but is not currently use on any itmes Lookup 247 Parts 98-102</t>
  </si>
  <si>
    <t>Base Body 247:</t>
  </si>
  <si>
    <t xml:space="preserve">Legendary Perks MFR_ID: </t>
  </si>
  <si>
    <t>Stats 247:</t>
  </si>
  <si>
    <t>Firmware 247:</t>
  </si>
  <si>
    <t>Item Type</t>
  </si>
  <si>
    <t>Item Type String</t>
  </si>
  <si>
    <t>Item Type ID</t>
  </si>
  <si>
    <t>Item ID</t>
  </si>
  <si>
    <t>Legendary</t>
  </si>
  <si>
    <t>Source</t>
  </si>
  <si>
    <t>Atlas</t>
  </si>
  <si>
    <t>Enhancement</t>
  </si>
  <si>
    <t>ATL_Enhancement.comp_01_common</t>
  </si>
  <si>
    <t>ATL_Enhancement.comp_02_uncommon</t>
  </si>
  <si>
    <t>ATL_Enhancement.comp_03_rare</t>
  </si>
  <si>
    <t>ATL_Enhancement.comp_04_epic</t>
  </si>
  <si>
    <t>ATL_Enhancement.comp_05_legendary</t>
  </si>
  <si>
    <t>COV</t>
  </si>
  <si>
    <t>COV_Enhancement.comp_01_common</t>
  </si>
  <si>
    <t>COV_Enhancement.comp_02_uncommon</t>
  </si>
  <si>
    <t>COV_Enhancement.comp_03_rare</t>
  </si>
  <si>
    <t>COV_Enhancement.comp_04_epic</t>
  </si>
  <si>
    <t>COV_Enhancement.comp_05_legendary</t>
  </si>
  <si>
    <t>Daedalus</t>
  </si>
  <si>
    <t>Assault Rifle</t>
  </si>
  <si>
    <t>DAD_AR.comp_01_common</t>
  </si>
  <si>
    <t>DAD_AR.comp_02_uncommon</t>
  </si>
  <si>
    <t>DAD_AR.comp_03_rare</t>
  </si>
  <si>
    <t>DAD_AR.comp_04_epic</t>
  </si>
  <si>
    <t>DAD_AR.comp_05_legendary_FirstImpression</t>
  </si>
  <si>
    <t>First Impression</t>
  </si>
  <si>
    <t>Pre-Order</t>
  </si>
  <si>
    <t>DAD_AR.comp_05_legendary_Lumberjack</t>
  </si>
  <si>
    <t>Bloody Lumberjack</t>
  </si>
  <si>
    <t>DAD_AR.comp_05_legendary_OM</t>
  </si>
  <si>
    <t>Oscar Mike</t>
  </si>
  <si>
    <t>DAD_AR.comp_05_legendary_star_helix</t>
  </si>
  <si>
    <t>Star Helix</t>
  </si>
  <si>
    <t>DAD_Enhancement.comp_01_common</t>
  </si>
  <si>
    <t>DAD_Enhancement.comp_02_uncommon</t>
  </si>
  <si>
    <t>DAD_Enhancement.comp_03_rare</t>
  </si>
  <si>
    <t>DAD_Enhancement.comp_04_epic</t>
  </si>
  <si>
    <t>DAD_Enhancement.comp_05_legendary</t>
  </si>
  <si>
    <t>Grenade</t>
  </si>
  <si>
    <t>dad_grenade_gadget.comp_01_common</t>
  </si>
  <si>
    <t>dad_grenade_gadget.comp_02_uncommon</t>
  </si>
  <si>
    <t>dad_grenade_gadget.comp_03_rare</t>
  </si>
  <si>
    <t>dad_grenade_gadget.comp_04_epic</t>
  </si>
  <si>
    <t>dad_grenade_gadget.comp_05_legendary_Axe</t>
  </si>
  <si>
    <t>Buzz Axe</t>
  </si>
  <si>
    <t>dad_grenade_gadget.comp_05_legendary_fuse</t>
  </si>
  <si>
    <t>Fuse</t>
  </si>
  <si>
    <t>Pistol</t>
  </si>
  <si>
    <t>DAD_PS.comp_01_common</t>
  </si>
  <si>
    <t>DAD_PS.comp_02_uncommon</t>
  </si>
  <si>
    <t>DAD_PS.comp_03_rare</t>
  </si>
  <si>
    <t>DAD_PS.comp_04_epic</t>
  </si>
  <si>
    <t>DAD_PS.comp_05_legendary_rangefinder</t>
  </si>
  <si>
    <t>Rangefinder</t>
  </si>
  <si>
    <t>DAD_PS.comp_05_legendary_Zipgun</t>
  </si>
  <si>
    <t>Zipper</t>
  </si>
  <si>
    <t>Repkit</t>
  </si>
  <si>
    <t>dad_repair_kit.comp_01_common</t>
  </si>
  <si>
    <t>dad_repair_kit.comp_02_uncommon</t>
  </si>
  <si>
    <t>dad_repair_kit.comp_03_rare</t>
  </si>
  <si>
    <t>dad_repair_kit.comp_04_epic</t>
  </si>
  <si>
    <t>dad_repair_kit.comp_05_legendary_healthraiser</t>
  </si>
  <si>
    <t>Healthraiser</t>
  </si>
  <si>
    <t>dad_repair_kit.comp_05_legendary_Pacemaker</t>
  </si>
  <si>
    <t>Pacemaker</t>
  </si>
  <si>
    <t>dad_shield.comp_01_common</t>
  </si>
  <si>
    <t>dad_shield.comp_02_uncommon</t>
  </si>
  <si>
    <t>dad_shield.comp_03_rare</t>
  </si>
  <si>
    <t>dad_shield.comp_04_epic</t>
  </si>
  <si>
    <t>dad_shield.comp_05_legendary_angel</t>
  </si>
  <si>
    <t>Guardian Angel</t>
  </si>
  <si>
    <t>dad_shield.comp_05_legendary_SuperSoldier</t>
  </si>
  <si>
    <t>Super Soldier</t>
  </si>
  <si>
    <t>Shotgun</t>
  </si>
  <si>
    <t>DAD_SG.comp_01_common</t>
  </si>
  <si>
    <t>DAD_SG.comp_02_uncommon</t>
  </si>
  <si>
    <t>DAD_SG.comp_03_rare</t>
  </si>
  <si>
    <t>DAD_SG.comp_04_epic</t>
  </si>
  <si>
    <t>DAD_SG.comp_05_legendary_bod</t>
  </si>
  <si>
    <t>Bod</t>
  </si>
  <si>
    <t>DAD_SG.comp_05_legendary_HeartGUn</t>
  </si>
  <si>
    <t>Acey May</t>
  </si>
  <si>
    <t>DAD_SG.comp_05_legendary_misslaser</t>
  </si>
  <si>
    <t>Missilaser</t>
  </si>
  <si>
    <t>SMG</t>
  </si>
  <si>
    <t>DAD_SM.comp_01_common</t>
  </si>
  <si>
    <t>DAD_SM.comp_02_uncommon</t>
  </si>
  <si>
    <t>DAD_SM.comp_03_rare</t>
  </si>
  <si>
    <t>DAD_SM.comp_04_epic</t>
  </si>
  <si>
    <t>DAD_SM.comp_05_legendary_bloodstarved</t>
  </si>
  <si>
    <t>Darkbeast</t>
  </si>
  <si>
    <t>DAD_SM.comp_05_legendary_Luty</t>
  </si>
  <si>
    <t>Luty Madlad</t>
  </si>
  <si>
    <t>DAD_SM.comp_05_legendary_loarmaster</t>
  </si>
  <si>
    <t>Rogue</t>
  </si>
  <si>
    <t>Partial Implementation</t>
  </si>
  <si>
    <t>Hyperion</t>
  </si>
  <si>
    <t>HYP_Enhancement.comp_01_common</t>
  </si>
  <si>
    <t>HYP_Enhancement.comp_02_uncommon</t>
  </si>
  <si>
    <t>HYP_Enhancement.comp_03_rare</t>
  </si>
  <si>
    <t>HYP_Enhancement.comp_04_epic</t>
  </si>
  <si>
    <t>HYP_Enhancement.comp_05_legendary</t>
  </si>
  <si>
    <t>Jakobs</t>
  </si>
  <si>
    <t>JAK_AR.comp_01_common</t>
  </si>
  <si>
    <t>JAK_AR.comp_02_uncommon</t>
  </si>
  <si>
    <t>JAK_AR.comp_03_rare</t>
  </si>
  <si>
    <t>JAK_AR.comp_04_epic</t>
  </si>
  <si>
    <t>JAK_AR.comp_05_legendary_BonnieClyde</t>
  </si>
  <si>
    <t>Bonnie and Clyde</t>
  </si>
  <si>
    <t>JAK_AR.comp_05_legendary_rowan</t>
  </si>
  <si>
    <t>Rowan's Charge</t>
  </si>
  <si>
    <t>JAK_AR.comp_05_legendary_rowdy</t>
  </si>
  <si>
    <t>Rowdy Rider</t>
  </si>
  <si>
    <t>JAK_AR.comp_05_legendary_screenwriter</t>
  </si>
  <si>
    <t>Not implemented - purple gun with no damage</t>
  </si>
  <si>
    <t>JAK_Enhancement.comp_01_common</t>
  </si>
  <si>
    <t>JAK_Enhancement.comp_02_uncommon</t>
  </si>
  <si>
    <t>JAK_Enhancement.comp_03_rare</t>
  </si>
  <si>
    <t>JAK_Enhancement.comp_04_epic</t>
  </si>
  <si>
    <t>JAK_Enhancement.comp_05_legendary</t>
  </si>
  <si>
    <t>jak_grenade_gadget.comp_01_common</t>
  </si>
  <si>
    <t>jak_grenade_gadget.comp_02_uncommon</t>
  </si>
  <si>
    <t>jak_grenade_gadget.comp_03_rare</t>
  </si>
  <si>
    <t>jak_grenade_gadget.comp_04_epic</t>
  </si>
  <si>
    <t>jak_grenade_gadget.comp_05_legendary_ShoKunai</t>
  </si>
  <si>
    <t>Sho Kunai</t>
  </si>
  <si>
    <t>jak_grenade_gadget.comp_05_spinning_blade</t>
  </si>
  <si>
    <t>Spinning Blade</t>
  </si>
  <si>
    <t>JAK_PS.comp_01_common</t>
  </si>
  <si>
    <t>JAK_PS.comp_02_uncommon</t>
  </si>
  <si>
    <t>JAK_PS.comp_03_rare</t>
  </si>
  <si>
    <t>JAK_PS.comp_04_epic</t>
  </si>
  <si>
    <t>JAK_PS.comp_05_legendary_kingsgambit</t>
  </si>
  <si>
    <t>King's Gambit</t>
  </si>
  <si>
    <t>JAK_PS.comp_05_legendary_phantom_flame</t>
  </si>
  <si>
    <t>Phantom Flame</t>
  </si>
  <si>
    <t>JAK_PS.comp_05_legendary_QuickDraw</t>
  </si>
  <si>
    <t>San Saba Songbird</t>
  </si>
  <si>
    <t>JAK_PS.comp_05_legendary_seventh_sense</t>
  </si>
  <si>
    <t>Seventh Sense</t>
  </si>
  <si>
    <t>jak_repair_kit.comp_01_common</t>
  </si>
  <si>
    <t>jak_repair_kit.comp_02_uncommon</t>
  </si>
  <si>
    <t>jak_repair_kit.comp_03_rare</t>
  </si>
  <si>
    <t>jak_repair_kit.comp_04_epic</t>
  </si>
  <si>
    <t>jak_repair_kit.comp_05_legendary_Defibrillator</t>
  </si>
  <si>
    <t>Defibrillator</t>
  </si>
  <si>
    <t>jak_shield.comp_01_common</t>
  </si>
  <si>
    <t>jak_shield.comp_02_uncommon</t>
  </si>
  <si>
    <t>jak_shield.comp_03_rare</t>
  </si>
  <si>
    <t>jak_shield.comp_04_epic</t>
  </si>
  <si>
    <t>jak_shield.comp_05_legendary_barrelAged</t>
  </si>
  <si>
    <t>Aged Cask</t>
  </si>
  <si>
    <t>jak_shield.comp_05_legendary_OnionLayeredGuard</t>
  </si>
  <si>
    <t>Onion</t>
  </si>
  <si>
    <t>JAK_SG.comp_01_common</t>
  </si>
  <si>
    <t>JAK_SG.comp_02_uncommon</t>
  </si>
  <si>
    <t>JAK_SG.comp_03_rare</t>
  </si>
  <si>
    <t>JAK_SG.comp_04_epic</t>
  </si>
  <si>
    <t>JAK_SG.comp_05_legendary_Hellwalker</t>
  </si>
  <si>
    <t>Hellwalker</t>
  </si>
  <si>
    <t>JAK_SG.comp_05_legendary_RainbowVomit</t>
  </si>
  <si>
    <t>Rainbow Vomit</t>
  </si>
  <si>
    <t>JAK_SG.comp_05_legendary_Slugger</t>
  </si>
  <si>
    <t>Hot Slugger</t>
  </si>
  <si>
    <t>JAK_SG.comp_05_legendary_TKsWave</t>
  </si>
  <si>
    <t>T.K's Wave</t>
  </si>
  <si>
    <t>Sniper Rifle</t>
  </si>
  <si>
    <t>JAK_SR.comp_01_common</t>
  </si>
  <si>
    <t>JAK_SR.comp_02_uncommon</t>
  </si>
  <si>
    <t>JAK_SR.comp_03_rare</t>
  </si>
  <si>
    <t>JAK_SR.comp_04_epic</t>
  </si>
  <si>
    <t>JAK_SR.comp_05_legendary_ballista</t>
  </si>
  <si>
    <t>Borstel Ballista</t>
  </si>
  <si>
    <t>JAK_SR.comp_05_legendary_Boomslang</t>
  </si>
  <si>
    <t>Boomslang</t>
  </si>
  <si>
    <t>JAK_SR.comp_05_legendary_Truck</t>
  </si>
  <si>
    <t>Truck</t>
  </si>
  <si>
    <t>Maliwan</t>
  </si>
  <si>
    <t>MAL_Enhancement.comp_01_common</t>
  </si>
  <si>
    <t>MAL_Enhancement.comp_02_uncommon</t>
  </si>
  <si>
    <t>MAL_Enhancement.comp_03_rare</t>
  </si>
  <si>
    <t>MAL_Enhancement.comp_04_epic</t>
  </si>
  <si>
    <t>MAL_Enhancement.comp_05_legendary</t>
  </si>
  <si>
    <t>mal_grenade_gadget.comp_01_common</t>
  </si>
  <si>
    <t>mal_grenade_gadget.comp_02_uncommon</t>
  </si>
  <si>
    <t>mal_grenade_gadget.comp_03_rare</t>
  </si>
  <si>
    <t>mal_grenade_gadget.comp_04_epic</t>
  </si>
  <si>
    <t>mal_grenade_gadget.comp_05_legendary_disco_disc</t>
  </si>
  <si>
    <t>Destructo Disco</t>
  </si>
  <si>
    <t>mal_grenade_gadget.comp_05_legendary_recursive</t>
  </si>
  <si>
    <t>Recursive</t>
  </si>
  <si>
    <t>Heavy Weapon</t>
  </si>
  <si>
    <t>MAL_HW.comp_01_common</t>
  </si>
  <si>
    <t>MAL_HW.comp_02_uncommon</t>
  </si>
  <si>
    <t>MAL_HW.comp_03_rare</t>
  </si>
  <si>
    <t>MAL_HW.comp_04_epic</t>
  </si>
  <si>
    <t>MAL_HW.comp_05_legendary_BottledLightning</t>
  </si>
  <si>
    <t>Bottled Lightning</t>
  </si>
  <si>
    <t>MAL_HW.comp_05_legendary_GammaVoid</t>
  </si>
  <si>
    <t>Gamma Void</t>
  </si>
  <si>
    <t>mal_repair_kit.comp_01_common</t>
  </si>
  <si>
    <t>mal_repair_kit.comp_02_uncommon</t>
  </si>
  <si>
    <t>mal_repair_kit.comp_03_rare</t>
  </si>
  <si>
    <t>mal_repair_kit.comp_04_epic</t>
  </si>
  <si>
    <t>mal_repair_kit.comp_05_legendary_BloodAnalyzer</t>
  </si>
  <si>
    <t>Blood Analyzer</t>
  </si>
  <si>
    <t>mal_shield.comp_01_common</t>
  </si>
  <si>
    <t>mal_shield.comp_02_uncommon</t>
  </si>
  <si>
    <t>mal_shield.comp_03_rare</t>
  </si>
  <si>
    <t>mal_shield.comp_04_epic</t>
  </si>
  <si>
    <t>mal_shield.comp_05_momento</t>
  </si>
  <si>
    <t>Pandoran Momento</t>
  </si>
  <si>
    <t>mal_shield.comp_05_supernova</t>
  </si>
  <si>
    <t>Extra Medium</t>
  </si>
  <si>
    <t>MAL_SG.comp_01_common</t>
  </si>
  <si>
    <t>MAL_SG.comp_02_uncommon</t>
  </si>
  <si>
    <t>MAL_SG.comp_03_rare</t>
  </si>
  <si>
    <t>MAL_SG.comp_04_epic</t>
  </si>
  <si>
    <t>MAL_SG.comp_05_legendary_Kaleidosplode</t>
  </si>
  <si>
    <t>Kaleidosplode</t>
  </si>
  <si>
    <t>MAL_SG.comp_05_legendary_Kickballer</t>
  </si>
  <si>
    <t>Kickballer</t>
  </si>
  <si>
    <t>MAL_SG.comp_05_legendary_Sweet_Embrace</t>
  </si>
  <si>
    <t>Sweet Embrace</t>
  </si>
  <si>
    <t>MAL_SG.comp_05_legendary_mantra</t>
  </si>
  <si>
    <t>Mantra</t>
  </si>
  <si>
    <t>Raid 1</t>
  </si>
  <si>
    <t>MAL_SM.comp_01_common</t>
  </si>
  <si>
    <t>MAL_SM.comp_02_uncommon</t>
  </si>
  <si>
    <t>MAL_SM.comp_03_rare</t>
  </si>
  <si>
    <t>MAL_SM.comp_04_epic</t>
  </si>
  <si>
    <t>MAL_SM.comp_05_legendary_Firework</t>
  </si>
  <si>
    <t>Matador's Match</t>
  </si>
  <si>
    <t>MAL_SM.comp_05_legendary_OhmIGot</t>
  </si>
  <si>
    <t>Ohm I Got</t>
  </si>
  <si>
    <t>MAL_SM.comp_05_legendary_PlasmaCoil</t>
  </si>
  <si>
    <t>Plasma Coil</t>
  </si>
  <si>
    <t>MAL_SR.comp_01_common</t>
  </si>
  <si>
    <t>MAL_SR.comp_02_uncommon</t>
  </si>
  <si>
    <t>MAL_SR.comp_03_rare</t>
  </si>
  <si>
    <t>MAL_SR.comp_04_epic</t>
  </si>
  <si>
    <t>MAL_SR.comp_05_legendary_asher</t>
  </si>
  <si>
    <t>Asher's Rise</t>
  </si>
  <si>
    <t>MAL_SR.comp_05_legendary_complex_root</t>
  </si>
  <si>
    <t>Complex Root</t>
  </si>
  <si>
    <t>MAL_SR.comp_05_legendary_katagawa</t>
  </si>
  <si>
    <t>Katagawa's Revenge</t>
  </si>
  <si>
    <t>Paladin</t>
  </si>
  <si>
    <t>Class Mod</t>
  </si>
  <si>
    <t>classmod_paladin.comp_02_uncommon</t>
  </si>
  <si>
    <t>classmod_paladin.comp_03_rare</t>
  </si>
  <si>
    <t>classmod_paladin.comp_04_epic</t>
  </si>
  <si>
    <t>classmod_paladin.comp_05_legendary_01</t>
  </si>
  <si>
    <t>Furnace</t>
  </si>
  <si>
    <t>classmod_paladin.comp_05_legendary_02</t>
  </si>
  <si>
    <t>Elementalist</t>
  </si>
  <si>
    <t>classmod_paladin.comp_05_legendary_03</t>
  </si>
  <si>
    <t>Shatterwight</t>
  </si>
  <si>
    <t>classmod_paladin.comp_05_legendary_04</t>
  </si>
  <si>
    <t>Blacksmith</t>
  </si>
  <si>
    <t>classmod_paladin.comp_05_legendary_05</t>
  </si>
  <si>
    <t>Forge Master</t>
  </si>
  <si>
    <t>classmod_paladin.comp_05_legendary_06</t>
  </si>
  <si>
    <t>Viking</t>
  </si>
  <si>
    <t>classmod_paladin.comp_05_legendary_raid1</t>
  </si>
  <si>
    <t>Lamplighter</t>
  </si>
  <si>
    <t>classmod_paladin.comp_01_common</t>
  </si>
  <si>
    <t>Gravitar</t>
  </si>
  <si>
    <t>classmod_gravitar.comp_02_uncommon</t>
  </si>
  <si>
    <t>classmod_gravitar.comp_03_rare</t>
  </si>
  <si>
    <t>classmod_gravitar.comp_04_epic</t>
  </si>
  <si>
    <t>classmod_gravitar.comp_05_legendary_01</t>
  </si>
  <si>
    <t>Bio-Robot</t>
  </si>
  <si>
    <t>classmod_gravitar.comp_05_legendary_02</t>
  </si>
  <si>
    <t>Reactor</t>
  </si>
  <si>
    <t>classmod_gravitar.comp_05_legendary_03</t>
  </si>
  <si>
    <t>Generator</t>
  </si>
  <si>
    <t>classmod_gravitar.comp_05_legendary_04</t>
  </si>
  <si>
    <t>Atomic Driver</t>
  </si>
  <si>
    <t>classmod_gravitar.comp_05_legendary_05</t>
  </si>
  <si>
    <t>Skeptic</t>
  </si>
  <si>
    <t>classmod_gravitar.comp_05_legendary_06</t>
  </si>
  <si>
    <t>Scientist</t>
  </si>
  <si>
    <t>classmod_gravitar.comp_05_legendary_raid1</t>
  </si>
  <si>
    <t>Trooper</t>
  </si>
  <si>
    <t>classmod_gravitar.comp_01_common</t>
  </si>
  <si>
    <t>Exo Soldier</t>
  </si>
  <si>
    <t>classmod_exo_soldier.comp_02_uncommon</t>
  </si>
  <si>
    <t>classmod_exo_soldier.comp_03_rare</t>
  </si>
  <si>
    <t>classmod_exo_soldier.comp_04_epic</t>
  </si>
  <si>
    <t>classmod_exo_soldier.comp_05_legendary_01</t>
  </si>
  <si>
    <t>Dancer</t>
  </si>
  <si>
    <t>classmod_exo_soldier.comp_05_legendary_02</t>
  </si>
  <si>
    <t>Filántropo</t>
  </si>
  <si>
    <t>classmod_exo_soldier.comp_05_legendary_03</t>
  </si>
  <si>
    <t>Instigator</t>
  </si>
  <si>
    <t>classmod_exo_soldier.comp_05_legendary_04</t>
  </si>
  <si>
    <t>Buster</t>
  </si>
  <si>
    <t>classmod_exo_soldier.comp_05_legendary_05</t>
  </si>
  <si>
    <t>Esgrimidor</t>
  </si>
  <si>
    <t>classmod_exo_soldier.comp_05_legendary_06</t>
  </si>
  <si>
    <t>Grenazerker</t>
  </si>
  <si>
    <t>classmod_exo_soldier.comp_05_legendary_raid1</t>
  </si>
  <si>
    <t>Overdriver</t>
  </si>
  <si>
    <t>classmod_exo_soldier.comp_01_common</t>
  </si>
  <si>
    <t>Siren</t>
  </si>
  <si>
    <t>classmod_dark_siren.comp_02_uncommon</t>
  </si>
  <si>
    <t>classmod_dark_siren.comp_03_rare</t>
  </si>
  <si>
    <t>classmod_dark_siren.comp_04_epic</t>
  </si>
  <si>
    <t>classmod_dark_siren.comp_05_legendary_01</t>
  </si>
  <si>
    <t>Technomancer</t>
  </si>
  <si>
    <t>classmod_dark_siren.comp_05_legendary_02</t>
  </si>
  <si>
    <t>Avatar</t>
  </si>
  <si>
    <t>classmod_dark_siren.comp_05_legendary_03</t>
  </si>
  <si>
    <t>Undead Eye</t>
  </si>
  <si>
    <t>classmod_dark_siren.comp_05_legendary_04</t>
  </si>
  <si>
    <t>Spirits</t>
  </si>
  <si>
    <t>classmod_dark_siren.comp_05_legendary_05</t>
  </si>
  <si>
    <t>Illusionist</t>
  </si>
  <si>
    <t>classmod_dark_siren.comp_05_legendary_06</t>
  </si>
  <si>
    <t>Teen Witch</t>
  </si>
  <si>
    <t>classmod_dark_siren.comp_05_legendary_raid1</t>
  </si>
  <si>
    <t>Miscericorde</t>
  </si>
  <si>
    <t>classmod_dark_siren.comp_01_common</t>
  </si>
  <si>
    <t>Order</t>
  </si>
  <si>
    <t>ORD_AR.comp_01_common</t>
  </si>
  <si>
    <t>ORD_AR.comp_02_uncommon</t>
  </si>
  <si>
    <t>ORD_AR.comp_03_rare</t>
  </si>
  <si>
    <t>ORD_AR.comp_04_epic</t>
  </si>
  <si>
    <t>ORD_AR.comp_05_legendary_GMR</t>
  </si>
  <si>
    <t>G.M.R.</t>
  </si>
  <si>
    <t>ORD_AR.comp_05_legendary_Goalkeeper</t>
  </si>
  <si>
    <t>Goalkeeper</t>
  </si>
  <si>
    <t>ORD_Enhancement.comp_01_common</t>
  </si>
  <si>
    <t>ORD_Enhancement.comp_02_uncommon</t>
  </si>
  <si>
    <t>ORD_Enhancement.comp_03_rare</t>
  </si>
  <si>
    <t>ORD_Enhancement.comp_04_epic</t>
  </si>
  <si>
    <t>ORD_Enhancement.comp_05_legendary</t>
  </si>
  <si>
    <t>ord_grenade_gadget.comp_01_common</t>
  </si>
  <si>
    <t>ord_grenade_gadget.comp_02_uncommon</t>
  </si>
  <si>
    <t>ord_grenade_gadget.comp_03_rare</t>
  </si>
  <si>
    <t>ord_grenade_gadget.comp_04_epic</t>
  </si>
  <si>
    <t>ord_grenade_gadget.comp_05_legendary_aggrovator</t>
  </si>
  <si>
    <t>Chaumurky</t>
  </si>
  <si>
    <t>ord_grenade_gadget.comp_05_legendary_skully</t>
  </si>
  <si>
    <t>Skully</t>
  </si>
  <si>
    <t>ord_grenade_gadget.comp_05_legendary_swarm</t>
  </si>
  <si>
    <t>Swarm</t>
  </si>
  <si>
    <t>ORD_PS.comp_01_common</t>
  </si>
  <si>
    <t>ORD_PS.comp_02_uncommon</t>
  </si>
  <si>
    <t>ORD_PS.comp_03_rare</t>
  </si>
  <si>
    <t>ORD_PS.comp_04_epic</t>
  </si>
  <si>
    <t>ORD_PS.comp_05_legendary_Bully</t>
  </si>
  <si>
    <t>Bully</t>
  </si>
  <si>
    <t>ORD_PS.comp_05_legendary_NoisyCricket</t>
  </si>
  <si>
    <t>Noisy Cricket</t>
  </si>
  <si>
    <t>ORD_PS.comp_05_legendary_RocketReload</t>
  </si>
  <si>
    <t>Lucky Clover</t>
  </si>
  <si>
    <t>ORD_PS.comp_Zadra_weapon</t>
  </si>
  <si>
    <t>ord_repair_kit.comp_01_common</t>
  </si>
  <si>
    <t>ord_repair_kit.comp_02_uncommon</t>
  </si>
  <si>
    <t>ord_repair_kit.comp_03_rare</t>
  </si>
  <si>
    <t>ord_repair_kit.comp_04_epic</t>
  </si>
  <si>
    <t>ord_repair_kit.comp_05_legendary_TripleBypass</t>
  </si>
  <si>
    <t>Triple Bypass</t>
  </si>
  <si>
    <t>ord_shield.comp_01_common</t>
  </si>
  <si>
    <t>ord_shield.comp_02_uncommon</t>
  </si>
  <si>
    <t>ord_shield.comp_03_rare</t>
  </si>
  <si>
    <t>ord_shield.comp_04_epic</t>
  </si>
  <si>
    <t>ord_shield.comp_05_legendary_cindershelly</t>
  </si>
  <si>
    <t>Cindershelly</t>
  </si>
  <si>
    <t>ord_shield.comp_05_legendary_ProteanCell</t>
  </si>
  <si>
    <t>Protean Cell</t>
  </si>
  <si>
    <t>ORD_SR.comp_01_common</t>
  </si>
  <si>
    <t>ORD_SR.comp_02_uncommon</t>
  </si>
  <si>
    <t>ORD_SR.comp_03_rare</t>
  </si>
  <si>
    <t>ORD_SR.comp_04_epic</t>
  </si>
  <si>
    <t>ORD_SR.comp_05_legendary_Fisheye</t>
  </si>
  <si>
    <t>Fisheye</t>
  </si>
  <si>
    <t>ORD_SR.comp_05_legendary_symmetry</t>
  </si>
  <si>
    <t>Symmetry</t>
  </si>
  <si>
    <t>ORD_SR.comp_05_legendary_Seamstress</t>
  </si>
  <si>
    <t>Rooker</t>
  </si>
  <si>
    <t>Ripper</t>
  </si>
  <si>
    <t>BOR_Enhancement.comp_02_uncommon</t>
  </si>
  <si>
    <t>BOR_Enhancement.comp_03_rare</t>
  </si>
  <si>
    <t>BOR_Enhancement.comp_04_epic</t>
  </si>
  <si>
    <t>BOR_Enhancement.comp_05_legendary</t>
  </si>
  <si>
    <t>BOR_Enhancement.comp_01_common</t>
  </si>
  <si>
    <t>borg_grenade_gadget.comp_02_uncommon</t>
  </si>
  <si>
    <t>borg_grenade_gadget.comp_03_rare</t>
  </si>
  <si>
    <t>borg_grenade_gadget.comp_04_epic</t>
  </si>
  <si>
    <t>borg_grenade_gadget.comp_05_legendary_buoy</t>
  </si>
  <si>
    <t>Buoy</t>
  </si>
  <si>
    <t>borg_grenade_gadget.comp_05_legendary_rubber</t>
  </si>
  <si>
    <t>Jelly</t>
  </si>
  <si>
    <t>borg_grenade_gadget.comp_05_legendary_transmission</t>
  </si>
  <si>
    <t>Transmitter</t>
  </si>
  <si>
    <t>borg_grenade_gadget.comp_01_common</t>
  </si>
  <si>
    <t>BOR_HW.comp_02_uncommon</t>
  </si>
  <si>
    <t>BOR_HW.comp_03_rare</t>
  </si>
  <si>
    <t>BOR_HW.comp_04_epic</t>
  </si>
  <si>
    <t>BOR_HW.comp_05_legendary_DiscJockey</t>
  </si>
  <si>
    <t>Disc Jockey</t>
  </si>
  <si>
    <t>BOR_HW.comp_05_legendary_Streamer</t>
  </si>
  <si>
    <t>Streamer</t>
  </si>
  <si>
    <t>BOR_HW.comp_05_legendary_jetset</t>
  </si>
  <si>
    <t>Jetsetter</t>
  </si>
  <si>
    <t>BOR_HW.comp_01_common</t>
  </si>
  <si>
    <t>BOR_REPAIR_KIT.comp_02_uncommon</t>
  </si>
  <si>
    <t>BOR_REPAIR_KIT.comp_03_rare</t>
  </si>
  <si>
    <t>BOR_REPAIR_KIT.comp_04_epic</t>
  </si>
  <si>
    <t>BOR_REPAIR_KIT.comp_05_legendary_Augmenter</t>
  </si>
  <si>
    <t>AF1000</t>
  </si>
  <si>
    <t>BOR_REPAIR_KIT.comp_01_common</t>
  </si>
  <si>
    <t>bor_shield.comp_02_uncommon</t>
  </si>
  <si>
    <t>bor_shield.comp_03_rare</t>
  </si>
  <si>
    <t>bor_shield.comp_04_epic</t>
  </si>
  <si>
    <t>bor_shield.comp_05_legendary_firewall</t>
  </si>
  <si>
    <t>Firebreak</t>
  </si>
  <si>
    <t>Shift Code</t>
  </si>
  <si>
    <t>bor_shield.comp_05_legendary_Lightning</t>
  </si>
  <si>
    <t>Sparky Shield</t>
  </si>
  <si>
    <t>bor_shield.comp_05_legendary_Watts4Dinner</t>
  </si>
  <si>
    <t>Watts 4 Dinner</t>
  </si>
  <si>
    <t>bor_shield.comp_01_common</t>
  </si>
  <si>
    <t>BOR_SG.comp_02_uncommon</t>
  </si>
  <si>
    <t>BOR_SG.comp_03_rare</t>
  </si>
  <si>
    <t>BOR_SG.comp_04_epic</t>
  </si>
  <si>
    <t>BOR_SG.comp_05_legendary_convergence</t>
  </si>
  <si>
    <t>Convergence</t>
  </si>
  <si>
    <t>BOR_SG.comp_05_legendary_GoldenGod</t>
  </si>
  <si>
    <t>Golden God</t>
  </si>
  <si>
    <t>BOR_SG.comp_05_legendary_GoreMaster</t>
  </si>
  <si>
    <t>Goremaster</t>
  </si>
  <si>
    <t>BOR_SG.comp_01_common</t>
  </si>
  <si>
    <t>BOR_SM.comp_02_uncommon</t>
  </si>
  <si>
    <t>BOR_SM.comp_03_rare</t>
  </si>
  <si>
    <t>BOR_SM.comp_04_epic</t>
  </si>
  <si>
    <t>BOR_SM.comp_05_legendary_hellfire</t>
  </si>
  <si>
    <t>Hellfire</t>
  </si>
  <si>
    <t>BOR_SM.comp_05_legendary_prince</t>
  </si>
  <si>
    <t>Prince Harming</t>
  </si>
  <si>
    <t>BOR_SM.comp_05_legendary_Roil</t>
  </si>
  <si>
    <t>Roil</t>
  </si>
  <si>
    <t>BOR_SM.comp_01_common</t>
  </si>
  <si>
    <t>bor_sr.comp_02_uncommon</t>
  </si>
  <si>
    <t>bor_sr.comp_03_rare</t>
  </si>
  <si>
    <t>bor_sr.comp_04_epic</t>
  </si>
  <si>
    <t>bor_sr.comp_05_legendary_stray</t>
  </si>
  <si>
    <t>Stray</t>
  </si>
  <si>
    <t>bor_sr.comp_05_legendary_Vamoose</t>
  </si>
  <si>
    <t>Vamoose</t>
  </si>
  <si>
    <t>bor_sr.comp_05_legendary_rainmaker</t>
  </si>
  <si>
    <t>Rainmaker</t>
  </si>
  <si>
    <t>bor_sr.comp_01_common</t>
  </si>
  <si>
    <t>Tediore</t>
  </si>
  <si>
    <t>TED_AR.comp_01_common</t>
  </si>
  <si>
    <t>TED_AR.comp_02_uncommon</t>
  </si>
  <si>
    <t>TED_AR.comp_03_rare</t>
  </si>
  <si>
    <t>TED_AR.comp_04_epic</t>
  </si>
  <si>
    <t>TED_AR.comp_05_legendary_Chuck</t>
  </si>
  <si>
    <t>Chuck</t>
  </si>
  <si>
    <t>TED_AR.comp_05_legendary_DividedFocus</t>
  </si>
  <si>
    <t>Divided Focus</t>
  </si>
  <si>
    <t>TED_AR.comp_05_legendary_murder</t>
  </si>
  <si>
    <t>Murmur</t>
  </si>
  <si>
    <t>TED_Enhancement.comp_01_common</t>
  </si>
  <si>
    <t>TED_Enhancement.comp_02_uncommon</t>
  </si>
  <si>
    <t>TED_Enhancement.comp_03_rare</t>
  </si>
  <si>
    <t>TED_Enhancement.comp_04_epic</t>
  </si>
  <si>
    <t>TED_Enhancement.comp_05_legendary</t>
  </si>
  <si>
    <t>ted_grenade_gadget.comp_01_common</t>
  </si>
  <si>
    <t>ted_grenade_gadget.comp_02_uncommon</t>
  </si>
  <si>
    <t>ted_grenade_gadget.comp_03_rare</t>
  </si>
  <si>
    <t>ted_grenade_gadget.comp_04_epic</t>
  </si>
  <si>
    <t>ted_grenade_gadget.comp_05_legendary_FaultyDetonator</t>
  </si>
  <si>
    <t>Faulty Detonator</t>
  </si>
  <si>
    <t>ted_grenade_gadget.comp_05_legendary_PredatorDrone</t>
  </si>
  <si>
    <t>UAV</t>
  </si>
  <si>
    <t>ted_grenade_gadget.comp_05_legendary_urchin</t>
  </si>
  <si>
    <t>Urchin</t>
  </si>
  <si>
    <t>TED_PS.comp_01_common</t>
  </si>
  <si>
    <t>TED_PS.comp_02_uncommon</t>
  </si>
  <si>
    <t>TED_PS.comp_03_rare</t>
  </si>
  <si>
    <t>TED_PS.comp_04_epic</t>
  </si>
  <si>
    <t>TED_PS.comp_05_legendary_ATLien</t>
  </si>
  <si>
    <t>Budget Deity</t>
  </si>
  <si>
    <t>TED_PS.comp_05_legendary_RubysGrasp</t>
  </si>
  <si>
    <t>Ruby's Grasp</t>
  </si>
  <si>
    <t>TED_PS.comp_05_legendary_Inscriber</t>
  </si>
  <si>
    <t>Inscriber</t>
  </si>
  <si>
    <t>TED_PS.comp_05_legendary_Sideshow</t>
  </si>
  <si>
    <t>Sideshow</t>
  </si>
  <si>
    <t>ted_repair_kit.comp_01_common</t>
  </si>
  <si>
    <t>ted_repair_kit.comp_02_uncommon</t>
  </si>
  <si>
    <t>ted_repair_kit.comp_03_rare</t>
  </si>
  <si>
    <t>ted_repair_kit.comp_04_epic</t>
  </si>
  <si>
    <t>ted_repair_kit.comp_05_legendary_KillSpring</t>
  </si>
  <si>
    <t>Kill Spring</t>
  </si>
  <si>
    <t>ted_shield.comp_01_common</t>
  </si>
  <si>
    <t>ted_shield.comp_02_uncommon</t>
  </si>
  <si>
    <t>ted_shield.comp_03_rare</t>
  </si>
  <si>
    <t>ted_shield.comp_04_epic</t>
  </si>
  <si>
    <t>ted_shield.comp_05_legendary_ShieldBoi</t>
  </si>
  <si>
    <t>Principal</t>
  </si>
  <si>
    <t>ted_shield.comp_05_legendary_timekeeper</t>
  </si>
  <si>
    <t>Timekeeper's New</t>
  </si>
  <si>
    <t>TED_SG.comp_02_uncommon</t>
  </si>
  <si>
    <t>TED_SG.comp_03_rare</t>
  </si>
  <si>
    <t>TED_SG.comp_04_epic</t>
  </si>
  <si>
    <t>TED_SG.comp_05_legendary_anarchy</t>
  </si>
  <si>
    <t>Anarchy</t>
  </si>
  <si>
    <t>TED_SG.comp_05_legendary_commBD</t>
  </si>
  <si>
    <t>Forsaken Chaos</t>
  </si>
  <si>
    <t>TED_SG.comp_05_legendary_HeavyTurret</t>
  </si>
  <si>
    <t>Husky Friend</t>
  </si>
  <si>
    <t>TED_SG.comp_01_common</t>
  </si>
  <si>
    <t>Torgue</t>
  </si>
  <si>
    <t>TOR_AR.comp_01_common</t>
  </si>
  <si>
    <t>TOR_AR.comp_02_uncommon</t>
  </si>
  <si>
    <t>TOR_AR.comp_03_rare</t>
  </si>
  <si>
    <t>TOR_AR.comp_04_epic</t>
  </si>
  <si>
    <t>TOR_AR.comp_05_legendary_Bugbear</t>
  </si>
  <si>
    <t>Bugbear</t>
  </si>
  <si>
    <t>TOR_AR.comp_05_legendary_coldshoulder</t>
  </si>
  <si>
    <t>Cold Shoulder</t>
  </si>
  <si>
    <t>TOR_AR.comp_05_legendary_PotatoThrower</t>
  </si>
  <si>
    <t>Potato Thrower IV</t>
  </si>
  <si>
    <t>TOR_AR.comp_Brenda_weapon</t>
  </si>
  <si>
    <t>TOR_Enhancement.comp_01_common</t>
  </si>
  <si>
    <t>TOR_Enhancement.comp_02_uncommon</t>
  </si>
  <si>
    <t>TOR_Enhancement.comp_03_rare</t>
  </si>
  <si>
    <t>TOR_Enhancement.comp_04_epic</t>
  </si>
  <si>
    <t>TOR_Enhancement.comp_05_legendary</t>
  </si>
  <si>
    <t>tor_grenade_gadget.comp_01_common</t>
  </si>
  <si>
    <t>tor_grenade_gadget.comp_02_uncommon</t>
  </si>
  <si>
    <t>tor_grenade_gadget.comp_03_rare</t>
  </si>
  <si>
    <t>tor_grenade_gadget.comp_04_epic</t>
  </si>
  <si>
    <t>tor_grenade_gadget.comp_05_legendary_firepot</t>
  </si>
  <si>
    <t>Firepot</t>
  </si>
  <si>
    <t>tor_grenade_gadget.comp_05_legendary_slippy</t>
  </si>
  <si>
    <t>Slippy</t>
  </si>
  <si>
    <t>TOR_HW.comp_01_common</t>
  </si>
  <si>
    <t>TOR_HW.comp_02_uncommon</t>
  </si>
  <si>
    <t>TOR_HW.comp_02_uncommon_Unique_HeavyTurret</t>
  </si>
  <si>
    <t>TOR_HW.comp_03_rare</t>
  </si>
  <si>
    <t>TOR_HW.comp_04_epic</t>
  </si>
  <si>
    <t>TOR_HW.comp_05_legendary_Javelin</t>
  </si>
  <si>
    <t>Sprezzatura</t>
  </si>
  <si>
    <t>TOR_HW.comp_05_legendary_ravenfire</t>
  </si>
  <si>
    <t>Ravenfire</t>
  </si>
  <si>
    <t>TOR_HW.comp_05_legendary_sidewinder</t>
  </si>
  <si>
    <t>Sidewinder</t>
  </si>
  <si>
    <t>TOR_PS.comp_01_common</t>
  </si>
  <si>
    <t>TOR_PS.comp_02_uncommon</t>
  </si>
  <si>
    <t>TOR_PS.comp_03_rare</t>
  </si>
  <si>
    <t>TOR_PS.comp_04_epic</t>
  </si>
  <si>
    <t>TOR_PS.comp_05_legendary_QueensRest</t>
  </si>
  <si>
    <t>Queen's Rest</t>
  </si>
  <si>
    <t>TOR_PS.comp_05_legendary_Breadth</t>
  </si>
  <si>
    <t>Hardpoint</t>
  </si>
  <si>
    <t>TOR_PS.comp_05_legendary_Roach</t>
  </si>
  <si>
    <t>Roach</t>
  </si>
  <si>
    <t>tor_repair_kit.comp_01_common</t>
  </si>
  <si>
    <t>tor_repair_kit.comp_02_uncommon</t>
  </si>
  <si>
    <t>tor_repair_kit.comp_03_rare</t>
  </si>
  <si>
    <t>tor_repair_kit.comp_04_epic</t>
  </si>
  <si>
    <t>tor_repair_kit.comp_05_legendary_ShinyWarPaint</t>
  </si>
  <si>
    <t>War Paint</t>
  </si>
  <si>
    <t>tor_shield.comp_01_common</t>
  </si>
  <si>
    <t>tor_shield.comp_02_uncommon</t>
  </si>
  <si>
    <t>tor_shield.comp_03_rare</t>
  </si>
  <si>
    <t>tor_shield.comp_04_epic</t>
  </si>
  <si>
    <t>tor_shield.comp_05_legendary_compleat</t>
  </si>
  <si>
    <t>Compleation</t>
  </si>
  <si>
    <t>tor_shield.comp_05_legendary_firewerks</t>
  </si>
  <si>
    <t>Firewerks</t>
  </si>
  <si>
    <t>TOR_SG.comp_02_uncommon</t>
  </si>
  <si>
    <t>TOR_SG.comp_03_rare</t>
  </si>
  <si>
    <t>TOR_SG.comp_04_epic</t>
  </si>
  <si>
    <t>TOR_SG.comp_05_legendary_LeadBalloon</t>
  </si>
  <si>
    <t>Lead Balloon</t>
  </si>
  <si>
    <t>TOR_SG.comp_05_legendary_Linebacker</t>
  </si>
  <si>
    <t>Linebacker</t>
  </si>
  <si>
    <t>TOR_SG.comp_01_common</t>
  </si>
  <si>
    <t>Vladof</t>
  </si>
  <si>
    <t>VLA_AR.comp_01_common</t>
  </si>
  <si>
    <t>VLA_AR.comp_02_uncommon</t>
  </si>
  <si>
    <t>VLA_AR.comp_03_rare</t>
  </si>
  <si>
    <t>VLA_AR.comp_04_epic</t>
  </si>
  <si>
    <t>VLA_AR.comp_05_legendary_DualDamage</t>
  </si>
  <si>
    <t>Aegon's Dream</t>
  </si>
  <si>
    <t>VLA_AR.comp_05_legendary_Lucian</t>
  </si>
  <si>
    <t>Lucian's Flank</t>
  </si>
  <si>
    <t>VLA_AR.comp_05_legendary_WF</t>
  </si>
  <si>
    <t>Whiskey Foxtrot</t>
  </si>
  <si>
    <t>VLA_AR.comp_05_legendary_WomboCombo</t>
  </si>
  <si>
    <t>Wombo Combo</t>
  </si>
  <si>
    <t>VLA_Enhancement.comp_01_common</t>
  </si>
  <si>
    <t>VLA_Enhancement.comp_02_uncommon</t>
  </si>
  <si>
    <t>VLA_Enhancement.comp_03_rare</t>
  </si>
  <si>
    <t>VLA_Enhancement.comp_04_epic</t>
  </si>
  <si>
    <t>VLA_Enhancement.comp_05_legendary</t>
  </si>
  <si>
    <t>vla_grenade_gadget.comp_01_common</t>
  </si>
  <si>
    <t>vla_grenade_gadget.comp_02_uncommon</t>
  </si>
  <si>
    <t>vla_grenade_gadget.comp_03_rare</t>
  </si>
  <si>
    <t>vla_grenade_gadget.comp_04_epic</t>
  </si>
  <si>
    <t>vla_grenade_gadget.comp_05_legendary_Blockbuster</t>
  </si>
  <si>
    <t>Blockbuster</t>
  </si>
  <si>
    <t>vla_grenade_gadget.comp_05_legendary_Waterfall</t>
  </si>
  <si>
    <t>Waterfall</t>
  </si>
  <si>
    <t>VLA_HW.comp_01_common</t>
  </si>
  <si>
    <t>VLA_HW.comp_02_uncommon</t>
  </si>
  <si>
    <t>VLA_HW.comp_03_rare</t>
  </si>
  <si>
    <t>VLA_HW.comp_04_epic</t>
  </si>
  <si>
    <t>VLA_HW.comp_05_legendary_AtlingGun</t>
  </si>
  <si>
    <t>Atling Gun</t>
  </si>
  <si>
    <t>VLA_HW.comp_05_legendary_Splatoon</t>
  </si>
  <si>
    <t>Inkling</t>
  </si>
  <si>
    <t>vla_repair_kit.comp_01_common</t>
  </si>
  <si>
    <t>vla_repair_kit.comp_02_uncommon</t>
  </si>
  <si>
    <t>vla_repair_kit.comp_03_rare</t>
  </si>
  <si>
    <t>vla_repair_kit.comp_04_epic</t>
  </si>
  <si>
    <t>vla_repair_kit.comp_05_legendary_AdrenalinePUmp</t>
  </si>
  <si>
    <t>Adrenaline Pump</t>
  </si>
  <si>
    <t>vla_shield.comp_01_common</t>
  </si>
  <si>
    <t>vla_shield.comp_02_uncommon</t>
  </si>
  <si>
    <t>vla_shield.comp_03_rare</t>
  </si>
  <si>
    <t>vla_shield.comp_04_epic</t>
  </si>
  <si>
    <t>vla_shield.comp_05_legendary_HeavyWeight</t>
  </si>
  <si>
    <t>Heavyweight</t>
  </si>
  <si>
    <t>vla_shield.comp_05_legendary_Hoarder</t>
  </si>
  <si>
    <t>Hoarder</t>
  </si>
  <si>
    <t>vla_shield.comp_05_legendary_undershield</t>
  </si>
  <si>
    <t>Undershield</t>
  </si>
  <si>
    <t>VLA_SM.comp_01_common</t>
  </si>
  <si>
    <t>VLA_SM.comp_02_uncommon</t>
  </si>
  <si>
    <t>VLA_SM.comp_03_rare</t>
  </si>
  <si>
    <t>VLA_SM.comp_04_epic</t>
  </si>
  <si>
    <t>VLA_SM.comp_05_legendary_BeeGun</t>
  </si>
  <si>
    <t>Birt's Bees</t>
  </si>
  <si>
    <t>VLA_SM.comp_05_legendary_KaoSon</t>
  </si>
  <si>
    <t>Kaoson</t>
  </si>
  <si>
    <t>VLA_SM.comp_05_legendary_Onslaught</t>
  </si>
  <si>
    <t>Onslaught</t>
  </si>
  <si>
    <t>VLA_SR.comp_01_common</t>
  </si>
  <si>
    <t>VLA_SR.comp_02_uncommon</t>
  </si>
  <si>
    <t>VLA_SR.comp_03_rare</t>
  </si>
  <si>
    <t>VLA_SR.comp_04_epic</t>
  </si>
  <si>
    <t>VLA_SR.comp_05_legendary_CrowdSourced</t>
  </si>
  <si>
    <t>Midnight Defiance</t>
  </si>
  <si>
    <t>Twitch Drop</t>
  </si>
  <si>
    <t>VLA_SR.comp_05_legendary_Finnty</t>
  </si>
  <si>
    <t>Finnity XXX-L</t>
  </si>
  <si>
    <t>VLA_SR.comp_05_legendary_StopGap</t>
  </si>
  <si>
    <t>Stop Gap</t>
  </si>
  <si>
    <t>Weapon Type</t>
  </si>
  <si>
    <t>ID</t>
  </si>
  <si>
    <t>Part Type</t>
  </si>
  <si>
    <t>String</t>
  </si>
  <si>
    <t>Model Name</t>
  </si>
  <si>
    <t>Stats</t>
  </si>
  <si>
    <t>Effects</t>
  </si>
  <si>
    <t>Requirements</t>
  </si>
  <si>
    <t>DAD_AR.part_body</t>
  </si>
  <si>
    <t>DAD_AR_Body</t>
  </si>
  <si>
    <t>No Stat Changes, always present</t>
  </si>
  <si>
    <t>Body Accessory</t>
  </si>
  <si>
    <t>DAD_AR.part_body_a</t>
  </si>
  <si>
    <t>DAD_AR_Body_A</t>
  </si>
  <si>
    <t>-Reload Speed</t>
  </si>
  <si>
    <t>DAD_AR.part_body_b</t>
  </si>
  <si>
    <t>DAD_AR_Body_B</t>
  </si>
  <si>
    <t>DAD_AR.part_body_c</t>
  </si>
  <si>
    <t>DAD_AR_Body_C</t>
  </si>
  <si>
    <t>+Accuracy</t>
  </si>
  <si>
    <t>DAD_AR.part_body_d</t>
  </si>
  <si>
    <t>DAD_AR_Body_D</t>
  </si>
  <si>
    <t>No Stat Changes</t>
  </si>
  <si>
    <t>DAD_AR.part_barrel_01</t>
  </si>
  <si>
    <t>DAD_AR_Barrel_01</t>
  </si>
  <si>
    <t>Spec-Tec, 571 Damage, 78% Acc, 6.8/s FR</t>
  </si>
  <si>
    <t>DAD_AR.part_barrel_02</t>
  </si>
  <si>
    <t>DAD_AR_Barrel_02</t>
  </si>
  <si>
    <t>F.A.N.G., 669 Damage, 84% Acc, 5.5/s FR</t>
  </si>
  <si>
    <t>DAD_AR.part_barrel_unique_om</t>
  </si>
  <si>
    <t>Oscar Mike, 509 Damage, 76% Acc, 6.8/s FR</t>
  </si>
  <si>
    <t>Tactical Rounds - The first half of your Magazine deals +50% Bonus Damage</t>
  </si>
  <si>
    <t>Barrel Accessory</t>
  </si>
  <si>
    <t>DAD_AR.part_barrel_01_a</t>
  </si>
  <si>
    <t>DAD_AR_Barrel_01_A</t>
  </si>
  <si>
    <t>+Damage</t>
  </si>
  <si>
    <t>DAD_AR.part_barrel_01_b</t>
  </si>
  <si>
    <t>DAD_AR_Barrel_01_B</t>
  </si>
  <si>
    <t>+Crit Damage</t>
  </si>
  <si>
    <t>DAD_AR.part_barrel_01_c</t>
  </si>
  <si>
    <t>DAD_AR_Barrel_01_C</t>
  </si>
  <si>
    <t>DAD_AR.part_barrel_01_d</t>
  </si>
  <si>
    <t>DAD_AR_Barrel_01_D</t>
  </si>
  <si>
    <t>DAD_AR.part_barrel_02_a</t>
  </si>
  <si>
    <t>DAD_AR_Barrel_02_A</t>
  </si>
  <si>
    <t>DAD_AR.part_barrel_02_b</t>
  </si>
  <si>
    <t>DAD_AR_Barrel_02_B</t>
  </si>
  <si>
    <t>DAD_AR.part_barrel_02_c</t>
  </si>
  <si>
    <t>DAD_AR_Barrel_02_C</t>
  </si>
  <si>
    <t>+Fire Rate</t>
  </si>
  <si>
    <t>DAD_AR.part_barrel_02_d</t>
  </si>
  <si>
    <t>DAD_AR_Barrel_02_D</t>
  </si>
  <si>
    <t>Manufacturer Part</t>
  </si>
  <si>
    <t>DAD_AR.part_barrel_licensed_jak</t>
  </si>
  <si>
    <t>DAD_AR_TopAcc_01</t>
  </si>
  <si>
    <t>Jakobs Ricochet</t>
  </si>
  <si>
    <t>DAD_AR.part_barrel_licensed_ted</t>
  </si>
  <si>
    <t>DAD_AR_TopAcc_03 + 03_A</t>
  </si>
  <si>
    <t>Tediore Reload, no stat changes</t>
  </si>
  <si>
    <t>DAD_AR.part_barrel_licensed_ted_shooting</t>
  </si>
  <si>
    <t>Tediore Shooting, no stat changes</t>
  </si>
  <si>
    <t>DAD_AR.part_barrel_licensed_ted_mirv</t>
  </si>
  <si>
    <t>DAD_AR_TopAcc_03 + 03_B</t>
  </si>
  <si>
    <t>Tediore MIRV, no stat changes</t>
  </si>
  <si>
    <t>DAD_AR.part_barrel_licensed_ted_combo</t>
  </si>
  <si>
    <t>DAD_AR_TopAcc_03 + 03_C</t>
  </si>
  <si>
    <t>Tediore Combo, no stat changes</t>
  </si>
  <si>
    <t>DAD_AR.part_barrel_licensed_hyp</t>
  </si>
  <si>
    <t>DAD_AR_TopAcc_02</t>
  </si>
  <si>
    <t>Hyperion Shield visual accessory, no stat changes</t>
  </si>
  <si>
    <t>DAD_AR.part_mag_01</t>
  </si>
  <si>
    <t>DAD_AR_Mag_01</t>
  </si>
  <si>
    <t>2.1s Reload, 28 shots</t>
  </si>
  <si>
    <t>DAD_AR.part_mag_02</t>
  </si>
  <si>
    <t>DAD_AR_Mag_02</t>
  </si>
  <si>
    <t>2.6s Reload, 36 shots</t>
  </si>
  <si>
    <t>DAD_AR.part_mag_03_tor</t>
  </si>
  <si>
    <t>DAD_AR_Mag_03</t>
  </si>
  <si>
    <t>2.0s Reload, +Damage, -Fire Rate, 20 shots, Torgue Mag</t>
  </si>
  <si>
    <t>DAD_AR.part_mag_04_cov</t>
  </si>
  <si>
    <t>DAD_AR_Mag_04</t>
  </si>
  <si>
    <t>4.3s Reload, +Damage, -Acc, 50 shots to overheat, CoV Mag</t>
  </si>
  <si>
    <t>DAD_AR.part_mag_05_borg</t>
  </si>
  <si>
    <t>DAD_AR_Mag_05</t>
  </si>
  <si>
    <t>3.0s Reload, +Damage, +Acc, +Fire Rate, 44 shots, Ripper Mag</t>
  </si>
  <si>
    <t>DAD_AR.part_mag_torgue_normal</t>
  </si>
  <si>
    <t>No visual</t>
  </si>
  <si>
    <t>Torgue Impact Gyrojets</t>
  </si>
  <si>
    <t>Stat Modifier</t>
  </si>
  <si>
    <t>DAD_AR.part_mag_ted_thrown_01</t>
  </si>
  <si>
    <t>2.0s Reload</t>
  </si>
  <si>
    <t>DAD_AR.part_mag_ted_thrown_02</t>
  </si>
  <si>
    <t>DAD_AR.part_mag_torgue_sticky</t>
  </si>
  <si>
    <t>Torgue Sticky Gyrojets</t>
  </si>
  <si>
    <t>DAD_AR.part_mag_ted_thrown_03_tor</t>
  </si>
  <si>
    <t>DAD_AR.part_mag_ted_thrown_04_cov</t>
  </si>
  <si>
    <t>3.0s Reload</t>
  </si>
  <si>
    <t>DAD_AR.part_mag_ted_thrown_05_bor</t>
  </si>
  <si>
    <t>DAD_AR.part_body_bolt</t>
  </si>
  <si>
    <t>DAD_AR_Body_Bolt</t>
  </si>
  <si>
    <t>DAD_AR.part_scope_02_lens_02</t>
  </si>
  <si>
    <t>DAD_AR_Scope_02 + 02_L2</t>
  </si>
  <si>
    <t>ADS ++++Zoom</t>
  </si>
  <si>
    <t>DAD_AR.part_scope_02_lens_01</t>
  </si>
  <si>
    <t>DAD_AR_Scope_02 + 02_L1</t>
  </si>
  <si>
    <t>ADS +++Zoom</t>
  </si>
  <si>
    <t>DAD_AR.part_scope_01_lens_02</t>
  </si>
  <si>
    <t>DAD_AR_Scope_01 + 01_L2</t>
  </si>
  <si>
    <t>ADS ++Zoom</t>
  </si>
  <si>
    <t>DAD_AR.part_scope_01_lens_01</t>
  </si>
  <si>
    <t>DAD_AR_Scope_01 + 01_L1</t>
  </si>
  <si>
    <t>ADS +Zoom</t>
  </si>
  <si>
    <t>DAD_AR.part_scope_ironsight</t>
  </si>
  <si>
    <t>DAD_AR_Scope_Iron</t>
  </si>
  <si>
    <t>ADS</t>
  </si>
  <si>
    <t>Scope Accessory</t>
  </si>
  <si>
    <t>DAD_AR.part_scope_acc_s01_l01_a</t>
  </si>
  <si>
    <t>DAD_AR_Scope_01_A</t>
  </si>
  <si>
    <t>Extra borders, Mag Counter</t>
  </si>
  <si>
    <t>DAD_AR.part_scope_acc_s01_l01_b</t>
  </si>
  <si>
    <t>DAD_AR_Scope_01_B</t>
  </si>
  <si>
    <t>Extra borders</t>
  </si>
  <si>
    <t>DAD_AR.part_scope_acc_s01_l02_a</t>
  </si>
  <si>
    <t>Extra central visual, Mag Counter</t>
  </si>
  <si>
    <t>DAD_AR.part_scope_acc_s01_l02_b</t>
  </si>
  <si>
    <t>Blue and green lines on right of crosshair</t>
  </si>
  <si>
    <t>DAD_AR.part_scope_acc_s02_l01_a</t>
  </si>
  <si>
    <t>DAD_AR_Scope_02_A</t>
  </si>
  <si>
    <t>Radar, Damage type indicator, Extra borders</t>
  </si>
  <si>
    <t>DAD_AR.part_scope_acc_s02_l01_b</t>
  </si>
  <si>
    <t>DAD_AR_Scope_02_B</t>
  </si>
  <si>
    <t>Extra red visuals on scope</t>
  </si>
  <si>
    <t>DAD_AR.part_scope_acc_s02_l02_a</t>
  </si>
  <si>
    <t>Extra borders, Damage type indicator</t>
  </si>
  <si>
    <t>DAD_AR.part_scope_acc_s02_l02_b</t>
  </si>
  <si>
    <t>DAD_AR.part_grip_05c_ted_jav</t>
  </si>
  <si>
    <t>DAD_AR_Grip_05 + 05_C</t>
  </si>
  <si>
    <t>Tediore reload modifier: Javelin, no stat changes</t>
  </si>
  <si>
    <t>DAD_AR.part_grip_05a_ted_legs</t>
  </si>
  <si>
    <t>DAD_AR_Grip_05 + 05_A</t>
  </si>
  <si>
    <t>Tediore reload modifier: Legs, no stat changes</t>
  </si>
  <si>
    <t>DAD_AR.part_grip_05b_ted_homing</t>
  </si>
  <si>
    <t>DAD_AR_Grip_05 + 05_B</t>
  </si>
  <si>
    <t>Tediore reload modifier: Homing, no stat changes</t>
  </si>
  <si>
    <t>DAD_AR.part_grip_01</t>
  </si>
  <si>
    <t>DAD_AR_Grip_01</t>
  </si>
  <si>
    <t>DAD_AR.part_grip_02</t>
  </si>
  <si>
    <t>DAD_AR_Grip_02</t>
  </si>
  <si>
    <t>DAD_AR.part_grip_03</t>
  </si>
  <si>
    <t>DAD_AR_Grip_03</t>
  </si>
  <si>
    <t>DAD_AR.part_grip_04_hyp</t>
  </si>
  <si>
    <t>DAD_AR_Grip_04</t>
  </si>
  <si>
    <t>Hyperion Grip, -Acc, Acc increases with continuous fire</t>
  </si>
  <si>
    <t>DAD_AR.part_barrel_02_lumberjack</t>
  </si>
  <si>
    <t>Bloody Lumberjack, 1227 Damage, 82% Acc, 4.0/s FR, 2 Shot</t>
  </si>
  <si>
    <t>Timber - Fires saw-blades that penetrate enemies and ricochet off surfaces; successful hits apply a bleed status effect with a 3 second tick interval.</t>
  </si>
  <si>
    <t>DAD_AR.part_underbarrel_04_atlas_ball</t>
  </si>
  <si>
    <t>DAD_AR_UnderBarrel_04</t>
  </si>
  <si>
    <t>Atlas Tracker Grenades</t>
  </si>
  <si>
    <t>DAD_AR.part_underbarrel_04_atlas</t>
  </si>
  <si>
    <t>Atlas Tracker Darts</t>
  </si>
  <si>
    <t>DAD_AR.part_underbarrel_06_malswitch</t>
  </si>
  <si>
    <t>DAD_AR_UnderBarrel_06</t>
  </si>
  <si>
    <t>Maliwan Element Switch</t>
  </si>
  <si>
    <t>Used for Maliwan elemental switch</t>
  </si>
  <si>
    <t>DAD_AR.part_underbarrel_02_shotgun</t>
  </si>
  <si>
    <t>DAD_AR_UnderBarrel_02</t>
  </si>
  <si>
    <t>Alt Fire - Shotgun</t>
  </si>
  <si>
    <t>DAD_AR.part_underbarrel_03_microrocket</t>
  </si>
  <si>
    <t>DAD_AR_UnderBarrel_03</t>
  </si>
  <si>
    <t>Alt Fire - Micro-Rocket POD</t>
  </si>
  <si>
    <t>DAD_AR.part_underbarrel_01_grenade</t>
  </si>
  <si>
    <t>DAD_AR_UnderBarrel_01</t>
  </si>
  <si>
    <t>Alt Fire - Grenade Launcher</t>
  </si>
  <si>
    <t>DAD_AR.part_foregrip_01</t>
  </si>
  <si>
    <t>DAD_AR_Foregrip_01</t>
  </si>
  <si>
    <t>DAD_AR.part_foregrip_02</t>
  </si>
  <si>
    <t>DAD_AR_Foregrip_02</t>
  </si>
  <si>
    <t>DAD_AR.part_foregrip_03</t>
  </si>
  <si>
    <t>DAD_AR_Foregrip_03</t>
  </si>
  <si>
    <t>DAD_AR.part_underbarrel_01_grenade_om</t>
  </si>
  <si>
    <t>Fragcendiary Grenades</t>
  </si>
  <si>
    <t>Alt-Fire Launches Grenades that deal Incindeary Damage and spawn a Fire Hazard</t>
  </si>
  <si>
    <t>DAD_AR.part_body_mag_ps</t>
  </si>
  <si>
    <t>Daedalus Pistol Ammo</t>
  </si>
  <si>
    <t>DAD_AR.part_body_mag_smg</t>
  </si>
  <si>
    <t>Daedalus SMG Ammo</t>
  </si>
  <si>
    <t>DAD_AR.part_body_mag_sg</t>
  </si>
  <si>
    <t>Daedalus Shotgun Ammo</t>
  </si>
  <si>
    <t>DAD_AR.part_body_mag_sr</t>
  </si>
  <si>
    <t>Daedalus SR Ammo</t>
  </si>
  <si>
    <t>DAD_AR.part_underbarrel_om_spacelaser</t>
  </si>
  <si>
    <t>Space Laser</t>
  </si>
  <si>
    <t>Alt-Fire Calls down a Space Laser</t>
  </si>
  <si>
    <t>DAD_AR.part_underbarrel_06_star_helix</t>
  </si>
  <si>
    <t>Star Helix Underbarrel</t>
  </si>
  <si>
    <t>Vertical mode for Constellation</t>
  </si>
  <si>
    <t>DAD_AR.part_barrel_02_star_helix</t>
  </si>
  <si>
    <t>Star Helix Barrel, 669 x 3 Damage, 78% Acc, 4.7/s FR</t>
  </si>
  <si>
    <t>Constellation - Projectiles can be fired vertically or horizontally</t>
  </si>
  <si>
    <t>Requires Star Helix underbarrel, part 76</t>
  </si>
  <si>
    <t>DAD_AR.part_shield_default</t>
  </si>
  <si>
    <t>Hyperion Shield</t>
  </si>
  <si>
    <t>DAD_AR.part_shield_ricochet</t>
  </si>
  <si>
    <t>Hyperion Ricochet Shield</t>
  </si>
  <si>
    <t>DAD_AR.part_shield_ammo</t>
  </si>
  <si>
    <t>Hyperion Absorb Shield</t>
  </si>
  <si>
    <t>DAD_AR.part_shield_amp</t>
  </si>
  <si>
    <t>Hyperion Amp Shield</t>
  </si>
  <si>
    <t>DAD_PS.part_barrel_01_zipgun</t>
  </si>
  <si>
    <t>Zipper, 692 Damage, 75% Acc, 6.2/s FR</t>
  </si>
  <si>
    <t>Prison Rules - Grants +75% Critical Damage and +75% Damage when hitting a target in the back</t>
  </si>
  <si>
    <t>DAD_PS.part_body</t>
  </si>
  <si>
    <t>DAD_PS.part_body_a</t>
  </si>
  <si>
    <t>DAD_PS.part_body_b</t>
  </si>
  <si>
    <t>DAD_PS.part_body_c</t>
  </si>
  <si>
    <t>DAD_PS.part_body_d</t>
  </si>
  <si>
    <t>Used for Daedalus Underbarrels</t>
  </si>
  <si>
    <t>DAD_PS.part_barrel_01</t>
  </si>
  <si>
    <t>S23, 692 Damage, 75% Acc, 6.0/s FR</t>
  </si>
  <si>
    <t>DAD_PS.part_barrel_02</t>
  </si>
  <si>
    <t>Bonn-91, 714 Damage, 76% Acc, 5.8/s FR</t>
  </si>
  <si>
    <t>DAD_PS.part_shield_default</t>
  </si>
  <si>
    <t>DAD_PS.part_shield_ricochet</t>
  </si>
  <si>
    <t>DAD_PS.part_shield_ammo</t>
  </si>
  <si>
    <t>DAD_PS.part_shield_amp</t>
  </si>
  <si>
    <t>DAD_PS.part_mag_01</t>
  </si>
  <si>
    <t>2.0s Reload, +Damage, 16 Shots</t>
  </si>
  <si>
    <t>DAD_PS.part_mag_02</t>
  </si>
  <si>
    <t>2.7s Reload, +Damage, 20 Shots</t>
  </si>
  <si>
    <t>DAD_PS.part_mag_03_tor</t>
  </si>
  <si>
    <t>2.4s Reload, +Damage, +Acc, -Fire Rate, 12 Shots, Torgue</t>
  </si>
  <si>
    <t>DAD_PS.part_mag_04_cov</t>
  </si>
  <si>
    <t>3.5s Reload, +Damage, -Acc, 25 Shots, CoV Mag</t>
  </si>
  <si>
    <t>DAD_PS.part_mag_05_borg</t>
  </si>
  <si>
    <t>2.1s Reload, ++Fire Rate, 28 Shots, Ripper Mag</t>
  </si>
  <si>
    <t>DAD_PS.part_mag_torgue_normal</t>
  </si>
  <si>
    <t>DAD_PS.part_mag_torgue_sticky</t>
  </si>
  <si>
    <t>DAD_PS.part_mag_ted_thrown_01</t>
  </si>
  <si>
    <t>DAD_PS.part_mag_ted_thrown_02</t>
  </si>
  <si>
    <t>DAD_PS.part_mag_ted_thrown_03_tor</t>
  </si>
  <si>
    <t>DAD_PS.part_mag_ted_thrown_04_cov</t>
  </si>
  <si>
    <t>DAD_PS.part_mag_ted_thrown_05_bor</t>
  </si>
  <si>
    <t>DAD_PS.part_scope_ironsight</t>
  </si>
  <si>
    <t>DAD_PS.part_scope_01_lens_01</t>
  </si>
  <si>
    <t>DAD_PS.part_scope_01_lens_02</t>
  </si>
  <si>
    <t>DAD_PS.part_scope_02_lens_01</t>
  </si>
  <si>
    <t>DAD_PS.part_scope_02_lens_02</t>
  </si>
  <si>
    <t>DAD_PS.part_scope_acc_s01_l01_a</t>
  </si>
  <si>
    <t>HUD Elements</t>
  </si>
  <si>
    <t>DAD_PS.part_scope_acc_s01_l01_b</t>
  </si>
  <si>
    <t>Mag Gauge</t>
  </si>
  <si>
    <t>DAD_PS.part_scope_acc_s02_l01_a</t>
  </si>
  <si>
    <t>Distance</t>
  </si>
  <si>
    <t>DAD_PS.part_scope_acc_s02_l01_b</t>
  </si>
  <si>
    <t>Damage Type</t>
  </si>
  <si>
    <t>DAD_PS.part_scope_acc_s01_l02_a</t>
  </si>
  <si>
    <t>Mag Counter</t>
  </si>
  <si>
    <t>DAD_PS.part_scope_acc_s01_l02_b</t>
  </si>
  <si>
    <t>DAD_PS.part_scope_acc_s02_l02_a</t>
  </si>
  <si>
    <t>DAD_PS.part_scope_acc_s02_l02_b</t>
  </si>
  <si>
    <t>DAD_PS.part_grip_05c_ted_jav</t>
  </si>
  <si>
    <t>DAD_PS.part_grip_05a_ted_legs</t>
  </si>
  <si>
    <t>DAD_PS.part_grip_05b_ted_homing</t>
  </si>
  <si>
    <t>DAD_PS.part_grip_04_hyp</t>
  </si>
  <si>
    <t>DAD_PS.part_grip_01</t>
  </si>
  <si>
    <t>DAD_PS.part_grip_02</t>
  </si>
  <si>
    <t>DAD_PS.part_grip_03</t>
  </si>
  <si>
    <t>DAD_PS.part_underbarrel_06_malswitch</t>
  </si>
  <si>
    <t>DAD_PS.part_underbarrel_04_atlas_ball</t>
  </si>
  <si>
    <t>DAD_PS.part_underbarrel_02_knifelauncher</t>
  </si>
  <si>
    <t>Alt Fire - Tactical Knife Launcher</t>
  </si>
  <si>
    <t>Fires a Knife that deals XXX Damage per shot</t>
  </si>
  <si>
    <t>DAD_PS.part_underbarrel_01_taser</t>
  </si>
  <si>
    <t>Alt Fire - Taser</t>
  </si>
  <si>
    <t>DAD_PS.part_foregrip_02</t>
  </si>
  <si>
    <t>DAD_PS.part_foregrip_03</t>
  </si>
  <si>
    <t>DAD_PS.part_body_mag_smg</t>
  </si>
  <si>
    <t>DAD_PS.part_body_mag_ar</t>
  </si>
  <si>
    <t>Daedalus AR Ammo</t>
  </si>
  <si>
    <t>DAD_PS.part_body_mag_sr</t>
  </si>
  <si>
    <t>DAD_PS.part_mag_05_borg_barrel_02</t>
  </si>
  <si>
    <t>1.8s Reload, -Damage, -Fire Rate</t>
  </si>
  <si>
    <t>Use with RIpper Mag (17) and Barrel 02 (8)</t>
  </si>
  <si>
    <t>DAD_PS.part_mag_05_borg_barrel_01</t>
  </si>
  <si>
    <t>Use with RIpper Mag (17) and Barrel 01 (7)</t>
  </si>
  <si>
    <t>DAD_PS.part_barrel_01_a</t>
  </si>
  <si>
    <t>DAD_PS.part_barrel_01_b</t>
  </si>
  <si>
    <t>DAD_PS.part_barrel_01_c</t>
  </si>
  <si>
    <t>DAD_PS.part_barrel_01_d</t>
  </si>
  <si>
    <t>DAD_PS.part_barrel_02_a</t>
  </si>
  <si>
    <t>DAD_PS.part_barrel_02_b</t>
  </si>
  <si>
    <t>DAD_PS.part_barrel_02_c</t>
  </si>
  <si>
    <t>DAD_PS.part_barrel_02_d</t>
  </si>
  <si>
    <t>DAD_PS.part_barrel_licensed_jak</t>
  </si>
  <si>
    <t>DAD_PS.part_barrel_licensed_ted</t>
  </si>
  <si>
    <t>DAD_PS.part_barrel_licensed_ted_shooting</t>
  </si>
  <si>
    <t>DAD_PS.part_barrel_licensed_ted_mirv</t>
  </si>
  <si>
    <t>DAD_PS.part_barrel_licensed_ted_combo</t>
  </si>
  <si>
    <t>DAD_PS.part_barrel_licensed_hyp</t>
  </si>
  <si>
    <t>DAD_PS.part_underbarrel_04_atlas</t>
  </si>
  <si>
    <t>DAD_PS.part_underbarrel_03_semtex</t>
  </si>
  <si>
    <t>Alt Fire - Demolition Charge</t>
  </si>
  <si>
    <t>Fires timed explosives, each dealing XXX x 3 Damage</t>
  </si>
  <si>
    <t>DAD_PS.part_foregrip_01</t>
  </si>
  <si>
    <t>DAD_PS.part_body_mag_sg</t>
  </si>
  <si>
    <t>DAD_PS.part_barrel_02_rangefinder</t>
  </si>
  <si>
    <t>Rangefinder, 812 Damage, 85% Acc, 5.5/s FR</t>
  </si>
  <si>
    <t>Precision</t>
  </si>
  <si>
    <t>DAD_SG.part_body</t>
  </si>
  <si>
    <t>DAD_SG.part_body_a</t>
  </si>
  <si>
    <t>DAD_SG.part_body_b</t>
  </si>
  <si>
    <t>DAD_SG.part_body_c</t>
  </si>
  <si>
    <t>DAD_SG.part_body_d</t>
  </si>
  <si>
    <t>DAD_SG.part_barrel_01</t>
  </si>
  <si>
    <t>Caliburn, 265 x 6 Damage, 55% Acc, 4.2/s FR</t>
  </si>
  <si>
    <t>DAD_SG.part_barrel_02</t>
  </si>
  <si>
    <t>Durendal, 432 x 4 Damage, 65% Acc, 3.5/s FR</t>
  </si>
  <si>
    <t>DAD_SG.part_shield_default</t>
  </si>
  <si>
    <t>DAD_SG.part_shield_ricochet</t>
  </si>
  <si>
    <t>DAD_SG.part_shield_ammo</t>
  </si>
  <si>
    <t>DAD_SG.part_shield_amp</t>
  </si>
  <si>
    <t>DAD_SG.part_mag_05_borg</t>
  </si>
  <si>
    <t>2.1s Reload, -Damage, +Fire Rate, 12 Shots, Ripper Mag</t>
  </si>
  <si>
    <t>DAD_SG.part_mag_04_cov</t>
  </si>
  <si>
    <t>3.5s Reload, +Damage, -Acc, -Reload, 10 Shots, CoV Mag</t>
  </si>
  <si>
    <t>DAD_SG.part_mag_03_tor</t>
  </si>
  <si>
    <t>2.2s Reload, +Damage, -Reload, -Fire Rate, 6 Shots, Torgue</t>
  </si>
  <si>
    <t>DAD_SG.part_mag_01</t>
  </si>
  <si>
    <t>2.0s Reload, -Reload, 8 Shots</t>
  </si>
  <si>
    <t>DAD_SG.part_mag_02</t>
  </si>
  <si>
    <t>2.4s Reload, -Damage, +Reload, 10 Shots</t>
  </si>
  <si>
    <t>DAD_SG.part_mag_ted_thrown_01</t>
  </si>
  <si>
    <t>DAD_SG.part_mag_ted_thrown_02</t>
  </si>
  <si>
    <t>DAD_SG.part_mag_ted_thrown_03_tor</t>
  </si>
  <si>
    <t>DAD_SG.part_mag_ted_thrown_04_cov</t>
  </si>
  <si>
    <t>DAD_SG.part_mag_ted_thrown_05_bor</t>
  </si>
  <si>
    <t>DAD_SG.part_scope_ironsight</t>
  </si>
  <si>
    <t>DAD_SG.part_scope_01_lens_01</t>
  </si>
  <si>
    <t>DAD_SG.part_scope_01_lens_02</t>
  </si>
  <si>
    <t>DAD_SG.part_scope_02_lens_01</t>
  </si>
  <si>
    <t>DAD_SG.part_scope_02_lens_02</t>
  </si>
  <si>
    <t>DAD_SG.part_scope_acc_s01_l01_a</t>
  </si>
  <si>
    <t>DAD_SG.part_scope_acc_s01_l01_b</t>
  </si>
  <si>
    <t>DAD_SG.part_scope_acc_s02_l01_a</t>
  </si>
  <si>
    <t>DAD_SG.part_scope_acc_s02_l01_b</t>
  </si>
  <si>
    <t>Zoom Scale</t>
  </si>
  <si>
    <t>DAD_SG.part_scope_acc_s01_l02_a</t>
  </si>
  <si>
    <t>DAD_SG.part_scope_acc_s01_l02_b</t>
  </si>
  <si>
    <t>Ammo Type, Compass</t>
  </si>
  <si>
    <t>DAD_SG.part_scope_acc_s02_l02_a</t>
  </si>
  <si>
    <t>DAD_SG.part_scope_acc_s02_l02_b</t>
  </si>
  <si>
    <t>Mag Counter, Distance</t>
  </si>
  <si>
    <t>DAD_SG.part_grip_05a_ted_legs</t>
  </si>
  <si>
    <t>DAD_SG.part_grip_05c_ted_jav</t>
  </si>
  <si>
    <t>DAD_SG.part_grip_05b_ted_homing</t>
  </si>
  <si>
    <t>DAD_SG.part_grip_01</t>
  </si>
  <si>
    <t>DAD_SG.part_grip_02</t>
  </si>
  <si>
    <t>DAD_SG.part_grip_03</t>
  </si>
  <si>
    <t>DAD_SG.part_grip_04_hyp</t>
  </si>
  <si>
    <t>DAD_SG.part_underbarrel_02_singularity</t>
  </si>
  <si>
    <t>Alt Fire - Gravity Harpoon</t>
  </si>
  <si>
    <t>Fires a Harpoon that deals XXX Damage</t>
  </si>
  <si>
    <t>DAD_SG.part_underbarrel_06_malswitch</t>
  </si>
  <si>
    <t>DAD_SG.part_underbarrel_01_microrocket</t>
  </si>
  <si>
    <t>DAD_SG.part_underbarrel_04_atlas</t>
  </si>
  <si>
    <t>DAD_SG.part_foregrip_01</t>
  </si>
  <si>
    <t>DAD_SG.part_foregrip_03</t>
  </si>
  <si>
    <t>DAD_SG.part_foregrip_02</t>
  </si>
  <si>
    <t>DAD_SG.part_underbarrel_03_mine</t>
  </si>
  <si>
    <t>Alt Fire - Proxy Mine Launcher</t>
  </si>
  <si>
    <t>Launches a Mine that deals XXX Damage</t>
  </si>
  <si>
    <t>DAD_SG.part_underbarrel_04_atlas_ball</t>
  </si>
  <si>
    <t>DAD_SG.part_barrel_01_bod</t>
  </si>
  <si>
    <t>Bod, 265 x 5 Damage, 67% Acc, 4.2/s FR</t>
  </si>
  <si>
    <t>All-Arounder - Counts as a SHotgun, an Assault Rifle, a Sniper Rifle, a Pistol, and an SMG</t>
  </si>
  <si>
    <t>DAD_SG.part_barrel_heartgun</t>
  </si>
  <si>
    <t>Acey May, 279 x 14 Damage, 65% Acc, 2.0/s FR</t>
  </si>
  <si>
    <t>LUV</t>
  </si>
  <si>
    <t>DAD_SG.part_underbarrel_01_misslaser</t>
  </si>
  <si>
    <t>Switch for Missilaser Underbarrel</t>
  </si>
  <si>
    <t>DAD_SG.part_barrel_misslaser</t>
  </si>
  <si>
    <t>Missilaser, 1673 Damage, 100% Acc, 3.0/s FR</t>
  </si>
  <si>
    <t>Misstical - Underbarrel fires sticky rockets. Main barrel fires a laser that detonates attached rockets each dealing XXX damage.</t>
  </si>
  <si>
    <t>DAD_SG.part_barrel_01_a</t>
  </si>
  <si>
    <t>DAD_SG.part_barrel_01_b</t>
  </si>
  <si>
    <t>DAD_SG.part_barrel_01_c</t>
  </si>
  <si>
    <t>DAD_SG.part_barrel_01_d</t>
  </si>
  <si>
    <t>DAD_SG.part_barrel_02_a</t>
  </si>
  <si>
    <t>DAD_SG.part_barrel_02_b</t>
  </si>
  <si>
    <t>DAD_SG.part_barrel_02_c</t>
  </si>
  <si>
    <t>DAD_SG.part_barrel_02_d</t>
  </si>
  <si>
    <t>DAD_SG.part_barrel_licensed_jak</t>
  </si>
  <si>
    <t>DAD_SG.part_barrel_licensed_ted</t>
  </si>
  <si>
    <t>DAD_SG.part_barrel_licensed_ted_shooting</t>
  </si>
  <si>
    <t>DAD_SG.part_barrel_licensed_ted_mirv</t>
  </si>
  <si>
    <t>DAD_SG.part_barrel_licensed_ted_combo</t>
  </si>
  <si>
    <t>DAD_SG.part_barrel_licensed_hyp</t>
  </si>
  <si>
    <t>DAD_SG.part_mag_torgue_normal</t>
  </si>
  <si>
    <t>DAD_SG.part_mag_torgue_sticky</t>
  </si>
  <si>
    <t>DAD_SG.part_body_mag_ps</t>
  </si>
  <si>
    <t>DAD_SG.part_body_mag_smg</t>
  </si>
  <si>
    <t>DAD_SG.part_body_mag_ar</t>
  </si>
  <si>
    <t>DAD_SG.part_body_mag_sr</t>
  </si>
  <si>
    <t>DAD_SM.part_body_a</t>
  </si>
  <si>
    <t>DAD_SM.part_body_b</t>
  </si>
  <si>
    <t>DAD_SM.part_body_c</t>
  </si>
  <si>
    <t>DAD_SM.part_body_d</t>
  </si>
  <si>
    <t>DAD_SM.part_barrel_01</t>
  </si>
  <si>
    <t>GCX, 658 Damage, 73% Acc, 6.7/s FR</t>
  </si>
  <si>
    <t>DAD_SM.part_barrel_02</t>
  </si>
  <si>
    <t>Painter, 714 Damage, 74% Acc, 6.0/s FR</t>
  </si>
  <si>
    <t>DAD_SM.part_shield_default</t>
  </si>
  <si>
    <t>DAD_SM.part_shield_ricochet</t>
  </si>
  <si>
    <t>DAD_SM.part_shield_ammo</t>
  </si>
  <si>
    <t>DAD_SM.part_shield_amp</t>
  </si>
  <si>
    <t>DAD_SM.part_mag_01</t>
  </si>
  <si>
    <t>2.3s Reload, 22 Shots</t>
  </si>
  <si>
    <t>DAD_SM.part_mag_02</t>
  </si>
  <si>
    <t>2.6s Reload, -Damage, 28 Shots</t>
  </si>
  <si>
    <t>DAD_SM.part_mag_03_tor</t>
  </si>
  <si>
    <t>2.8s Reload, +Damage, -Fire Rate, 18 Shots, Torgue</t>
  </si>
  <si>
    <t>DAD_SM.part_mag_04_cov</t>
  </si>
  <si>
    <t>4.0s Reload, +Damage, -Acc, 34 Shots, CoV Mag</t>
  </si>
  <si>
    <t>DAD_SM.part_mag_05_borg</t>
  </si>
  <si>
    <t>2.1s Reload, +Fire Rate, 32 Shots, Ripper Mag</t>
  </si>
  <si>
    <t>DAD_SM.part_mag_torgue_normal</t>
  </si>
  <si>
    <t>DAD_SM.part_mag_torgue_sticky</t>
  </si>
  <si>
    <t>DAD_SM.part_mag_ted_thrown_01</t>
  </si>
  <si>
    <t>1.6s Reload</t>
  </si>
  <si>
    <t>DAD_SM.part_mag_ted_thrown_02</t>
  </si>
  <si>
    <t>DAD_SM.part_mag_ted_thrown_03_tor</t>
  </si>
  <si>
    <t>DAD_SM.part_mag_ted_thrown_04_cov</t>
  </si>
  <si>
    <t>DAD_SM.part_mag_ted_thrown_05_bor</t>
  </si>
  <si>
    <t>DAD_SM.part_scope_02_lens_02</t>
  </si>
  <si>
    <t>DAD_SM.part_scope_02_lens_01</t>
  </si>
  <si>
    <t>DAD_SM.part_scope_01_lens_02</t>
  </si>
  <si>
    <t>DAD_SM.part_scope_01_lens_01</t>
  </si>
  <si>
    <t>DAD_SM.part_scope_ironsight</t>
  </si>
  <si>
    <t>DAD_SM.part_scope_acc_s02_lb_b</t>
  </si>
  <si>
    <t>DAD_SM.part_scope_acc_s02_lb_a</t>
  </si>
  <si>
    <t>Makes the lens black, can't see through it</t>
  </si>
  <si>
    <t>DAD_SM.part_scope_acc_s01_l01_a</t>
  </si>
  <si>
    <t>DAD_SM.part_scope_acc_s01_l01_b</t>
  </si>
  <si>
    <t>DAD_SM.part_scope_acc_s01_l02_a</t>
  </si>
  <si>
    <t>DAD_SM.part_scope_acc_s01_l02_b</t>
  </si>
  <si>
    <t>DAD_SM.part_scope_acc_s02_l01_a</t>
  </si>
  <si>
    <t>DAD_SM.part_scope_acc_s02_l01_b</t>
  </si>
  <si>
    <t>DAD_SM.part_scope_acc_s02_l02_a</t>
  </si>
  <si>
    <t>DAD_SM.part_scope_acc_s02_l02_b</t>
  </si>
  <si>
    <t>DAD_SM.part_grip_05a_ted_legs</t>
  </si>
  <si>
    <t>DAD_SM.part_grip_05c_ted_jav</t>
  </si>
  <si>
    <t>DAD_SM.part_grip_05b_ted_homing</t>
  </si>
  <si>
    <t>DAD_SM.part_grip_04_hyp</t>
  </si>
  <si>
    <t>DAD_SM.part_grip_01</t>
  </si>
  <si>
    <t>DAD_SM.part_grip_02</t>
  </si>
  <si>
    <t>DAD_SM.part_grip_03</t>
  </si>
  <si>
    <t>DAD_SM.part_underbarrel_06_malswitch</t>
  </si>
  <si>
    <t>DAD_SM.part_underbarrel_02_shotgun</t>
  </si>
  <si>
    <t>DAD_SM.part_underbarrel_03_overcharge</t>
  </si>
  <si>
    <t>Alt Fire - Overcharge</t>
  </si>
  <si>
    <t>Increases Burst Count to 6 and Fire Rate to 11</t>
  </si>
  <si>
    <t>DAD_SM.part_underbarrel_04_atlas</t>
  </si>
  <si>
    <t>DAD_SM.part_foregrip_02</t>
  </si>
  <si>
    <t>DAD_SM.part_foregrip_01</t>
  </si>
  <si>
    <t>DAD_SM.part_foregrip_03</t>
  </si>
  <si>
    <t>DAD_SM.part_underbarrel_04_atlas_ball</t>
  </si>
  <si>
    <t>DAD_SM.part_body_mag_ps</t>
  </si>
  <si>
    <t>DAD_SM.part_body_mag_ar</t>
  </si>
  <si>
    <t>DAD_SM.part_body_mag_sr</t>
  </si>
  <si>
    <t>DAD_SM.part_body_mag_sg</t>
  </si>
  <si>
    <t>DAD_SM.part_barrel_01_luty</t>
  </si>
  <si>
    <t>Luty Madlad, 446 Damage, 78% Acc, 22.0/s FR</t>
  </si>
  <si>
    <t>Homemade Ingenuity - Overheats quickly, but also Cools down quickly</t>
  </si>
  <si>
    <t>DAD_SM.part_body</t>
  </si>
  <si>
    <t>DAD_SM.part_barrel_01_bloodstarved</t>
  </si>
  <si>
    <t>Darkbeast, 658 x 2 Damage, 71% Acc, 6.7/s FR, 2 Shot</t>
  </si>
  <si>
    <t>Parley - Bullets pierce enemies, and have a 5% Chance when hitting an enemy to cause an explosion that deals XXX Damage</t>
  </si>
  <si>
    <t>DAD_SM.part_mag_borg_barrel_02</t>
  </si>
  <si>
    <t>3.3s Reload</t>
  </si>
  <si>
    <t>DAD_SM.part_mag_borg_barrel_01</t>
  </si>
  <si>
    <t>DAD_SM.part_barrel_01_loarmaster</t>
  </si>
  <si>
    <t>Daedalus SMG, 658x6 Damage, 71% Acc, 6.7/s FR, 2 Shot</t>
  </si>
  <si>
    <t>DAD_SM.part_underbarrel_01_stungrenade</t>
  </si>
  <si>
    <t>DAD_SM.part_barrel_01_a</t>
  </si>
  <si>
    <t>DAD_SM.part_barrel_01_b</t>
  </si>
  <si>
    <t>DAD_SM.part_barrel_01_c</t>
  </si>
  <si>
    <t>DAD_SM.part_barrel_01_d</t>
  </si>
  <si>
    <t>DAD_SM.part_barrel_02_a</t>
  </si>
  <si>
    <t>DAD_SM.part_barrel_02_b</t>
  </si>
  <si>
    <t>DAD_SM.part_barrel_02_c</t>
  </si>
  <si>
    <t>DAD_SM.part_barrel_02_d</t>
  </si>
  <si>
    <t>DAD_SM.part_barrel_licensed_jak</t>
  </si>
  <si>
    <t>DAD_SM.part_barrel_licensed_ted</t>
  </si>
  <si>
    <t>DAD_SM.part_barrel_licensed_ted_shooting</t>
  </si>
  <si>
    <t>DAD_SM.part_barrel_licensed_ted_mirv</t>
  </si>
  <si>
    <t>DAD_SM.part_barrel_licensed_ted_combo</t>
  </si>
  <si>
    <t>DAD_SM.part_barrel_licensed_hyp</t>
  </si>
  <si>
    <t>JAK_AR.part_body</t>
  </si>
  <si>
    <t>JAK_AR.part_body_a</t>
  </si>
  <si>
    <t>JAK_AR.part_body_b</t>
  </si>
  <si>
    <t>JAK_AR.part_body_c</t>
  </si>
  <si>
    <t>JAK_AR.part_body_d</t>
  </si>
  <si>
    <t>JAK_AR.part_barrel_01</t>
  </si>
  <si>
    <t>Karkadann, 1294 Damage, 77% Acc, 6.5/s FR</t>
  </si>
  <si>
    <t>JAK_AR.part_barrel_02</t>
  </si>
  <si>
    <t>Rougarou, 1517 Damage, 76% Acc, 4.8/s FR</t>
  </si>
  <si>
    <t>JAK_AR.part_barrel_01_a</t>
  </si>
  <si>
    <t>JAK_AR.part_barrel_01_b</t>
  </si>
  <si>
    <t>JAK_AR.part_barrel_01_c</t>
  </si>
  <si>
    <t>JAK_AR.part_barrel_01_d</t>
  </si>
  <si>
    <t>JAK_AR.part_barrel_02_a</t>
  </si>
  <si>
    <t>JAK_AR.part_barrel_02_b</t>
  </si>
  <si>
    <t>JAK_AR.part_barrel_02_c</t>
  </si>
  <si>
    <t>JAK_AR.part_barrel_02_d</t>
  </si>
  <si>
    <t>JAK_AR.part_barrel_licensed_ted</t>
  </si>
  <si>
    <t>JAK_AR.part_barrel_licensed_ted_shooting</t>
  </si>
  <si>
    <t>JAK_AR.part_barrel_licensed_ted_combo</t>
  </si>
  <si>
    <t>JAK_AR.part_barrel_licensed_ted_mirv</t>
  </si>
  <si>
    <t>JAK_AR.part_barrel_licensed_hyp</t>
  </si>
  <si>
    <t>JAK_AR.part_shield_default</t>
  </si>
  <si>
    <t>JAK_AR.part_shield_ricochet</t>
  </si>
  <si>
    <t>JAK_AR.part_shield_amp</t>
  </si>
  <si>
    <t>JAK_AR.part_mag_01</t>
  </si>
  <si>
    <t>2.5s Reload, -Damage, 14 Shots</t>
  </si>
  <si>
    <t>JAK_AR.part_mag_02</t>
  </si>
  <si>
    <t>2.7s Reload, -Damage, +Fire Rate, 18 Shots</t>
  </si>
  <si>
    <t>JAK_AR.part_mag_03_tor</t>
  </si>
  <si>
    <t>2.6s Reload, -Damage, -Acc, -Fire Rate, 16 Shots, Torgue</t>
  </si>
  <si>
    <t>JAK_AR.part_mag_04_cov</t>
  </si>
  <si>
    <t>4.0s Reload, -Damage, -Acc, 17 Shots, CoV Mag</t>
  </si>
  <si>
    <t>JAK_AR.part_mag_05_borg</t>
  </si>
  <si>
    <t>2.0s Reload, -Damage, +Fire Rate, 24 Shots, Ripper Mag</t>
  </si>
  <si>
    <t>JAK_AR.part_mag_torgue_normal</t>
  </si>
  <si>
    <t>JAK_AR.part_mag_torgue_sticky</t>
  </si>
  <si>
    <t>JAK_AR.part_mag_ted_thrown_01</t>
  </si>
  <si>
    <t>JAK_AR.part_mag_ted_thrown_02</t>
  </si>
  <si>
    <t>JAK_AR.part_mag_ted_thrown_03_tor</t>
  </si>
  <si>
    <t>JAK_AR.part_mag_ted_thrown_04_cov</t>
  </si>
  <si>
    <t>JAK_AR.part_mag_ted_thrown_05_bor</t>
  </si>
  <si>
    <t>JAK_AR.part_scope_ironsight</t>
  </si>
  <si>
    <t>JAK_AR.part_scope_01_lens_01</t>
  </si>
  <si>
    <t>JAK_AR.part_scope_01_lens_02</t>
  </si>
  <si>
    <t>JAK_AR.part_scope_02_lens_01</t>
  </si>
  <si>
    <t>JAK_AR.part_scope_02_lens_02</t>
  </si>
  <si>
    <t>JAK_AR.part_scope_acc_s01_l01_a</t>
  </si>
  <si>
    <t>JAK_AR.part_scope_acc_s01_l01_b</t>
  </si>
  <si>
    <t>JAK_AR.part_scope_acc_s02_l01_a</t>
  </si>
  <si>
    <t>JAK_AR.part_scope_acc_s02_l01_b</t>
  </si>
  <si>
    <t>JAK_AR.part_scope_acc_s01_l02_a</t>
  </si>
  <si>
    <t>JAK_AR.part_scope_acc_s01_l02_b</t>
  </si>
  <si>
    <t>JAK_AR.part_grip_05a_ted_legs</t>
  </si>
  <si>
    <t>JAK_AR.part_grip_05c_ted_jav</t>
  </si>
  <si>
    <t>JAK_AR.part_grip_05b_ted_homing</t>
  </si>
  <si>
    <t>JAK_AR.part_grip_04_hyp</t>
  </si>
  <si>
    <t>JAK_AR.part_grip_01</t>
  </si>
  <si>
    <t>JAK_AR.part_grip_02</t>
  </si>
  <si>
    <t>JAK_AR.part_grip_03</t>
  </si>
  <si>
    <t>JAK_AR.part_underbarrel_03_shotgun</t>
  </si>
  <si>
    <t>JAK_AR.part_underbarrel_01_flintlock</t>
  </si>
  <si>
    <t>Alt Fire - Double Flintlocks</t>
  </si>
  <si>
    <t>Fires twin Musket Barrels that deal XXX x 2 Damage</t>
  </si>
  <si>
    <t>JAK_AR.part_underbarrel_02_crank</t>
  </si>
  <si>
    <t>Alt Fire - Hand Crank</t>
  </si>
  <si>
    <t>Use a hand crank to fire Full Auto</t>
  </si>
  <si>
    <t>JAK_AR.part_underbarrel_04_atlas_ball</t>
  </si>
  <si>
    <t>JAK_AR.part_underbarrel_04_atlas</t>
  </si>
  <si>
    <t>JAK_AR.part_underbarrel_05_ammoswitcher</t>
  </si>
  <si>
    <t>Daedalus Ammo Switch</t>
  </si>
  <si>
    <t>Used for Daedalus Ammo switch</t>
  </si>
  <si>
    <t>JAK_AR.part_foregrip_01</t>
  </si>
  <si>
    <t>JAK_AR.part_foregrip_02</t>
  </si>
  <si>
    <t>JAK_AR.part_foregrip_03</t>
  </si>
  <si>
    <t>JAK_AR.part_secondary_ammo_smg</t>
  </si>
  <si>
    <t>JAK_AR.part_secondary_ammo_sg</t>
  </si>
  <si>
    <t>JAK_AR.part_secondary_ammo_sr</t>
  </si>
  <si>
    <t>JAK_AR.part_secondary_ammo_ps</t>
  </si>
  <si>
    <t>JAK_AR.part_scope_acc_s02_l02_a</t>
  </si>
  <si>
    <t>JAK_AR.part_scope_acc_s02_l02_b</t>
  </si>
  <si>
    <t>JAK_AR.part_scope_02_lens_02_b02</t>
  </si>
  <si>
    <t>JAK_AR.part_barrel_01_bonnieclyde</t>
  </si>
  <si>
    <t>Bonnie and Clyde, 2249 Damage, 76% Acc, 6.3/s FR</t>
  </si>
  <si>
    <t>Pair of Thieves - on kill, grants +150% Damage for the Gun's other Mode and refills its Magazine</t>
  </si>
  <si>
    <t>JAK_AR.part_barrel_02_rowan</t>
  </si>
  <si>
    <t>Rowan's Charge, 1517 Damage, 75% Acc, 6.0/s FR</t>
  </si>
  <si>
    <t>Stalker - Grants 1 20% Chance for shots to be a Critical Hi, and refunds 2 Ammo on a Critical Hit</t>
  </si>
  <si>
    <t>JAK_AR.part_barrel_02_screenwriter</t>
  </si>
  <si>
    <t>NOT IMPLEMENTED</t>
  </si>
  <si>
    <t>JAK_AR.part_barrel_02_rowdy</t>
  </si>
  <si>
    <t>Rowdy Rider, 2008 Damage, 64% Acc, 3.2/s FR, -55% Crit Damage</t>
  </si>
  <si>
    <t>Overwhelming - +2 Ricochet Projectiles on Critical Hits</t>
  </si>
  <si>
    <t>JAK_AR.part_shield_ammo</t>
  </si>
  <si>
    <t>JAK_PS.part_body</t>
  </si>
  <si>
    <t>JAK_PS.part_body_a</t>
  </si>
  <si>
    <t>JAK_PS.part_body_b</t>
  </si>
  <si>
    <t>JAK_PS.part_body_c</t>
  </si>
  <si>
    <t>JAK_PS.part_body_d</t>
  </si>
  <si>
    <t>JAK_PS.part_barrel_01</t>
  </si>
  <si>
    <t>Cuca, 1785 Damage, 69% Acc, 9.0/s FR</t>
  </si>
  <si>
    <t>JAK_PS.part_barrel_02</t>
  </si>
  <si>
    <t>Muki, 1874 Damage, 78% Acc, 7.5/s FR</t>
  </si>
  <si>
    <t>JAK_PS.part_shield_default</t>
  </si>
  <si>
    <t>JAK_PS.part_shield_ricochet</t>
  </si>
  <si>
    <t>JAK_PS.part_shield_ammo</t>
  </si>
  <si>
    <t>JAK_PS.part_shield_amp</t>
  </si>
  <si>
    <t>JAK_PS.part_mag_01</t>
  </si>
  <si>
    <t>2.4s Reload, 4 Shots</t>
  </si>
  <si>
    <t>JAK_PS.part_mag_02</t>
  </si>
  <si>
    <t>2.3s Reload, -Damage, 6 Shots</t>
  </si>
  <si>
    <t>JAK_PS.part_mag_03_tor</t>
  </si>
  <si>
    <t>2.9s Reload, -Damage, -Acc, -Fire Rate, 8 Shots, Torgue</t>
  </si>
  <si>
    <t>JAK_PS.part_mag_04_cov</t>
  </si>
  <si>
    <t>3.2s Reload, -Damage, -Acc, 5 Shots, CoV Mag</t>
  </si>
  <si>
    <t>JAK_PS.part_mag_05_borg</t>
  </si>
  <si>
    <t>2.3s Reload, -Damage, -Fire Rate, 8 Shots, Ripper Mag</t>
  </si>
  <si>
    <t>JAK_PS.part_mag_torgue_normal</t>
  </si>
  <si>
    <t>JAK_PS.part_mag_torgue_sticky</t>
  </si>
  <si>
    <t>JAK_PS.part_mag_ted_thrown_01</t>
  </si>
  <si>
    <t>JAK_PS.part_mag_ted_thrown_02</t>
  </si>
  <si>
    <t>JAK_PS.part_mag_ted_thrown_03_tor</t>
  </si>
  <si>
    <t>JAK_PS.part_mag_ted_thrown_04_cov</t>
  </si>
  <si>
    <t>JAK_PS.part_mag_ted_thrown_05_bor</t>
  </si>
  <si>
    <t>JAK_PS.part_scope_ironsight</t>
  </si>
  <si>
    <t>JAK_PS.part_scope_01_lens_01</t>
  </si>
  <si>
    <t>JAK_PS.part_scope_01_lens_02</t>
  </si>
  <si>
    <t>JAK_PS.part_scope_02_lens_01</t>
  </si>
  <si>
    <t>JAK_PS.part_scope_02_lens_02</t>
  </si>
  <si>
    <t>JAK_PS.part_scope_acc_s01_l01_a</t>
  </si>
  <si>
    <t>JAK_PS.part_scope_acc_s01_l01_b</t>
  </si>
  <si>
    <t>JAK_PS.part_scope_acc_s02_l01_a</t>
  </si>
  <si>
    <t>JAK_PS.part_scope_acc_s02_l01_b</t>
  </si>
  <si>
    <t>JAK_PS.part_scope_acc_s01_l02_a</t>
  </si>
  <si>
    <t>JAK_PS.part_scope_acc_s01_l02_b</t>
  </si>
  <si>
    <t>JAK_PS.part_scope_acc_s02_l02_a</t>
  </si>
  <si>
    <t>JAK_PS.part_scope_acc_s02_l02_b</t>
  </si>
  <si>
    <t>JAK_PS.part_grip_05b_ted_homing</t>
  </si>
  <si>
    <t>JAK_PS.part_grip_05c_ted_jav</t>
  </si>
  <si>
    <t>JAK_PS.part_grip_05a_ted_legs</t>
  </si>
  <si>
    <t>JAK_PS.part_grip_01</t>
  </si>
  <si>
    <t>JAK_PS.part_grip_02</t>
  </si>
  <si>
    <t>JAK_PS.part_grip_03</t>
  </si>
  <si>
    <t>JAK_PS.part_grip_04_hyp</t>
  </si>
  <si>
    <t>JAK_PS.part_underbarrel_02_knifelauncher</t>
  </si>
  <si>
    <t>Alt Fire - Knife Launcher</t>
  </si>
  <si>
    <t>JAK_PS.part_underbarrel_01_microrocket</t>
  </si>
  <si>
    <t>Alt Fire - Zip Rockets</t>
  </si>
  <si>
    <t>JAK_PS.part_underbarrel_05_ammoswitcher</t>
  </si>
  <si>
    <t>JAK_PS.part_underbarrel_04_atlas</t>
  </si>
  <si>
    <t>JAK_PS.part_foregrip_02</t>
  </si>
  <si>
    <t>JAK_PS.part_foregrip_03</t>
  </si>
  <si>
    <t>JAK_PS.part_barrel_01_a</t>
  </si>
  <si>
    <t>JAK_PS.part_barrel_01_b</t>
  </si>
  <si>
    <t>JAK_PS.part_barrel_01_c</t>
  </si>
  <si>
    <t>JAK_PS.part_barrel_01_d</t>
  </si>
  <si>
    <t>JAK_PS.part_barrel_02_a</t>
  </si>
  <si>
    <t>JAK_PS.part_barrel_02_b</t>
  </si>
  <si>
    <t>JAK_PS.part_barrel_02_c</t>
  </si>
  <si>
    <t>JAK_PS.part_barrel_02_d</t>
  </si>
  <si>
    <t>JAK_PS.part_barrel_licensed_ted</t>
  </si>
  <si>
    <t>JAK_PS.part_barrel_licensed_ted_shooting</t>
  </si>
  <si>
    <t>JAK_PS.part_barrel_licensed_ted_mirv</t>
  </si>
  <si>
    <t>JAK_PS.part_barrel_licensed_ted_combo</t>
  </si>
  <si>
    <t>JAK_PS.part_barrel_licensed_hyp</t>
  </si>
  <si>
    <t>JAK_PS.part_secondary_ammo_smg</t>
  </si>
  <si>
    <t>JAK_PS.part_secondary_ammo_sg</t>
  </si>
  <si>
    <t>JAK_PS.part_secondary_ammo_ar</t>
  </si>
  <si>
    <t>JAK_PS.part_secondary_ammo_sr</t>
  </si>
  <si>
    <t>JAK_PS.part_underbarrel_03_vial</t>
  </si>
  <si>
    <t>Alt Fire - Vial Launcher</t>
  </si>
  <si>
    <t>Launches a Corrosive Vial that deals XXX Corrosive Damage on impact and increases the target's Damage Taken by +30% for 6s</t>
  </si>
  <si>
    <t>JAK_PS.part_underbarrel_04_atlas_ball</t>
  </si>
  <si>
    <t>JAK_PS.part_foregrip_01</t>
  </si>
  <si>
    <t>JAK_PS.part_barrel_quickdraw</t>
  </si>
  <si>
    <t>Saba Songbird, 1874 Damage, 61% Acc, 7.5/s FR</t>
  </si>
  <si>
    <t>Dueling Pistol - Deals +100% Damage for 5s after swapping Guns</t>
  </si>
  <si>
    <t>JAK_PS.part_barrel_02_kingsgambit</t>
  </si>
  <si>
    <t>King's Gambit, 1874 Damage, 69% Acc, 7.5/s FR</t>
  </si>
  <si>
    <t>Holy Hell - When shot, thrown Gun Ricochets Projectiles to nearby enemies</t>
  </si>
  <si>
    <t>JAK_PS.part_barrel_01_phantom_flame</t>
  </si>
  <si>
    <t>Phantom Flame, 1785 Damage, 43% Acc, 9.0/s FR</t>
  </si>
  <si>
    <t>Midday - Zooming in acquired Lock On targets over time, and firing while Zoomed In shoots the entire Magazine</t>
  </si>
  <si>
    <t>JAK_PS.part_barrel_01_seventh_sense</t>
  </si>
  <si>
    <t>Seventh Sense, 1785 Damage, 67% Acc, 9.0/s FR</t>
  </si>
  <si>
    <t>Proprioception - Hitting enemies spawns Orbs that float upward and home in on targets on Reload</t>
  </si>
  <si>
    <t>JAK_SG.part_body_ele_rainbowvomit_cryo_fire_shock</t>
  </si>
  <si>
    <t>Color Spray - Cryo, Fire, Shock</t>
  </si>
  <si>
    <t>JAK_SG.part_body</t>
  </si>
  <si>
    <t>JAK_SG.part_body_a</t>
  </si>
  <si>
    <t>JAK_SG.part_body_b</t>
  </si>
  <si>
    <t>JAK_SG.part_body_c</t>
  </si>
  <si>
    <t>JAK_SG.part_body_d</t>
  </si>
  <si>
    <t>JAK_SG.part_barrel_01</t>
  </si>
  <si>
    <t>Dullahan, 823 x 6 Damage, 73% Acc, 1.5/s FR</t>
  </si>
  <si>
    <t>JAK_SG.part_barrel_02</t>
  </si>
  <si>
    <t>Balor, 837 x 10 Damage, 51% Acc, 1.3/s FR</t>
  </si>
  <si>
    <t>JAK_SG.part_shield_default</t>
  </si>
  <si>
    <t>JAK_SG.part_shield_ricochet</t>
  </si>
  <si>
    <t>JAK_SG.part_shield_ammo</t>
  </si>
  <si>
    <t>JAK_SG.part_shield_amp</t>
  </si>
  <si>
    <t>JAK_SG.part_mag_05_borg</t>
  </si>
  <si>
    <t>2.5s Reload, -Damage, +Fire Rate, 8 Shots, Ripper Mag</t>
  </si>
  <si>
    <t>JAK_SG.part_mag_04_cov</t>
  </si>
  <si>
    <t>3.0s Reload, -Damage, -Acc, 6 Shots, CoV Mag</t>
  </si>
  <si>
    <t>JAK_SG.part_mag_03_tor</t>
  </si>
  <si>
    <t>2.3s Reload, -Damage, +Acc, -Fire Rate, 12 Shots, 2 Shot, Torgue</t>
  </si>
  <si>
    <t>JAK_SG.part_body_ele_rainbowvomit_cryo_fire_rad</t>
  </si>
  <si>
    <t>Color Spray - Cryo, Fire, Radiation</t>
  </si>
  <si>
    <t>JAK_SG.part_mag_02</t>
  </si>
  <si>
    <t>4.8s Reload, -Damage, 6 Shots</t>
  </si>
  <si>
    <t>JAK_SG.part_mag_ted_thrown_01</t>
  </si>
  <si>
    <t>JAK_SG.part_mag_ted_thrown_02</t>
  </si>
  <si>
    <t>JAK_SG.part_mag_ted_thrown_03_tor</t>
  </si>
  <si>
    <t>JAK_SG.part_mag_ted_thrown_04_cov</t>
  </si>
  <si>
    <t>JAK_SG.part_mag_ted_thrown_05_bor</t>
  </si>
  <si>
    <t>JAK_SG.part_scope_ironsight</t>
  </si>
  <si>
    <t>JAK_SG.part_scope_01_lens_01</t>
  </si>
  <si>
    <t>JAK_SG.part_scope_01_lens_02</t>
  </si>
  <si>
    <t>JAK_SG.part_scope_02_lens_01</t>
  </si>
  <si>
    <t>JAK_SG.part_scope_02_lens_02</t>
  </si>
  <si>
    <t>JAK_SG.part_scope_acc_s01_l01_a</t>
  </si>
  <si>
    <t>JAK_SG.part_scope_acc_s01_l01_b</t>
  </si>
  <si>
    <t>JAK_SG.part_scope_acc_s02_l01_a</t>
  </si>
  <si>
    <t>JAK_SG.part_scope_acc_s02_l01_b</t>
  </si>
  <si>
    <t>JAK_SG.part_scope_acc_s01_l02_a</t>
  </si>
  <si>
    <t>JAK_SG.part_scope_acc_s01_l02_b</t>
  </si>
  <si>
    <t>JAK_SG.part_scope_acc_s02_l02_a</t>
  </si>
  <si>
    <t>JAK_SG.part_scope_acc_s02_l02_b</t>
  </si>
  <si>
    <t>JAK_SG.part_grip_05c_ted_jav</t>
  </si>
  <si>
    <t>JAK_SG.part_grip_05b_ted_homing</t>
  </si>
  <si>
    <t>JAK_SG.part_grip_04_hyp</t>
  </si>
  <si>
    <t>JAK_SG.part_grip_05a_ted_legs</t>
  </si>
  <si>
    <t>JAK_SG.part_grip_01</t>
  </si>
  <si>
    <t>JAK_SG.part_grip_02</t>
  </si>
  <si>
    <t>JAK_SG.part_grip_03</t>
  </si>
  <si>
    <t>JAK_SG.part_underbarrel_04_atlas_ball</t>
  </si>
  <si>
    <t>JAK_SG.part_underbarrel_04_atlas</t>
  </si>
  <si>
    <t>JAK_SG.part_underbarrel_03_grenade</t>
  </si>
  <si>
    <t>Alt Fire - Spread Launcher</t>
  </si>
  <si>
    <t>Fires a spread of Grenades that deal XXX x 5 Damage each</t>
  </si>
  <si>
    <t>JAK_SG.part_underbarrel_02_meathook</t>
  </si>
  <si>
    <t>Fires a Gravity Harpoon that deals XXX Damage and pulls in nearby enemies</t>
  </si>
  <si>
    <t>JAK_SG.part_foregrip_02</t>
  </si>
  <si>
    <t>JAK_SG.part_foregrip_03</t>
  </si>
  <si>
    <t>JAK_SG.part_underbarrel_05_ammoswitcher</t>
  </si>
  <si>
    <t>JAK_SG.part_underbarrel_01_knifelauncher</t>
  </si>
  <si>
    <t>Fires a Knife that deals XXX Damage</t>
  </si>
  <si>
    <t>JAK_SG.part_secondary_ammo_smg</t>
  </si>
  <si>
    <t>JAK_SG.part_secondary_ammo_ps</t>
  </si>
  <si>
    <t>JAK_SG.part_secondary_ammo_assaultrifle</t>
  </si>
  <si>
    <t>JAK_SG.part_secondary_ammo_sr</t>
  </si>
  <si>
    <t>JAK_SG.part_barrel_01_a</t>
  </si>
  <si>
    <t>JAK_SG.part_barrel_01_b</t>
  </si>
  <si>
    <t>JAK_SG.part_barrel_01_c</t>
  </si>
  <si>
    <t>JAK_SG.part_barrel_01_d</t>
  </si>
  <si>
    <t>JAK_SG.part_barrel_02_a</t>
  </si>
  <si>
    <t>JAK_SG.part_barrel_02_b</t>
  </si>
  <si>
    <t>JAK_SG.part_barrel_02_c</t>
  </si>
  <si>
    <t>JAK_SG.part_barrel_02_d</t>
  </si>
  <si>
    <t>JAK_SG.part_barrel_licensed_ted</t>
  </si>
  <si>
    <t>JAK_SG.part_barrel_licensed_ted_shooting</t>
  </si>
  <si>
    <t>JAK_SG.part_barrel_licensed_ted_mirv</t>
  </si>
  <si>
    <t>JAK_SG.part_barrel_licensed_ted_combo</t>
  </si>
  <si>
    <t>JAK_SG.part_barrel_licensed_hyp</t>
  </si>
  <si>
    <t>JAK_SG.part_foregrip_01</t>
  </si>
  <si>
    <t>JAK_SG.part_mag_torgue_normal</t>
  </si>
  <si>
    <t>JAK_SG.part_mag_torgue_sticky</t>
  </si>
  <si>
    <t>JAK_SG.part_body_ele_rainbowvomit_cor_rad_shock</t>
  </si>
  <si>
    <t>Color Spray - Corrosive, Radiaion, Shock</t>
  </si>
  <si>
    <t>JAK_SG.part_body_ele_rainbowvomit_cor_fire_shock</t>
  </si>
  <si>
    <t>Color Spray - Corrosive, Fire, Shock</t>
  </si>
  <si>
    <t>JAK_SG.part_body_ele_rainbowvomit_cor_fire_rad</t>
  </si>
  <si>
    <t>Color Spray - Corrosive, Fire, Radiation</t>
  </si>
  <si>
    <t>JAK_SG.part_body_ele_rainbowvomit_cor_cryo_shock</t>
  </si>
  <si>
    <t>Color Spray - Corrosive, Cryo Shock</t>
  </si>
  <si>
    <t>JAK_SG.part_body_ele_rainbowvomit_cor_cryo_rad</t>
  </si>
  <si>
    <t>Color Spray - Corrosive, Cryo, Radiation</t>
  </si>
  <si>
    <t>JAK_SG.part_body_ele_rainbowvomit_cor_cryo_fire</t>
  </si>
  <si>
    <t>Color Spray - Corrosive, Cryo, Fire</t>
  </si>
  <si>
    <t>JAK_SG.part_body_ele_rainbowvomit_fire_rad_shock</t>
  </si>
  <si>
    <t>Color Spray - Fire, Radiation, Shock</t>
  </si>
  <si>
    <t>JAK_SG.part_mag_01_slugger</t>
  </si>
  <si>
    <t>0.9s Reload, +Damage, 1 Shot</t>
  </si>
  <si>
    <t>Hot Slugger Mag</t>
  </si>
  <si>
    <t>JAK_SG.part_barrel_01_slugger</t>
  </si>
  <si>
    <t>Hot Slugger, 5019 Damage, 82% Acc, 1.0/s FR, 1 AMMO</t>
  </si>
  <si>
    <t>Blazing Barrel - On kill, deal +30% Damage for 10s for a Maximum 3 Stacks</t>
  </si>
  <si>
    <t>JAK_SG.part_barrel_01_hellwalker</t>
  </si>
  <si>
    <t>Hellwalker, 1071 x 10 Damage, 45% Acc, 2.0/s FR, 2 Shot</t>
  </si>
  <si>
    <t>Soothslayer</t>
  </si>
  <si>
    <t>JAK_SG.part_body_ele_rainbowvomit_cryo_rad_shock</t>
  </si>
  <si>
    <t>Color Spray - Cryo, Radiation, Shock</t>
  </si>
  <si>
    <t>JAK_SG.part_barrel_rainbowvomit</t>
  </si>
  <si>
    <t>Rainbow Vomit, 823 x 6 Damage, 73% Acc, 1.5/s FR</t>
  </si>
  <si>
    <t>JAK_SG.part_mag_rainbowvomit</t>
  </si>
  <si>
    <t>2.2s Reload, 6 Shots</t>
  </si>
  <si>
    <t>Rainbow Vomit Mag</t>
  </si>
  <si>
    <t>JAK_SG.part_mag_torgue_sticky_tkswave</t>
  </si>
  <si>
    <t>JAK_SG.part_mag_torgue_normal_tkswave</t>
  </si>
  <si>
    <t>JAK_SG.part_barrel_tkswave</t>
  </si>
  <si>
    <t>T.K's Wave, 1673 x 10 Damage, 51% Acc, 1.3/s FR, 2 Shot</t>
  </si>
  <si>
    <t>Heirloom</t>
  </si>
  <si>
    <t>JAK_SG.part_mag_02_b02</t>
  </si>
  <si>
    <t>5.5s Reload, -Damage, 6 Shots, 2 Shot</t>
  </si>
  <si>
    <t>Mag 02 for Barrel 02</t>
  </si>
  <si>
    <t>JAK_SG.part_mag_01_b01</t>
  </si>
  <si>
    <t>1.7s Reload, +Damage, 1 Shot</t>
  </si>
  <si>
    <t>Mag 01 for Barrel 01</t>
  </si>
  <si>
    <t>JAK_SG.part_mag_01_b02</t>
  </si>
  <si>
    <t>1.7s Reload, 2 Shots, 2 Shot</t>
  </si>
  <si>
    <t>Mag 01 for Barrel 02</t>
  </si>
  <si>
    <t>Sniper</t>
  </si>
  <si>
    <t>JAK_SR.part_body</t>
  </si>
  <si>
    <t>JAK_SR.part_body_a</t>
  </si>
  <si>
    <t>JAK_SR.part_body_b</t>
  </si>
  <si>
    <t>JAK_SR.part_body_c</t>
  </si>
  <si>
    <t>JAK_SR.part_body_d</t>
  </si>
  <si>
    <t>JAK_SR.part_barrel_01</t>
  </si>
  <si>
    <t>Inkanyamba, 4544 Damage, 89% Acc, 1.1/s FR</t>
  </si>
  <si>
    <t>JAK_SR.part_barrel_02</t>
  </si>
  <si>
    <t>Xiuhcoatl, 5481 Damage, 91% Acc, 0.8/s FR</t>
  </si>
  <si>
    <t>JAK_SR.part_shield_default</t>
  </si>
  <si>
    <t>JAK_SR.part_shield_ricochet</t>
  </si>
  <si>
    <t>JAK_SR.part_shield_ammo</t>
  </si>
  <si>
    <t>JAK_SR.part_shield_amp</t>
  </si>
  <si>
    <t>JAK_SR.part_mag_01</t>
  </si>
  <si>
    <t>3.5s Reload, -Damage, 6 Shots</t>
  </si>
  <si>
    <t>JAK_SR.part_mag_02</t>
  </si>
  <si>
    <t>2.8s Reload, 4 Shots</t>
  </si>
  <si>
    <t>JAK_SR.part_mag_03_tor</t>
  </si>
  <si>
    <t>3.0s reload, -Damage, -Fire Rate, 10 Shots, Torgue</t>
  </si>
  <si>
    <t>JAK_SR.part_mag_04_cov</t>
  </si>
  <si>
    <t>4.0s Reload, -Damage, -Acc, 10 Shots, CoV Mag</t>
  </si>
  <si>
    <t>JAK_SR.part_mag_05_borg</t>
  </si>
  <si>
    <t>3.1s Reload, -Damage, +Fire Rate, 8 Shots, Ripper Mag</t>
  </si>
  <si>
    <t>JAK_SR.part_mag_torgue_normal</t>
  </si>
  <si>
    <t>JAK_SR.part_mag_torgue_sticky</t>
  </si>
  <si>
    <t>JAK_SR.part_mag_ted_thrown_01</t>
  </si>
  <si>
    <t>JAK_SR.part_mag_ted_thrown_02</t>
  </si>
  <si>
    <t>JAK_SR.part_mag_ted_thrown_03_tor</t>
  </si>
  <si>
    <t>JAK_SR.part_mag_ted_thrown_04_cov</t>
  </si>
  <si>
    <t>JAK_SR.part_mag_ted_thrown_05_bor</t>
  </si>
  <si>
    <t>JAK_SR.part_scope_ironsight</t>
  </si>
  <si>
    <t>JAK_SR.part_scope_01_lens_01</t>
  </si>
  <si>
    <t>Sniper Scope</t>
  </si>
  <si>
    <t>JAK_SR.part_scope_01_lens_02</t>
  </si>
  <si>
    <t>JAK_SR.part_scope_02_lens_01</t>
  </si>
  <si>
    <t>JAK_SR.part_scope_02_lens_02</t>
  </si>
  <si>
    <t>JAK_SR.part_scope_acc_s01_l01_a</t>
  </si>
  <si>
    <t>JAK_SR.part_scope_acc_s01_l01_b</t>
  </si>
  <si>
    <t>JAK_SR.part_scope_acc_s02_l01_a</t>
  </si>
  <si>
    <t>JAK_SR.part_scope_acc_s02_l01_b</t>
  </si>
  <si>
    <t>JAK_SR.part_scope_acc_s01_l02_a</t>
  </si>
  <si>
    <t>JAK_SR.part_scope_acc_s01_l02_b</t>
  </si>
  <si>
    <t>JAK_SR.part_scope_acc_s02_l02_a</t>
  </si>
  <si>
    <t>JAK_SR.part_scope_acc_s02_l02_b</t>
  </si>
  <si>
    <t>JAK_SR.part_grip_05a_ted_legs</t>
  </si>
  <si>
    <t>JAK_SR.part_grip_05c_ted_jav</t>
  </si>
  <si>
    <t>JAK_SR.part_grip_05b_ted_homing</t>
  </si>
  <si>
    <t>JAK_SR.part_grip_04_hyp</t>
  </si>
  <si>
    <t>JAK_SR.part_grip_01</t>
  </si>
  <si>
    <t>JAK_SR.part_grip_02</t>
  </si>
  <si>
    <t>JAK_SR.part_grip_03</t>
  </si>
  <si>
    <t>JAK_SR.part_underbarrel_01_shotgun</t>
  </si>
  <si>
    <t>JAK_SR.part_underbarrel_02_rocket</t>
  </si>
  <si>
    <t>Alt Fire - Big Rocket</t>
  </si>
  <si>
    <t>JAK_SR.part_underbarrel_04_atlas_ball</t>
  </si>
  <si>
    <t>JAK_SR.part_underbarrel_05_ammoswitcher</t>
  </si>
  <si>
    <t>JAK_SR.part_foregrip_02</t>
  </si>
  <si>
    <t>JAK_SR.part_foregrip_03</t>
  </si>
  <si>
    <t>JAK_SR.part_foregrip_01</t>
  </si>
  <si>
    <t>JAK_SR.part_underbarrel_04_atlas</t>
  </si>
  <si>
    <t>JAK_SR.part_underbarrel_03_crank</t>
  </si>
  <si>
    <t>Alt Fire - Crank SMG</t>
  </si>
  <si>
    <t>Crank-fires a SMG that deals XXX Damage per shot</t>
  </si>
  <si>
    <t>JAK_SR.part_secondary_ammo_smg</t>
  </si>
  <si>
    <t>JAK_SR.part_secondary_ammo_ar</t>
  </si>
  <si>
    <t>JAK_SR.part_secondary_ammo_ps</t>
  </si>
  <si>
    <t>JAK_SR.part_barrel_01_a</t>
  </si>
  <si>
    <t>JAK_SR.part_barrel_01_b</t>
  </si>
  <si>
    <t>JAK_SR.part_barrel_01_c</t>
  </si>
  <si>
    <t>JAK_SR.part_barrel_01_d</t>
  </si>
  <si>
    <t>JAK_SR.part_barrel_02_a</t>
  </si>
  <si>
    <t>JAK_SR.part_barrel_02_b</t>
  </si>
  <si>
    <t>JAK_SR.part_barrel_02_c</t>
  </si>
  <si>
    <t>JAK_SR.part_barrel_02_d</t>
  </si>
  <si>
    <t>JAK_SR.part_barrel_licensed_ted</t>
  </si>
  <si>
    <t>JAK_SR.part_barrel_licensed_ted_shooting</t>
  </si>
  <si>
    <t>JAK_SR.part_barrel_licensed_ted_combo</t>
  </si>
  <si>
    <t>JAK_SR.part_barrel_licensed_ted_mirv</t>
  </si>
  <si>
    <t>JAK_SR.part_barrel_licensed_hyp</t>
  </si>
  <si>
    <t>JAK_SR.part_secondary_ammo_sg</t>
  </si>
  <si>
    <t>JAK_SR.part_barrel_ballista</t>
  </si>
  <si>
    <t>Borstel ballista, 7027 Damage, 86% Acc, 0.8/s FR</t>
  </si>
  <si>
    <t>Propagation</t>
  </si>
  <si>
    <t>JAK_SR.part_barrel_02_boomslang</t>
  </si>
  <si>
    <t>Boomslang, 6090 Damage, 95% Acc, 0.8/2 FR</t>
  </si>
  <si>
    <t>Bullet Pollinator - After Reloading, the first Critical hit Ricochets a Sticky Projectile to up to 3 nearby enemies</t>
  </si>
  <si>
    <t>JAK_SR.part_barrel_truck</t>
  </si>
  <si>
    <t>Truck, 7027 Damage, 87% Acc, 1.0/s FR</t>
  </si>
  <si>
    <t>Fixer-Upper</t>
  </si>
  <si>
    <t>MAL_SG.part_body</t>
  </si>
  <si>
    <t>MAL_SG.part_body_a</t>
  </si>
  <si>
    <t>MAL_SG.part_body_b</t>
  </si>
  <si>
    <t>+Ammo</t>
  </si>
  <si>
    <t>MAL_SG.part_body_c</t>
  </si>
  <si>
    <t>MAL_SG.part_body_d</t>
  </si>
  <si>
    <t>+Elemental Damage</t>
  </si>
  <si>
    <t>MAL_SG.part_barrel_01_kickballer</t>
  </si>
  <si>
    <t>Kickballer, 5131 Damage, 77% Acc, 0.8/s FR</t>
  </si>
  <si>
    <t>Force Bunt</t>
  </si>
  <si>
    <t>MAL_SG.part_barrel_01</t>
  </si>
  <si>
    <t>Stellium, 5131 Damage, 77% Acc, 0.8/s FR</t>
  </si>
  <si>
    <t>MAL_SG.part_barrel_02</t>
  </si>
  <si>
    <t>Vertex, 2677 x 2 Damage, 75% Acc, 1.1/s FR, 2 Shot</t>
  </si>
  <si>
    <t>MAL_SG.part_shield_default</t>
  </si>
  <si>
    <t>MAL_SG.part_shield_ricochet</t>
  </si>
  <si>
    <t>MAL_SG.part_shield_ammo</t>
  </si>
  <si>
    <t>MAL_SG.part_shield_amp</t>
  </si>
  <si>
    <t>MAL_SG.part_mag_05_borg</t>
  </si>
  <si>
    <t>2.8s Reload, -Damage, +Fire Rate, 10 Shots, Ripper Mag</t>
  </si>
  <si>
    <t>MAL_SG.part_mag_04_cov</t>
  </si>
  <si>
    <t>3.5s Reload, +Damage, -Acc, 8 Shots, CoV Mag</t>
  </si>
  <si>
    <t>MAL_SG.part_mag_01</t>
  </si>
  <si>
    <t>2.4s Reload, +Damage, 6 Shots</t>
  </si>
  <si>
    <t>MAL_SG.part_mag_02</t>
  </si>
  <si>
    <t>2.0s Reload, -Acc, 8 Shots</t>
  </si>
  <si>
    <t>MAL_SG.part_mag_ted_thrown_01</t>
  </si>
  <si>
    <t>1.7s Reload</t>
  </si>
  <si>
    <t>MAL_SG.part_mag_ted_thrown_02</t>
  </si>
  <si>
    <t>MAL_SG.part_mag_ted_thrown_03_tor</t>
  </si>
  <si>
    <t>MAL_SG.part_mag_ted_thrown_04_cov</t>
  </si>
  <si>
    <t>MAL_SG.part_mag_ted_thrown_05_bor</t>
  </si>
  <si>
    <t>2.5s Reload</t>
  </si>
  <si>
    <t>MAL_SG.part_scope_ironsight</t>
  </si>
  <si>
    <t>MAL_SG.part_scope_01_lens_01</t>
  </si>
  <si>
    <t>MAL_SG.part_scope_01_lens_02</t>
  </si>
  <si>
    <t>MAL_SG.part_scope_02_lens_01</t>
  </si>
  <si>
    <t>MAL_SG.part_scope_02_lens_02</t>
  </si>
  <si>
    <t>MAL_SG.part_scope_acc_s01_l01_a</t>
  </si>
  <si>
    <t>Scope Hood</t>
  </si>
  <si>
    <t>MAL_SG.part_scope_acc_s01_l01_b</t>
  </si>
  <si>
    <t>Antenna</t>
  </si>
  <si>
    <t>MAL_SG.part_scope_acc_s02_l01_a</t>
  </si>
  <si>
    <t>+Stability</t>
  </si>
  <si>
    <t>MAL_SG.part_scope_acc_s02_l01_b</t>
  </si>
  <si>
    <t>MAL_SG.part_scope_acc_s01_l02_a</t>
  </si>
  <si>
    <t>MAL_SG.part_scope_acc_s01_l02_b</t>
  </si>
  <si>
    <t>MAL_SG.part_scope_acc_s02_l02_a</t>
  </si>
  <si>
    <t>MAL_SG.part_scope_acc_s02_l02_b</t>
  </si>
  <si>
    <t>MAL_SG.part_grip_05a_ted_legs</t>
  </si>
  <si>
    <t>MAL_SG.part_grip_05b_ted_homing</t>
  </si>
  <si>
    <t>MAL_SG.part_grip_05c_ted_jav</t>
  </si>
  <si>
    <t>MAL_SG.part_grip_04_hyp</t>
  </si>
  <si>
    <t>MAL_SG.part_grip_01</t>
  </si>
  <si>
    <t>MAL_SG.part_grip_02</t>
  </si>
  <si>
    <t>Change is too small to display on the card</t>
  </si>
  <si>
    <t>MAL_SG.part_grip_03</t>
  </si>
  <si>
    <t>MAL_SG.part_underbarrel_03_beam_tosser</t>
  </si>
  <si>
    <t>Alt Fire - Beam Tosser</t>
  </si>
  <si>
    <t>Launches a Projectile that fires 3 Beams that deal XXX Damage each</t>
  </si>
  <si>
    <t>MAL_SG.part_underbarrel_02_energydisc</t>
  </si>
  <si>
    <t>Alt Fire - Energy Disc</t>
  </si>
  <si>
    <t>Launches a bouncing Energy Disc tha deals XXX Damage per bounce</t>
  </si>
  <si>
    <t>MAL_SG.part_underbarrel_04_atlas_ball</t>
  </si>
  <si>
    <t>MAL_SG.part_underbarrel_05_ammoswitcher</t>
  </si>
  <si>
    <t>MAL_SG.part_foregrip_02</t>
  </si>
  <si>
    <t>MAL_SG.part_foregrip_03</t>
  </si>
  <si>
    <t>MAL_SG.part_underbarrel_01_blowback</t>
  </si>
  <si>
    <t>Alt Fire - Energy Blast</t>
  </si>
  <si>
    <t>Charge-fires a wide-angled Blast that deals XXX Damage</t>
  </si>
  <si>
    <t>MAL_SG.part_underbarrel_04_atlas</t>
  </si>
  <si>
    <t>MAL_SG.part_foregrip_01</t>
  </si>
  <si>
    <t>MAL_SG.part_secondary_ammo_smg</t>
  </si>
  <si>
    <t>MAL_SG.part_secondary_ammo_ar</t>
  </si>
  <si>
    <t>MAL_SG.part_secondary_ammo_ps</t>
  </si>
  <si>
    <t>MAL_SG.part_secondary_ammo_sr</t>
  </si>
  <si>
    <t>MAL_SG.part_barrel_01_kaleidosplode</t>
  </si>
  <si>
    <t>Kaleidosplode, 1171 Damage, 77% Acc, 1.0/s FR</t>
  </si>
  <si>
    <t>Colorful Mess</t>
  </si>
  <si>
    <t>MAL_SG.part_barrel_02_sweet_embrace</t>
  </si>
  <si>
    <t>Sweet Embrace, 2510 x 4 Damage, 72% Acc, 1.0/s FR, 2 Shot</t>
  </si>
  <si>
    <t>Adoration</t>
  </si>
  <si>
    <t>MAL_SG.part_foregrip_04</t>
  </si>
  <si>
    <t>MAL_SG.part_barrel_02_mantra</t>
  </si>
  <si>
    <t>Mantra, 3430 Damage, 86% Acc, 2.3/s FR</t>
  </si>
  <si>
    <t>Chakra - Deals Melee Damage</t>
  </si>
  <si>
    <t>MAL_SG.part_barrel_01_a</t>
  </si>
  <si>
    <t>MAL_SG.part_barrel_01_b</t>
  </si>
  <si>
    <t>MAL_SG.part_barrel_01_c</t>
  </si>
  <si>
    <t>MAL_SG.part_barrel_01_d</t>
  </si>
  <si>
    <t>MAL_SG.part_barrel_02_a</t>
  </si>
  <si>
    <t>MAL_SG.part_barrel_02_b</t>
  </si>
  <si>
    <t>MAL_SG.part_barrel_02_c</t>
  </si>
  <si>
    <t>MAL_SG.part_barrel_02_d</t>
  </si>
  <si>
    <t>MAL_SG.part_barrel_licensed_jak</t>
  </si>
  <si>
    <t>MAL_SG.part_barrel_licensed_ted</t>
  </si>
  <si>
    <t>MAL_SG.part_barrel_licensed_ted_shooting</t>
  </si>
  <si>
    <t>MAL_SG.part_barrel_licensed_ted_mirv</t>
  </si>
  <si>
    <t>MAL_SG.part_barrel_licensed_ted_combo</t>
  </si>
  <si>
    <t>MAL_SG.part_barrel_licensed_hyp</t>
  </si>
  <si>
    <t>MAL_SG.part_mag_torgue_normal</t>
  </si>
  <si>
    <t>MAL_SG.part_mag_torgue_sticky</t>
  </si>
  <si>
    <t>MAL_SG.part_mag_03_tor</t>
  </si>
  <si>
    <t>2.2s Reload, +Damage, -Fire Rate, 4 Shots, Torgue</t>
  </si>
  <si>
    <t>MAL_SM.part_body</t>
  </si>
  <si>
    <t>MAL_SM.part_body_a</t>
  </si>
  <si>
    <t>MAL_SM.part_body_b</t>
  </si>
  <si>
    <t>MAL_SM.part_body_c</t>
  </si>
  <si>
    <t>MAL_SM.part_body_d</t>
  </si>
  <si>
    <t>MAL_SM.part_barrel_01</t>
  </si>
  <si>
    <t>Ephemeris, 580 Damage, 80% Acc, 7.3/s FR</t>
  </si>
  <si>
    <t>MAL_SM.part_barrel_02</t>
  </si>
  <si>
    <t>Synastry, 714 Damage, 81% Acc, 5.3/s FR</t>
  </si>
  <si>
    <t>MAL_SM.part_shield_default</t>
  </si>
  <si>
    <t>MAL_SM.part_shield_ricochet</t>
  </si>
  <si>
    <t>MAL_SM.part_shield_ammo</t>
  </si>
  <si>
    <t>MAL_SM.part_shield_amp</t>
  </si>
  <si>
    <t>MAL_SM.part_mag_01</t>
  </si>
  <si>
    <t>2.2s Reload, 28 Shots</t>
  </si>
  <si>
    <t>MAL_SM.part_mag_02</t>
  </si>
  <si>
    <t>2.7s Reload, -Damage, 36 Shots</t>
  </si>
  <si>
    <t>MAL_SM.part_mag_03_tor</t>
  </si>
  <si>
    <t>2.4s Reload, +Damage, -Fire Rate, 24 Shots, Torgue</t>
  </si>
  <si>
    <t>MAL_SM.part_mag_04_cov</t>
  </si>
  <si>
    <t>3.4s Reload, +Damage, -Acc, 37 Shots, CoV Mag</t>
  </si>
  <si>
    <t>MAL_SM.part_mag_05_borg</t>
  </si>
  <si>
    <t>2.0s Reload, -Damage, -Acc, +Fire Rate, 40 Shots, Ripper Mag</t>
  </si>
  <si>
    <t>MAL_SM.part_mag_torgue_normal</t>
  </si>
  <si>
    <t>MAL_SM.part_mag_torgue_sticky</t>
  </si>
  <si>
    <t>MAL_SM.part_mag_ted_thrown_01</t>
  </si>
  <si>
    <t>MAL_SM.part_mag_ted_thrown_02</t>
  </si>
  <si>
    <t>MAL_SM.part_mag_ted_thrown_03_tor</t>
  </si>
  <si>
    <t>MAL_SM.part_mag_ted_thrown_04_cov</t>
  </si>
  <si>
    <t>MAL_SM.part_mag_ted_thrown_05_bor</t>
  </si>
  <si>
    <t>MAL_SM.part_scope_ironsight</t>
  </si>
  <si>
    <t>MAL_SM.part_scope_01_lens_01</t>
  </si>
  <si>
    <t>MAL_SM.part_scope_01_lens_02</t>
  </si>
  <si>
    <t>MAL_SM.part_scope_02_lens_01</t>
  </si>
  <si>
    <t>MAL_SM.part_scope_02_lens_02</t>
  </si>
  <si>
    <t>MAL_SM.part_scope_acc_S01_L01_a</t>
  </si>
  <si>
    <t>Mag Counter, Compass</t>
  </si>
  <si>
    <t>MAL_SM.part_scope_acc_S01_L01_b</t>
  </si>
  <si>
    <t>MAL_SM.part_scope_acc_S02_L01_a</t>
  </si>
  <si>
    <t>MAL_SM.part_scope_acc_S02_L01_b</t>
  </si>
  <si>
    <t>MAL_SM.part_scope_acc_S01_L02_a</t>
  </si>
  <si>
    <t>Mag/Ammo Counter</t>
  </si>
  <si>
    <t>MAL_SM.part_scope_acc_S01_L02_b</t>
  </si>
  <si>
    <t>MAL_SM.part_scope_acc_S02_L02_a</t>
  </si>
  <si>
    <t>MAL_SM.part_scope_acc_S02_L02_b</t>
  </si>
  <si>
    <t>MAL_SM.part_grip_05c_ted_jav</t>
  </si>
  <si>
    <t>MAL_SM.part_grip_05b_ted_homing</t>
  </si>
  <si>
    <t>MAL_SM.part_grip_05a_ted_legs</t>
  </si>
  <si>
    <t>MAL_SM.part_grip_04_hyp</t>
  </si>
  <si>
    <t>MAL_SM.part_grip_01</t>
  </si>
  <si>
    <t>MAL_SM.part_grip_02</t>
  </si>
  <si>
    <t>MAL_SM.part_grip_03</t>
  </si>
  <si>
    <t>MAL_SM.part_underbarrel_03_railgun</t>
  </si>
  <si>
    <t>Alt Fire - Railgun</t>
  </si>
  <si>
    <t>Charge-fires a piercing Railgun shot that deals XXX Damage</t>
  </si>
  <si>
    <t>MAL_SM.part_underbarrel_02_overcharge</t>
  </si>
  <si>
    <t>Alt Fire - Energy Discharge</t>
  </si>
  <si>
    <t>Charge-fires a Blast that deals XXX Damage</t>
  </si>
  <si>
    <t>MAL_SM.part_underbarrel_04_atlas_ball</t>
  </si>
  <si>
    <t>MAL_SM.part_underbarrel_05_ammoswitcher</t>
  </si>
  <si>
    <t>MAL_SM.part_foregrip_02</t>
  </si>
  <si>
    <t>MAL_SM.part_foregrip_03</t>
  </si>
  <si>
    <t>MAL_SM.part_foregrip_01</t>
  </si>
  <si>
    <t>MAL_SM.part_underbarrel_04_atlas</t>
  </si>
  <si>
    <t>MAL_SM.part_underbarrel_01_laserwire</t>
  </si>
  <si>
    <t>Alt Fire - Laser Wire</t>
  </si>
  <si>
    <t>Spawns a Laser Wire that deals XXX Damage/s</t>
  </si>
  <si>
    <t>MAL_SM.part_secondary_ammo_sg</t>
  </si>
  <si>
    <t>MAL_SM.part_secondary_ammo_ar</t>
  </si>
  <si>
    <t>MAL_SM.part_secondary_ammo_ps</t>
  </si>
  <si>
    <t>MAL_SM.part_secondary_ammo_sr</t>
  </si>
  <si>
    <t>MAL_SM.part_barrel_01_OhmIGot</t>
  </si>
  <si>
    <t>Ohm I Got, 803 Damage, 100% Acc, 8.0/s FR, 2 Shot</t>
  </si>
  <si>
    <t>Energy Transfer - When Energy Shield is active, grants +50% Damage by consuming the Shield's energy instead of Ammo. When Overshield is also active, Energy Shield will no deplete</t>
  </si>
  <si>
    <t>MAL_SM.part_barrel_02_d_PlasmaCoil</t>
  </si>
  <si>
    <t>+Damage, +Fire Rate, +Ammo</t>
  </si>
  <si>
    <t>MAL_SM.part_barrel_02_PlasmaCoil</t>
  </si>
  <si>
    <t>Plasma Coil, 937 Damage, 84% Acc, 7.7/s FR</t>
  </si>
  <si>
    <t>Superheated</t>
  </si>
  <si>
    <t>MAL_SM.part_barrel_01_a</t>
  </si>
  <si>
    <t>MAL_SM.part_barrel_01_b</t>
  </si>
  <si>
    <t>MAL_SM.part_barrel_01_c</t>
  </si>
  <si>
    <t>MAL_SM.part_barrel_01_d</t>
  </si>
  <si>
    <t>MAL_SM.part_barrel_02_a</t>
  </si>
  <si>
    <t>MAL_SM.part_barrel_02_b</t>
  </si>
  <si>
    <t>MAL_SM.part_barrel_02_c</t>
  </si>
  <si>
    <t>MAL_SM.part_barrel_02_d</t>
  </si>
  <si>
    <t>MAL_SM.part_barrel_licensed_jak</t>
  </si>
  <si>
    <t>MAL_SM.part_barrel_licensed_ted</t>
  </si>
  <si>
    <t>MAL_SM.part_barrel_licensed_ted_shooting</t>
  </si>
  <si>
    <t>MAL_SM.part_barrel_licensed_ted_mirv</t>
  </si>
  <si>
    <t>MAL_SM.part_barrel_licensed_ted_combo</t>
  </si>
  <si>
    <t>MAL_SM.part_barrel_licensed_hyp</t>
  </si>
  <si>
    <t>MAL_SR.part_body</t>
  </si>
  <si>
    <t>MAL_SR.part_body_a</t>
  </si>
  <si>
    <t>MAL_SR.part_body_b</t>
  </si>
  <si>
    <t>MAL_SR.part_body_c</t>
  </si>
  <si>
    <t>MAL_SR.part_body_d</t>
  </si>
  <si>
    <t>MAL_SR.part_barrel_01</t>
  </si>
  <si>
    <t>Midheaven, 2483 Damage, 89% Acc, 1.9/s FR</t>
  </si>
  <si>
    <t>MAL_SR.part_barrel_02</t>
  </si>
  <si>
    <t>Transit, 2483 Damage, 92% Acc, 3.0/s FR</t>
  </si>
  <si>
    <t>MAL_SR.part_shield_default</t>
  </si>
  <si>
    <t>MAL_SR.part_shield_ricochet</t>
  </si>
  <si>
    <t>MAL_SR.part_shield_ammo</t>
  </si>
  <si>
    <t>MAL_SR.part_shield_amp</t>
  </si>
  <si>
    <t>MAL_SR.part_mag_01</t>
  </si>
  <si>
    <t>2.7s Reload, 8 Shots</t>
  </si>
  <si>
    <t>MAL_SR.part_mag_02</t>
  </si>
  <si>
    <t>3.2s Reload, 10 Shots</t>
  </si>
  <si>
    <t>MAL_SR.part_mag_03_tor</t>
  </si>
  <si>
    <t>2.2s Reload, +Damage, -Fire Rate, 6 Shots, Torgue</t>
  </si>
  <si>
    <t>MAL_SR.part_mag_04_cov</t>
  </si>
  <si>
    <t>3.8s Reload, -Damage, -Acc, 10 Shots, CoV Mag</t>
  </si>
  <si>
    <t>MAL_SR.part_mag_05_borg</t>
  </si>
  <si>
    <t>2.1s Reload, +Fire Rate, 12 Shots, Ripper Mag</t>
  </si>
  <si>
    <t>MAL_SR.part_mag_torgue_normal</t>
  </si>
  <si>
    <t>MAL_SR.part_mag_torgue_sticky</t>
  </si>
  <si>
    <t>MAL_SR.part_barrel_01_complex_root</t>
  </si>
  <si>
    <t>Complex Root, 2342 Damage, 85% Acc, 1.2/s FR</t>
  </si>
  <si>
    <t>Sierpinski - Spawns additional diverging Projectiles along its path</t>
  </si>
  <si>
    <t>MAL_SR.part_mag_ted_thrown_01</t>
  </si>
  <si>
    <t>MAL_SR.part_mag_ted_thrown_02</t>
  </si>
  <si>
    <t>MAL_SR.part_mag_ted_thrown_03_tor</t>
  </si>
  <si>
    <t>MAL_SR.part_mag_ted_thrown_04_cov</t>
  </si>
  <si>
    <t>MAL_SR.part_mag_ted_thrown_05_bor</t>
  </si>
  <si>
    <t>MAL_SR.part_scope_ironsight</t>
  </si>
  <si>
    <t>MAL_SR.part_scope_01_lens_01</t>
  </si>
  <si>
    <t>MAL_SR.part_scope_01_lens_02</t>
  </si>
  <si>
    <t>MAL_SR.part_scope_02_lens_01</t>
  </si>
  <si>
    <t>MAL_SR.part_scope_02_lens_02</t>
  </si>
  <si>
    <t>MAL_SR.part_scope_acc_s01_l01_a</t>
  </si>
  <si>
    <t>MAL_SR.part_scope_acc_s01_l01_b</t>
  </si>
  <si>
    <t>Mag Counter Gauge, Distance</t>
  </si>
  <si>
    <t>MAL_SR.part_scope_acc_s02_l01_a</t>
  </si>
  <si>
    <t>MAL_SR.part_scope_acc_s02_l01_b</t>
  </si>
  <si>
    <t>Mag Counter Gauge</t>
  </si>
  <si>
    <t>MAL_SR.part_scope_acc_s01_l02_a</t>
  </si>
  <si>
    <t>MAL_SR.part_scope_acc_s01_l02_b</t>
  </si>
  <si>
    <t>MAL_SR.part_scope_acc_s02_l02_a</t>
  </si>
  <si>
    <t>MAL_SR.part_scope_acc_s02_l02_b</t>
  </si>
  <si>
    <t>MAL_SR.part_grip_05c_ted_jav</t>
  </si>
  <si>
    <t>MAL_SR.part_grip_05b_ted_homing</t>
  </si>
  <si>
    <t>MAL_SR.part_grip_05a_ted_legs</t>
  </si>
  <si>
    <t>MAL_SR.part_grip_04_hyp</t>
  </si>
  <si>
    <t>MAL_SR.part_grip_01</t>
  </si>
  <si>
    <t>MAL_SR.part_grip_02</t>
  </si>
  <si>
    <t>MAL_SR.part_grip_03</t>
  </si>
  <si>
    <t>MAL_SR.part_underbarrel_05_ammoswitcher</t>
  </si>
  <si>
    <t>MAL_SR.part_underbarrel_04_atlas_ball</t>
  </si>
  <si>
    <t>MAL_SR.part_underbarrel_02_multitaser</t>
  </si>
  <si>
    <t>Alt Fire - Shock Field</t>
  </si>
  <si>
    <t>On impact, creates a Shock Field that deals XXX Damage/s</t>
  </si>
  <si>
    <t>MAL_SR.part_underbarrel_01_singularity</t>
  </si>
  <si>
    <t>Alt Fire - Singularity Grenade Launcher</t>
  </si>
  <si>
    <t>Fires a Singularity that deals XXX Damage/s</t>
  </si>
  <si>
    <t>MAL_SR.part_foregrip_02</t>
  </si>
  <si>
    <t>MAL_SR.part_foregrip_03</t>
  </si>
  <si>
    <t>MAL_SR.part_foregrip_01</t>
  </si>
  <si>
    <t>MAL_SR.part_underbarrel_03_rocketpod</t>
  </si>
  <si>
    <t>Alt Fire - Rocket Pod</t>
  </si>
  <si>
    <t>Fires a salvo of Homing Rockets that deal XXX x 4 Damage</t>
  </si>
  <si>
    <t>MAL_SR.part_underbarrel_04_atlas</t>
  </si>
  <si>
    <t>MAL_SR.part_secondary_ammo_smg</t>
  </si>
  <si>
    <t>MAL_SR.part_secondary_ammo_sg</t>
  </si>
  <si>
    <t>MAL_SR.part_secondary_ammo_ar</t>
  </si>
  <si>
    <t>MAL_SR.part_secondary_ammo_ps</t>
  </si>
  <si>
    <t>MAL_SR.part_barrel_02_katagawa</t>
  </si>
  <si>
    <t>Katagawa's Revenge, 1522 Damage, 89% Acc, 1.5/s FR</t>
  </si>
  <si>
    <t>Stormcloud</t>
  </si>
  <si>
    <t>MAL_SR.part_foregrip_04</t>
  </si>
  <si>
    <t>MAL_SR.part_mag_05_borg_barrel_02</t>
  </si>
  <si>
    <t>2.4s Reload</t>
  </si>
  <si>
    <t>-Damage, -Acc, +Fire Rate - Pairs with barrel_02???</t>
  </si>
  <si>
    <t>MAL_SR.part_mag_05_borg_barrel_01</t>
  </si>
  <si>
    <t>-Damage, -Acc, -Fire Rate - Pairs with barrel_01???</t>
  </si>
  <si>
    <t>MAL_SR.part_barrel_01_a</t>
  </si>
  <si>
    <t>MAL_SR.part_barrel_01_b</t>
  </si>
  <si>
    <t>MAL_SR.part_barrel_01_c</t>
  </si>
  <si>
    <t>MAL_SR.part_barrel_01_d</t>
  </si>
  <si>
    <t>MAL_SR.part_barrel_02_a</t>
  </si>
  <si>
    <t>MAL_SR.part_barrel_02_b</t>
  </si>
  <si>
    <t>MAL_SR.part_barrel_02_c</t>
  </si>
  <si>
    <t>MAL_SR.part_barrel_02_d</t>
  </si>
  <si>
    <t>MAL_SR.part_barrel_licensed_jak</t>
  </si>
  <si>
    <t>MAL_SR.part_barrel_licensed_ted</t>
  </si>
  <si>
    <t>MAL_SR.part_barrel_licensed_ted_shooting</t>
  </si>
  <si>
    <t>MAL_SR.part_barrel_licensed_ted_mirv</t>
  </si>
  <si>
    <t>MAL_SR.part_barrel_licensed_ted_combo</t>
  </si>
  <si>
    <t>MAL_SR.part_barrel_licensed_hyp</t>
  </si>
  <si>
    <t>MAL_SR.part_barrel_01_asher</t>
  </si>
  <si>
    <t>Asher's Rise, 1522 Damage, 89% Acc, 6.6/s FR</t>
  </si>
  <si>
    <t>Slow Burn - Critical Hits apply Status Effects instead of increased impact Damage</t>
  </si>
  <si>
    <t>ORD_AR.part_scope_02_lens_02_gmr</t>
  </si>
  <si>
    <t>ORD_AR.part_barrel_02_gmr</t>
  </si>
  <si>
    <t>G.M.R., 1785 Damage, 65% Acc, 4.0/s FR</t>
  </si>
  <si>
    <t>Big Name Hunter - When Zoomed In, Damage increases by +100%, Shot Cost increases by +100%, and Fire Rate decreases by -50%</t>
  </si>
  <si>
    <t>ORD_AR.part_body_a</t>
  </si>
  <si>
    <t>ORD_AR.part_body_b</t>
  </si>
  <si>
    <t>ORD_AR.part_body_c</t>
  </si>
  <si>
    <t>ORD_AR.part_body_d</t>
  </si>
  <si>
    <t>ORD_AR.part_barrel_01</t>
  </si>
  <si>
    <t>Indiction, 1115 Damage, 89% Acc, 5.5/s FR</t>
  </si>
  <si>
    <t>ORD_AR.part_barrel_02</t>
  </si>
  <si>
    <t>Schema, 982 Damage, 88% Acc, 6.5/s FR</t>
  </si>
  <si>
    <t>ORD_AR.part_shield_default</t>
  </si>
  <si>
    <t>ORD_AR.part_shield_ricochet</t>
  </si>
  <si>
    <t>ORD_AR.part_shield_ammo</t>
  </si>
  <si>
    <t>ORD_AR.part_shield_amp</t>
  </si>
  <si>
    <t>ORD_AR.part_mag_01</t>
  </si>
  <si>
    <t>1.9s Reload, 18 Shots</t>
  </si>
  <si>
    <t>ORD_AR.part_mag_02</t>
  </si>
  <si>
    <t>2.3s Reload, -Damage, 24 Shots</t>
  </si>
  <si>
    <t>ORD_AR.part_mag_04_cov</t>
  </si>
  <si>
    <t>3.7s Reload, +Damage, -Acc, 34 Shots, CoV Mag</t>
  </si>
  <si>
    <t>ORD_AR.part_mag_05_borg</t>
  </si>
  <si>
    <t>2.3s Reload, -Damage, +Fire Rate, 30 Shots, RIpper Mag</t>
  </si>
  <si>
    <t>ORD_AR.part_mag_ted_thrown_01</t>
  </si>
  <si>
    <t>ORD_AR.part_mag_ted_thrown_02</t>
  </si>
  <si>
    <t>ORD_AR.part_mag_ted_thrown_03_tor</t>
  </si>
  <si>
    <t>ORD_AR.part_mag_ted_thrown_04_cov</t>
  </si>
  <si>
    <t>ORD_AR.part_mag_ted_thrown_05_bor</t>
  </si>
  <si>
    <t>ORD_AR.part_scope_02_lens_02</t>
  </si>
  <si>
    <t>ORD_AR.part_scope_02_lens_01</t>
  </si>
  <si>
    <t>ORD_AR.part_scope_01_lens_02</t>
  </si>
  <si>
    <t>ORD_AR.part_scope_01_lens_01</t>
  </si>
  <si>
    <t>ORD_AR.part_scope_ironsight</t>
  </si>
  <si>
    <t>ORD_AR.part_scope_acc_s01_l01_a</t>
  </si>
  <si>
    <t>ORD_AR.part_scope_acc_s01_l01_b</t>
  </si>
  <si>
    <t>ORD_AR.part_scope_acc_s02_l01_a</t>
  </si>
  <si>
    <t>ORD_AR.part_scope_acc_s02_l01_b</t>
  </si>
  <si>
    <t>ORD_AR.part_scope_acc_s01_l02_a</t>
  </si>
  <si>
    <t>ORD_AR.part_scope_acc_s01_l02_b</t>
  </si>
  <si>
    <t>ORD_AR.part_scope_acc_s02_l02_a</t>
  </si>
  <si>
    <t>ORD_AR.part_scope_acc_s02_l02_b</t>
  </si>
  <si>
    <t>ORD_AR.part_grip_05a_ted_legs</t>
  </si>
  <si>
    <t>ORD_AR.part_grip_05c_ted_jav</t>
  </si>
  <si>
    <t>ORD_AR.part_grip_05b_ted_homing</t>
  </si>
  <si>
    <t>ORD_AR.part_grip_04_hyp</t>
  </si>
  <si>
    <t>ORD_AR.part_grip_01</t>
  </si>
  <si>
    <t>ORD_AR.part_grip_02</t>
  </si>
  <si>
    <t>ORD_AR.part_grip_03</t>
  </si>
  <si>
    <t>ORD_AR.part_underbarrel_01_seeker</t>
  </si>
  <si>
    <t>Alt Fire - Seeker Missles</t>
  </si>
  <si>
    <t>ORD_AR.part_underbarrel_03_killdrone</t>
  </si>
  <si>
    <t>Alt Fire - Kill Drone</t>
  </si>
  <si>
    <t>Launches a Drone that fires at enemies for XXX Damage per shot, before exploding for XXX Damage</t>
  </si>
  <si>
    <t>ORD_AR.part_underbarrel_04_atlas_ball</t>
  </si>
  <si>
    <t>ORD_AR.part_underbarrel_04_atlas</t>
  </si>
  <si>
    <t>ORD_AR.part_foregrip_02</t>
  </si>
  <si>
    <t>ORD_AR.part_foregrip_03</t>
  </si>
  <si>
    <t>ORD_AR.part_secondary_ammo_sm</t>
  </si>
  <si>
    <t>ORD_AR.part_secondary_ammo_sg</t>
  </si>
  <si>
    <t>ORD_AR.part_secondary_ammo_ps</t>
  </si>
  <si>
    <t>ORD_AR.part_secondary_ammo_sr</t>
  </si>
  <si>
    <t>ORD_AR.part_barrel_01_a</t>
  </si>
  <si>
    <t>ORD_AR.part_barrel_01_b</t>
  </si>
  <si>
    <t>ORD_AR.part_barrel_01_c</t>
  </si>
  <si>
    <t>ORD_AR.part_barrel_01_d</t>
  </si>
  <si>
    <t>ORD_AR.part_barrel_02_a</t>
  </si>
  <si>
    <t>ORD_AR.part_barrel_02_b</t>
  </si>
  <si>
    <t>ORD_AR.part_barrel_02_c</t>
  </si>
  <si>
    <t>ORD_AR.part_barrel_02_d</t>
  </si>
  <si>
    <t>ORD_AR.part_barrel_licensed_jak</t>
  </si>
  <si>
    <t>ORD_AR.part_barrel_licensed_ted</t>
  </si>
  <si>
    <t>ORD_AR.part_barrel_licensed_ted_shooting</t>
  </si>
  <si>
    <t>ORD_AR.part_barrel_licensed_ted_mirv</t>
  </si>
  <si>
    <t>ORD_AR.part_barrel_licensed_ted_combo</t>
  </si>
  <si>
    <t>ORD_AR.part_barrel_licensed_hyp</t>
  </si>
  <si>
    <t>ORD_AR.part_mag_torgue_normal</t>
  </si>
  <si>
    <t>ORD_AR.part_mag_torgue_sticky</t>
  </si>
  <si>
    <t>ORD_AR.part_underbarrel_02_deathsphere</t>
  </si>
  <si>
    <t>Alt Fire - Death Sphere</t>
  </si>
  <si>
    <t>Launches a Death Sphere that deals XXX Damage/s to nearby enemies</t>
  </si>
  <si>
    <t>ORD_AR.part_underbarrel_05_ammoswitcher</t>
  </si>
  <si>
    <t>ORD_AR.part_foregrip_01</t>
  </si>
  <si>
    <t>ORD_AR.part_mag_03_tor</t>
  </si>
  <si>
    <t>2.1s Reload, +Damage, -Fire Rate, 15 Shots, Torgue</t>
  </si>
  <si>
    <t>ORD_AR.part_barrel_02_goalkeeper</t>
  </si>
  <si>
    <t>Goalkeeper, 1785 Damage, 84% Acc, 7.0/s FR</t>
  </si>
  <si>
    <t>Amper Camper - When Gun Shield is depleted, grants +50% Damage for 15s</t>
  </si>
  <si>
    <t>ORD_AR.part_body</t>
  </si>
  <si>
    <t>ORD_PS.part_mag_03_rocketreload</t>
  </si>
  <si>
    <t>1.9s Reload, 6 Shots</t>
  </si>
  <si>
    <t>Lucky Clover Mag</t>
  </si>
  <si>
    <t>ORD_PS.part_body</t>
  </si>
  <si>
    <t>ORD_PS.part_body_a</t>
  </si>
  <si>
    <t>ORD_PS.part_body_b</t>
  </si>
  <si>
    <t>ORD_PS.part_body_c</t>
  </si>
  <si>
    <t>ORD_PS.part_body_d</t>
  </si>
  <si>
    <t>ORD_PS.part_barrel_01</t>
  </si>
  <si>
    <t>Punct, 825 Damage, 76% Acc, 8.0/s FR</t>
  </si>
  <si>
    <t>ORD_PS.part_barrel_02</t>
  </si>
  <si>
    <t>Lemma, 892 Damage, 76% Acc, 6.5/s FR</t>
  </si>
  <si>
    <t>ORD_PS.part_shield_default</t>
  </si>
  <si>
    <t>ORD_PS.part_shield_ricochet</t>
  </si>
  <si>
    <t>ORD_PS.part_shield_ammo</t>
  </si>
  <si>
    <t>ORD_PS.part_shield_amp</t>
  </si>
  <si>
    <t>ORD_PS.part_mag_01</t>
  </si>
  <si>
    <t>1.9s Reload, 15 Shots</t>
  </si>
  <si>
    <t>ORD_PS.part_mag_02</t>
  </si>
  <si>
    <t>2.8s Reload, -Damage, 18 Shots</t>
  </si>
  <si>
    <t>ORD_PS.part_mag_04_cov</t>
  </si>
  <si>
    <t>2.9s Reload, -Damage, -Acc, 20 Shots, CoV Mag</t>
  </si>
  <si>
    <t>ORD_PS.part_mag_05_borg</t>
  </si>
  <si>
    <t>2.3s Reload, +Fire Rate, 24 Shots, Ripper Mag</t>
  </si>
  <si>
    <t>ORD_PS.part_mag_ted_thrown_01</t>
  </si>
  <si>
    <t>ORD_PS.part_mag_ted_thrown_02</t>
  </si>
  <si>
    <t>ORD_PS.part_mag_ted_thrown_03_tor</t>
  </si>
  <si>
    <t>ORD_PS.part_mag_ted_thrown_04_cov</t>
  </si>
  <si>
    <t>ORD_PS.part_mag_ted_thrown_05_bor</t>
  </si>
  <si>
    <t>ORD_PS.part_scope_ironsight</t>
  </si>
  <si>
    <t>ORD_PS.part_scope_01_lens_01</t>
  </si>
  <si>
    <t>ORD_PS.part_scope_01_lens_02</t>
  </si>
  <si>
    <t>ORD_PS.part_scope_02_lens_01</t>
  </si>
  <si>
    <t>ORD_PS.part_scope_02_lens_02</t>
  </si>
  <si>
    <t>ORD_PS.part_scope_acc_s01_l01_a</t>
  </si>
  <si>
    <t>ORD_PS.part_scope_acc_s01_l01_b</t>
  </si>
  <si>
    <t>ORD_PS.part_scope_acc_s02_l01_a</t>
  </si>
  <si>
    <t>ORD_PS.part_scope_acc_s02_l01_b</t>
  </si>
  <si>
    <t>ORD_PS.part_scope_acc_s01_l02_a</t>
  </si>
  <si>
    <t>ORD_PS.part_scope_acc_s01_l02_b</t>
  </si>
  <si>
    <t>ORD_PS.part_scope_acc_s02_l02_a</t>
  </si>
  <si>
    <t>ORD_PS.part_scope_acc_s02_l02_b</t>
  </si>
  <si>
    <t>ORD_PS.part_grip_05c_ted_jav</t>
  </si>
  <si>
    <t>ORD_PS.part_grip_05b_ted_homing</t>
  </si>
  <si>
    <t>ORD_PS.part_grip_05a_ted_legs</t>
  </si>
  <si>
    <t>ORD_PS.part_grip_04_hyp</t>
  </si>
  <si>
    <t>ORD_PS.part_grip_01</t>
  </si>
  <si>
    <t>ORD_PS.part_grip_02</t>
  </si>
  <si>
    <t>ORD_PS.part_grip_03</t>
  </si>
  <si>
    <t>ORD_PS.part_underbarrel_05_ammoswitcher</t>
  </si>
  <si>
    <t>ORD_PS.part_underbarrel_03_rockets</t>
  </si>
  <si>
    <t>Alt Fire - Micro-Rockets</t>
  </si>
  <si>
    <t>Charge-fires up to 6 Micro-Rockets that deal XXX Damage each</t>
  </si>
  <si>
    <t>ORD_PS.part_underbarrel_01_energyburst</t>
  </si>
  <si>
    <t>Alt Fire - Energy Burst</t>
  </si>
  <si>
    <t>Charge-fires an Energy Burst, that deals up to XXX Damage to nearby enemies</t>
  </si>
  <si>
    <t>ORD_PS.part_underbarrel_04_atlas</t>
  </si>
  <si>
    <t>ORD_PS.part_underbarrel_04_atlas_ball</t>
  </si>
  <si>
    <t>ORD_PS.part_foregrip_02</t>
  </si>
  <si>
    <t>ORD_PS.part_foregrip_03</t>
  </si>
  <si>
    <t>ORD_PS.part_secondary_ammo_sm</t>
  </si>
  <si>
    <t>ORD_PS.part_secondary_ammo_sg</t>
  </si>
  <si>
    <t>ORD_PS.part_secondary_ammo_ar</t>
  </si>
  <si>
    <t>ORD_PS.part_secondary_ammo_sr</t>
  </si>
  <si>
    <t>ORD_PS.part_barrel_01_a</t>
  </si>
  <si>
    <t>ORD_PS.part_barrel_01_b</t>
  </si>
  <si>
    <t>ORD_PS.part_barrel_01_c</t>
  </si>
  <si>
    <t>ORD_PS.part_barrel_01_d</t>
  </si>
  <si>
    <t>ORD_PS.part_barrel_02_a</t>
  </si>
  <si>
    <t>ORD_PS.part_barrel_02_b</t>
  </si>
  <si>
    <t>ORD_PS.part_barrel_02_c</t>
  </si>
  <si>
    <t>ORD_PS.part_barrel_02_d</t>
  </si>
  <si>
    <t>ORD_PS.part_barrel_licensed_jak</t>
  </si>
  <si>
    <t>ORD_PS.part_barrel_licensed_ted</t>
  </si>
  <si>
    <t>ORD_PS.part_barrel_licensed_ted_shooting</t>
  </si>
  <si>
    <t>ORD_PS.part_barrel_licensed_ted_mirv</t>
  </si>
  <si>
    <t>ORD_PS.part_barrel_licensed_ted_combo</t>
  </si>
  <si>
    <t>ORD_PS.part_barrel_licensed_hyp</t>
  </si>
  <si>
    <t>ORD_PS.part_foregrip_01</t>
  </si>
  <si>
    <t>ORD_PS.part_mag_torgue_normal</t>
  </si>
  <si>
    <t>ORD_PS.part_mag_torgue_sticky</t>
  </si>
  <si>
    <t>ORD_PS.part_mag_03_tor</t>
  </si>
  <si>
    <t>2.0s Reload, +Damage, +Acc, -Fire Rate, 12 Shots, Torgue</t>
  </si>
  <si>
    <t>ORD_PS.part_underbarrel_02_gravitywell</t>
  </si>
  <si>
    <t>Alt Fire - Gravity Well</t>
  </si>
  <si>
    <t>Charge-fires a Gravity Well that deals up to XXX Damage and pulls in nearby enemies</t>
  </si>
  <si>
    <t>ORD_PS.part_barrel_02_bully</t>
  </si>
  <si>
    <t>Bully, 1338 Damage, 80% Acc, 7.0/s FR</t>
  </si>
  <si>
    <t>Defensive Protocol - When Gun Shields are activated, launches an Attack Drone every 14s</t>
  </si>
  <si>
    <t>ORD_PS.part_mag_noisycricket</t>
  </si>
  <si>
    <t>1.5s Reload, 2 Shots, 2 Shot</t>
  </si>
  <si>
    <t>Noisy Cricket Mag</t>
  </si>
  <si>
    <t>ORD_PS.part_barrel_noisycricket</t>
  </si>
  <si>
    <t>Noisy Cricket, 4461 Damage, 57% Acc, 3.0/s FR, 2 Shot</t>
  </si>
  <si>
    <t>Silence</t>
  </si>
  <si>
    <t>ORD_PS.part_barrel_02_rocketreload</t>
  </si>
  <si>
    <t>Lucky Clover, 892 Damage, 75% Acc, 8.0/s FR</t>
  </si>
  <si>
    <t>Kismet - On Reload, fires 2 Homing Rockets that deal up to XXX Damage each</t>
  </si>
  <si>
    <t>ORD_SR.part_body</t>
  </si>
  <si>
    <t>ORD_SR.part_body_a</t>
  </si>
  <si>
    <t>ORD_SR.part_body_b</t>
  </si>
  <si>
    <t>ORD_SR.part_body_c</t>
  </si>
  <si>
    <t>ORD_SR.part_body_d</t>
  </si>
  <si>
    <t>ORD_SR.part_barrel_01</t>
  </si>
  <si>
    <t>Yuga, 2530 Damage, 90% Acc, 1.9/s FR</t>
  </si>
  <si>
    <t>ORD_SR.part_barrel_02</t>
  </si>
  <si>
    <t>Piktun, 3045 Damage, 92% Acc, 1.5/s FR</t>
  </si>
  <si>
    <t>ORD_SR.part_barrel_01_a</t>
  </si>
  <si>
    <t>ORD_SR.part_barrel_01_c</t>
  </si>
  <si>
    <t>ORD_SR.part_barrel_01_d</t>
  </si>
  <si>
    <t>ORD_SR.part_barrel_02_a</t>
  </si>
  <si>
    <t>ORD_SR.part_barrel_02_b</t>
  </si>
  <si>
    <t>ORD_SR.part_barrel_02_c</t>
  </si>
  <si>
    <t>ORD_SR.part_barrel_02_d</t>
  </si>
  <si>
    <t>ORD_SR.part_barrel_licensed_jak</t>
  </si>
  <si>
    <t>ORD_SR.part_barrel_licensed_ted</t>
  </si>
  <si>
    <t>ORD_SR.part_barrel_licensed_ted_shooting</t>
  </si>
  <si>
    <t>ORD_SR.part_barrel_licensed_ted_mirv</t>
  </si>
  <si>
    <t>ORD_SR.part_barrel_licensed_ted_combo</t>
  </si>
  <si>
    <t>ORD_SR.part_barrel_licensed_hyp</t>
  </si>
  <si>
    <t>ORD_SR.part_barrel_01_b</t>
  </si>
  <si>
    <t>ORD_SR.part_shield_default</t>
  </si>
  <si>
    <t>ORD_SR.part_shield_ricochet</t>
  </si>
  <si>
    <t>ORD_SR.part_shield_ammo</t>
  </si>
  <si>
    <t>ORD_SR.part_shield_amp</t>
  </si>
  <si>
    <t>ORD_SR.part_mag_01</t>
  </si>
  <si>
    <t>2.3s Reload, 12 Shots</t>
  </si>
  <si>
    <t>ORD_SR.part_mag_02</t>
  </si>
  <si>
    <t>2.7s Reload, -Damage, 15 Shots</t>
  </si>
  <si>
    <t>ORD_SR.part_mag_04_cov</t>
  </si>
  <si>
    <t>3.7s Reload, 20 Shots, CoV Mag</t>
  </si>
  <si>
    <t>ORD_SR.part_mag_05_borg</t>
  </si>
  <si>
    <t>2.1s Reload, -Damage, +Fire Rate, 18 Shots, Ripper Mag</t>
  </si>
  <si>
    <t>ORD_SR.part_mag_ted_thrown_01</t>
  </si>
  <si>
    <t>ORD_SR.part_mag_ted_thrown_02</t>
  </si>
  <si>
    <t>ORD_SR.part_mag_ted_thrown_03_tor</t>
  </si>
  <si>
    <t>ORD_SR.part_mag_ted_thrown_04_cov</t>
  </si>
  <si>
    <t>ORD_SR.part_mag_ted_thrown_05_bor</t>
  </si>
  <si>
    <t>ORD_SR.part_scope_ironsight</t>
  </si>
  <si>
    <t>ORD_SR.part_scope_01_lens_01</t>
  </si>
  <si>
    <t>ORD_SR.part_scope_01_lens_02</t>
  </si>
  <si>
    <t>ORD_SR.part_scope_02_lens_01</t>
  </si>
  <si>
    <t>ORD_SR.part_scope_02_lens_02</t>
  </si>
  <si>
    <t>ORD_SR.part_scope_acc_s01_l01_a</t>
  </si>
  <si>
    <t>ORD_SR.part_scope_acc_s01_l01_b</t>
  </si>
  <si>
    <t>ORD_SR.part_scope_acc_s02_l01_a</t>
  </si>
  <si>
    <t>ORD_SR.part_scope_acc_s02_l01_b</t>
  </si>
  <si>
    <t>ORD_SR.part_scope_acc_s01_l02_a</t>
  </si>
  <si>
    <t>ORD_SR.part_scope_acc_s01_l02_b</t>
  </si>
  <si>
    <t>ORD_SR.part_scope_acc_s02_l02_a</t>
  </si>
  <si>
    <t>ORD_SR.part_scope_acc_s02_l02_b</t>
  </si>
  <si>
    <t>ORD_SR.part_grip_05c_ted_jav</t>
  </si>
  <si>
    <t>ORD_SR.part_grip_05b_ted_homing</t>
  </si>
  <si>
    <t>ORD_SR.part_grip_05a_ted_legs</t>
  </si>
  <si>
    <t>ORD_SR.part_grip_04_hyp</t>
  </si>
  <si>
    <t>ORD_SR.part_grip_01</t>
  </si>
  <si>
    <t>ORD_SR.part_grip_02</t>
  </si>
  <si>
    <t>ORD_SR.part_grip_03</t>
  </si>
  <si>
    <t>ORD_SR.part_underbarrel_05_ammoswitcher</t>
  </si>
  <si>
    <t>ORD_SR.part_underbarrel_02_tether_snare</t>
  </si>
  <si>
    <t>Alt Fire - Tether Snare</t>
  </si>
  <si>
    <t>Fires a tether that creates Beams between all other tethers, dealing XXX Damage/s</t>
  </si>
  <si>
    <t>ORD_SR.part_underbarrel_03_railgun</t>
  </si>
  <si>
    <t>Charge-fires dual Railguns that deal XXX x 2 Damage per shot. SHOCK</t>
  </si>
  <si>
    <t>ORD_SR.part_underbarrel_04_atlas</t>
  </si>
  <si>
    <t>ORD_SR.part_foregrip_02</t>
  </si>
  <si>
    <t>ORD_SR.part_foregrip_03</t>
  </si>
  <si>
    <t>ORD_SR.part_underbarrel_01_spear</t>
  </si>
  <si>
    <t>Alt Fire - Ordonite Spike</t>
  </si>
  <si>
    <t>Launches a Spike that drains power from nearby enemies before exploding for up to XXX Damage</t>
  </si>
  <si>
    <t>ORD_SR.part_underbarrel_04_atlas_ball</t>
  </si>
  <si>
    <t>ORD_SR.part_foregrip_01</t>
  </si>
  <si>
    <t>ORD_SR.part_secondary_ammo_sm</t>
  </si>
  <si>
    <t>ORD_SR.part_secondary_ammo_sg</t>
  </si>
  <si>
    <t>ORD_SR.part_secondary_ammo_ar</t>
  </si>
  <si>
    <t>ORD_SR.part_secondary_ammo_ps</t>
  </si>
  <si>
    <t>ORD_SR.part_mag_torgue_normal</t>
  </si>
  <si>
    <t>ORD_SR.part_mag_torgue_sticky</t>
  </si>
  <si>
    <t>ORD_SR.part_mag_03_tor</t>
  </si>
  <si>
    <t>2.1s Reload, +Damage, -Fire Rate, 9 Shots, Torgue</t>
  </si>
  <si>
    <t>ORD_SR.part_barrel_02_symmetry</t>
  </si>
  <si>
    <t>Symmetry, 3045 Damage, 92% Acc, 1.5/s FR</t>
  </si>
  <si>
    <t>Bilateral - Fires from reserve Ammo while charging</t>
  </si>
  <si>
    <t>ORD_SR.part_mag_01_fisheye</t>
  </si>
  <si>
    <t>2.3s Reload, 3 Shots</t>
  </si>
  <si>
    <t>Fisheye Mag</t>
  </si>
  <si>
    <t>ORD_SR.part_barrel_01_fisheye</t>
  </si>
  <si>
    <t>Fisheye, 4919 Damage, 83% Acc, 1.2/s FR, +40% Crit Damage</t>
  </si>
  <si>
    <t>Ultima Raito Regum - Fires wide, penerating triple Railgun shots with +40% Critical Damage</t>
  </si>
  <si>
    <t>ORD_SR.part_underbarrel_03_seamstress</t>
  </si>
  <si>
    <t>Switch for Rooker Underbarrel</t>
  </si>
  <si>
    <t>ORD_SR.part_barrel_01_seamstress</t>
  </si>
  <si>
    <t>Rooker, 2342 Damage, 83% Acc, 2.0/s FR, +55% Crit Damage</t>
  </si>
  <si>
    <t>Callous - Fires 2 Needles that continuously home in on enemies you are aiming at.</t>
  </si>
  <si>
    <t>BOR_SG.part_barrel_02_goremaster</t>
  </si>
  <si>
    <t>Goremaster, 349 x 6 Damage, 70% Acc, 3.0/s FR</t>
  </si>
  <si>
    <t>Chief Execution Officer - Deals +30% Damage to enemies below 30% Health</t>
  </si>
  <si>
    <t>BOR_SG.part_body</t>
  </si>
  <si>
    <t>BOR_SG.part_body_a</t>
  </si>
  <si>
    <t>BOR_SG.part_body_b</t>
  </si>
  <si>
    <t>BOR_SG.part_body_c</t>
  </si>
  <si>
    <t>BOR_SG.part_body_d</t>
  </si>
  <si>
    <t>BOR_SG.part_barrel_01</t>
  </si>
  <si>
    <t>Weldwyrm, 376 x 4 Damage, 63% Acc, 4.5/s FR</t>
  </si>
  <si>
    <t>BOR_SG.part_barrel_02</t>
  </si>
  <si>
    <t>Hellhound, 314 x 6 Damage, 70% Acc, 3.0/s FR</t>
  </si>
  <si>
    <t>BOR_SG.part_shield_default</t>
  </si>
  <si>
    <t>BOR_SG.part_shield_ricochet</t>
  </si>
  <si>
    <t>BOR_SG.part_shield_ammo</t>
  </si>
  <si>
    <t>BOR_SG.part_shield_amp</t>
  </si>
  <si>
    <t>BOR_SG.part_mag_04_cov</t>
  </si>
  <si>
    <t>3.2s Reload, -Damage, -Acc, 20 Shots, CoV Mag</t>
  </si>
  <si>
    <t>BOR_SG.part_mag_03_tor</t>
  </si>
  <si>
    <t>2.6s Reload, +Damage, -Fire Rate, 10 Shots, Torgue</t>
  </si>
  <si>
    <t>BOR_SG.part_mag_01</t>
  </si>
  <si>
    <t>2.4s Reload, 15 Shots</t>
  </si>
  <si>
    <t>BOR_SG.part_mag_02</t>
  </si>
  <si>
    <t>2.6s Reload, -Damage, 20 Shots</t>
  </si>
  <si>
    <t>BOR_SG.part_mag_goldengod</t>
  </si>
  <si>
    <t>Golden God Mag</t>
  </si>
  <si>
    <t>BOR_SG.part_barrel_goldengod</t>
  </si>
  <si>
    <t>Golden God, 376 x 4 Damage, 63% Acc, 4.5/s FR</t>
  </si>
  <si>
    <t>Rage - When Overheating, the Bulletforge does not break, but instead continually consumes greater amounts of Ammo</t>
  </si>
  <si>
    <t>BOR_SG.part_mag_ted_thrown_01</t>
  </si>
  <si>
    <t>BOR_SG.part_mag_ted_thrown_02</t>
  </si>
  <si>
    <t>BOR_SG.part_mag_ted_thrown_03_tor</t>
  </si>
  <si>
    <t>BOR_SG.part_mag_ted_thrown_04_cov</t>
  </si>
  <si>
    <t>BOR_SG.part_scope_02_lens_02</t>
  </si>
  <si>
    <t>BOR_SG.part_scope_02_lens_01</t>
  </si>
  <si>
    <t>BOR_SG.part_scope_01_lens_02</t>
  </si>
  <si>
    <t>BOR_SG.part_scope_01_lens_01</t>
  </si>
  <si>
    <t>BOR_SG.part_scope_ironsight</t>
  </si>
  <si>
    <t>BOR_SG.part_scope_acc_s01_l01_a</t>
  </si>
  <si>
    <t>BOR_SG.part_scope_acc_s01_l01_b</t>
  </si>
  <si>
    <t>Mag Gauge, Compass</t>
  </si>
  <si>
    <t>BOR_SG.part_scope_acc_s02_l01_a</t>
  </si>
  <si>
    <t>BOR_SG.part_scope_acc_s02_l01_b</t>
  </si>
  <si>
    <t>Compass</t>
  </si>
  <si>
    <t>BOR_SG.part_scope_acc_s01_l02_a</t>
  </si>
  <si>
    <t>BOR_SG.part_scope_acc_s01_l02_b</t>
  </si>
  <si>
    <t>BOR_SG.part_scope_acc_s02_l02_a</t>
  </si>
  <si>
    <t>BOR_SG.part_scope_acc_s02_l02_b</t>
  </si>
  <si>
    <t>Damage Type - Not ADS</t>
  </si>
  <si>
    <t>BOR_SG.part_grip_05c_ted_jav</t>
  </si>
  <si>
    <t>BOR_SG.part_grip_05a_ted_legs</t>
  </si>
  <si>
    <t>BOR_SG.part_grip_05b_ted_homing</t>
  </si>
  <si>
    <t>BOR_SG.part_grip_01</t>
  </si>
  <si>
    <t>BOR_SG.part_grip_02</t>
  </si>
  <si>
    <t>BOR_SG.part_grip_03</t>
  </si>
  <si>
    <t>BOR_SG.part_grip_04_hyp</t>
  </si>
  <si>
    <t>BOR_SG.part_underbarrel_04_atlas_ball</t>
  </si>
  <si>
    <t>BOR_SG.part_underbarrel_04_atlas</t>
  </si>
  <si>
    <t>BOR_SG.part_underbarrel_01_beam</t>
  </si>
  <si>
    <t>Alt Fire - Lightning Beam</t>
  </si>
  <si>
    <t>Fires a Beam that deals XXX Shock Damage/s and can chain to an additional target</t>
  </si>
  <si>
    <t>BOR_SG.part_underbarrel_02_gauss</t>
  </si>
  <si>
    <t>Alt Fire - Gauss Gun</t>
  </si>
  <si>
    <t>Chage-fires a Projectile that deals XXX Damage</t>
  </si>
  <si>
    <t>BOR_SG.part_foregrip_01</t>
  </si>
  <si>
    <t>BOR_SG.part_foregrip_03</t>
  </si>
  <si>
    <t>BOR_SG.part_underbarrel_05_ammoswitcher</t>
  </si>
  <si>
    <t>BOR_SG.part_underbarrel_06_malswitch</t>
  </si>
  <si>
    <t>BOR_SG.part_secondary_ammo_smg</t>
  </si>
  <si>
    <t>BOR_SG.part_secondary_ammo_ar</t>
  </si>
  <si>
    <t>BOR_SG.part_secondary_ammo_ps</t>
  </si>
  <si>
    <t>BOR_SG.part_secondary_ammo_sr</t>
  </si>
  <si>
    <t>BOR_SG.part_unique_barrel_02_convergence</t>
  </si>
  <si>
    <t>Convergence, 390 x 3 Damage, 70% Acc, 3.0/s RL</t>
  </si>
  <si>
    <t>Asymptotic</t>
  </si>
  <si>
    <t>BOR_SG.part_barrel_01_a</t>
  </si>
  <si>
    <t>BOR_SG.part_barrel_01_b</t>
  </si>
  <si>
    <t>BOR_SG.part_barrel_01_c</t>
  </si>
  <si>
    <t>BOR_SG.part_barrel_01_d</t>
  </si>
  <si>
    <t>BOR_SG.part_barrel_02_a</t>
  </si>
  <si>
    <t>BOR_SG.part_barrel_02_b</t>
  </si>
  <si>
    <t>BOR_SG.part_barrel_02_c</t>
  </si>
  <si>
    <t>BOR_SG.part_barrel_02_d</t>
  </si>
  <si>
    <t>BOR_SG.part_barrel_licensed_jak</t>
  </si>
  <si>
    <t>BOR_SG.part_barrel_licensed_ted</t>
  </si>
  <si>
    <t>BOR_SG.part_barrel_licensed_ted_shooting</t>
  </si>
  <si>
    <t>BOR_SG.part_barrel_licensed_ted_mirv</t>
  </si>
  <si>
    <t>BOR_SG.part_barrel_licensed_ted_combo</t>
  </si>
  <si>
    <t>BOR_SG.part_barrel_licensed_hyp</t>
  </si>
  <si>
    <t>BOR_SG.part_underbarrel_03_discharge</t>
  </si>
  <si>
    <t>Alt Fire - Fuel Rod Discharge</t>
  </si>
  <si>
    <t>Fires a spent Fuel Rod that explodes after 3s and deals XXX Radiation Damage</t>
  </si>
  <si>
    <t>BOR_SG.part_foregrip_02</t>
  </si>
  <si>
    <t>BOR_SG.part_mag_torgue_normal</t>
  </si>
  <si>
    <t>BOR_SG.part_mag_torgue_sticky</t>
  </si>
  <si>
    <t>BOR_SM.part_body</t>
  </si>
  <si>
    <t>BOR_SM.part_body_a</t>
  </si>
  <si>
    <t>BOR_SM.part_body_b</t>
  </si>
  <si>
    <t>BOR_SM.part_body_c</t>
  </si>
  <si>
    <t>BOR_SM.part_body_d</t>
  </si>
  <si>
    <t>BOR_SM.part_barrel_01</t>
  </si>
  <si>
    <t>Phage, 758 Damage, 72% Acc, 6.8/s FR</t>
  </si>
  <si>
    <t>BOR_SM.part_barrel_02</t>
  </si>
  <si>
    <t>Infestation, 848 Damage, 79% Acc, 5.5/s FR</t>
  </si>
  <si>
    <t>BOR_SM.part_shield_default</t>
  </si>
  <si>
    <t>BOR_SM.part_shield_ricochet</t>
  </si>
  <si>
    <t>BOR_SM.part_shield_ammo</t>
  </si>
  <si>
    <t>BOR_SM.part_shield_amp</t>
  </si>
  <si>
    <t>BOR_SM.part_mag_01</t>
  </si>
  <si>
    <t>2.1s Reload, 25 Shots</t>
  </si>
  <si>
    <t>BOR_SM.part_mag_02</t>
  </si>
  <si>
    <t>2.7s Reload, 30 Shots</t>
  </si>
  <si>
    <t>BOR_SM.part_mag_03_tor</t>
  </si>
  <si>
    <t>2.4s Reload, +Damage, -Fire Rate, 20 Shots, Torgue</t>
  </si>
  <si>
    <t>BOR_SM.part_mag_04_cov</t>
  </si>
  <si>
    <t>3.1s Reload, +Damage, -Acc, 25 Shots, CoV Mag</t>
  </si>
  <si>
    <t>BOR_SM.part_barrel_02_prince</t>
  </si>
  <si>
    <t>Prince Harming, 848 Damage, 79% Acc, 5.5/s FR</t>
  </si>
  <si>
    <t>Pamplemousse - Hitting enemies deals xxx Damage to you, and grants a stack of Cruelty - which, on kill, restores xxx Overshield per Stack of Cruelty - Max 30 Stacks</t>
  </si>
  <si>
    <t>BOR_SM.part_barrel_01_hellfire</t>
  </si>
  <si>
    <t>Hellfire, 758 Damage, 70% Acc, 6.8/s FR</t>
  </si>
  <si>
    <t>Burning Desire</t>
  </si>
  <si>
    <t>BOR_SM.part_underbarrel_05_Roil</t>
  </si>
  <si>
    <t>Switch for Roil</t>
  </si>
  <si>
    <t>BOR_SM.part_mag_ted_thrown_01</t>
  </si>
  <si>
    <t>BOR_SM.part_mag_ted_thrown_02</t>
  </si>
  <si>
    <t>BOR_SM.part_mag_ted_thrown_03_tor</t>
  </si>
  <si>
    <t>BOR_SM.part_mag_ted_thrown_04_cov</t>
  </si>
  <si>
    <t>BOR_SM.part_scope_ironsight</t>
  </si>
  <si>
    <t>BOR_SM.part_scope_01_lens_01</t>
  </si>
  <si>
    <t>BOR_SM.part_scope_01_lens_02</t>
  </si>
  <si>
    <t>BOR_SM.part_scope_02_lens_01</t>
  </si>
  <si>
    <t>BOR_SM.part_scope_02_lens_02</t>
  </si>
  <si>
    <t>BOR_SM.part_scope_acc_s01_l01_a</t>
  </si>
  <si>
    <t>Scope Hood, Charge Meter?</t>
  </si>
  <si>
    <t>BOR_SM.part_scope_acc_s01_l01_b</t>
  </si>
  <si>
    <t>BOR_SM.part_scope_acc_s02_l01_a</t>
  </si>
  <si>
    <t>BOR_SM.part_scope_acc_s02_l01_b</t>
  </si>
  <si>
    <t>BOR_SM.part_scope_acc_s01_l02_a</t>
  </si>
  <si>
    <t>BOR_SM.part_scope_acc_s01_l02_b</t>
  </si>
  <si>
    <t>BOR_SM.part_scope_acc_s02_l02_a</t>
  </si>
  <si>
    <t>Unknown element on the right</t>
  </si>
  <si>
    <t>BOR_SM.part_scope_acc_s02_l02_b</t>
  </si>
  <si>
    <t>BOR_SM.part_grip_05a_ted_legs</t>
  </si>
  <si>
    <t>BOR_SM.part_grip_05c_ted_jav</t>
  </si>
  <si>
    <t>BOR_SM.part_grip_05b_ted_homing</t>
  </si>
  <si>
    <t>BOR_SM.part_grip_01</t>
  </si>
  <si>
    <t>BOR_SM.part_grip_02</t>
  </si>
  <si>
    <t>BOR_SM.part_grip_03</t>
  </si>
  <si>
    <t>BOR_SM.part_grip_04_hyp</t>
  </si>
  <si>
    <t>BOR_SM.part_underbarrel_03_gastrap</t>
  </si>
  <si>
    <t>Alt Fire - Gas Trap</t>
  </si>
  <si>
    <t>Fires a Projectile that explodes, causing a cloud of Noxious Gas that deals Corosive Damage to enemies over time</t>
  </si>
  <si>
    <t>BOR_SM.part_underbarrel_02_drunkrocket</t>
  </si>
  <si>
    <t>Alt Fire - Ripper Rocket Launcher</t>
  </si>
  <si>
    <t>Launches a burst of 6 rockets that deal XXX Damage</t>
  </si>
  <si>
    <t>BOR_SM.part_underbarrel_06_malswitch</t>
  </si>
  <si>
    <t>BOR_SM.part_underbarrel_04_atlas</t>
  </si>
  <si>
    <t>BOR_SM.part_foregrip_01</t>
  </si>
  <si>
    <t>BOR_SM.part_foregrip_03</t>
  </si>
  <si>
    <t>BOR_SM.part_underbarrel_01_shrapnel</t>
  </si>
  <si>
    <t>Alt Fire - Shrapnel Cannon</t>
  </si>
  <si>
    <t>BOR_SM.part_underbarrel_04_atlas_ball</t>
  </si>
  <si>
    <t>BOR_SM.part_underbarrel_05_ammoswitcher</t>
  </si>
  <si>
    <t>BOR_SM.part_foregrip_02</t>
  </si>
  <si>
    <t>BOR_SM.part_barrel_01_Roil</t>
  </si>
  <si>
    <t>Roil, 937 Damage, 70% Acc, 6.8/s FR</t>
  </si>
  <si>
    <t>Hydropower - Overheating prevents firing. Switching modes reduces heat</t>
  </si>
  <si>
    <t>BOR_SM.part_secondary_ammo_sg</t>
  </si>
  <si>
    <t>BOR_SM.part_secondary_ammo_ar</t>
  </si>
  <si>
    <t>BOR_SM.part_secondary_ammo_ps</t>
  </si>
  <si>
    <t>BOR_SM.part_secondary_ammo_sr</t>
  </si>
  <si>
    <t>BOR_SM.part_barrel_01_a</t>
  </si>
  <si>
    <t>BOR_SM.part_barrel_01_b</t>
  </si>
  <si>
    <t>BOR_SM.part_barrel_01_c</t>
  </si>
  <si>
    <t>BOR_SM.part_barrel_01_d</t>
  </si>
  <si>
    <t>BOR_SM.part_barrel_02_a</t>
  </si>
  <si>
    <t>BOR_SM.part_barrel_02_b</t>
  </si>
  <si>
    <t>BOR_SM.part_barrel_02_c</t>
  </si>
  <si>
    <t>BOR_SM.part_barrel_02_d</t>
  </si>
  <si>
    <t>BOR_SM.part_barrel_licensed_jak</t>
  </si>
  <si>
    <t>BOR_SM.part_barrel_licensed_ted</t>
  </si>
  <si>
    <t>BOR_SM.part_barrel_licensed_ted_shooting</t>
  </si>
  <si>
    <t>BOR_SM.part_barrel_licensed_ted_mirv</t>
  </si>
  <si>
    <t>BOR_SM.part_barrel_licensed_ted_combo</t>
  </si>
  <si>
    <t>BOR_SM.part_barrel_licensed_hyp</t>
  </si>
  <si>
    <t>BOR_SM.part_mag_torgue_normal</t>
  </si>
  <si>
    <t>BOR_SM.part_mag_torgue_sticky</t>
  </si>
  <si>
    <t>BOR_SR.part_body</t>
  </si>
  <si>
    <t>BOR_SR.part_body_a</t>
  </si>
  <si>
    <t>BOR_SR.part_body_b</t>
  </si>
  <si>
    <t>BOR_SR.part_body_c</t>
  </si>
  <si>
    <t>BOR_SR.part_body_d</t>
  </si>
  <si>
    <t>BOR_SR.part_barrel_01</t>
  </si>
  <si>
    <t>Nullsaint, 2249 Damage, 90% Acc, 2.3/s FR</t>
  </si>
  <si>
    <t>BOR_SR.part_barrel_02</t>
  </si>
  <si>
    <t>Daemon, 2647 Damage, 88% Acc, 1.5/s FR</t>
  </si>
  <si>
    <t>BOR_SR.part_shield_default</t>
  </si>
  <si>
    <t>BOR_SR.part_shield_ricochet</t>
  </si>
  <si>
    <t>BOR_SR.part_shield_ammo</t>
  </si>
  <si>
    <t>BOR_SR.part_shield_amp</t>
  </si>
  <si>
    <t>BOR_SR.part_mag_01</t>
  </si>
  <si>
    <t>2.9s Reload, 10 Shots</t>
  </si>
  <si>
    <t>BOR_SR.part_mag_02</t>
  </si>
  <si>
    <t>3.1s Reload, -Damage, 16 Shots</t>
  </si>
  <si>
    <t>BOR_SR.part_mag_04_cov</t>
  </si>
  <si>
    <t>4.0s Reload, -Damage, 15 Shots, CoV Mag</t>
  </si>
  <si>
    <t>BOR_SR.part_mag_torgue_normal</t>
  </si>
  <si>
    <t>BOR_SR.part_mag_torgue_sticky</t>
  </si>
  <si>
    <t>BOR_SR.part_barrel_01_stray</t>
  </si>
  <si>
    <t>Stray, 1405 x 3 Damage, 90% Acc, 2.3/s FR</t>
  </si>
  <si>
    <t>Stray - Fires 2 secondary bullets that home in on nearby targets</t>
  </si>
  <si>
    <t>BOR_SR.part_barrel_02_vamoose</t>
  </si>
  <si>
    <t>Vamoose, 2342 Damage, 93% Acc, 9.0/s FR</t>
  </si>
  <si>
    <t>Scarce</t>
  </si>
  <si>
    <t>BOR_SR.part_mag_ted_thrown_01</t>
  </si>
  <si>
    <t>BOR_SR.part_mag_ted_thrown_02</t>
  </si>
  <si>
    <t>BOR_SR.part_mag_ted_thrown_03_tor</t>
  </si>
  <si>
    <t>1..6s Reload</t>
  </si>
  <si>
    <t>BOR_SR.part_scope_ironsight</t>
  </si>
  <si>
    <t>BOR_SR.part_scope_01_lens_01</t>
  </si>
  <si>
    <t>BOR_SR.part_scope_01_lens_02</t>
  </si>
  <si>
    <t>BOR_SR.part_scope_02_lens_01</t>
  </si>
  <si>
    <t>BOR_SR.part_scope_02_lens_02</t>
  </si>
  <si>
    <t>BOR_SR.part_scope_acc_s01_l01_a</t>
  </si>
  <si>
    <t>BOR_SR.part_scope_acc_s01_l01_b</t>
  </si>
  <si>
    <t>Charge Gauge, Compass</t>
  </si>
  <si>
    <t>BOR_SR.part_scope_acc_s02_l01_a</t>
  </si>
  <si>
    <t>BOR_SR.part_scope_acc_s02_l01_b</t>
  </si>
  <si>
    <t>BOR_SR.part_scope_acc_s01_l02_a</t>
  </si>
  <si>
    <t>BOR_SR.part_scope_acc_s01_l02_b</t>
  </si>
  <si>
    <t>BOR_SR.part_scope_acc_s02_l02_a</t>
  </si>
  <si>
    <t>BOR_SR.part_scope_acc_s02_l02_b</t>
  </si>
  <si>
    <t>Charge Gauge, Scope Hood</t>
  </si>
  <si>
    <t>BOR_SR.part_grip_05a_ted_legs</t>
  </si>
  <si>
    <t>BOR_SR.part_grip_05c_ted_jav</t>
  </si>
  <si>
    <t>BOR_SR.part_grip_05b_ted_homing</t>
  </si>
  <si>
    <t>BOR_SR.part_grip_04_hyp</t>
  </si>
  <si>
    <t>BOR_SR.part_grip_01</t>
  </si>
  <si>
    <t>BOR_SR.part_grip_02</t>
  </si>
  <si>
    <t>BOR_SR.part_grip_03</t>
  </si>
  <si>
    <t>BOR_SR.part_underbarrel_06_malswitch</t>
  </si>
  <si>
    <t>BOR_SR.part_underbarrel_02_seeker</t>
  </si>
  <si>
    <t>BOR_SR.part_underbarrel_01_gravtrap</t>
  </si>
  <si>
    <t>Alt Fire - Gravity Trap</t>
  </si>
  <si>
    <t>Fires a singularity that deals xxx Damage, and pulls in nearby enemies</t>
  </si>
  <si>
    <t>BOR_SR.part_underbarrel_04_atlas</t>
  </si>
  <si>
    <t>BOR_SR.part_foregrip_01</t>
  </si>
  <si>
    <t>BOR_SR.part_foregrip_03</t>
  </si>
  <si>
    <t>BOR_SR.part_foregrip_02</t>
  </si>
  <si>
    <t>BOR_SR.part_underbarrel_05_ammoswitcher</t>
  </si>
  <si>
    <t>BOR_SR.part_underbarrel_04_atlas_ball</t>
  </si>
  <si>
    <t>BOR_SR.part_underbarrel_03_marked</t>
  </si>
  <si>
    <t>Alt Fire - Target Marker</t>
  </si>
  <si>
    <t>Fires a marker that deals xxx Damage, Marking the enemy to receive and additional +35% Damage for 8s</t>
  </si>
  <si>
    <t>BOR_SR.part_barrel_02_rainmaker</t>
  </si>
  <si>
    <t>Rainmaker, 984 Damage, 93% Acc, 14.0/s FR, +50% Crit Damage</t>
  </si>
  <si>
    <t>Irrigation</t>
  </si>
  <si>
    <t>BOR_SR.part_secondary_ammo_smg</t>
  </si>
  <si>
    <t>BOR_SR.part_secondary_ammo_sg</t>
  </si>
  <si>
    <t>BOR_SR.part_secondary_ammo_ar</t>
  </si>
  <si>
    <t>BOR_SR.part_secondary_ammo_ps</t>
  </si>
  <si>
    <t>BOR_SR.part_barrel_01_a</t>
  </si>
  <si>
    <t>BOR_SR.part_barrel_01_b</t>
  </si>
  <si>
    <t>BOR_SR.part_barrel_01_c</t>
  </si>
  <si>
    <t>BOR_SR.part_barrel_01_d</t>
  </si>
  <si>
    <t>BOR_SR.part_barrel_02_a</t>
  </si>
  <si>
    <t>BOR_SR.part_barrel_02_b</t>
  </si>
  <si>
    <t>BOR_SR.part_barrel_02_c</t>
  </si>
  <si>
    <t>BOR_SR.part_barrel_02_d</t>
  </si>
  <si>
    <t>BOR_SR.part_barrel_licensed_jak</t>
  </si>
  <si>
    <t>BOR_SR.part_barrel_licensed_ted</t>
  </si>
  <si>
    <t>BOR_SR.part_barrel_licensed_ted_shooting</t>
  </si>
  <si>
    <t>BOR_SR.part_barrel_licensed_ted_mirv</t>
  </si>
  <si>
    <t>BOR_SR.part_barrel_licensed_ted_combo</t>
  </si>
  <si>
    <t>BOR_SR.part_barrel_licensed_hyp</t>
  </si>
  <si>
    <t>BOR_SR.part_mag_ted_thrown_04_cov</t>
  </si>
  <si>
    <t>BOR_SR.part_mag_03_tor</t>
  </si>
  <si>
    <t>2.3s Reload, +Damage, -Fire Rate, 8 Shots</t>
  </si>
  <si>
    <t>TED_AR.part_mag_01_Chuck</t>
  </si>
  <si>
    <t>0.7s Reload, +Fire Rate, 10 Shots</t>
  </si>
  <si>
    <t>Chuck Mag</t>
  </si>
  <si>
    <t>TED_AR.part_body</t>
  </si>
  <si>
    <t>TED_AR.part_body_a</t>
  </si>
  <si>
    <t>TED_AR.part_body_b</t>
  </si>
  <si>
    <t>TED_AR.part_body_c</t>
  </si>
  <si>
    <t>TED_AR.part_body_d</t>
  </si>
  <si>
    <t>TED_AR.part_barrel_01</t>
  </si>
  <si>
    <t>Assaultomatic, 982 Damage, 71% Acc, 4.5/s FR</t>
  </si>
  <si>
    <t>TED_AR.part_barrel_02</t>
  </si>
  <si>
    <t>Perforator, 1153 Damage, 78% Acc, 3.7/s FR</t>
  </si>
  <si>
    <t>TED_AR.part_barrel_licensed_ted_shooting</t>
  </si>
  <si>
    <t>TED_AR.part_barrel_licensed_ted_mirv</t>
  </si>
  <si>
    <t>TED_AR.part_barrel_licensed_ted_combo</t>
  </si>
  <si>
    <t>TED_AR.part_barrel_licensed_ted_replicator</t>
  </si>
  <si>
    <t>Tediore Replicator, no stat changes</t>
  </si>
  <si>
    <t>TED_AR.part_multi_ted_shooting</t>
  </si>
  <si>
    <t>TED_AR.part_multi_ted_mirv</t>
  </si>
  <si>
    <t>TED_AR.part_multi_ted_combo</t>
  </si>
  <si>
    <t>TED_AR.part_multi_ted_replicator</t>
  </si>
  <si>
    <t>TED_AR.part_shield_default</t>
  </si>
  <si>
    <t>TED_AR.part_shield_ricochet</t>
  </si>
  <si>
    <t>TED_AR.part_shield_ammo</t>
  </si>
  <si>
    <t>TED_AR.part_shield_amp</t>
  </si>
  <si>
    <t>TED_AR.part_scope_02_lens_02</t>
  </si>
  <si>
    <t>TED_AR.part_scope_02_lens_01</t>
  </si>
  <si>
    <t>TED_AR.part_scope_01_lens_02</t>
  </si>
  <si>
    <t>TED_AR.part_scope_01_lens_01</t>
  </si>
  <si>
    <t>TED_AR.part_scope_ironsight</t>
  </si>
  <si>
    <t>TED_AR.part_scope_acc_S01_L01_a</t>
  </si>
  <si>
    <t>TED_AR.part_scope_acc_S01_L01_b</t>
  </si>
  <si>
    <t>Mag Counter, Damage Type</t>
  </si>
  <si>
    <t>TED_AR.part_scope_acc_S02_L01_a</t>
  </si>
  <si>
    <t>TED_AR.part_scope_acc_S02_L01_b</t>
  </si>
  <si>
    <t>TED_AR.part_scope_acc_S01_L02_a</t>
  </si>
  <si>
    <t>Distance, Scope Hood</t>
  </si>
  <si>
    <t>TED_AR.part_scope_acc_S01_L02_b</t>
  </si>
  <si>
    <t>TED_AR.part_scope_acc_S02_L02_a</t>
  </si>
  <si>
    <t>TED_AR.part_scope_acc_S02_L02_b</t>
  </si>
  <si>
    <t>TED_AR.part_barrel_02_Chuck</t>
  </si>
  <si>
    <t>Chuck, 982 Damage, 77% Acc, 3.4/s Reload</t>
  </si>
  <si>
    <t>TED_AR.part_barrel_01_DividedFocus</t>
  </si>
  <si>
    <t>Divided Focus, 1227 Damage, 72% Acc, 4.0/s FR</t>
  </si>
  <si>
    <t>Conquerer - Fire bouncing Projectiles that pierce enemies</t>
  </si>
  <si>
    <t>TED_AR.part_barrel_licensed_ted_replicator_multi</t>
  </si>
  <si>
    <t>TED_AR.part_grip_05a_ted_legs</t>
  </si>
  <si>
    <t>TED_AR.part_grip_05b_ted_jav</t>
  </si>
  <si>
    <t>TED_AR.part_grip_05c_ted_homing</t>
  </si>
  <si>
    <t>TED_AR.part_grip_04_hyp</t>
  </si>
  <si>
    <t>TED_AR.part_grip_01</t>
  </si>
  <si>
    <t>TED_AR.part_grip_02</t>
  </si>
  <si>
    <t>TED_AR.part_grip_03</t>
  </si>
  <si>
    <t>TED_AR.part_grip_05a_ted_legs_mirv</t>
  </si>
  <si>
    <t>TED_AR.part_mag_torgue_sticky_murder</t>
  </si>
  <si>
    <t>Torgue Sticky Gyrojets - Murmur</t>
  </si>
  <si>
    <t>TED_AR.part_mag_torgue_normal_murder</t>
  </si>
  <si>
    <t>Torgue Impact Gyrojets - Murmur</t>
  </si>
  <si>
    <t>TED_AR.part_barrel_01_a</t>
  </si>
  <si>
    <t>TED_AR.part_barrel_01_b</t>
  </si>
  <si>
    <t>TED_AR.part_barrel_01_c</t>
  </si>
  <si>
    <t>TED_AR.part_barrel_01_d</t>
  </si>
  <si>
    <t>TED_AR.part_barrel_02_a</t>
  </si>
  <si>
    <t>TED_AR.part_barrel_02_b</t>
  </si>
  <si>
    <t>TED_AR.part_barrel_02_c</t>
  </si>
  <si>
    <t>TED_AR.part_barrel_02_d</t>
  </si>
  <si>
    <t>TED_AR.part_barrel_licensed_jak</t>
  </si>
  <si>
    <t>TED_AR.part_barrel_licensed_hyp</t>
  </si>
  <si>
    <t>TED_AR.part_barrel_licensed_multi</t>
  </si>
  <si>
    <t>TED_AR.part_underbarrel_04_atlas_ball</t>
  </si>
  <si>
    <t>TED_AR.part_underbarrel_04_atlas</t>
  </si>
  <si>
    <t>TED_AR.part_underbarrel_02_comboorb</t>
  </si>
  <si>
    <t>Alt Fire - COMBO</t>
  </si>
  <si>
    <t>Fires an Orb that can be shot to deal xxx Damage to nearby enemies</t>
  </si>
  <si>
    <t>TED_AR.part_underbarrel_03_shotgun</t>
  </si>
  <si>
    <t>TED_AR.part_foregrip_01</t>
  </si>
  <si>
    <t>TED_AR.part_foregrip_03</t>
  </si>
  <si>
    <t>TED_AR.part_underbarrel_01_buffdrone</t>
  </si>
  <si>
    <t>Alt Fire - Support Drone</t>
  </si>
  <si>
    <t>TED_AR.part_underbarrel_06_malswitch</t>
  </si>
  <si>
    <t>TED_AR.part_underbarrel_05_ammoswitcher</t>
  </si>
  <si>
    <t>TED_AR.part_foregrip_02</t>
  </si>
  <si>
    <t>TED_AR.part_secondary_ammo_sm</t>
  </si>
  <si>
    <t>TED_AR.part_secondary_ammo_sg</t>
  </si>
  <si>
    <t>TED_AR.part_secondary_ammo_ps</t>
  </si>
  <si>
    <t>TED_AR.part_secondary_ammo_sr</t>
  </si>
  <si>
    <t>TED_AR.part_barrel_01_murder</t>
  </si>
  <si>
    <t>Murmur, 1338 Damage, 72% Acc, 3.0/s FR</t>
  </si>
  <si>
    <t>Executor - Deals Critical Damage to enemies under 35% health</t>
  </si>
  <si>
    <t>TED_AR.part_mag_01</t>
  </si>
  <si>
    <t>2.2 Reload, 22 Shots</t>
  </si>
  <si>
    <t>TED_AR.part_mag_02</t>
  </si>
  <si>
    <t>2.6s Reload, 26 Shots</t>
  </si>
  <si>
    <t>TED_AR.part_mag_03_tor</t>
  </si>
  <si>
    <t>TED_AR.part_mag_04_cov</t>
  </si>
  <si>
    <t>3.6s Reload, +Damage, -Acc, 31 Shots, CoV Mag</t>
  </si>
  <si>
    <t>TED_AR.part_mag_05_borg</t>
  </si>
  <si>
    <t>2.8s Reload, +Damage, +Fire Rate, 32 Shots, Ripper Mag</t>
  </si>
  <si>
    <t>TED_AR.part_mag_torgue_normal</t>
  </si>
  <si>
    <t>TED_AR.part_mag_torgue_sticky</t>
  </si>
  <si>
    <t>TED_PS.part_body</t>
  </si>
  <si>
    <t>TED_PS.part_body_a</t>
  </si>
  <si>
    <t>TED_PS.part_body_b</t>
  </si>
  <si>
    <t>TED_PS.part_body_c</t>
  </si>
  <si>
    <t>TED_PS.part_body_d</t>
  </si>
  <si>
    <t>TED_PS.part_barrel_01</t>
  </si>
  <si>
    <t>Pocketshot, 758 Damage, 52% Acc, 6.0/s FR</t>
  </si>
  <si>
    <t>TED_PS.part_barrel_02</t>
  </si>
  <si>
    <t>Widget, 892 Damage, 67% Acc, 4.8/s FR</t>
  </si>
  <si>
    <t>TED_PS.part_barrel_licensed_ted_shooting</t>
  </si>
  <si>
    <t>TED_PS.part_barrel_licensed_ted_mirv</t>
  </si>
  <si>
    <t>TED_PS.part_barrel_licensed_ted_combo</t>
  </si>
  <si>
    <t>TED_PS.part_barrel_licensed_ted_replicator</t>
  </si>
  <si>
    <t>TED_PS.part_multi_ted_shooting</t>
  </si>
  <si>
    <t>TED_PS.part_multi_ted_mirv</t>
  </si>
  <si>
    <t>TED_PS.part_multi_ted_combo</t>
  </si>
  <si>
    <t>TED_PS.part_multi_ted_replicator</t>
  </si>
  <si>
    <t>TED_PS.part_shield_default</t>
  </si>
  <si>
    <t>TED_PS.part_shield_ricochet</t>
  </si>
  <si>
    <t>TED_PS.part_shield_ammo</t>
  </si>
  <si>
    <t>TED_PS.part_shield_amp</t>
  </si>
  <si>
    <t>TED_PS.part_mag_01</t>
  </si>
  <si>
    <t>1.4s Reload, 15 Shots</t>
  </si>
  <si>
    <t>TED_PS.part_mag_02</t>
  </si>
  <si>
    <t>1.8s Reload, 20 Shots</t>
  </si>
  <si>
    <t>TED_PS.part_mag_03_tor</t>
  </si>
  <si>
    <t>1.6s Reload, +Damage, +Acc, -Fire Rate, 13 Shots, Torgue</t>
  </si>
  <si>
    <t>TED_PS.part_mag_04_cov</t>
  </si>
  <si>
    <t>3.0s Reload, +Damage, -Acc, 27 Shots, CoV Mag</t>
  </si>
  <si>
    <t>TED_PS.part_mag_05_borg</t>
  </si>
  <si>
    <t>2.5s Reload, +Damage, +Fire Rate, 26 Shots, Ripper Mag</t>
  </si>
  <si>
    <t>TED_PS.part_mag_torgue_normal</t>
  </si>
  <si>
    <t>TED_PS.part_mag_torgue_sticky</t>
  </si>
  <si>
    <t>TED_PS.part_scope_ironsight</t>
  </si>
  <si>
    <t>TED_PS.part_scope_01_lens_01</t>
  </si>
  <si>
    <t>TED_PS.part_scope_01_lens_02</t>
  </si>
  <si>
    <t>TED_PS.part_scope_02_lens_01</t>
  </si>
  <si>
    <t>TED_PS.part_scope_02_lens_02</t>
  </si>
  <si>
    <t>TED_PS.part_scope_acc_s01_l01_a</t>
  </si>
  <si>
    <t>TED_PS.part_scope_acc_s01_l01_b</t>
  </si>
  <si>
    <t>HUD Elements, Scope Hood</t>
  </si>
  <si>
    <t>TED_PS.part_scope_acc_s02_l01_a</t>
  </si>
  <si>
    <t>TED_PS.part_scope_acc_s02_l01_b</t>
  </si>
  <si>
    <t>+20% CD, HUD Elements, Scope Hood</t>
  </si>
  <si>
    <t>TED_PS.part_scope_acc_s01_l02_a</t>
  </si>
  <si>
    <t>TED_PS.part_scope_acc_s01_l02_b</t>
  </si>
  <si>
    <t>Hud Elements</t>
  </si>
  <si>
    <t>TED_PS.part_scope_acc_s02_l02_a</t>
  </si>
  <si>
    <t>TED_PS.part_scope_acc_s02_l02_b</t>
  </si>
  <si>
    <t>TED_PS.part_grip_05c_ted_jav</t>
  </si>
  <si>
    <t>TED_PS.part_grip_05b_ted_homing</t>
  </si>
  <si>
    <t>TED_PS.part_grip_05a_ted_legs</t>
  </si>
  <si>
    <t>TED_PS.part_grip_04_hyp</t>
  </si>
  <si>
    <t>TED_PS.part_grip_01</t>
  </si>
  <si>
    <t>TED_PS.part_grip_02</t>
  </si>
  <si>
    <t>TED_PS.part_grip_03</t>
  </si>
  <si>
    <t>TED_PS.part_underbarrel_05_ammoswitcher</t>
  </si>
  <si>
    <t>TED_PS.part_underbarrel_03_shotgun</t>
  </si>
  <si>
    <t>Alt Fire - Micro Shotgun</t>
  </si>
  <si>
    <t>TED_PS.part_underbarrel_06_malswitch</t>
  </si>
  <si>
    <t>TED_PS.part_underbarrel_04_atlas_ball</t>
  </si>
  <si>
    <t>TED_PS.part_foregrip_01</t>
  </si>
  <si>
    <t>TED_PS.part_foregrip_03</t>
  </si>
  <si>
    <t>TED_PS.part_barrel_licensed_ted_replicator_multi</t>
  </si>
  <si>
    <t>TED_PS.part_grip_05c_ted_jav_atlien</t>
  </si>
  <si>
    <t>TED_PS.part_grip_05b_ted_homing_atlien</t>
  </si>
  <si>
    <t>TED_PS.part_multi_ted_combo_atlien</t>
  </si>
  <si>
    <t>On all Budget Deity's???</t>
  </si>
  <si>
    <t>TED_PS.part_barrel_02_atlien</t>
  </si>
  <si>
    <t>Budget Deity, 892 Damage, 67% Acc, 4.8/s FR</t>
  </si>
  <si>
    <t>D.O.P.E Buoys - Throws 2 Combo Orbs, which place the Atlas Target Lock on enemies damaged by the Combo Orbs</t>
  </si>
  <si>
    <t>TED_PS.part_secondary_ammo_sm</t>
  </si>
  <si>
    <t>TED_PS.part_secondary_ammo_sg</t>
  </si>
  <si>
    <t>TED_PS.part_secondary_ammo_ar</t>
  </si>
  <si>
    <t>TED_PS.part_secondary_ammo_sr</t>
  </si>
  <si>
    <t>TED_PS.part_barrel_02_rubysgrasp</t>
  </si>
  <si>
    <t>Ruby's Grasp, 736 Damage, 73% Acc, 7.2/s FR</t>
  </si>
  <si>
    <t>Grasp - Reloading the Gun fires Homing copies</t>
  </si>
  <si>
    <t>TED_PS.part_barrel_01_sideshow</t>
  </si>
  <si>
    <t>Sideshow, 758 Damage, 88% Acc, 3.0/s FR</t>
  </si>
  <si>
    <t>Juggler - Shoot as many targets as possible before they hit the ground, and refill up to 2 Ammo per target hit</t>
  </si>
  <si>
    <t>TED_PS.part_barrel_01_a</t>
  </si>
  <si>
    <t>TED_PS.part_barrel_01_b</t>
  </si>
  <si>
    <t>TED_PS.part_barrel_01_c</t>
  </si>
  <si>
    <t>TED_PS.part_barrel_01_d</t>
  </si>
  <si>
    <t>TED_PS.part_barrel_02_a</t>
  </si>
  <si>
    <t>TED_PS.part_barrel_02_b</t>
  </si>
  <si>
    <t>TED_PS.part_barrel_02_c</t>
  </si>
  <si>
    <t>TED_PS.part_barrel_02_d</t>
  </si>
  <si>
    <t>TED_PS.part_barrel_licensed_jak</t>
  </si>
  <si>
    <t>TED_PS.part_barrel_licensed_hyp</t>
  </si>
  <si>
    <t>TED_PS.part_barrel_licensed_multi</t>
  </si>
  <si>
    <t>TED_PS.part_underbarrel_02_rockets</t>
  </si>
  <si>
    <t>TED_PS.part_underbarrel_01_drone</t>
  </si>
  <si>
    <t>Alt Fire - Attack Drone</t>
  </si>
  <si>
    <t>TED_PS.part_underbarrel_04_atlas</t>
  </si>
  <si>
    <t>TED_PS.part_foregrip_02</t>
  </si>
  <si>
    <t>TED_PS.part_grip_05a_ted_legs_mirv</t>
  </si>
  <si>
    <t>TED_PS.part_barrel_02_Inscriber</t>
  </si>
  <si>
    <t>Inscriber, 2342 Damage, 75% Acc, 2.5/s FR</t>
  </si>
  <si>
    <t>Effigy - Hitting enemies spawns 4 projectiles behind them</t>
  </si>
  <si>
    <t>TED_SG.part_body</t>
  </si>
  <si>
    <t>TED_SG.part_body_a</t>
  </si>
  <si>
    <t>TED_SG.part_body_b</t>
  </si>
  <si>
    <t>TED_SG.part_body_c</t>
  </si>
  <si>
    <t>TED_SG.part_body_d</t>
  </si>
  <si>
    <t>TED_SG.part_barrel_01</t>
  </si>
  <si>
    <t>EZ-Blast, 460 x 8 Damage, 61% Acc, 1.3/s FR</t>
  </si>
  <si>
    <t>TED_SG.part_barrel_02</t>
  </si>
  <si>
    <t>Omnibore, 322 x 10 Damage, 56% Acc, 1.5/s FR</t>
  </si>
  <si>
    <t>TED_SG.part_barrel_licensed_ted_shooting</t>
  </si>
  <si>
    <t>TED_SG.part_barrel_licensed_ted_mirv</t>
  </si>
  <si>
    <t>TED_SG.part_barrel_licensed_ted_combo</t>
  </si>
  <si>
    <t>TED_SG.part_barrel_licensed_ted_replicator</t>
  </si>
  <si>
    <t>Throws an additional Gun on Reload</t>
  </si>
  <si>
    <t>TED_SG.part_multi_ted_shooting</t>
  </si>
  <si>
    <t>TED_SG.part_multi_ted_mirv</t>
  </si>
  <si>
    <t>TED_SG.part_multi_ted_combo</t>
  </si>
  <si>
    <t>TED_SG.part_multi_ted_replicator</t>
  </si>
  <si>
    <t>TED_SG.part_shield_default</t>
  </si>
  <si>
    <t>TED_SG.part_shield_ricochet</t>
  </si>
  <si>
    <t>TED_SG.part_shield_ammo</t>
  </si>
  <si>
    <t>TED_SG.part_shield_amp</t>
  </si>
  <si>
    <t>TED_SG.part_mag_05_borg</t>
  </si>
  <si>
    <t>2.6s Reload, +Fire Rate, 13 Shots, Ripper Mag</t>
  </si>
  <si>
    <t>TED_SG.part_mag_04_cov</t>
  </si>
  <si>
    <t>3.0s Reload, +Damage, -Acc, 9 Shots, CoV Mag</t>
  </si>
  <si>
    <t>TED_SG.part_mag_01</t>
  </si>
  <si>
    <t>2.0s Reload, +Damage, 9 Shots</t>
  </si>
  <si>
    <t>TED_SG.part_mag_02</t>
  </si>
  <si>
    <t>2.0s Reload, -Damage, 11 Shots</t>
  </si>
  <si>
    <t>TED_SG.part_mag_03_tor</t>
  </si>
  <si>
    <t>2.0s Reload, +Damage, -Fire Rate, 7 Shots, Torgue</t>
  </si>
  <si>
    <t>TED_SG.part_mag_torgue_normal</t>
  </si>
  <si>
    <t>TED_SG.part_mag_torgue_sticky</t>
  </si>
  <si>
    <t>TED_SG.part_scope_ironsight</t>
  </si>
  <si>
    <t>TED_SG.part_scope_01_lens_01</t>
  </si>
  <si>
    <t>TED_SG.part_scope_01_lens_02</t>
  </si>
  <si>
    <t>TED_SG.part_scope_02_lens_01</t>
  </si>
  <si>
    <t>TED_SG.part_scope_02_lens_02</t>
  </si>
  <si>
    <t>TED_SG.part_scope_acc_s01_l01_a</t>
  </si>
  <si>
    <t>TED_SG.part_scope_acc_s01_l01_b</t>
  </si>
  <si>
    <t>TED_SG.part_scope_acc_s02_l01_a</t>
  </si>
  <si>
    <t>Scope hood</t>
  </si>
  <si>
    <t>TED_SG.part_scope_acc_s02_l01_b</t>
  </si>
  <si>
    <t>TED_SG.part_scope_acc_s01_l02_a</t>
  </si>
  <si>
    <t>TED_SG.part_scope_acc_s01_l02_b</t>
  </si>
  <si>
    <t>TED_SG.part_scope_acc_s02_l02_a</t>
  </si>
  <si>
    <t>TED_SG.part_scope_acc_s02_l02_b</t>
  </si>
  <si>
    <t>TED_SG.part_grip_05a_ted_legs</t>
  </si>
  <si>
    <t>TED_SG.part_grip_05c_ted_jav</t>
  </si>
  <si>
    <t>TED_SG.part_grip_05b_ted_homing</t>
  </si>
  <si>
    <t>TED_SG.part_grip_04_hyp</t>
  </si>
  <si>
    <t>TED_SG.part_grip_01</t>
  </si>
  <si>
    <t>TED_SG.part_grip_02</t>
  </si>
  <si>
    <t>TED_SG.part_grip_03</t>
  </si>
  <si>
    <t>TED_SG.part_underbarrel_04_atlas</t>
  </si>
  <si>
    <t>TED_SG.part_underbarrel_04_atlas_ball</t>
  </si>
  <si>
    <t>TED_SG.part_underbarrel_03_deployable_shield</t>
  </si>
  <si>
    <t>Alt Fire - Deployable Barrier</t>
  </si>
  <si>
    <t>Deploys a Shield that blocks incoming Projectiles</t>
  </si>
  <si>
    <t>TED_SG.part_underbarrel_02_stickymine</t>
  </si>
  <si>
    <t>Alt Fire - Proximity Mines</t>
  </si>
  <si>
    <t>TED_SG.part_foregrip_01</t>
  </si>
  <si>
    <t>TED_SG.part_foregrip_03</t>
  </si>
  <si>
    <t>TED_SG.part_foregrip_02</t>
  </si>
  <si>
    <t>TED_SG.part_underbarrel_05_ammoswitcher</t>
  </si>
  <si>
    <t>TED_SG.part_underbarrel_06_malswitch</t>
  </si>
  <si>
    <t>TED_SG.part_underbarrel_01_autoturret</t>
  </si>
  <si>
    <t>Alt Fire - Digital Backup</t>
  </si>
  <si>
    <t>Deploys a Tediore Assault Rifle with legs that fires at enemies</t>
  </si>
  <si>
    <t>TED_SG.part_secondary_ammo_sm</t>
  </si>
  <si>
    <t>TED_SG.part_secondary_ammo_ps</t>
  </si>
  <si>
    <t>TED_SG.part_secondary_ammo_ar</t>
  </si>
  <si>
    <t>TED_SG.part_secondary_ammo_sr</t>
  </si>
  <si>
    <t>TED_SG.part_barrel_01_a</t>
  </si>
  <si>
    <t>TED_SG.part_barrel_01_b</t>
  </si>
  <si>
    <t>TED_SG.part_barrel_01_c</t>
  </si>
  <si>
    <t>TED_SG.part_barrel_01_d</t>
  </si>
  <si>
    <t>TED_SG.part_barrel_02_a</t>
  </si>
  <si>
    <t>TED_SG.part_barrel_02_b</t>
  </si>
  <si>
    <t>TED_SG.part_barrel_02_c</t>
  </si>
  <si>
    <t>TED_SG.part_barrel_02_d</t>
  </si>
  <si>
    <t>TED_SG.part_barrel_licensed_jak</t>
  </si>
  <si>
    <t>TED_SG.part_barrel_licensed_hyp</t>
  </si>
  <si>
    <t>TED_SG.part_barrel_licensed_multi</t>
  </si>
  <si>
    <t>TED_SG.part_grip_05a_ted_legs_mirv</t>
  </si>
  <si>
    <t>TED_SG.part_barrel_licensed_ted_replicator_multi</t>
  </si>
  <si>
    <t>TED_SG.part_barrel_01_anarchy</t>
  </si>
  <si>
    <t>Anarchy, 335 x 12 Damage, 61% Acc, 1.6/s FR, 2 Shot</t>
  </si>
  <si>
    <t>TED_SG.part_barrel_01_commbd</t>
  </si>
  <si>
    <t>Forsaken Chaos, 480 x 8 Damage, 61% Acc, 1.3/s FR, 2 Shot</t>
  </si>
  <si>
    <t>TED_SG.part_underbarrel_01_heavyturret</t>
  </si>
  <si>
    <t>Husky Auto Turret</t>
  </si>
  <si>
    <t>Legendary Perk</t>
  </si>
  <si>
    <t>TOR_AR.part_body_a</t>
  </si>
  <si>
    <t>TOR_AR.part_body_b</t>
  </si>
  <si>
    <t>TOR_AR.part_body_c</t>
  </si>
  <si>
    <t>TOR_AR.part_body_d</t>
  </si>
  <si>
    <t>TOR_AR.part_barrel_01</t>
  </si>
  <si>
    <t>Handle, 1160 Damage, 75% Acc, 3.5/s FR</t>
  </si>
  <si>
    <t>TOR_AR.part_barrel_02</t>
  </si>
  <si>
    <t>Truncheon, 1517 Damage, 76% Acc, 2.5/s FR</t>
  </si>
  <si>
    <t>TOR_AR.part_shield_default</t>
  </si>
  <si>
    <t>TOR_AR.part_shield_ricochet</t>
  </si>
  <si>
    <t>TOR_AR.part_shield_ammo</t>
  </si>
  <si>
    <t>TOR_AR.part_shield_amp</t>
  </si>
  <si>
    <t>TOR_AR.part_mag_01</t>
  </si>
  <si>
    <t>2.0s Reload, 14 Shots</t>
  </si>
  <si>
    <t>TOR_AR.part_mag_02</t>
  </si>
  <si>
    <t>2.8s Reload, 20 Shots</t>
  </si>
  <si>
    <t>TOR_AR.part_mag_04_cov</t>
  </si>
  <si>
    <t>4.0s Reload, +Damage, -Acc, 25 Shots, CoV Mag</t>
  </si>
  <si>
    <t>TOR_AR.part_mag_05_borg</t>
  </si>
  <si>
    <t>2.4s Reload, -Damage, +Fire Rate, 24 Shots, Ripper Mag</t>
  </si>
  <si>
    <t>TOR_AR.part_mag_ted_thrown_01</t>
  </si>
  <si>
    <t>TOR_AR.part_mag_ted_thrown_02</t>
  </si>
  <si>
    <t>TOR_AR.part_mag_ted_thrown_04_cov</t>
  </si>
  <si>
    <t>TOR_AR.part_mag_ted_thrown_05_bor</t>
  </si>
  <si>
    <t>TOR_AR.part_scope_ironsight</t>
  </si>
  <si>
    <t>TOR_AR.part_scope_01_lens_01</t>
  </si>
  <si>
    <t>TOR_AR.part_scope_01_lens_02</t>
  </si>
  <si>
    <t>TOR_AR.part_scope_02_lens_01</t>
  </si>
  <si>
    <t>TOR_AR.part_scope_02_lens_02</t>
  </si>
  <si>
    <t>TOR_AR.part_scope_acc_s01_l01_a</t>
  </si>
  <si>
    <t>TOR_AR.part_scope_acc_s01_l01_b</t>
  </si>
  <si>
    <t>TOR_AR.part_scope_acc_s02_l01_a</t>
  </si>
  <si>
    <t>TOR_AR.part_scope_acc_s02_l01_b</t>
  </si>
  <si>
    <t>+Blast Radius</t>
  </si>
  <si>
    <t>TOR_AR.part_scope_acc_s01_l02_a</t>
  </si>
  <si>
    <t>TOR_AR.part_scope_acc_s01_l02_b</t>
  </si>
  <si>
    <t>TOR_AR.part_scope_acc_s02_l02_a</t>
  </si>
  <si>
    <t>Mag Counter, Shield, Health</t>
  </si>
  <si>
    <t>TOR_AR.part_scope_acc_s02_l02_b</t>
  </si>
  <si>
    <t>Ammo Counter</t>
  </si>
  <si>
    <t>TOR_AR.part_grip_05a_ted_legs</t>
  </si>
  <si>
    <t>TOR_AR.part_grip_05c_ted_jav</t>
  </si>
  <si>
    <t>TOR_AR.part_grip_05b_ted_homing</t>
  </si>
  <si>
    <t>TOR_AR.part_grip_01</t>
  </si>
  <si>
    <t>TOR_AR.part_grip_02</t>
  </si>
  <si>
    <t>TOR_AR.part_grip_03</t>
  </si>
  <si>
    <t>TOR_AR.part_grip_04_hyp</t>
  </si>
  <si>
    <t>TOR_AR.part_underbarrel_05_ammoswitcher</t>
  </si>
  <si>
    <t>TOR_AR.part_underbarrel_06_malswitch</t>
  </si>
  <si>
    <t>TOR_AR.part_underbarrel_01_mirvgrenade</t>
  </si>
  <si>
    <t>Alt Fire - MIRV Grenade Launcher</t>
  </si>
  <si>
    <t>TOR_AR.part_underbarrel_04_atlas_ball</t>
  </si>
  <si>
    <t>TOR_AR.part_underbarrel_03_airstrike</t>
  </si>
  <si>
    <t>Alt Fire - Airstrike</t>
  </si>
  <si>
    <t>TOR_AR.part_foregrip_02</t>
  </si>
  <si>
    <t>TOR_AR.part_foregrip_03</t>
  </si>
  <si>
    <t>TOR_AR.part_secondary_ammo_smg</t>
  </si>
  <si>
    <t>TOR_AR.part_secondary_ammo_sg</t>
  </si>
  <si>
    <t>TOR_AR.part_secondary_ammo_ps</t>
  </si>
  <si>
    <t>TOR_AR.part_secondary_ammo_sr</t>
  </si>
  <si>
    <t>TOR_AR.part_body</t>
  </si>
  <si>
    <t>TOR_AR.part_barrel_02_bugbear</t>
  </si>
  <si>
    <t>Bugbear, 1124 Damage, 78% Acc, 5.5/s FR</t>
  </si>
  <si>
    <t>Rotary Gun - Scales up to +200% Damage and +200% Damage Radius based on the emptiness of the magazine</t>
  </si>
  <si>
    <t>TOR_AR.part_barrel_coldshoulder</t>
  </si>
  <si>
    <t>Cold Shoulder, 1285 Damage, 78% Acc, 5.5/s FR</t>
  </si>
  <si>
    <t>Iced Out</t>
  </si>
  <si>
    <t>TOR_AR.part_foregrip_01_pt</t>
  </si>
  <si>
    <t>TOR_AR.part_barrel_01_a</t>
  </si>
  <si>
    <t>TOR_AR.part_barrel_01_b</t>
  </si>
  <si>
    <t>TOR_AR.part_barrel_01_c</t>
  </si>
  <si>
    <t>TOR_AR.part_barrel_01_d</t>
  </si>
  <si>
    <t>TOR_AR.part_barrel_02_a</t>
  </si>
  <si>
    <t>TOR_AR.part_barrel_02_b</t>
  </si>
  <si>
    <t>TOR_AR.part_barrel_02_c</t>
  </si>
  <si>
    <t>TOR_AR.part_barrel_02_d</t>
  </si>
  <si>
    <t>TOR_AR.part_barrel_licensed_jak</t>
  </si>
  <si>
    <t>TOR_AR.part_barrel_licensed_ted</t>
  </si>
  <si>
    <t>TOR_AR.part_barrel_licensed_ted_shooting</t>
  </si>
  <si>
    <t>TOR_AR.part_barrel_licensed_ted_mirv</t>
  </si>
  <si>
    <t>TOR_AR.part_barrel_licensed_ted_combo</t>
  </si>
  <si>
    <t>TOR_AR.part_barrel_licensed_hyp</t>
  </si>
  <si>
    <t>TOR_AR.part_underbarrel_02_shotgun</t>
  </si>
  <si>
    <t>Alt Fire - Sticky Shotgun</t>
  </si>
  <si>
    <t>TOR_AR.part_underbarrel_04_atlas</t>
  </si>
  <si>
    <t>TOR_AR.part_foregrip_01</t>
  </si>
  <si>
    <t>TOR_AR.part_foregrip_03_pt</t>
  </si>
  <si>
    <t>TOR_AR.part_foregrip_02_pt</t>
  </si>
  <si>
    <t>TOR_AR.part_barrel_potatothrower</t>
  </si>
  <si>
    <t>Potato Thrower IV, 580 Damage, 75% Acc, 5.5/s FR</t>
  </si>
  <si>
    <t>Spud Gun</t>
  </si>
  <si>
    <t>TOR_PS.part_body</t>
  </si>
  <si>
    <t>TOR_PS.part_body_a</t>
  </si>
  <si>
    <t>TOR_PS.part_body_b</t>
  </si>
  <si>
    <t>TOR_PS.part_body_c</t>
  </si>
  <si>
    <t>TOR_PS.part_body_d</t>
  </si>
  <si>
    <t>TOR_PS.part_barrel_01</t>
  </si>
  <si>
    <t>Kitty, 1785 Damage, 64% Acc, 2.5/s FR</t>
  </si>
  <si>
    <t>TOR_PS.part_barrel_02</t>
  </si>
  <si>
    <t>Lotus, 2231 Damage, 65% Acc, 1.8/s FR</t>
  </si>
  <si>
    <t>TOR_PS.part_shield_default</t>
  </si>
  <si>
    <t>TOR_PS.part_shield_ricochet</t>
  </si>
  <si>
    <t>TOR_PS.part_shield_ammo</t>
  </si>
  <si>
    <t>TOR_PS.part_shield_amp</t>
  </si>
  <si>
    <t>TOR_PS.part_mag_01</t>
  </si>
  <si>
    <t>1.8s Reload, 6 Shots</t>
  </si>
  <si>
    <t>TOR_PS.part_mag_02</t>
  </si>
  <si>
    <t>2.3s Reload, 8 Shots</t>
  </si>
  <si>
    <t>TOR_PS.part_mag_04_cov</t>
  </si>
  <si>
    <t>TOR_PS.part_mag_05_borg</t>
  </si>
  <si>
    <t>2.8s Reload, +Damage, -Acc, +Fire Rate, 10 Shots, Ripper Mag</t>
  </si>
  <si>
    <t>TOR_PS.part_mag_ted_thrown_01</t>
  </si>
  <si>
    <t>TOR_PS.part_mag_ted_thrown_02</t>
  </si>
  <si>
    <t>TOR_PS.part_mag_ted_thrown_04_cov</t>
  </si>
  <si>
    <t>TOR_PS.part_mag_ted_thrown_05_bor</t>
  </si>
  <si>
    <t>TOR_PS.part_scope_ironsight</t>
  </si>
  <si>
    <t>TOR_PS.part_scope_01_lens_01</t>
  </si>
  <si>
    <t>TOR_PS.part_scope_01_lens_02</t>
  </si>
  <si>
    <t>TOR_PS.part_scope_02_lens_01</t>
  </si>
  <si>
    <t>TOR_PS.part_scope_02_lens_02</t>
  </si>
  <si>
    <t>TOR_PS.part_scope_acc_s01_l01_a</t>
  </si>
  <si>
    <t>TOR_PS.part_scope_acc_s01_l01_b</t>
  </si>
  <si>
    <t>TOR_PS.part_scope_acc_s02_l01_a</t>
  </si>
  <si>
    <t>TOR_PS.part_scope_acc_s02_l01_b</t>
  </si>
  <si>
    <t>TOR_PS.part_scope_acc_s01_l02_a</t>
  </si>
  <si>
    <t>TOR_PS.part_scope_acc_s01_l02_b</t>
  </si>
  <si>
    <t>Compass, Scope Hood</t>
  </si>
  <si>
    <t>TOR_PS.part_scope_acc_s02_l02_a</t>
  </si>
  <si>
    <t>Ammo Counter, Compass</t>
  </si>
  <si>
    <t>TOR_PS.part_scope_acc_s02_l02_b</t>
  </si>
  <si>
    <t>Bullet Drop Gauge</t>
  </si>
  <si>
    <t>TOR_PS.part_grip_05b_ted_homing</t>
  </si>
  <si>
    <t>TOR_PS.part_grip_05c_ted_jav</t>
  </si>
  <si>
    <t>TOR_PS.part_grip_05a_ted_legs</t>
  </si>
  <si>
    <t>TOR_PS.part_grip_01</t>
  </si>
  <si>
    <t>TOR_PS.part_grip_02</t>
  </si>
  <si>
    <t>TOR_PS.part_grip_03</t>
  </si>
  <si>
    <t>TOR_PS.part_grip_04_hyp</t>
  </si>
  <si>
    <t>TOR_PS.part_underbarrel_05_ammoswitcher</t>
  </si>
  <si>
    <t>TOR_PS.part_underbarrel_06_malswitch</t>
  </si>
  <si>
    <t>TOR_PS.part_underbarrel_04_atlas_ball</t>
  </si>
  <si>
    <t>TOR_PS.part_underbarrel_01_rockets</t>
  </si>
  <si>
    <t>Alt Fire - Magnum Rockets</t>
  </si>
  <si>
    <t>TOR_PS.part_underbarrel_03_cleaver</t>
  </si>
  <si>
    <t>Alt Fire - Turbine Cleaver</t>
  </si>
  <si>
    <t>TOR_PS.part_foregrip_02</t>
  </si>
  <si>
    <t>Adding foregrip to tediore guns enables torgue gyrojets</t>
  </si>
  <si>
    <t>TOR_PS.part_foregrip_03</t>
  </si>
  <si>
    <t>TOR_PS.part_secondary_ammo_smg</t>
  </si>
  <si>
    <t>TOR_PS.part_secondary_ammo_sg</t>
  </si>
  <si>
    <t>TOR_PS.part_secondary_ammo_ar</t>
  </si>
  <si>
    <t>TOR_PS.part_secondary_ammo_sr</t>
  </si>
  <si>
    <t>TOR_PS.part_barrel_02_queensrest</t>
  </si>
  <si>
    <t>Queen's Rest, 2231 Damage, 65% Acc, 2.6/s FR</t>
  </si>
  <si>
    <t>Royal Armory - Fires high-speed rounds, and damaging enemies has a 50% Chance to spawn a Homing Sticky Projectile</t>
  </si>
  <si>
    <t>TOR_PS.part_barrel_01_roach</t>
  </si>
  <si>
    <t>Roach, 1338 Damage, 64% Acc, 2.2/s FR</t>
  </si>
  <si>
    <t>Flesh Eaters - Shoots eggs that hatch flying roaches when attached to flesh, living or dead</t>
  </si>
  <si>
    <t>TOR_PS.part_barrel_02_breadth</t>
  </si>
  <si>
    <t>Hardpoint, 1115 x 5 Damage, 51% Acc, 1.5/s FR, 2 Shot</t>
  </si>
  <si>
    <t>Breach</t>
  </si>
  <si>
    <t>TOR_PS.part_barrel_01_a</t>
  </si>
  <si>
    <t>TOR_PS.part_barrel_01_b</t>
  </si>
  <si>
    <t>TOR_PS.part_barrel_01_c</t>
  </si>
  <si>
    <t>TOR_PS.part_barrel_01_d</t>
  </si>
  <si>
    <t>TOR_PS.part_barrel_02_a</t>
  </si>
  <si>
    <t>TOR_PS.part_barrel_02_b</t>
  </si>
  <si>
    <t>TOR_PS.part_barrel_02_c</t>
  </si>
  <si>
    <t>TOR_PS.part_barrel_02_d</t>
  </si>
  <si>
    <t>TOR_PS.part_barrel_licensed_jak</t>
  </si>
  <si>
    <t>TOR_PS.part_barrel_licensed_ted</t>
  </si>
  <si>
    <t>TOR_PS.part_barrel_licensed_ted_shooting</t>
  </si>
  <si>
    <t>TOR_PS.part_barrel_licensed_ted_mirv</t>
  </si>
  <si>
    <t>TOR_PS.part_barrel_licensed_ted_combo</t>
  </si>
  <si>
    <t>TOR_PS.part_barrel_licensed_hyp</t>
  </si>
  <si>
    <t>TOR_PS.part_underbarrel_04_atlas</t>
  </si>
  <si>
    <t>TOR_PS.part_underbarrel_02_blowback</t>
  </si>
  <si>
    <t>Alt Fire - Exhaust Blast</t>
  </si>
  <si>
    <t>TOR_PS.part_foregrip_01</t>
  </si>
  <si>
    <t>TOR_SG.part_body</t>
  </si>
  <si>
    <t>TOR_SG.part_body_a</t>
  </si>
  <si>
    <t>TOR_SG.part_body_b</t>
  </si>
  <si>
    <t>TOR_SG.part_body_c</t>
  </si>
  <si>
    <t>TOR_SG.part_body_d</t>
  </si>
  <si>
    <t>TOR_SG.part_barrel_01</t>
  </si>
  <si>
    <t>Rider, 1485 x 4 Damage, 67% Acc, 1.2/s FR - 2 Shot</t>
  </si>
  <si>
    <t>TOR_SG.part_barrel_02</t>
  </si>
  <si>
    <t>Crank, 1673 x 4 Damage, 70% Acc, 1.0/s FR - 2 Shot</t>
  </si>
  <si>
    <t>TOR_SG.part_shield_default</t>
  </si>
  <si>
    <t>TOR_SG.part_shield_ricochet</t>
  </si>
  <si>
    <t>TOR_SG.part_shield_ammo</t>
  </si>
  <si>
    <t>TOR_SG.part_shield_amp</t>
  </si>
  <si>
    <t>TOR_SG.part_mag_05_borg</t>
  </si>
  <si>
    <t>2.4s Reload, -Damage, +Fire Rate, 10 Shots, Ripper Mag</t>
  </si>
  <si>
    <t>TOR_SG.part_mag_04_cov</t>
  </si>
  <si>
    <t>3.3s Reload, -Damage, -Acc, 8 Shots, CoV Mag</t>
  </si>
  <si>
    <t>TOR_SG.part_mag_01</t>
  </si>
  <si>
    <t>2.0s Reload, 8 Shots</t>
  </si>
  <si>
    <t>TOR_SG.part_mag_02</t>
  </si>
  <si>
    <t>1.2s Reload, -Damage, 12 Shots</t>
  </si>
  <si>
    <t>TOR_SG.part_mag_ted_thrown_01</t>
  </si>
  <si>
    <t>TOR_SG.part_mag_ted_thrown_02</t>
  </si>
  <si>
    <t>TOR_SG.part_mag_ted_thrown_04_cov</t>
  </si>
  <si>
    <t>TOR_SG.part_mag_ted_thrown_05_bor</t>
  </si>
  <si>
    <t>TOR_SG.part_scope_ironsight</t>
  </si>
  <si>
    <t>TOR_SG.part_scope_01_lens_01</t>
  </si>
  <si>
    <t>TOR_SG.part_scope_01_lens_02</t>
  </si>
  <si>
    <t>TOR_SG.part_scope_02_lens_01</t>
  </si>
  <si>
    <t>TOR_SG.part_scope_02_lens_02</t>
  </si>
  <si>
    <t>TOR_SG.part_scope_acc_s01_l01_a</t>
  </si>
  <si>
    <t>TOR_SG.part_scope_acc_s01_l01_b</t>
  </si>
  <si>
    <t>TOR_SG.part_scope_acc_s02_l01_a</t>
  </si>
  <si>
    <t>TOR_SG.part_scope_acc_s02_l01_b</t>
  </si>
  <si>
    <t>TOR_SG.part_scope_acc_s01_l02_a</t>
  </si>
  <si>
    <t>TOR_SG.part_scope_acc_s01_l02_b</t>
  </si>
  <si>
    <t>TOR_SG.part_scope_acc_s02_l02_a</t>
  </si>
  <si>
    <t>TOR_SG.part_scope_acc_s02_l02_b</t>
  </si>
  <si>
    <t>TOR_SG.part_grip_05c_ted_jav</t>
  </si>
  <si>
    <t>TOR_SG.part_grip_05b_ted_homing</t>
  </si>
  <si>
    <t>TOR_SG.part_grip_05a_ted_legs</t>
  </si>
  <si>
    <t>TOR_SG.part_grip_01</t>
  </si>
  <si>
    <t>TOR_SG.part_grip_02</t>
  </si>
  <si>
    <t>TOR_SG.part_grip_03</t>
  </si>
  <si>
    <t>TOR_SG.part_grip_04_hyp</t>
  </si>
  <si>
    <t>TOR_SG.part_underbarrel_05_ammoswitcher</t>
  </si>
  <si>
    <t>TOR_SG.part_underbarrel_06_malswitch</t>
  </si>
  <si>
    <t>TOR_SG.part_underbarrel_01_seeker_missiles</t>
  </si>
  <si>
    <t>TOR_SG.part_underbarrel_03_bounce_grenade</t>
  </si>
  <si>
    <t>Alt Fire - Rolling Thunder Grenades</t>
  </si>
  <si>
    <t>TOR_SG.part_underbarrel_04_atlas</t>
  </si>
  <si>
    <t>TOR_SG.part_foregrip_02</t>
  </si>
  <si>
    <t>TOR_SG.part_foregrip_03</t>
  </si>
  <si>
    <t>TOR_SG.part_foregrip_01</t>
  </si>
  <si>
    <t>TOR_SG.part_underbarrel_04_atlas_ball</t>
  </si>
  <si>
    <t>TOR_SG.part_underbarrel_02_flameblast</t>
  </si>
  <si>
    <t>Alt Fire - Flame Blast</t>
  </si>
  <si>
    <t>TOR_SG.part_secondary_ammo_smg</t>
  </si>
  <si>
    <t>TOR_SG.part_secondary_ammo_ps</t>
  </si>
  <si>
    <t>TOR_SG.part_secondary_ammo_ar</t>
  </si>
  <si>
    <t>TOR_SG.part_secondary_ammo_sr</t>
  </si>
  <si>
    <t>TOR_SG.part_barrel_02_leadballoon</t>
  </si>
  <si>
    <t>Lead Balloon, 1255 x 3 Damage, 70% Acc, 1.8/s FR - 2 Shot</t>
  </si>
  <si>
    <t>Lightweight - Projectiles float upward and spawn child Projectiles upon exploding</t>
  </si>
  <si>
    <t>TOR_SG.part_barrel_01_linebacker</t>
  </si>
  <si>
    <t>Linebacker, 781 x 4 Damage, 67% Acc, 1.0/s FR</t>
  </si>
  <si>
    <t>Full Coverage - Bouncing Projectiles increase Damage by 25% and Damage Radius by 35% per bounce</t>
  </si>
  <si>
    <t>TOR_SG.part_barrel_01_a</t>
  </si>
  <si>
    <t>TOR_SG.part_barrel_01_b</t>
  </si>
  <si>
    <t>TOR_SG.part_barrel_01_c</t>
  </si>
  <si>
    <t>TOR_SG.part_barrel_01_d</t>
  </si>
  <si>
    <t>TOR_SG.part_barrel_02_a</t>
  </si>
  <si>
    <t>TOR_SG.part_barrel_02_b</t>
  </si>
  <si>
    <t>TOR_SG.part_barrel_02_c</t>
  </si>
  <si>
    <t>TOR_SG.part_barrel_02_d</t>
  </si>
  <si>
    <t>TOR_SG.part_barrel_licensed_jak</t>
  </si>
  <si>
    <t>TOR_SG.part_barrel_licensed_ted</t>
  </si>
  <si>
    <t>TOR_SG.part_barrel_licensed_ted_shooting</t>
  </si>
  <si>
    <t>TOR_SG.part_barrel_licensed_ted_mirv</t>
  </si>
  <si>
    <t>TOR_SG.part_barrel_licensed_ted_combo</t>
  </si>
  <si>
    <t>TOR_SG.part_barrel_licensed_hyp</t>
  </si>
  <si>
    <t>VLA_AR.part_barrel_01_lucian</t>
  </si>
  <si>
    <t>Lucian's Flank, 647 Damage, 76% Acc, 11.5/s FR</t>
  </si>
  <si>
    <t>Trample - Critical Hits refill up to 2 Ammo to the Gun's Magazine</t>
  </si>
  <si>
    <t>VLA_AR.part_body</t>
  </si>
  <si>
    <t>VLA_AR.part_body_a</t>
  </si>
  <si>
    <t>VLA_AR.part_body_b</t>
  </si>
  <si>
    <t>VLA_AR.part_body_c</t>
  </si>
  <si>
    <t>VLA_AR.part_body_d</t>
  </si>
  <si>
    <t>VLA_AR.part_barrel_01</t>
  </si>
  <si>
    <t>Buzzymuzz, 435 Damage, 78% Acc, 11.5/s FR</t>
  </si>
  <si>
    <t>VLA_AR.part_barrel_02</t>
  </si>
  <si>
    <t>Gruppagrak, 468 Damage, 82% Acc, 9.9/s FR</t>
  </si>
  <si>
    <t>VLA_AR.part_shield_default</t>
  </si>
  <si>
    <t>VLA_AR.part_shield_ricochet</t>
  </si>
  <si>
    <t>VLA_AR.part_shield_ammo</t>
  </si>
  <si>
    <t>VLA_AR.part_shield_amp</t>
  </si>
  <si>
    <t>VLA_AR.part_mag_01</t>
  </si>
  <si>
    <t>2.9s Reload, 40 Shots</t>
  </si>
  <si>
    <t>VLA_AR.part_mag_02</t>
  </si>
  <si>
    <t>3.4s Reload, 50 Shots</t>
  </si>
  <si>
    <t>VLA_AR.part_mag_03_tor</t>
  </si>
  <si>
    <t>2.8s Reload, +Damage, +Acc, -Fire Rate, 30 Shots, Torgue</t>
  </si>
  <si>
    <t>VLA_AR.part_mag_04_cov</t>
  </si>
  <si>
    <t>5.5s Reload, -Damage, -Acc, 61 Shots, CoV Mag</t>
  </si>
  <si>
    <t>VLA_AR.part_mag_05_borg</t>
  </si>
  <si>
    <t>3.7s Reload, -Damage, +Fire Rate, 60 Shots, RIpper Mag</t>
  </si>
  <si>
    <t>VLA_AR.part_mag_torgue_normal</t>
  </si>
  <si>
    <t>VLA_AR.part_mag_torgue_sticky</t>
  </si>
  <si>
    <t>VLA_AR.part_mag_ted_thrown_01</t>
  </si>
  <si>
    <t>VLA_AR.part_mag_ted_thrown_02</t>
  </si>
  <si>
    <t>VLA_AR.part_mag_ted_thrown_03_tor</t>
  </si>
  <si>
    <t>VLA_AR.part_mag_ted_thrown_04_cov</t>
  </si>
  <si>
    <t>VLA_AR.part_mag_ted_thrown_05_bor</t>
  </si>
  <si>
    <t>VLA_AR.part_scope_ironsight</t>
  </si>
  <si>
    <t>VLA_AR.part_scope_01_lens_01</t>
  </si>
  <si>
    <t>VLA_AR.part_scope_01_lens_02</t>
  </si>
  <si>
    <t>VLA_AR.part_scope_02_lens_01</t>
  </si>
  <si>
    <t>VLA_AR.part_scope_02_lens_02</t>
  </si>
  <si>
    <t>VLA_AR.part_scope_acc_s01_l01_a</t>
  </si>
  <si>
    <t>VLA_AR.part_scope_acc_s01_l01_b</t>
  </si>
  <si>
    <t>VLA_AR.part_scope_acc_s02_l01_a</t>
  </si>
  <si>
    <t>VLA_AR.part_scope_acc_s02_l01_b</t>
  </si>
  <si>
    <t>VLA_AR.part_scope_acc_s01_l02_a</t>
  </si>
  <si>
    <t>VLA_AR.part_scope_acc_s01_l02_b</t>
  </si>
  <si>
    <t>VLA_AR.part_scope_acc_s02_l02_a</t>
  </si>
  <si>
    <t>VLA_AR.part_scope_acc_s02_l02_b</t>
  </si>
  <si>
    <t>VLA_AR.part_grip_05a_ted_legs</t>
  </si>
  <si>
    <t>VLA_AR.part_grip_05c_ted_jav</t>
  </si>
  <si>
    <t>VLA_AR.part_grip_05b_ted_homing</t>
  </si>
  <si>
    <t>VLA_AR.part_grip_01</t>
  </si>
  <si>
    <t>VLA_AR.part_grip_02</t>
  </si>
  <si>
    <t>VLA_AR.part_grip_03</t>
  </si>
  <si>
    <t>VLA_AR.part_grip_04_hyp</t>
  </si>
  <si>
    <t>VLA_AR.part_underbarrel_05_ammoswitcher</t>
  </si>
  <si>
    <t>VLA_AR.part_underbarrel_04_atlas_ball</t>
  </si>
  <si>
    <t>VLA_AR.part_underbarrel_04_atlas</t>
  </si>
  <si>
    <t>VLA_AR.part_underbarrel_03_bipod</t>
  </si>
  <si>
    <t>Alt Fire - Bipod</t>
  </si>
  <si>
    <t>VLA_AR.part_underbarrel_01_grenadelauncher</t>
  </si>
  <si>
    <t>Underbarrel Accessory</t>
  </si>
  <si>
    <t>VLA_AR.part_underbarrel_grenade_acc</t>
  </si>
  <si>
    <t>Grenade Launcher Acc - No Stat Changes</t>
  </si>
  <si>
    <t>VLA_AR.part_underbarrel_shotgun_acc</t>
  </si>
  <si>
    <t>Increases Shotgun Damage</t>
  </si>
  <si>
    <t>VLA_AR.part_underbarrel_bipod_acc</t>
  </si>
  <si>
    <t>Alt Fire - Motile Bipod</t>
  </si>
  <si>
    <t>VLA_AR.part_underbarrel_secondbarrel_acc_a</t>
  </si>
  <si>
    <t>Extra Barrel Acc - No Stat Changes</t>
  </si>
  <si>
    <t>VLA_AR.part_underbarrel_secondbarrel_acc_b</t>
  </si>
  <si>
    <t>Extra Barrel Acc - +Ammo</t>
  </si>
  <si>
    <t>VLA_AR.part_underbarrel_secondbarrel_acc_c</t>
  </si>
  <si>
    <t>VLA_AR.part_foregrip_01</t>
  </si>
  <si>
    <t>VLA_AR.part_foregrip_02</t>
  </si>
  <si>
    <t>VLA_AR.part_foregrip_03</t>
  </si>
  <si>
    <t>VLA_AR.part_secondary_ammo_ps</t>
  </si>
  <si>
    <t>VLA_AR.part_secondary_ammo_sg</t>
  </si>
  <si>
    <t>VLA_AR.part_secondary_ammo_sm</t>
  </si>
  <si>
    <t>VLA_AR.part_secondary_ammo_sr</t>
  </si>
  <si>
    <t>VLA_AR.part_barrel_01_wombocombo</t>
  </si>
  <si>
    <t>Wombo Combo, 580 Damage, 78% Acc, 12.0/s FR</t>
  </si>
  <si>
    <t>Rip Rockets - Rockets automatically fire from the Underbarrel</t>
  </si>
  <si>
    <t>VLA_AR.part_underbarrel_07_acc_vis</t>
  </si>
  <si>
    <t>Dual Damage Acc - No Stat Changes</t>
  </si>
  <si>
    <t>VLA_AR.part_underbarrel_07_b</t>
  </si>
  <si>
    <t>VLA_AR.part_underbarrel_07_dualdamage</t>
  </si>
  <si>
    <t>Aegon's Dream Alt Fire - Extra Barrel</t>
  </si>
  <si>
    <t>VLA_AR.part_barrel_01_dualdamage</t>
  </si>
  <si>
    <t>Aegon's Dream, 482 Damage, 76% Acc, 12.5/s FR</t>
  </si>
  <si>
    <t>Prophetic</t>
  </si>
  <si>
    <t>VLA_AR.part_barrel_licensed_ted_combo</t>
  </si>
  <si>
    <t>VLA_AR.part_barrel_01_a</t>
  </si>
  <si>
    <t>VLA_AR.part_barrel_01_b</t>
  </si>
  <si>
    <t>VLA_AR.part_barrel_01_c</t>
  </si>
  <si>
    <t>VLA_AR.part_barrel_01_d</t>
  </si>
  <si>
    <t>VLA_AR.part_barrel_02_a</t>
  </si>
  <si>
    <t>VLA_AR.part_barrel_02_b</t>
  </si>
  <si>
    <t>VLA_AR.part_barrel_02_c</t>
  </si>
  <si>
    <t>VLA_AR.part_barrel_02_d</t>
  </si>
  <si>
    <t>VLA_AR.part_barrel_licensed_jak</t>
  </si>
  <si>
    <t>VLA_AR.part_barrel_licensed_ted</t>
  </si>
  <si>
    <t>VLA_AR.part_barrel_licensed_ted_shooting</t>
  </si>
  <si>
    <t>VLA_AR.part_barrel_licensed_ted_mirv</t>
  </si>
  <si>
    <t>VLA_AR.part_barrel_licensed_hyp</t>
  </si>
  <si>
    <t>VLA_AR.part_underbarrel_06_malswitch</t>
  </si>
  <si>
    <t>VLA_AR.part_underbarrel_07_secondbarrel</t>
  </si>
  <si>
    <t>Alt Fire - Extra Barrel</t>
  </si>
  <si>
    <t>VLA_AR.part_underbarrel_02_shotgun</t>
  </si>
  <si>
    <t>VLA_AR.part_underbarrel_overdrive_acc</t>
  </si>
  <si>
    <t>Overdrive Acc - No Stat Changes</t>
  </si>
  <si>
    <t>VLA_AR.part_underbarrel_wf_overdrive</t>
  </si>
  <si>
    <t>Overdrive - Switches to a secondary Magazine that can be fired on Full Auto</t>
  </si>
  <si>
    <t>VLA_AR.part_underbarrel_scrap_acc</t>
  </si>
  <si>
    <t>Increases Scrap Cannon Damage</t>
  </si>
  <si>
    <t>VLA_AR.part_underbarrel_02_wf_scrapcannon</t>
  </si>
  <si>
    <t>Scrap Cannon - Fires a spread of shrapnel from teh Underbarrel</t>
  </si>
  <si>
    <t>VLA_AR.part_barrel_wf</t>
  </si>
  <si>
    <t>Whiskey Foxtrot, 848 Damage, 84% Acc, 6.1/s FR</t>
  </si>
  <si>
    <t>VLA_SM.part_body</t>
  </si>
  <si>
    <t>VLA_SM.part_body_a</t>
  </si>
  <si>
    <t>VLA_SM.part_body_b</t>
  </si>
  <si>
    <t>VLA_SM.part_body_c</t>
  </si>
  <si>
    <t>VLA_SM.part_body_d</t>
  </si>
  <si>
    <t>VLA_SM.part_barrel_01</t>
  </si>
  <si>
    <t>Boory, 424 Damage, 66% Acc, 12.3/s FR</t>
  </si>
  <si>
    <t>VLA_SM.part_barrel_02</t>
  </si>
  <si>
    <t>Flewdy, 491 Damage, 73% Acc, 9.2/s FR</t>
  </si>
  <si>
    <t>VLA_SM.part_shield_default</t>
  </si>
  <si>
    <t>VLA_SM.part_shield_ricochet</t>
  </si>
  <si>
    <t>VLA_SM.part_shield_ammo</t>
  </si>
  <si>
    <t>VLA_SM.part_shield_amp</t>
  </si>
  <si>
    <t>VLA_SM.part_mag_01</t>
  </si>
  <si>
    <t>2.4s Reload, 30 Shots</t>
  </si>
  <si>
    <t>VLA_SM.part_mag_02</t>
  </si>
  <si>
    <t>3.5s Reload, +Damage, 35 Shots</t>
  </si>
  <si>
    <t>VLA_SM.part_mag_03_tor</t>
  </si>
  <si>
    <t>2.2s Reload, -Damage, +Acc, -Fire Rate, 25 Shots, Torgue</t>
  </si>
  <si>
    <t>VLA_SM.part_mag_04_cov</t>
  </si>
  <si>
    <t>4.4s Reload, +Damage, -Acc, 40 Shots, CoV Mag</t>
  </si>
  <si>
    <t>VLA_SM.part_mag_05_borg</t>
  </si>
  <si>
    <t>2.3s Reload, +Fire Rate, 40 Shots, Ripper Mag</t>
  </si>
  <si>
    <t>VLA_SM.part_mag_torgue_normal</t>
  </si>
  <si>
    <t>VLA_SM.part_mag_torgue_sticky</t>
  </si>
  <si>
    <t>VLA_SM.part_mag_ted_thrown_01</t>
  </si>
  <si>
    <t>VLA_SM.part_mag_ted_thrown_02</t>
  </si>
  <si>
    <t>VLA_SM.part_mag_ted_thrown_03_tor</t>
  </si>
  <si>
    <t>VLA_SM.part_mag_ted_thrown_04_cov</t>
  </si>
  <si>
    <t>VLA_SM.part_mag_ted_thrown_05_bor</t>
  </si>
  <si>
    <t>VLA_SM.part_body_flap</t>
  </si>
  <si>
    <t>VLA_SM.part_scope_ironsight</t>
  </si>
  <si>
    <t>VLA_SM.part_scope_01_lens_01</t>
  </si>
  <si>
    <t>VLA_SM.part_scope_01_lens_02</t>
  </si>
  <si>
    <t>VLA_SM.part_scope_02_lens_01</t>
  </si>
  <si>
    <t>VLA_SM.part_scope_02_lens_02</t>
  </si>
  <si>
    <t>VLA_SM.part_scope_acc_s01_l01_a</t>
  </si>
  <si>
    <t>Added something to left side</t>
  </si>
  <si>
    <t>VLA_SM.part_scope_acc_s01_l01_b</t>
  </si>
  <si>
    <t>VLA_SM.part_scope_acc_s02_l01_a</t>
  </si>
  <si>
    <t>VLA_SM.part_scope_acc_s02_l01_b</t>
  </si>
  <si>
    <t>Mag Counter, Distance, Compass</t>
  </si>
  <si>
    <t>VLA_SM.part_scope_acc_s01_l02_a</t>
  </si>
  <si>
    <t>VLA_SM.part_scope_acc_s01_l02_b</t>
  </si>
  <si>
    <t>VLA_SM.part_scope_acc_s02_l02_a</t>
  </si>
  <si>
    <t>VLA_SM.part_scope_acc_s02_l02_b</t>
  </si>
  <si>
    <t>VLA_SM.part_grip_05c_ted_jav</t>
  </si>
  <si>
    <t>VLA_SM.part_grip_05b_ted_homing</t>
  </si>
  <si>
    <t>VLA_SM.part_grip_05a_ted_legs</t>
  </si>
  <si>
    <t>VLA_SM.part_grip_04_hyp</t>
  </si>
  <si>
    <t>VLA_SM.part_grip_01</t>
  </si>
  <si>
    <t>VLA_SM.part_grip_02</t>
  </si>
  <si>
    <t>VLA_SM.part_grip_03</t>
  </si>
  <si>
    <t>VLA_SM.part_underbarrel_05_ammoswitcher</t>
  </si>
  <si>
    <t>VLA_SM.part_underbarrel_04_atlas_ball</t>
  </si>
  <si>
    <t>VLA_SM.part_underbarrel_06_malswitch</t>
  </si>
  <si>
    <t>VLA_SM.part_underbarrel_01_microrockets</t>
  </si>
  <si>
    <t>VLA_SM.part_underbarrel_02_taser</t>
  </si>
  <si>
    <t>VLA_SM.part_underbarrel_03_flamethrower</t>
  </si>
  <si>
    <t>Alt Fire - Flamethrower</t>
  </si>
  <si>
    <t>VLA_SM.part_underbarrel_07_secondbarrel</t>
  </si>
  <si>
    <t>Secondary Barrel increases Fire Rate by 75%</t>
  </si>
  <si>
    <t>VLA_SM.part_underbarrel_04_atlas</t>
  </si>
  <si>
    <t>VLA_SM.part_underbarrel_microrockets_acc</t>
  </si>
  <si>
    <t>Zip Rockets Acc - No Stat Changes</t>
  </si>
  <si>
    <t>VLA_SM.part_underbarrel_taser_acc</t>
  </si>
  <si>
    <t>Increase Taser Damage</t>
  </si>
  <si>
    <t>VLA_SM.part_underbarrel_flamethrower_acc</t>
  </si>
  <si>
    <t>Increase Flamethrower Damage</t>
  </si>
  <si>
    <t>VLA_SM.part_underbarrel_secondbarrel_acc</t>
  </si>
  <si>
    <t>VLA_SM.part_foregrip_01</t>
  </si>
  <si>
    <t>VLA_SM.part_foregrip_02</t>
  </si>
  <si>
    <t>VLA_SM.part_foregrip_03</t>
  </si>
  <si>
    <t>VLA_SM.part_secondary_ammo_ps</t>
  </si>
  <si>
    <t>VLA_SM.part_secondary_ammo_sg</t>
  </si>
  <si>
    <t>VLA_SM.part_secondary_ammo_ar</t>
  </si>
  <si>
    <t>VLA_SM.part_secondary_ammo_sr</t>
  </si>
  <si>
    <t>VLA_SM.part_barrel_01_kaoson</t>
  </si>
  <si>
    <t>Kaoson, 402 x 2 Damage, 83% Acc, 10.5/s FR</t>
  </si>
  <si>
    <t>Granted</t>
  </si>
  <si>
    <t>VLA_SM.part_barrel_01_onslaught</t>
  </si>
  <si>
    <t>Onslaught, 357 Damage, 76% Acc, 16.0/s FR</t>
  </si>
  <si>
    <t>Keep It Coming - There's a 30% Chance for every bullet fired to deal extra Damage and not consume Ammo</t>
  </si>
  <si>
    <t>VLA_SM.part_barrel_02_d_c</t>
  </si>
  <si>
    <t>VLA_SM.part_barrel_02_c_d</t>
  </si>
  <si>
    <t>VLA_SM.part_mag_torgue_sticky_beegun</t>
  </si>
  <si>
    <t>Torgue Sticky Gyrojets, For Birt's Bees</t>
  </si>
  <si>
    <t>VLA_SM.part_barrel_01_a</t>
  </si>
  <si>
    <t>VLA_SM.part_barrel_01_b</t>
  </si>
  <si>
    <t>VLA_SM.part_barrel_01_c</t>
  </si>
  <si>
    <t>VLA_SM.part_barrel_01_d</t>
  </si>
  <si>
    <t>VLA_SM.part_barrel_02_a</t>
  </si>
  <si>
    <t>VLA_SM.part_barrel_02_b</t>
  </si>
  <si>
    <t>VLA_SM.part_barrel_02_c</t>
  </si>
  <si>
    <t>VLA_SM.part_barrel_02_d</t>
  </si>
  <si>
    <t>VLA_SM.part_barrel_licensed_jak</t>
  </si>
  <si>
    <t>VLA_SM.part_barrel_licensed_ted</t>
  </si>
  <si>
    <t>VLA_SM.part_barrel_licensed_ted_shooting</t>
  </si>
  <si>
    <t>VLA_SM.part_barrel_licensed_ted_mirv</t>
  </si>
  <si>
    <t>VLA_SM.part_barrel_licensed_ted_combo</t>
  </si>
  <si>
    <t>VLA_SM.part_barrel_licensed_hyp</t>
  </si>
  <si>
    <t>VLA_SM.part_mag_torgue_normal_beegun</t>
  </si>
  <si>
    <t>Torgue Impact Gyrojets, For Birt's Bees</t>
  </si>
  <si>
    <t>VLA_SM.part_barrel_beegun</t>
  </si>
  <si>
    <t>Birt's Bees, 528 Damage, 73% Acc, 12.4/s FR</t>
  </si>
  <si>
    <t>Hivemind</t>
  </si>
  <si>
    <t>VLA_SR.part_barrel_02_finnty</t>
  </si>
  <si>
    <t>Finnity XXX-L, 937 Damage, 94% Acc, 13.0/s FR, 50% Crit Damage</t>
  </si>
  <si>
    <t>Pipin' Hot Barrels - Does not consume Ammo while Overheating</t>
  </si>
  <si>
    <t>VLA_SR.part_body</t>
  </si>
  <si>
    <t>VLA_SR.part_body_d</t>
  </si>
  <si>
    <t>VLA_SR.part_body_a</t>
  </si>
  <si>
    <t>VLA_SR.part_body_b</t>
  </si>
  <si>
    <t>VLA_SR.part_body_c</t>
  </si>
  <si>
    <t>VLA_SR.part_barrel_01</t>
  </si>
  <si>
    <t>Ragoon Barrel, 1359 Damage, 87% ACC, 4.0/s FR, 50% Crit Damage</t>
  </si>
  <si>
    <t>VLA_SR.part_barrel_02</t>
  </si>
  <si>
    <t>Vyudazy Barrel, 1780 Damage, 87% ACC, 2.5/s FR, 50% Crit Damage</t>
  </si>
  <si>
    <t>VLA_SR.part_shield_default</t>
  </si>
  <si>
    <t>VLA_SR.part_shield_ricochet</t>
  </si>
  <si>
    <t>VLA_SR.part_shield_ammo</t>
  </si>
  <si>
    <t>VLA_SR.part_shield_amp</t>
  </si>
  <si>
    <t>VLA_SR.part_mag_01</t>
  </si>
  <si>
    <t>3.0s Reload, 12 Shots</t>
  </si>
  <si>
    <t>VLA_SR.part_mag_02</t>
  </si>
  <si>
    <t>3.6s Reload, 15 Shots</t>
  </si>
  <si>
    <t>VLA_SR.part_mag_03_tor</t>
  </si>
  <si>
    <t>2.9s Reload, +Damage, -Fire Rate, 9 Shots, Torgue</t>
  </si>
  <si>
    <t>VLA_SR.part_mag_04_cov</t>
  </si>
  <si>
    <t>4.3s Reload, -Acc, 14 Shots, CoV Mag</t>
  </si>
  <si>
    <t>VLA_SR.part_mag_05_borg</t>
  </si>
  <si>
    <t>3.6s Reload, -Damage, +Fire Rate, 18 Shots, Ripper Mag</t>
  </si>
  <si>
    <t>VLA_SR.part_mag_torgue_normal</t>
  </si>
  <si>
    <t>VLA_SR.part_mag_torgue_sticky</t>
  </si>
  <si>
    <t>VLA_SR.part_mag_ted_thrown_01</t>
  </si>
  <si>
    <t>VLA_SR.part_mag_ted_thrown_02</t>
  </si>
  <si>
    <t>VLA_SR.part_mag_ted_thrown_03_tor</t>
  </si>
  <si>
    <t>VLA_SR.part_mag_ted_thrown_04_cov</t>
  </si>
  <si>
    <t>VLA_SR.part_mag_ted_thrown_05_bor</t>
  </si>
  <si>
    <t>VLA_SR.part_barrel_licensed_jak</t>
  </si>
  <si>
    <t>VLA_SR.part_scope_ironsight</t>
  </si>
  <si>
    <t>VLA_SR.part_scope_01_lens_01</t>
  </si>
  <si>
    <t>VLA_SR.part_scope_01_lens_02</t>
  </si>
  <si>
    <t>VLA_SR.part_scope_02_lens_01</t>
  </si>
  <si>
    <t>VLA_SR.part_scope_02_lens_02</t>
  </si>
  <si>
    <t>VLA_SR.part_scope_acc_s01_l01_a</t>
  </si>
  <si>
    <t>VLA_SR.part_scope_acc_s01_l01_b</t>
  </si>
  <si>
    <t>VLA_SR.part_scope_acc_s02_l01_a</t>
  </si>
  <si>
    <t>VLA_SR.part_scope_acc_s02_l01_b</t>
  </si>
  <si>
    <t>VLA_SR.part_scope_acc_s01_l02_a</t>
  </si>
  <si>
    <t>VLA_SR.part_scope_acc_s01_l02_b</t>
  </si>
  <si>
    <t>Distance, Compass</t>
  </si>
  <si>
    <t>VLA_SR.part_scope_acc_s02_l02_a</t>
  </si>
  <si>
    <t>VLA_SR.part_scope_acc_s02_l02_b</t>
  </si>
  <si>
    <t>VLA_SR.part_grip_05b_ted_homing</t>
  </si>
  <si>
    <t>VLA_SR.part_grip_05a_ted_legs</t>
  </si>
  <si>
    <t>VLA_SR.part_grip_04_hyp</t>
  </si>
  <si>
    <t>VLA_SR.part_grip_01</t>
  </si>
  <si>
    <t>VLA_SR.part_grip_02</t>
  </si>
  <si>
    <t>VLA_SR.part_grip_03</t>
  </si>
  <si>
    <t>VLA_SR.part_underbarrel_06_malswitch</t>
  </si>
  <si>
    <t>VLA_SR.part_underbarrel_05_ammoswitcher</t>
  </si>
  <si>
    <t>VLA_SR.part_underbarrel_04_atlas_ball</t>
  </si>
  <si>
    <t>VLA_SR.part_underbarrel_02_rocket</t>
  </si>
  <si>
    <t>VLA_SR.part_underbarrel_07_secondbarrel</t>
  </si>
  <si>
    <t>Enables a Third Barrel, increasing Fire Rate</t>
  </si>
  <si>
    <t>VLA_SR.part_underbarrel_03_bipod</t>
  </si>
  <si>
    <t>Enabling the Bipod increases Accuracy by 75%, but decreases Movement Speed by -50%</t>
  </si>
  <si>
    <t>VLA_SR.part_underbarrel_04_atlas</t>
  </si>
  <si>
    <t>VLA_SR.part_underbarrel_01_shotgun</t>
  </si>
  <si>
    <t>VLA_SR.part_underbarrel_shotgun_acc</t>
  </si>
  <si>
    <t>VLA_SR.part_underbarrel_rocket_acc</t>
  </si>
  <si>
    <t>Increases Big Rocket Damage</t>
  </si>
  <si>
    <t>VLA_SR.part_underbarrel_bipod_acc</t>
  </si>
  <si>
    <t>Enabling the Bipod increases Accuracy by 75%, USE WITH 50???</t>
  </si>
  <si>
    <t>VLA_SR.part_underbarrel_secondbarrel_acc_a</t>
  </si>
  <si>
    <t>VLA_SR.part_underbarrel_secondbarrel_acc_b</t>
  </si>
  <si>
    <t>VLA_SR.part_underbarrel_secondbarrel_acc_c</t>
  </si>
  <si>
    <t>VLA_SR.part_foregrip_01</t>
  </si>
  <si>
    <t>VLA_SR.part_foregrip_02</t>
  </si>
  <si>
    <t>VLA_SR.part_foregrip_03</t>
  </si>
  <si>
    <t>VLA_SR.part_secondary_ammo_smg</t>
  </si>
  <si>
    <t>VLA_SR.part_secondary_ammo_sg</t>
  </si>
  <si>
    <t>VLA_SR.part_secondary_ammo_ar</t>
  </si>
  <si>
    <t>VLA_SR.part_secondary_ammo_ps</t>
  </si>
  <si>
    <t>VLA_SR.part_barrel_crowdsourced</t>
  </si>
  <si>
    <t>Midnight Defiance, 1359 Damage, 87% Acc, 4.0/s FR, 50% Crit Damage</t>
  </si>
  <si>
    <t>Crowd Sourced - On hit, additional Projectiles spawn from nearby enemies</t>
  </si>
  <si>
    <t>VLA_SR.part_grip_04_hyp_finnty</t>
  </si>
  <si>
    <t>Changed to Upgraded Finnity XXX-L</t>
  </si>
  <si>
    <t>VLA_SR.part_barrel_01_stopgap</t>
  </si>
  <si>
    <t>Stop Gap, 1265 Damage, 87% Acc, 4.4/s FR, 50% Crit Damage</t>
  </si>
  <si>
    <t>Reconfigure - When firing, Fire Rate decreases down to 20%, but Damage increases up to 750%</t>
  </si>
  <si>
    <t>VLA_SR.part_barrel_01_a</t>
  </si>
  <si>
    <t>VLA_SR.part_barrel_01_b</t>
  </si>
  <si>
    <t>VLA_SR.part_barrel_01_c</t>
  </si>
  <si>
    <t>VLA_SR.part_barrel_01_d</t>
  </si>
  <si>
    <t>VLA_SR.part_barrel_02_a</t>
  </si>
  <si>
    <t>VLA_SR.part_barrel_02_b</t>
  </si>
  <si>
    <t>VLA_SR.part_barrel_02_c</t>
  </si>
  <si>
    <t>VLA_SR.part_barrel_02_d</t>
  </si>
  <si>
    <t>VLA_SR.part_barrel_licensed_ted</t>
  </si>
  <si>
    <t>VLA_SR.part_barrel_licensed_ted_shooting</t>
  </si>
  <si>
    <t>VLA_SR.part_barrel_licensed_ted_combo</t>
  </si>
  <si>
    <t>VLA_SR.part_barrel_licensed_ted_mirv</t>
  </si>
  <si>
    <t>VLA_SR.part_barrel_licensed_hyp</t>
  </si>
  <si>
    <t>VLA_SR.part_grip_05c_ted_jav</t>
  </si>
  <si>
    <t>Type ID</t>
  </si>
  <si>
    <t>Description</t>
  </si>
  <si>
    <t>Weapon.part_corrosive</t>
  </si>
  <si>
    <t>Corrosive</t>
  </si>
  <si>
    <t>First element</t>
  </si>
  <si>
    <t>Weapon.part_cryo</t>
  </si>
  <si>
    <t>Cryo</t>
  </si>
  <si>
    <t>Weapon.part_fire</t>
  </si>
  <si>
    <t>Fire</t>
  </si>
  <si>
    <t>Weapon.part_radiation</t>
  </si>
  <si>
    <t>Radiation</t>
  </si>
  <si>
    <t>Weapon.part_shock</t>
  </si>
  <si>
    <t>Shock</t>
  </si>
  <si>
    <t>Weapon.part_secondary_elem_corrosive_cryo_mal</t>
  </si>
  <si>
    <t>Corrosive/Cryo</t>
  </si>
  <si>
    <t>Second element on Maliwan weapons</t>
  </si>
  <si>
    <t>Weapon.part_secondary_elem_corrosive_fire_mal</t>
  </si>
  <si>
    <t>Corrosive/Fire</t>
  </si>
  <si>
    <t>Weapon.part_secondary_elem_corrosive_radiation_mal</t>
  </si>
  <si>
    <t>Corrosive/Radiation</t>
  </si>
  <si>
    <t>Weapon.part_secondary_elem_corrosive_shock_mal</t>
  </si>
  <si>
    <t>Corrosive/Shock</t>
  </si>
  <si>
    <t>Weapon.part_secondary_elem_cryo_corrosive_mal</t>
  </si>
  <si>
    <t>Cryo/Corrosive</t>
  </si>
  <si>
    <t>Weapon.part_secondary_elem_cryo_fire_mal</t>
  </si>
  <si>
    <t>Cryo/Fire</t>
  </si>
  <si>
    <t>Weapon.part_secondary_elem_cryo_radiation_mal</t>
  </si>
  <si>
    <t>Cryo/Radiation</t>
  </si>
  <si>
    <t>Weapon.part_secondary_elem_cryo_shock_mal</t>
  </si>
  <si>
    <t>Cryo/Shock</t>
  </si>
  <si>
    <t>Weapon.part_secondary_elem_fire_corrosive_mal</t>
  </si>
  <si>
    <t>Fire/Corrosive</t>
  </si>
  <si>
    <t>Weapon.part_secondary_elem_fire_cryo_mal</t>
  </si>
  <si>
    <t>Fire/Cryo</t>
  </si>
  <si>
    <t>Weapon.part_secondary_elem_fire_radiation_mal</t>
  </si>
  <si>
    <t>Fire Radiation</t>
  </si>
  <si>
    <t>Weapon.part_secondary_elem_fire_shock_mal</t>
  </si>
  <si>
    <t>Fire/Shock</t>
  </si>
  <si>
    <t>Weapon.part_secondary_elem_radiation_corrosive_mal</t>
  </si>
  <si>
    <t>Radiation/Corrosive</t>
  </si>
  <si>
    <t>Weapon.part_secondary_elem_radiation_cryo_mal</t>
  </si>
  <si>
    <t>Radiation/Cryo</t>
  </si>
  <si>
    <t>Weapon.part_secondary_elem_radiation_fire_mal</t>
  </si>
  <si>
    <t>Radiation/Fire</t>
  </si>
  <si>
    <t>Weapon.part_secondary_elem_radiation_shock_mal</t>
  </si>
  <si>
    <t>Radiation/Shock</t>
  </si>
  <si>
    <t>Weapon.part_secondary_elem_shock_corrosive_mal</t>
  </si>
  <si>
    <t>Shock/Corrosive</t>
  </si>
  <si>
    <t>Weapon.part_secondary_elem_shock_cryo_mal</t>
  </si>
  <si>
    <t>Shock/Cryo</t>
  </si>
  <si>
    <t>Weapon.part_secondary_elem_shock_fire_mal</t>
  </si>
  <si>
    <t>Shock/Fire</t>
  </si>
  <si>
    <t>Weapon.part_secondary_elem_shock_radiation_mal</t>
  </si>
  <si>
    <t>Shock/Radiation</t>
  </si>
  <si>
    <t>Weapon.part_secondary_elem_corrosive_cryo</t>
  </si>
  <si>
    <t>Maliwan Licenced Underbarrel</t>
  </si>
  <si>
    <t>Weapon.part_secondary_elem_corrosive_fire</t>
  </si>
  <si>
    <t>Weapon.part_secondary_elem_corrosive_radiation</t>
  </si>
  <si>
    <t>Weapon.part_secondary_elem_corrosive_shock</t>
  </si>
  <si>
    <t>Weapon.part_secondary_elem_cryo_corrosive</t>
  </si>
  <si>
    <t>Weapon.part_secondary_elem_cryo_fire</t>
  </si>
  <si>
    <t>Weapon.part_secondary_elem_cryo_radiation</t>
  </si>
  <si>
    <t>Weapon.part_secondary_elem_cryo_shock</t>
  </si>
  <si>
    <t>Weapon.part_secondary_elem_fire_corrosive</t>
  </si>
  <si>
    <t>Weapon.part_secondary_elem_fire_cryo</t>
  </si>
  <si>
    <t>Weapon.part_secondary_elem_fire_radiation</t>
  </si>
  <si>
    <t>Weapon.part_secondary_elem_fire_shock</t>
  </si>
  <si>
    <t>Weapon.part_secondary_elem_radiation_corrosive</t>
  </si>
  <si>
    <t>Weapon.part_secondary_elem_radiation_cryo</t>
  </si>
  <si>
    <t>Weapon.part_secondary_elem_radiation_fire</t>
  </si>
  <si>
    <t>Weapon.part_secondary_elem_radiation_shock</t>
  </si>
  <si>
    <t>Weapon.part_secondary_elem_shock_corrosive</t>
  </si>
  <si>
    <t>Weapon.part_secondary_elem_shock_cryo</t>
  </si>
  <si>
    <t>Weapon.part_secondary_elem_shock_fire</t>
  </si>
  <si>
    <t>Weapon.part_secondary_elem_shock_radiation</t>
  </si>
  <si>
    <t>Type</t>
  </si>
  <si>
    <t>Perk</t>
  </si>
  <si>
    <t>Lumberjack</t>
  </si>
  <si>
    <t>Timber</t>
  </si>
  <si>
    <t>Tactical Rounds</t>
  </si>
  <si>
    <t>Constellation</t>
  </si>
  <si>
    <t>use with above</t>
  </si>
  <si>
    <t>Prison Rules</t>
  </si>
  <si>
    <t>All-Arounder</t>
  </si>
  <si>
    <t>Parley</t>
  </si>
  <si>
    <t>Homemade Ingenuity</t>
  </si>
  <si>
    <t>Pair of Thieves</t>
  </si>
  <si>
    <t>Stalker</t>
  </si>
  <si>
    <t>Holy Hell</t>
  </si>
  <si>
    <t>Midday</t>
  </si>
  <si>
    <t>Proprioception</t>
  </si>
  <si>
    <t>Dueling Pistol</t>
  </si>
  <si>
    <t>Blazing Barrel</t>
  </si>
  <si>
    <t>T.K's wave</t>
  </si>
  <si>
    <t>Bullet Pollinator</t>
  </si>
  <si>
    <t>Strike Twice</t>
  </si>
  <si>
    <t>Radiation Exposure</t>
  </si>
  <si>
    <t>Chakra</t>
  </si>
  <si>
    <t>Energy Transfer</t>
  </si>
  <si>
    <t>Slow Burn</t>
  </si>
  <si>
    <t>Sierpinski</t>
  </si>
  <si>
    <t>Storm Cloud</t>
  </si>
  <si>
    <t>Big Name Hunter</t>
  </si>
  <si>
    <t>Amper Camper</t>
  </si>
  <si>
    <t>Defense Protocol</t>
  </si>
  <si>
    <t>Kismet</t>
  </si>
  <si>
    <t>Ultima Ratio Regum</t>
  </si>
  <si>
    <t>Bilateral</t>
  </si>
  <si>
    <t>Bouncing Biscuits</t>
  </si>
  <si>
    <t>Delegation</t>
  </si>
  <si>
    <t>Frequent Flyer</t>
  </si>
  <si>
    <t>Rage</t>
  </si>
  <si>
    <t>Chief Execution Officer</t>
  </si>
  <si>
    <t xml:space="preserve">Prince Harming </t>
  </si>
  <si>
    <t>Pamplemousse</t>
  </si>
  <si>
    <t>Pitcher</t>
  </si>
  <si>
    <t>Conquerer</t>
  </si>
  <si>
    <t>Executor</t>
  </si>
  <si>
    <t>D.O.P.E. Bouys</t>
  </si>
  <si>
    <t>Grasp</t>
  </si>
  <si>
    <t>Juggler</t>
  </si>
  <si>
    <t>Mutualism</t>
  </si>
  <si>
    <t>Wide Net</t>
  </si>
  <si>
    <t>Husky auto turret</t>
  </si>
  <si>
    <t>Rotary Gun</t>
  </si>
  <si>
    <t>Spudgun</t>
  </si>
  <si>
    <t>Gungnir</t>
  </si>
  <si>
    <t>Royal Armory</t>
  </si>
  <si>
    <t>Flesh Eaters</t>
  </si>
  <si>
    <t>Lightweight</t>
  </si>
  <si>
    <t>Full Coverage</t>
  </si>
  <si>
    <t>Trample</t>
  </si>
  <si>
    <t xml:space="preserve">Scrap canon </t>
  </si>
  <si>
    <t>Overdrive</t>
  </si>
  <si>
    <t>Rip Rockets</t>
  </si>
  <si>
    <t>Whistler</t>
  </si>
  <si>
    <t>Tinged Inkling</t>
  </si>
  <si>
    <t xml:space="preserve">Inkling </t>
  </si>
  <si>
    <t>Keep It Coming</t>
  </si>
  <si>
    <t>Pipin' Hot Barrels</t>
  </si>
  <si>
    <t>Crowd Sourced</t>
  </si>
  <si>
    <t xml:space="preserve">Stop Gap </t>
  </si>
  <si>
    <t>Reconfigure</t>
  </si>
  <si>
    <t>Color Spray</t>
  </si>
  <si>
    <t>corrosive, cryo, incendiary</t>
  </si>
  <si>
    <t>corrosive, cryo, radiation</t>
  </si>
  <si>
    <t>corrosive, cryo, shock</t>
  </si>
  <si>
    <t>corrosive, incendiary, radiation</t>
  </si>
  <si>
    <t>corrosive, incendiary, shock</t>
  </si>
  <si>
    <t>corrosive, radiation, shock</t>
  </si>
  <si>
    <t>cryo, incendiary, radiation</t>
  </si>
  <si>
    <t>cryo, incendiary, shock</t>
  </si>
  <si>
    <t>cryo, radiation, shock</t>
  </si>
  <si>
    <t>incendiary, radiation, shock</t>
  </si>
  <si>
    <t>Part String</t>
  </si>
  <si>
    <t>Comments</t>
  </si>
  <si>
    <t>MAL_HW.part_barrel_02_dXa</t>
  </si>
  <si>
    <t>MIRV</t>
  </si>
  <si>
    <t>Spawns 3 MIRV Orbs on explosion</t>
  </si>
  <si>
    <t>MAL_HW.part_barrel_02_aXD</t>
  </si>
  <si>
    <t>Proxy Homing</t>
  </si>
  <si>
    <t>Homes in on a nearby target before exploding</t>
  </si>
  <si>
    <t>MAL_HW.part_body</t>
  </si>
  <si>
    <t>MAL_HW.part_body_a</t>
  </si>
  <si>
    <t>High-Capacity</t>
  </si>
  <si>
    <t>MAL_HW.part_body_b</t>
  </si>
  <si>
    <t>High-Energy</t>
  </si>
  <si>
    <t>MAL_HW.part_body_c</t>
  </si>
  <si>
    <t>-Cooldown</t>
  </si>
  <si>
    <t>Shunted</t>
  </si>
  <si>
    <t>MAL_HW.part_body_d</t>
  </si>
  <si>
    <t>Abnormal</t>
  </si>
  <si>
    <t>MAL_HW.part_barrel_01</t>
  </si>
  <si>
    <t>C-Beam, 70s CD, 13831 Damage, 72% Acc, 0.8/s FR, 3 Shots</t>
  </si>
  <si>
    <t>Energy Bolt</t>
  </si>
  <si>
    <t>MAL_HW.part_barrel_02</t>
  </si>
  <si>
    <t>Supercell, 55s CD, 6692 Damage, 65% Acc, 1.6/s FR, 6 Shots</t>
  </si>
  <si>
    <t>Energy Orb</t>
  </si>
  <si>
    <t>MAL_HW.part_barrel_01_a</t>
  </si>
  <si>
    <t>Ricochet</t>
  </si>
  <si>
    <t>Projectiles bounce off of surfaces</t>
  </si>
  <si>
    <t>MAL_HW.part_barrel_01_b</t>
  </si>
  <si>
    <t>Penetration</t>
  </si>
  <si>
    <t>Projectiles pierce through enemies</t>
  </si>
  <si>
    <t>MAL_HW.part_barrel_01_c</t>
  </si>
  <si>
    <t>-Cooldown, +Damage, +Fire Rate</t>
  </si>
  <si>
    <t>Speed Loader</t>
  </si>
  <si>
    <t>Fire Rate is increased by 30%</t>
  </si>
  <si>
    <t>MAL_HW.part_barrel_01_d</t>
  </si>
  <si>
    <t>Overload</t>
  </si>
  <si>
    <t>Directly damaged enemies explode for additional Damage after a delay</t>
  </si>
  <si>
    <t>MAL_HW.part_barrel_02_a</t>
  </si>
  <si>
    <t>MAL_HW.part_barrel_02_b</t>
  </si>
  <si>
    <t>Two Shot</t>
  </si>
  <si>
    <t>Fires 2 Projectiles at a time</t>
  </si>
  <si>
    <t>MAL_HW.part_barrel_02_c</t>
  </si>
  <si>
    <t>Aerodynamics</t>
  </si>
  <si>
    <t>Projectile Speed is increased by +100%</t>
  </si>
  <si>
    <t>MAL_HW.part_barrel_02_d</t>
  </si>
  <si>
    <t>MAL_HW.part_barrel_02_GammaVoid</t>
  </si>
  <si>
    <t>Gamma Void, 100s CD, 2008 Damage, 65% Acc, 5.0/s FR 1 Shot</t>
  </si>
  <si>
    <t>Radiation Exposure - Creates a Singularity for 6s, in which enemies take +50% Radiation Damage over time</t>
  </si>
  <si>
    <t>MAL_HW.part_barrel_02_BottledLightning</t>
  </si>
  <si>
    <t>Bottled Lightning, 75s CD, 6692 Damage, 65% Acc, 1.6/s FR, 2 Shots</t>
  </si>
  <si>
    <t>BOR_HW.part_barrel_01_Streamer</t>
  </si>
  <si>
    <t>Streamer, 120s CD, 3346 Damage, 81% Acc, 2.0/s FR, 8 Shots</t>
  </si>
  <si>
    <t>Delegation - Launches stationary Projectiles that each fire a Beam forward</t>
  </si>
  <si>
    <t>BOR_HW.part_barrel_01_dXa</t>
  </si>
  <si>
    <t>-Damage</t>
  </si>
  <si>
    <t>Explosive</t>
  </si>
  <si>
    <t>Damage splashes to other enemies near the target</t>
  </si>
  <si>
    <t>BOR_HW.part_barrel_01_aXd</t>
  </si>
  <si>
    <t>Beam Splitter</t>
  </si>
  <si>
    <t>The beam splits up to 2 other nearby targets</t>
  </si>
  <si>
    <t>BOR_HW.part_barrel_02_dXc</t>
  </si>
  <si>
    <t>Compound</t>
  </si>
  <si>
    <t>Deals increased Damage per enemy hit</t>
  </si>
  <si>
    <t>BOR_HW.part_barrel_02_cXd</t>
  </si>
  <si>
    <t>-Cooldown, +Damage</t>
  </si>
  <si>
    <t>BOR_HW.part_barrel_02_dXa</t>
  </si>
  <si>
    <t>Wide Disk</t>
  </si>
  <si>
    <t>Increases the Projectile width</t>
  </si>
  <si>
    <t>BOR_HW.part_barrel_02_aXD</t>
  </si>
  <si>
    <t>BOR_HW.part_barrel_02_cXa</t>
  </si>
  <si>
    <t>BOR_HW.part_barrel_02_aXC</t>
  </si>
  <si>
    <t>BOR_HW.part_body</t>
  </si>
  <si>
    <t>BOR_HW.part_body_a</t>
  </si>
  <si>
    <t>Chosen</t>
  </si>
  <si>
    <t>BOR_HW.part_body_b</t>
  </si>
  <si>
    <t>Bestowed</t>
  </si>
  <si>
    <t>BOR_HW.part_body_c</t>
  </si>
  <si>
    <t>Ritualized</t>
  </si>
  <si>
    <t>BOR_HW.part_body_d</t>
  </si>
  <si>
    <t>Strange</t>
  </si>
  <si>
    <t>BOR_HW.part_barrel_01</t>
  </si>
  <si>
    <t>Auspex, 120s CD, 3123 Damage, 81% Acc, 4.0/s FR, 24 Shots</t>
  </si>
  <si>
    <t>Beam Rifle</t>
  </si>
  <si>
    <t>BOR_HW.part_barrel_02</t>
  </si>
  <si>
    <t>Razor, 50s CD, 9815 Damage, 70% Acc, 1.4/s FR, 4 Shots</t>
  </si>
  <si>
    <t>Disc Launcher</t>
  </si>
  <si>
    <t>BOR_HW.part_barrel_01_a</t>
  </si>
  <si>
    <t>BOR_HW.part_barrel_01_b</t>
  </si>
  <si>
    <t>Thermal Convection</t>
  </si>
  <si>
    <t>Damage increases the longer the beam is fired</t>
  </si>
  <si>
    <t>BOR_HW.part_barrel_01_c</t>
  </si>
  <si>
    <t>Heat Sink</t>
  </si>
  <si>
    <t>Magazine Size is increased by 25%</t>
  </si>
  <si>
    <t>BOR_HW.part_barrel_01_d</t>
  </si>
  <si>
    <t>BOR_HW.part_barrel_02_a</t>
  </si>
  <si>
    <t>BOR_HW.part_barrel_02_b</t>
  </si>
  <si>
    <t>Heat Exchange</t>
  </si>
  <si>
    <t>Fires full auto after the initial charge</t>
  </si>
  <si>
    <t>BOR_HW.part_barrel_02_c</t>
  </si>
  <si>
    <t>BOR_HW.part_barrel_02_d</t>
  </si>
  <si>
    <t>BOR_HW.part_barrel_02_DiscJockey</t>
  </si>
  <si>
    <t>Disc Jockey, 60s CD, 1115 Damage, 83% Acc, 3.0/s FR, 8 Shots</t>
  </si>
  <si>
    <t>Bouncing Biscuits - Energy disc Projectiles bounce up to 5 times, and gain +20% Damage per bounce</t>
  </si>
  <si>
    <t>BOR_HW.part_barrel_02_jetset</t>
  </si>
  <si>
    <t>Jetsetter, 40s CD, 2320 x 3 Damage, 63% Acc, 1.5/s FR, 5 Shots</t>
  </si>
  <si>
    <t>TOR_HW.part_barrel_01_dXc</t>
  </si>
  <si>
    <t>Reticle Homing</t>
  </si>
  <si>
    <t>Rocket homes in on the Reticle's target</t>
  </si>
  <si>
    <t>TOR_HW.part_barrel_01_dXb</t>
  </si>
  <si>
    <t>TOR_HW.part_barrel_01_dXa</t>
  </si>
  <si>
    <t>TOR_HW.part_barrel_01_cxd</t>
  </si>
  <si>
    <t>-Cooldown, -Damage</t>
  </si>
  <si>
    <t>Air Burst</t>
  </si>
  <si>
    <t>Rockets explode when in proximity of an enemy</t>
  </si>
  <si>
    <t>TOR_HW.part_barrel_01_bxd</t>
  </si>
  <si>
    <t>Shrapnel Rockets</t>
  </si>
  <si>
    <t>On exploding, propels shrapnel forward</t>
  </si>
  <si>
    <t>TOR_HW.part_barrel_01_aXd</t>
  </si>
  <si>
    <t>Triple Barrel</t>
  </si>
  <si>
    <t>Fires swirling Rockets, or charge up to fire all of them at once</t>
  </si>
  <si>
    <t>TOR_HW.part_barrel_01_cxb</t>
  </si>
  <si>
    <t>TOR_HW.part_barrel_01_bXC</t>
  </si>
  <si>
    <t>TOR_HW.part_barrel_01_axc</t>
  </si>
  <si>
    <t>TOR_HW.part_barrel_01_cxa</t>
  </si>
  <si>
    <t>TOR_HW.part_barrel_01_bxa</t>
  </si>
  <si>
    <t>TOR_HW.part_barrel_01_axb</t>
  </si>
  <si>
    <t>TOR_HW.part_body</t>
  </si>
  <si>
    <t>TOR_HW.part_body_a</t>
  </si>
  <si>
    <t>Blasting</t>
  </si>
  <si>
    <t>TOR_HW.part_body_b</t>
  </si>
  <si>
    <t>+Splash Radius</t>
  </si>
  <si>
    <t>Covering</t>
  </si>
  <si>
    <t>TOR_HW.part_body_c</t>
  </si>
  <si>
    <t>Eager</t>
  </si>
  <si>
    <t>TOR_HW.part_body_d</t>
  </si>
  <si>
    <t>Itchy</t>
  </si>
  <si>
    <t>TOR_HW.part_barrel_01</t>
  </si>
  <si>
    <t>Shoot Chute, 50s CD, 8254 Damage, 64% Acc, 1.0/s FR, 6 Shots</t>
  </si>
  <si>
    <t>Rocket Launcher</t>
  </si>
  <si>
    <t>TOR_HW.part_barrel_02</t>
  </si>
  <si>
    <t>Rainmaker, 70s CD, 1896 Damage, 61% Acc, 6.3/s FR, 25 Shots</t>
  </si>
  <si>
    <t>Micro Missile Launcher</t>
  </si>
  <si>
    <t>TOR_HW.part_barrel_01_a</t>
  </si>
  <si>
    <t>TOR_HW.part_barrel_01_b</t>
  </si>
  <si>
    <t>TOR_HW.part_barrel_01_c</t>
  </si>
  <si>
    <t>TOR_HW.part_barrel_01_d</t>
  </si>
  <si>
    <t>TOR_HW.part_barrel_02_a</t>
  </si>
  <si>
    <t>Fires 2 Rockets at a time</t>
  </si>
  <si>
    <t>TOR_HW.part_barrel_02_b</t>
  </si>
  <si>
    <t>-Cooldown, +Fire Rate</t>
  </si>
  <si>
    <t>Fire Rate</t>
  </si>
  <si>
    <t>Fire Rate is increased by +30%</t>
  </si>
  <si>
    <t>TOR_HW.part_barrel_02_c</t>
  </si>
  <si>
    <t>Extended Magazine</t>
  </si>
  <si>
    <t>Magazine Size is increased by +25%</t>
  </si>
  <si>
    <t>TOR_HW.part_barrel_02_d</t>
  </si>
  <si>
    <t>Scanning</t>
  </si>
  <si>
    <t>Rockets home toward nearby targets</t>
  </si>
  <si>
    <t>TOR_HW.part_barrel_javelin</t>
  </si>
  <si>
    <t>Sprezzatura, 50s CD, 17846 Damage, 64% Acc, 0.6/s FR, 2 Shots</t>
  </si>
  <si>
    <t>TOR_HW.part_unique_barrel_01_sidewinder</t>
  </si>
  <si>
    <t>Sidewinder, 4s CD, 6692 Damage, 64% Acc, 1.5/s FR 5 Shots</t>
  </si>
  <si>
    <t>TOR_HW.part_unique_barrel_02_ravenfire</t>
  </si>
  <si>
    <t>Ravenfire, 70s CD, 2231 Damage, 61% Acc, 2.0/s FR, 4 Shots</t>
  </si>
  <si>
    <t>621 - Explosions radiate outward from the point of impact</t>
  </si>
  <si>
    <t>VLA_HW.part_barrel_02_Splatoon</t>
  </si>
  <si>
    <t>Inkling, 50s CD, 2454 Damage, 76% Acc, 4.0/s FR, 12 Shots</t>
  </si>
  <si>
    <t>Inklink - Fires bouncing Projectiles that leave an Elemental Splat on Bounce</t>
  </si>
  <si>
    <t>VLA_HW.part_barrel_02_ad</t>
  </si>
  <si>
    <t>VLA_HW.part_barrel_02_ac</t>
  </si>
  <si>
    <t>VLA_HW.part_body</t>
  </si>
  <si>
    <t>VLA_HW.part_body_a</t>
  </si>
  <si>
    <t>Mad</t>
  </si>
  <si>
    <t>VLA_HW.part_body_b</t>
  </si>
  <si>
    <t>Wide</t>
  </si>
  <si>
    <t>VLA_HW.part_body_c</t>
  </si>
  <si>
    <t>Thorough</t>
  </si>
  <si>
    <t>VLA_HW.part_body_d</t>
  </si>
  <si>
    <t>Tinged</t>
  </si>
  <si>
    <t>VLA_HW.part_barrel_02</t>
  </si>
  <si>
    <t>Golub, 50s CD, 2454 Damage, 76% Acc, 4.0/s FR, 12 Shots</t>
  </si>
  <si>
    <t>Cannon Barrel</t>
  </si>
  <si>
    <t>VLA_HW.part_barrel_01_a</t>
  </si>
  <si>
    <t>Additional Barrel</t>
  </si>
  <si>
    <t>Adds 1 additional barrel, increasing Fire Rate by +17%</t>
  </si>
  <si>
    <t>VLA_HW.part_barrel_01_b</t>
  </si>
  <si>
    <t>Angel's Share</t>
  </si>
  <si>
    <t>Every 6th shot doesn't cost Ammo</t>
  </si>
  <si>
    <t>VLA_HW.part_barrel_01_c</t>
  </si>
  <si>
    <t>+Cooldown, +Damage</t>
  </si>
  <si>
    <t>Magic Bullet</t>
  </si>
  <si>
    <t>Every 6th shot is homing</t>
  </si>
  <si>
    <t>VLA_HW.part_barrel_01_d</t>
  </si>
  <si>
    <t>Devil's Share</t>
  </si>
  <si>
    <t>Every 6th shot deals +100% Damage</t>
  </si>
  <si>
    <t>VLA_HW.part_barrel_02_a</t>
  </si>
  <si>
    <t>Additional Barrels</t>
  </si>
  <si>
    <t>Adds 2 additional barrels, increasing Fire Rate by -65%</t>
  </si>
  <si>
    <t>VLA_HW.part_barrel_02_b</t>
  </si>
  <si>
    <t>Explosive Rounds</t>
  </si>
  <si>
    <t>Explosive Rounds - Increases Damage by +125% and Damage Radius by +200%</t>
  </si>
  <si>
    <t>VLA_HW.part_barrel_02_c</t>
  </si>
  <si>
    <t>Two-Shot - 2 barrels fire simultaneously</t>
  </si>
  <si>
    <t>VLA_HW.part_barrel_02_d</t>
  </si>
  <si>
    <t>Penetration - Projectiles pierce through enemies</t>
  </si>
  <si>
    <t>VLA_HW.part_unique_barrel_01_atlinggun</t>
  </si>
  <si>
    <t>Atling Gun, 90s CD, 446 Damage, 41% Acc, 40.0/s FR, 90 Shots</t>
  </si>
  <si>
    <t>VLA_HW.part_barrel_01_cxd</t>
  </si>
  <si>
    <t>VLA_HW.part_barrel_01_dXc</t>
  </si>
  <si>
    <t>VLA_HW.part_barrel_01</t>
  </si>
  <si>
    <t>Steelburner, 80s CD, 357 Damage, 71% Acc, 30.0/s FR, 120 Shots</t>
  </si>
  <si>
    <t>Minigun Barrel</t>
  </si>
  <si>
    <t>God Killer</t>
  </si>
  <si>
    <t>repair_kit.part_firmware_god_killer</t>
  </si>
  <si>
    <t>Reel Big Fist</t>
  </si>
  <si>
    <t>repair_kit.part_firmware_reel_big_fist</t>
  </si>
  <si>
    <t>Lifeblood</t>
  </si>
  <si>
    <t>repair_kit.part_firmware_lifeblood</t>
  </si>
  <si>
    <t>Airstrike</t>
  </si>
  <si>
    <t>repair_kit.part_firmware_airstrike</t>
  </si>
  <si>
    <t>High Caliber</t>
  </si>
  <si>
    <t>repair_kit.part_firmware_high_caliber</t>
  </si>
  <si>
    <t>Gadget Ahoy</t>
  </si>
  <si>
    <t>repair_kit.part_firmware_gadget_ahoy</t>
  </si>
  <si>
    <t>Baker</t>
  </si>
  <si>
    <t>repair_kit.part_firmware_baker</t>
  </si>
  <si>
    <t>repair_kit.part_firmware_oscar_mike</t>
  </si>
  <si>
    <t>Rubberband Man</t>
  </si>
  <si>
    <t>repair_kit.part_firmware_rubberband_man</t>
  </si>
  <si>
    <t>Deadeye</t>
  </si>
  <si>
    <t>repair_kit.part_firmware_deadeye</t>
  </si>
  <si>
    <t>Action Fist</t>
  </si>
  <si>
    <t>repair_kit.part_firmware_action_fist</t>
  </si>
  <si>
    <t>GooJFC</t>
  </si>
  <si>
    <t>repair_kit.part_firmware_goojfc</t>
  </si>
  <si>
    <t>Atlas E.X.</t>
  </si>
  <si>
    <t>repair_kit.part_firmware_atlas_ex</t>
  </si>
  <si>
    <t>Atlas Infinum</t>
  </si>
  <si>
    <t>repair_kit.part_firmware_atlas_infinum</t>
  </si>
  <si>
    <t>Trickshot</t>
  </si>
  <si>
    <t>repair_kit.part_firmware_trickshot</t>
  </si>
  <si>
    <t>Jacked</t>
  </si>
  <si>
    <t>repair_kit.part_firmware_jacked</t>
  </si>
  <si>
    <t>Get Throwin'</t>
  </si>
  <si>
    <t>repair_kit.part_firmware_get_throwin</t>
  </si>
  <si>
    <t>Heating Up</t>
  </si>
  <si>
    <t>repair_kit.part_firmware_heating_up</t>
  </si>
  <si>
    <t>Bullets to Spare</t>
  </si>
  <si>
    <t>repair_kit.part_firmware_bullets_to_spare</t>
  </si>
  <si>
    <t>Daed-dy O'</t>
  </si>
  <si>
    <t>repair_kit.part_firmware_daeddy_o</t>
  </si>
  <si>
    <t>Everlasting</t>
  </si>
  <si>
    <t>repair_kit.part_aug_u_rep_kit_duration_sec_jak_vla</t>
  </si>
  <si>
    <t>+20% Capacity and Duration</t>
  </si>
  <si>
    <t>Use with JAK or VLA repkits</t>
  </si>
  <si>
    <t>Resistance</t>
  </si>
  <si>
    <t>repair_kit.part_aug_D_Elemental_Resist_Shock_sec</t>
  </si>
  <si>
    <t>+50% Shock Resistance for 10s</t>
  </si>
  <si>
    <t>repair_kit.part_aug_D_Elemental_Resist_Radiation_sec</t>
  </si>
  <si>
    <t>+50% Radiation Resistance for 10s</t>
  </si>
  <si>
    <t>repair_kit.part_aug_D_Elemental_Resist_Fire_sec</t>
  </si>
  <si>
    <t>+50% Fire Resistance for 10s</t>
  </si>
  <si>
    <t>repair_kit.part_aug_D_Elemental_Resist_Cryo_sec</t>
  </si>
  <si>
    <t>+50% Cryo Resistance for 10s</t>
  </si>
  <si>
    <t>repair_kit.part_aug_D_Elemental_Resist_Corrosive_sec</t>
  </si>
  <si>
    <t>+50% Corrosive Resistance for 10s</t>
  </si>
  <si>
    <t>Immunity</t>
  </si>
  <si>
    <t>repair_kit.part_aug_ele_immunity_shock_sec</t>
  </si>
  <si>
    <t>Shock Immunity for 3s</t>
  </si>
  <si>
    <t>repair_kit.part_aug_ele_immunity_radiation_sec</t>
  </si>
  <si>
    <t>Radiation Immunity for 3s</t>
  </si>
  <si>
    <t>repair_kit.part_aug_ele_immunity_fire_sec</t>
  </si>
  <si>
    <t>Fire Immunity for 3s</t>
  </si>
  <si>
    <t>repair_kit.part_aug_ele_immunity_cryo_sec</t>
  </si>
  <si>
    <t>Cryo Immunity for 3s</t>
  </si>
  <si>
    <t>repair_kit.part_aug_ele_immunity_corrosive_sec</t>
  </si>
  <si>
    <t>Corrosive Immunity for 3s</t>
  </si>
  <si>
    <t>Splat</t>
  </si>
  <si>
    <t>Shock Splat</t>
  </si>
  <si>
    <t>repair_kit.part_aug_ele_splat_shock</t>
  </si>
  <si>
    <t>Spawns a Shock Splat</t>
  </si>
  <si>
    <t>Radiation Splat</t>
  </si>
  <si>
    <t>repair_kit.part_aug_ele_splat_radiation</t>
  </si>
  <si>
    <t>Spawns a Radiation Splat</t>
  </si>
  <si>
    <t>Cryo Splat</t>
  </si>
  <si>
    <t>repair_kit.part_aug_ele_splat_cryo</t>
  </si>
  <si>
    <t>Spawns a Cryo Splat</t>
  </si>
  <si>
    <t>Corrosive Splat</t>
  </si>
  <si>
    <t>repair_kit.part_aug_ele_splat_corrosive</t>
  </si>
  <si>
    <t>Spawns a Corrosive Splat</t>
  </si>
  <si>
    <t>Fire Splat</t>
  </si>
  <si>
    <t>repair_kit.part_aug_ele_splat_fire</t>
  </si>
  <si>
    <t>Spawns a Fire Splat</t>
  </si>
  <si>
    <t>Nova</t>
  </si>
  <si>
    <t>Corrosive Nova</t>
  </si>
  <si>
    <t>repair_kit.part_aug_ele_nova_Corrosive</t>
  </si>
  <si>
    <t>Releases a Corrosive Nova</t>
  </si>
  <si>
    <t>Cryo Nova</t>
  </si>
  <si>
    <t>repair_kit.part_aug_ele_nova_Cryo</t>
  </si>
  <si>
    <t>Releases a Cryo Nova</t>
  </si>
  <si>
    <t>Fire Nova</t>
  </si>
  <si>
    <t>repair_kit.part_aug_ele_nova_Fire</t>
  </si>
  <si>
    <t>Releases a Fire Nova</t>
  </si>
  <si>
    <t>Radiation Nova</t>
  </si>
  <si>
    <t>repair_kit.part_aug_ele_nova_Radiaion</t>
  </si>
  <si>
    <t>Releases a Radiation Nova</t>
  </si>
  <si>
    <t>Shock Nova</t>
  </si>
  <si>
    <t>repair_kit.part_aug_ele_nova_Shock</t>
  </si>
  <si>
    <t>Releases a Shock Nova</t>
  </si>
  <si>
    <t>repair_kit.part_aug_ele_immunity_shock</t>
  </si>
  <si>
    <t>repair_kit.part_aug_ele_immunity_radiation</t>
  </si>
  <si>
    <t>repair_kit.part_aug_ele_immunity_fire</t>
  </si>
  <si>
    <t>repair_kit.part_aug_ele_immunity_cryo</t>
  </si>
  <si>
    <t>repair_kit.part_aug_ele_immunity_corrosive</t>
  </si>
  <si>
    <t>repair_kit.part_aug_D_Elemental_Resist_Radiation</t>
  </si>
  <si>
    <t>repair_kit.part_aug_D_Elemental_Resist_Cryo</t>
  </si>
  <si>
    <t>repair_kit.part_aug_D_Elemental_Resist_Shock</t>
  </si>
  <si>
    <t>repair_kit.part_aug_D_Elemental_Resist_Fire</t>
  </si>
  <si>
    <t>repair_kit.part_aug_D_Elemental_Resist_Corrosive</t>
  </si>
  <si>
    <t>Medic</t>
  </si>
  <si>
    <t>repair_kit.part_aug_d_aoe_heal</t>
  </si>
  <si>
    <t>Heals nearby allies for 50% of the healing amount</t>
  </si>
  <si>
    <t>Part</t>
  </si>
  <si>
    <t>PLACEHOLDER</t>
  </si>
  <si>
    <t>Used when no primary perk is selected</t>
  </si>
  <si>
    <t>Overshield</t>
  </si>
  <si>
    <t>repair_kit.part_aug_d_Overshield</t>
  </si>
  <si>
    <t>Overshield of initial heal amount instead of healing</t>
  </si>
  <si>
    <t>Health Burst</t>
  </si>
  <si>
    <t>repair_kit.part_aug_d_HealthBurst</t>
  </si>
  <si>
    <t>Additional burst of 50% of initial value after 8s</t>
  </si>
  <si>
    <t>Power Cycle</t>
  </si>
  <si>
    <t>repair_kit.part_aug_d_ShieldCharge</t>
  </si>
  <si>
    <t>Instantly start recharging Energy Shield</t>
  </si>
  <si>
    <t>Leech</t>
  </si>
  <si>
    <t>repair_kit.part_aug_d_Lifesteal</t>
  </si>
  <si>
    <t>30% Lifesteal for 8s</t>
  </si>
  <si>
    <t>Tank</t>
  </si>
  <si>
    <t>repair_kit.part_aug_d_Dmg_Reduction_On_Use</t>
  </si>
  <si>
    <t>-50% Damage Taken for 8s</t>
  </si>
  <si>
    <t>repair_kit.part_aug_u_rep_kit_duration</t>
  </si>
  <si>
    <t>Enrage</t>
  </si>
  <si>
    <t>repair_kit.part_aug_u_alldmg_on_use</t>
  </si>
  <si>
    <t>+30% Damage Dealt, +15% Damage Taken for 8s</t>
  </si>
  <si>
    <t>Accelerator</t>
  </si>
  <si>
    <t>repair_kit.part_aug_u_askill_cooldown_on_use</t>
  </si>
  <si>
    <t>+100% Action Skill Cooldown Rate for 8s</t>
  </si>
  <si>
    <t>Elemental Affinity</t>
  </si>
  <si>
    <t>repair_kit.part_aug_o_elemental_dmg_on_use</t>
  </si>
  <si>
    <t>+25% Elemental Damage for 8s</t>
  </si>
  <si>
    <t>Splash Damage</t>
  </si>
  <si>
    <t>repair_kit.part_aug_o_splashdmg_on_use</t>
  </si>
  <si>
    <t>+25% Splash Damage for 8s</t>
  </si>
  <si>
    <t>Reload Speed</t>
  </si>
  <si>
    <t>repair_kit.part_aug_o_reload_speed_on_use</t>
  </si>
  <si>
    <t>+25% Reload speed for 8s</t>
  </si>
  <si>
    <t>Lower healing, longer cooldown</t>
  </si>
  <si>
    <t>repair_kit.part_aug_o_nova_blast_on_use</t>
  </si>
  <si>
    <t>-Healing, -HoT, +CD</t>
  </si>
  <si>
    <t>USE WITH NOVA PARTS</t>
  </si>
  <si>
    <t>Speed</t>
  </si>
  <si>
    <t>repair_kit.part_aug_u_move_speed_on_use</t>
  </si>
  <si>
    <t>+40% Movement Speed for 8s</t>
  </si>
  <si>
    <t>Go Go Gadget</t>
  </si>
  <si>
    <t>repair_kit.part_aug_u_gadget_cooldown_on_use</t>
  </si>
  <si>
    <t>+50% Ordnance Cooldown Rate for 8s</t>
  </si>
  <si>
    <t>Hard Hitter</t>
  </si>
  <si>
    <t>repair_kit.part_aug_o_melee_boost_on_use</t>
  </si>
  <si>
    <t>+50% Melee Damage for 8s</t>
  </si>
  <si>
    <t>Overdose</t>
  </si>
  <si>
    <t>repair_kit.part_aug_d_increased_healing</t>
  </si>
  <si>
    <t>+45% All Healing Recieved for 8s</t>
  </si>
  <si>
    <t>repair_kit.part_aug_o_fire_rate_on_use</t>
  </si>
  <si>
    <t>+15% Fire Rate for 8s</t>
  </si>
  <si>
    <t>Amp</t>
  </si>
  <si>
    <t>repair_kit.part_aug_o_amp_next_shot</t>
  </si>
  <si>
    <t>+200% Damage for next shot</t>
  </si>
  <si>
    <t>Repkit Cooling</t>
  </si>
  <si>
    <t>repair_kit.part_aug_u_rep_kit_cd_reduction</t>
  </si>
  <si>
    <t>-33% Repkit Cooldown Duration</t>
  </si>
  <si>
    <t>repair_kit.part_aug_d_aoe_heal_sec</t>
  </si>
  <si>
    <t>Used when no secondary perk is selected</t>
  </si>
  <si>
    <t>repair_kit.part_aug_d_Overshield_sec</t>
  </si>
  <si>
    <t>repair_kit.part_aug_d_HealthBurst_sec</t>
  </si>
  <si>
    <t>repair_kit.part_aug_d_ShieldCharge_sec</t>
  </si>
  <si>
    <t>repair_kit.part_aug_d_Lifesteal_sec</t>
  </si>
  <si>
    <t>repair_kit.part_aug_d_Dmg_Reduction_On_Use_sec</t>
  </si>
  <si>
    <t>repair_kit.part_aug_u_rep_kit_duration_sec</t>
  </si>
  <si>
    <t>repair_kit.part_aug_u_alldmg_on_use_sec</t>
  </si>
  <si>
    <t>repair_kit.part_aug_u_askill_cooldown_on_use_sec</t>
  </si>
  <si>
    <t>repair_kit.part_aug_o_elemental_dmg_on_use_sec</t>
  </si>
  <si>
    <t>repair_kit.part_aug_o_splashdmg_on_use_sec</t>
  </si>
  <si>
    <t>repair_kit.part_aug_o_reload_speed_on_use_sec</t>
  </si>
  <si>
    <t>repair_kit.part_aug_o_nova_blast_on_use_sec</t>
  </si>
  <si>
    <t>repair_kit.part_aug_u_move_speed_on_use_sec</t>
  </si>
  <si>
    <t>repair_kit.part_aug_u_gadget_cooldown_on_use_sec</t>
  </si>
  <si>
    <t>repair_kit.part_aug_o_melee_boost_on_use_sec</t>
  </si>
  <si>
    <t>repair_kit.part_aug_d_increased_healing_sec</t>
  </si>
  <si>
    <t>repair_kit.part_aug_o_fire_rate_on_use_sec</t>
  </si>
  <si>
    <t>repair_kit.part_aug_o_amp_next_shot_sec</t>
  </si>
  <si>
    <t>repair_kit.part_aug_u_rep_kit_cd_reduction_sec</t>
  </si>
  <si>
    <t>Elemental</t>
  </si>
  <si>
    <t>repair_kit.part_element_fire</t>
  </si>
  <si>
    <t>Match this part with the perk element</t>
  </si>
  <si>
    <t>repair_kit.part_element_radiation</t>
  </si>
  <si>
    <t>repair_kit.part_element_corrosive</t>
  </si>
  <si>
    <t>repair_kit.part_element_shock</t>
  </si>
  <si>
    <t>part_element_cryo</t>
  </si>
  <si>
    <t>Size</t>
  </si>
  <si>
    <t>Mini</t>
  </si>
  <si>
    <t>repair_kit.part_payload_small</t>
  </si>
  <si>
    <t>Lower healing amount and cooldown</t>
  </si>
  <si>
    <t>Standard</t>
  </si>
  <si>
    <t>repair_kit.part_payload_medium</t>
  </si>
  <si>
    <t>Large</t>
  </si>
  <si>
    <t>repair_kit.part_payload_large</t>
  </si>
  <si>
    <t>More healing, longer cooldown</t>
  </si>
  <si>
    <t>Mega</t>
  </si>
  <si>
    <t>repair_kit.part_payload_huge</t>
  </si>
  <si>
    <t>Even more healing, even longer cooldown</t>
  </si>
  <si>
    <t>Risky Boots</t>
  </si>
  <si>
    <t>repair_kit.part_firmware_risky_boots</t>
  </si>
  <si>
    <t>Juicer</t>
  </si>
  <si>
    <t>tor_repair_kit.part_tor</t>
  </si>
  <si>
    <t>1190, 1190 6s, 16s CD</t>
  </si>
  <si>
    <t>tor_repair_kit.part_augment_unique_ShinyWarPaint</t>
  </si>
  <si>
    <t>Chrome</t>
  </si>
  <si>
    <t>Tonic</t>
  </si>
  <si>
    <t>jak_repair_kit.part_jak</t>
  </si>
  <si>
    <t>4461, , 24s CD</t>
  </si>
  <si>
    <t>jak_repair_kit.part_augment_unique_Defibrillator</t>
  </si>
  <si>
    <t>Cardiac Shot</t>
  </si>
  <si>
    <t>Refresher</t>
  </si>
  <si>
    <t>mal_repair_kit.part_mal</t>
  </si>
  <si>
    <t>2900, 1562 8s, 20s CD</t>
  </si>
  <si>
    <t>mal_repair_kit.part_augment_unique_BloodAnalyzer</t>
  </si>
  <si>
    <t>Immunity Shot</t>
  </si>
  <si>
    <t>vla_repair_kit.part_augment_unique_AdrenalinePump</t>
  </si>
  <si>
    <t>Blood Rush</t>
  </si>
  <si>
    <t>Sobirat</t>
  </si>
  <si>
    <t>vla_repair_kit.part_vla</t>
  </si>
  <si>
    <t>2082, , 16s CD</t>
  </si>
  <si>
    <t>Scabber</t>
  </si>
  <si>
    <t>bor_repair_kit.part_borg</t>
  </si>
  <si>
    <t>, 5949 10s, 20s CD</t>
  </si>
  <si>
    <t>bor_repair_kit.part_augment_unique_augmenter</t>
  </si>
  <si>
    <t>Time Dialation</t>
  </si>
  <si>
    <t>Stim</t>
  </si>
  <si>
    <t>dad_repair_kit.part_dad</t>
  </si>
  <si>
    <t>1562, 2900 8s, 20s CD</t>
  </si>
  <si>
    <t>dad_repair_kit.part_augment_unique_healthraiser</t>
  </si>
  <si>
    <t>Soothing</t>
  </si>
  <si>
    <t>dad_repair_kit.part_augment_unique_Pacemaker</t>
  </si>
  <si>
    <t>Pulseometer</t>
  </si>
  <si>
    <t>ord_repair_kit.part_augment_unique_TripleBypass</t>
  </si>
  <si>
    <t>Heart Pump</t>
  </si>
  <si>
    <t>Recorporator</t>
  </si>
  <si>
    <t>ord_repair_kit.part_ord</t>
  </si>
  <si>
    <t>2082, 2082 8s, 24s CD</t>
  </si>
  <si>
    <t>ted_repair_kit.part_augment_unique_KillSpring</t>
  </si>
  <si>
    <t>Blood Siphon</t>
  </si>
  <si>
    <t>Pocket Doc</t>
  </si>
  <si>
    <t>ted_repair_kit.part_ted</t>
  </si>
  <si>
    <t>, 2974 8s, 16s CD</t>
  </si>
  <si>
    <t>grenade_gadget.part_firmware_god_killer</t>
  </si>
  <si>
    <t>grenade_gadget.part_firmware_reel_big_fist</t>
  </si>
  <si>
    <t>grenade_gadget.part_firmware_lifeblood</t>
  </si>
  <si>
    <t>grenade_gadget.part_firmware_airstrike</t>
  </si>
  <si>
    <t>grenade_gadget.part_firmware_high_caliber</t>
  </si>
  <si>
    <t>grenade_gadget.part_firmware_gadget_ahoy</t>
  </si>
  <si>
    <t>grenade_gadget.part_firmware_baker</t>
  </si>
  <si>
    <t>grenade_gadget.part_firmware_oscar_mike</t>
  </si>
  <si>
    <t>grenade_gadget.part_firmware_rubberband_man</t>
  </si>
  <si>
    <t>grenade_gadget.part_firmware_deadeye</t>
  </si>
  <si>
    <t>grenade_gadget.part_firmware_action_fist</t>
  </si>
  <si>
    <t>grenade_gadget.part_firmware_goojfc</t>
  </si>
  <si>
    <t>grenade_gadget.part_firmware_atlas_ex</t>
  </si>
  <si>
    <t>grenade_gadget.part_firmware_atlas_infinum</t>
  </si>
  <si>
    <t>grenade_gadget.part_firmware_trickshot</t>
  </si>
  <si>
    <t>grenade_gadget.part_firmware_jacked</t>
  </si>
  <si>
    <t>grenade_gadget.part_firmware_get_throwin</t>
  </si>
  <si>
    <t>grenade_gadget.part_firmware_heating_up</t>
  </si>
  <si>
    <t>grenade_gadget.part_firmware_bullets_to_spare</t>
  </si>
  <si>
    <t>grenade_gadget.part_firmware_daeddy_o</t>
  </si>
  <si>
    <t>Augment</t>
  </si>
  <si>
    <t>Duration Augment</t>
  </si>
  <si>
    <t>grenade_gadget.part_06_lingering_01_duration_bursts_cryo</t>
  </si>
  <si>
    <t>Increases the duration of the Lingering Grenade by 50%</t>
  </si>
  <si>
    <t>Spawning Augment</t>
  </si>
  <si>
    <t>grenade_gadget.part_03_spring_05_spawning</t>
  </si>
  <si>
    <t>Spawns additional Grenades on each bounce</t>
  </si>
  <si>
    <t>Status</t>
  </si>
  <si>
    <t>Corrosive Status</t>
  </si>
  <si>
    <t>grenade_gadget.part_corrosive</t>
  </si>
  <si>
    <t>Cryo Status</t>
  </si>
  <si>
    <t>grenade_gadget.part_cryo</t>
  </si>
  <si>
    <t>Fire Status</t>
  </si>
  <si>
    <t>grenade_gadget.part_fire</t>
  </si>
  <si>
    <t>Radiation Status</t>
  </si>
  <si>
    <t>grenade_gadget.part_radiation</t>
  </si>
  <si>
    <t>Shock Status</t>
  </si>
  <si>
    <t>grenade_gadget.part_shock</t>
  </si>
  <si>
    <t>Payload</t>
  </si>
  <si>
    <t>MIRV Payload</t>
  </si>
  <si>
    <t>grenade_gadget.part_01_mirv</t>
  </si>
  <si>
    <t>Spawns 4 MIRV Grenades on exploding</t>
  </si>
  <si>
    <t>Divider Payload</t>
  </si>
  <si>
    <t>grenade_gadget.part_02_divider</t>
  </si>
  <si>
    <t>Spawns a second Grenade while midflight</t>
  </si>
  <si>
    <t>Spring Payload</t>
  </si>
  <si>
    <t>grenade_gadget.part_03_spring</t>
  </si>
  <si>
    <t>Bounces in place, exploding 3 additional times</t>
  </si>
  <si>
    <t>Artillery Payload</t>
  </si>
  <si>
    <t>grenade_gadget.part_04_artillery</t>
  </si>
  <si>
    <t>Fires bullets around the Grenade, Dealing 0 damage/s</t>
  </si>
  <si>
    <t>Singularity Payload</t>
  </si>
  <si>
    <t>grenade_gadget.part_05_singularity</t>
  </si>
  <si>
    <t>Spawns a Singularity that pulls in nearby enemies</t>
  </si>
  <si>
    <t>Lingering Payload</t>
  </si>
  <si>
    <t>grenade_gadget.part_06_lingering_fire</t>
  </si>
  <si>
    <t>Spawns 4 rotating beams dealing 0 incendiary damage/s</t>
  </si>
  <si>
    <t>grenade_gadget.part_06_lingering_corrosive</t>
  </si>
  <si>
    <t>grenade_gadget.part_06_lingering_shock</t>
  </si>
  <si>
    <t>grenade_gadget.part_06_lingering_cryo</t>
  </si>
  <si>
    <t>grenade_gadget.part_06_lingering_radiation</t>
  </si>
  <si>
    <t>Damage Amp Payload</t>
  </si>
  <si>
    <t>grenade_gadget.part_07_damage_amp</t>
  </si>
  <si>
    <t>Damage Taken by impacted target is increased by +15% for 10s</t>
  </si>
  <si>
    <t>Tightly Packed Augment</t>
  </si>
  <si>
    <t>grenade_gadget.part_01_mirv_01_children</t>
  </si>
  <si>
    <t>Increases amount of MIRV Grenades spawned by +2</t>
  </si>
  <si>
    <t>Rubberized Augment</t>
  </si>
  <si>
    <t>grenade_gadget.part_01_mirv_02_bouncer</t>
  </si>
  <si>
    <t>MIRV Grenades bounce up to 5 times before exploding</t>
  </si>
  <si>
    <t>Micro Mirv Augment</t>
  </si>
  <si>
    <t>grenade_gadget.part_01_mirv_03_micro_mirv</t>
  </si>
  <si>
    <t>MIRV Grenades each spawn 3 Micro MIRVs when they explode</t>
  </si>
  <si>
    <t>Spring Augment</t>
  </si>
  <si>
    <t>grenade_gadget.part_01_mirv_04_spring</t>
  </si>
  <si>
    <t>MIRV Grenades bounce in place 3 times, exploding on each bounce</t>
  </si>
  <si>
    <t>Long Division Augment</t>
  </si>
  <si>
    <t>grenade_gadget.part_02_divider_01_children</t>
  </si>
  <si>
    <t>Spawn another additional Grenade while midflight</t>
  </si>
  <si>
    <t>Splinter Augment</t>
  </si>
  <si>
    <t>grenade_gadget.part_02_divider_02_seeker</t>
  </si>
  <si>
    <t>Launches the second spawned Grenade toward an enemy</t>
  </si>
  <si>
    <t>Pulling Augment</t>
  </si>
  <si>
    <t>grenade_gadget.part_02_divider_03_singularity</t>
  </si>
  <si>
    <t>Each Grenade spawns a Singularity</t>
  </si>
  <si>
    <t>Repeater Augment</t>
  </si>
  <si>
    <t>grenade_gadget.part_02_divider_04_repeater</t>
  </si>
  <si>
    <t>Spawns additional Grenades downwards while midflight</t>
  </si>
  <si>
    <t>grenade_gadget.part_02_divider_05_spring</t>
  </si>
  <si>
    <t>Each Grenade bounces in place, exploding 3 extra times</t>
  </si>
  <si>
    <t xml:space="preserve">Tightly Coiled </t>
  </si>
  <si>
    <t>grenade_gadget.part_03_spring_01_additional_bounce</t>
  </si>
  <si>
    <t>Grenade bounces in place, exploding an additional +3 times</t>
  </si>
  <si>
    <t>Apex Augment</t>
  </si>
  <si>
    <t>grenade_gadget.part_03_spring_02_apex</t>
  </si>
  <si>
    <t>Each Grenade also explodes at the apex of each bounce</t>
  </si>
  <si>
    <t>Compounding Augment</t>
  </si>
  <si>
    <t>grenade_gadget.part_03_spring_03_compound</t>
  </si>
  <si>
    <t>With every bounce Damage increases by +25% and Damage Radius by +13%</t>
  </si>
  <si>
    <t>Bouncer Augment</t>
  </si>
  <si>
    <t>grenade_gadget.part_03_spring_04_bouncer</t>
  </si>
  <si>
    <t>Each Grenade bounces twards nearby enemies</t>
  </si>
  <si>
    <t>grenade_gadget.part_04_artillery_01_duration</t>
  </si>
  <si>
    <t>Increases the Duration of the Artillery Grenade by +50%</t>
  </si>
  <si>
    <t>Ricochet Augment</t>
  </si>
  <si>
    <t>grenade_gadget.part_04_artillery_02_ricochet</t>
  </si>
  <si>
    <t>Artillery Projectiles will bounce off of enemies, and Ricochet towards another nearby enemy</t>
  </si>
  <si>
    <t>Missles Augment</t>
  </si>
  <si>
    <t>grenade_gadget.part_04_artillery_03_micro_missiles</t>
  </si>
  <si>
    <t>Fires Micro-Missiles that home in on nearby enemies, each dealing 2974 Damage</t>
  </si>
  <si>
    <t>Maglock Augment</t>
  </si>
  <si>
    <t>grenade_gadget.part_04_artillery_04_maglock</t>
  </si>
  <si>
    <t>Homes in on nearby enemies</t>
  </si>
  <si>
    <t>Mortar Augment</t>
  </si>
  <si>
    <t>grenade_gadget.part_04_artillery_05_mortar_strike</t>
  </si>
  <si>
    <t>Fires Mortars toward enemy positions, each dealing 3569 Damage</t>
  </si>
  <si>
    <t>Prolonged Augment</t>
  </si>
  <si>
    <t>grenade_gadget.part_05_singularity_01_duration</t>
  </si>
  <si>
    <t>Increases the duration of the Singularity Grenade by 50%</t>
  </si>
  <si>
    <t>Gnawing Augment</t>
  </si>
  <si>
    <t>grenade_gadget.part_05_singularity_02_lingering</t>
  </si>
  <si>
    <t>Deals 2379 Damage/s for the Duration of the Singularity</t>
  </si>
  <si>
    <t>Collapsing Augment</t>
  </si>
  <si>
    <t>grenade_gadget.part_05_singularity_03_collapsing</t>
  </si>
  <si>
    <t>The Singularity pulls in enemies more rapidly, and with increased Force withen a large Radius</t>
  </si>
  <si>
    <t>Repulsor Augment</t>
  </si>
  <si>
    <t>grenade_gadget.part_05_singularity_04_repulsor</t>
  </si>
  <si>
    <t>Upon Exploding, pushes enemies away from the singularity</t>
  </si>
  <si>
    <t>grenade_gadget.part_06_lingering_01_duration_bursts</t>
  </si>
  <si>
    <t>Increases the Duration of the Lingering Grenade by 50%</t>
  </si>
  <si>
    <t>Pulsing Augment</t>
  </si>
  <si>
    <t>grenade_gadget.part_06_lingering_02_pulse</t>
  </si>
  <si>
    <t>Radiates Elemental Pulses from the Grenade each Pulse dealing 1190 Damage</t>
  </si>
  <si>
    <t>Splat Pack Augment</t>
  </si>
  <si>
    <t>grenade_gadget.part_06_lingering_03_splat_pack</t>
  </si>
  <si>
    <t>Launches 3 Projectiles that each spawn an Elemental Puddle on landing</t>
  </si>
  <si>
    <t>Fracture Augment</t>
  </si>
  <si>
    <t>grenade_gadget.part_06_lingering_04_fracture</t>
  </si>
  <si>
    <t>Spawns 3 Elemental Pillars in the direction the Grenade was thrown, each dealing 3867 damage</t>
  </si>
  <si>
    <t>Alchemic Augment</t>
  </si>
  <si>
    <t>grenade_gadget.part_06_lingering_05_alchemic</t>
  </si>
  <si>
    <t>Grenade Status Effect Chance +300%</t>
  </si>
  <si>
    <t>Bouncing Blade Augment</t>
  </si>
  <si>
    <t>grenade_gadget.part_07_damage_amp_01_bouncing</t>
  </si>
  <si>
    <t>Ricochets additional knives toward nearby enemies, dealing 4461 Damage</t>
  </si>
  <si>
    <t>Supressor Augment</t>
  </si>
  <si>
    <t>grenade_gadget.part_07_damage_amp_02_suppressor</t>
  </si>
  <si>
    <t>Damage Delt by impacted target is reduced by -25% for 10s</t>
  </si>
  <si>
    <t>Penetrator Augment</t>
  </si>
  <si>
    <t>grenade_gadget.part_07_damage_amp_03_penetrator</t>
  </si>
  <si>
    <t>Damge to the impacted target has a 30% Chance to be a Critical Hit for 5s</t>
  </si>
  <si>
    <t>Overflow</t>
  </si>
  <si>
    <t>grenade_gadget.part_stat_01_extra_charge</t>
  </si>
  <si>
    <t>Maximum Grenade Charge is increased by +1</t>
  </si>
  <si>
    <t>Express</t>
  </si>
  <si>
    <t>grenade_gadget.part_stat_02_cooldown_reduction</t>
  </si>
  <si>
    <t>Grenade cooldown Duration is reduced by -12%</t>
  </si>
  <si>
    <t>grenade_gadget.part_stat_03_damage</t>
  </si>
  <si>
    <t>Grenade Damage is increased by 13%</t>
  </si>
  <si>
    <t>Expansive</t>
  </si>
  <si>
    <t>grenade_gadget.part_stat_04_radius</t>
  </si>
  <si>
    <t>Grenade Damage Radius is increased by +25%</t>
  </si>
  <si>
    <t>Hazardous</t>
  </si>
  <si>
    <t>grenade_gadget.part_stat_05_elemental_power</t>
  </si>
  <si>
    <t>Grenade Status Effect Chance is increased by +10% and Greande Status Effect Damage is increased by +20%</t>
  </si>
  <si>
    <t>Exacting</t>
  </si>
  <si>
    <t>grenade_gadget.part_stat_06_crit_chance</t>
  </si>
  <si>
    <t>Grenade has a 15% Chance to deal Critical Damage</t>
  </si>
  <si>
    <t>Nuke</t>
  </si>
  <si>
    <t>grenade_gadget.part_stat_07_nuke</t>
  </si>
  <si>
    <t>Grenade Damage is Increased by 19% Grenade Damage Radius is increased by 38%, and Grenade Cooldown Duration is increased by +25%</t>
  </si>
  <si>
    <t>Concussive</t>
  </si>
  <si>
    <t>grenade_gadget.part_stat_08_force</t>
  </si>
  <si>
    <t>Knockback Force is increased by +50%</t>
  </si>
  <si>
    <t>Bloodthirsty</t>
  </si>
  <si>
    <t>grenade_gadget.part_stat_09_transfusion</t>
  </si>
  <si>
    <t>Grenade Lifesteal is increased by 10%</t>
  </si>
  <si>
    <t>Merciless</t>
  </si>
  <si>
    <t>grenade_gadget.part_stat_04_jak_crit_damage</t>
  </si>
  <si>
    <t>Grenade Critical Damage is increased by +50%</t>
  </si>
  <si>
    <t>Lethal</t>
  </si>
  <si>
    <t>grenade_gadget.part_stat_05_jak_oversized</t>
  </si>
  <si>
    <t>Grenade Damage is increased by 25%, and Grenade Projectile Speed is reduced by -50%</t>
  </si>
  <si>
    <t>Wideload</t>
  </si>
  <si>
    <t>grenade_gadget.part_stat_05_ord_wideload</t>
  </si>
  <si>
    <t>Damage Radius is increased by 38%, Homing Turn Rate reduced by -33%</t>
  </si>
  <si>
    <t>grenade_gadget.part_firmware_risky_boots</t>
  </si>
  <si>
    <t>dad_grenade_gadget.part_payload_Axe</t>
  </si>
  <si>
    <t>dad_grenade_gadget.part_payload_Fuse</t>
  </si>
  <si>
    <t>dad_grenade_gadget.part_dad</t>
  </si>
  <si>
    <t>jak_grenade_gadget.part_jak</t>
  </si>
  <si>
    <t>jak_grenade_gadget.part_spinning_blade</t>
  </si>
  <si>
    <t>jak_grenade_gadget.part_ShoKunai</t>
  </si>
  <si>
    <t>Plasma Grenade</t>
  </si>
  <si>
    <t>mal_grenade_gadget.part_mal</t>
  </si>
  <si>
    <t>Plasma Grenade, 16s CD, 5949 Damage, 300cm Radius, 2 Charges</t>
  </si>
  <si>
    <t>Destructive Disco</t>
  </si>
  <si>
    <t>mal_grenade_gadget.part_disco_disc</t>
  </si>
  <si>
    <t>mal_grenade_gadget.part_recursive</t>
  </si>
  <si>
    <t>ord_grenade_gadget.part_ord</t>
  </si>
  <si>
    <t>ord_grenade_gadget.part_01_mirv_05_swarm</t>
  </si>
  <si>
    <t>ord_grenade_gadget.part_aggrovator</t>
  </si>
  <si>
    <t>borg_grenade_gadget.part_borg</t>
  </si>
  <si>
    <t>borg_grenade_gadget.part_payload_unique_rubber</t>
  </si>
  <si>
    <t>borg_grenade_gadget.part_payload_unique_buoy</t>
  </si>
  <si>
    <t>borg_grenade_gadget.part_payload_unique_transmission</t>
  </si>
  <si>
    <t>ted_grenade_gadget.part_FaultyDetonator</t>
  </si>
  <si>
    <t>ted_grenade_gadget.part_PredatorDrone</t>
  </si>
  <si>
    <t>ted_grenade_gadget.part_urchin</t>
  </si>
  <si>
    <t>Snaboopie-pop</t>
  </si>
  <si>
    <t>ted_grenade_gadget.part_ted</t>
  </si>
  <si>
    <t>tor_grenade_gadget.part_payload_firepot</t>
  </si>
  <si>
    <t>tor_grenade_gadget.part_tor_slippy</t>
  </si>
  <si>
    <t>tor_grenade_gadget.part_tor</t>
  </si>
  <si>
    <t>vla_grenade_gadget.part_Blockbuster</t>
  </si>
  <si>
    <t>vla_grenade_gadget.part_vla_Waterfall</t>
  </si>
  <si>
    <t>vla_grenade_gadget.part_vla</t>
  </si>
  <si>
    <t>Psion</t>
  </si>
  <si>
    <t>classmod_dark_siren.body_01</t>
  </si>
  <si>
    <t>Transistor</t>
  </si>
  <si>
    <t>classmod_dark_siren.body_02</t>
  </si>
  <si>
    <t>Firedancer</t>
  </si>
  <si>
    <t>classmod_dark_siren.body_03</t>
  </si>
  <si>
    <t>Naturalist</t>
  </si>
  <si>
    <t>classmod_dark_siren.body_04</t>
  </si>
  <si>
    <t>Weaver</t>
  </si>
  <si>
    <t>classmod_dark_siren.body_05</t>
  </si>
  <si>
    <t>Radiance</t>
  </si>
  <si>
    <t>classmod_dark_siren.body_06</t>
  </si>
  <si>
    <t>Ritualist</t>
  </si>
  <si>
    <t>classmod_dark_siren.body_07</t>
  </si>
  <si>
    <t>Alchemist</t>
  </si>
  <si>
    <t>classmod_dark_siren.body_08</t>
  </si>
  <si>
    <t>Commander</t>
  </si>
  <si>
    <t>classmod_dark_siren.body_09</t>
  </si>
  <si>
    <t>Hunter</t>
  </si>
  <si>
    <t>classmod_dark_siren.body_10</t>
  </si>
  <si>
    <t>classmod_dark_siren.leg_body_01</t>
  </si>
  <si>
    <t>classmod_dark_siren.leg_body_02</t>
  </si>
  <si>
    <t>classmod_dark_siren.leg_body_03</t>
  </si>
  <si>
    <t>Kindred Spirits</t>
  </si>
  <si>
    <t>classmod_dark_siren.leg_body_04</t>
  </si>
  <si>
    <t>classmod_dark_siren.leg_body_05</t>
  </si>
  <si>
    <t>classmod_dark_siren.leg_body_06</t>
  </si>
  <si>
    <t>Misericorde</t>
  </si>
  <si>
    <t>classmod_dark_siren.leg_body_raid1</t>
  </si>
  <si>
    <t>Agente</t>
  </si>
  <si>
    <t>classmod_exo_soldier.body_01</t>
  </si>
  <si>
    <t>Genio</t>
  </si>
  <si>
    <t>classmod_exo_soldier.body_02</t>
  </si>
  <si>
    <t>Soldado</t>
  </si>
  <si>
    <t>classmod_exo_soldier.body_03</t>
  </si>
  <si>
    <t>Demolitionist</t>
  </si>
  <si>
    <t>classmod_exo_soldier.body_04</t>
  </si>
  <si>
    <t>Técnico</t>
  </si>
  <si>
    <t>classmod_exo_soldier.body_05</t>
  </si>
  <si>
    <t>Mercinario</t>
  </si>
  <si>
    <t>classmod_exo_soldier.body_06</t>
  </si>
  <si>
    <t>Gearhead</t>
  </si>
  <si>
    <t>classmod_exo_soldier.body_07</t>
  </si>
  <si>
    <t>classmod_exo_soldier.body_08</t>
  </si>
  <si>
    <t>Tanker</t>
  </si>
  <si>
    <t>classmod_exo_soldier.body_09</t>
  </si>
  <si>
    <t>Practitioner</t>
  </si>
  <si>
    <t>classmod_exo_soldier.body_10</t>
  </si>
  <si>
    <t>classmod_exo_soldier.leg_body_01</t>
  </si>
  <si>
    <t>classmod_exo_soldier.leg_body_02</t>
  </si>
  <si>
    <t>classmod_exo_soldier.leg_body_03</t>
  </si>
  <si>
    <t>classmod_exo_soldier.leg_body_04</t>
  </si>
  <si>
    <t>classmod_exo_soldier.leg_body_05</t>
  </si>
  <si>
    <t>classmod_exo_soldier.leg_body_06</t>
  </si>
  <si>
    <t>classmod_exo_soldier.leg_body_raid1</t>
  </si>
  <si>
    <t>Breaker</t>
  </si>
  <si>
    <t>classmod_gravitar.body_01</t>
  </si>
  <si>
    <t>Chemist</t>
  </si>
  <si>
    <t>classmod_gravitar.body_02</t>
  </si>
  <si>
    <t>Assistant</t>
  </si>
  <si>
    <t>classmod_gravitar.body_03</t>
  </si>
  <si>
    <t>Physicist</t>
  </si>
  <si>
    <t>classmod_gravitar.body_04</t>
  </si>
  <si>
    <t>Controller</t>
  </si>
  <si>
    <t>classmod_gravitar.body_05</t>
  </si>
  <si>
    <t>Compiler</t>
  </si>
  <si>
    <t>classmod_gravitar.body_06</t>
  </si>
  <si>
    <t>Specialist</t>
  </si>
  <si>
    <t>classmod_gravitar.body_07</t>
  </si>
  <si>
    <t>Bookworm</t>
  </si>
  <si>
    <t>classmod_gravitar.body_08</t>
  </si>
  <si>
    <t>Radiologist</t>
  </si>
  <si>
    <t>classmod_gravitar.body_09</t>
  </si>
  <si>
    <t>Savant</t>
  </si>
  <si>
    <t>classmod_gravitar.body_10</t>
  </si>
  <si>
    <t>classmod_gravitar.leg_body_01</t>
  </si>
  <si>
    <t>classmod_gravitar.leg_body_02</t>
  </si>
  <si>
    <t>classmod_gravitar.leg_body_03</t>
  </si>
  <si>
    <t>Driver</t>
  </si>
  <si>
    <t>classmod_gravitar.leg_body_04</t>
  </si>
  <si>
    <t>classmod_gravitar.leg_body_05</t>
  </si>
  <si>
    <t>classmod_gravitar.leg_body_06</t>
  </si>
  <si>
    <t>classmod_gravitar.leg_body_raid1</t>
  </si>
  <si>
    <t>classmod_gravitar.part_grav_asm_legendaryGravitar</t>
  </si>
  <si>
    <t>Guardian</t>
  </si>
  <si>
    <t>classmod_paladin.body_01</t>
  </si>
  <si>
    <t>Brawler</t>
  </si>
  <si>
    <t>classmod_paladin.body_02</t>
  </si>
  <si>
    <t>Grenadier</t>
  </si>
  <si>
    <t>classmod_paladin.body_03</t>
  </si>
  <si>
    <t>Icebringer</t>
  </si>
  <si>
    <t>classmod_paladin.body_04</t>
  </si>
  <si>
    <t>Torchbearer</t>
  </si>
  <si>
    <t>classmod_paladin.body_05</t>
  </si>
  <si>
    <t>Stormcaller</t>
  </si>
  <si>
    <t>classmod_paladin.body_06</t>
  </si>
  <si>
    <t>Soldier</t>
  </si>
  <si>
    <t>classmod_paladin.body_07</t>
  </si>
  <si>
    <t>Commando</t>
  </si>
  <si>
    <t>classmod_paladin.body_08</t>
  </si>
  <si>
    <t>Cyborg</t>
  </si>
  <si>
    <t>classmod_paladin.body_09</t>
  </si>
  <si>
    <t>Outlaw</t>
  </si>
  <si>
    <t>classmod_paladin.body_10</t>
  </si>
  <si>
    <t>classmod_paladin.leg_body_01</t>
  </si>
  <si>
    <t>classmod_paladin.leg_body_02</t>
  </si>
  <si>
    <t>classmod_paladin.leg_body_03</t>
  </si>
  <si>
    <t>classmod_paladin.leg_body_04</t>
  </si>
  <si>
    <t>classmod_paladin.leg_body_05</t>
  </si>
  <si>
    <t>classmod_paladin.leg_body_06</t>
  </si>
  <si>
    <t>classmod_paladin.leg_body_raid1</t>
  </si>
  <si>
    <t>Melee Crit Hit Chance</t>
  </si>
  <si>
    <t>ClassMod.stat2_criticalhitchance_melee</t>
  </si>
  <si>
    <t>+10% Melee Critical Hit Chance</t>
  </si>
  <si>
    <t>Ordanance Cooldown Rate</t>
  </si>
  <si>
    <t>ClassMod.stat2_ordnance_cooldown</t>
  </si>
  <si>
    <t>+25% Ordnance Cooldown Rate</t>
  </si>
  <si>
    <t>ClassMod.stat_ordnance_cooldown</t>
  </si>
  <si>
    <t>Minion Damage</t>
  </si>
  <si>
    <t>ClassMod.statspecial_miniondamage</t>
  </si>
  <si>
    <t>+45% Minion Damage</t>
  </si>
  <si>
    <t>Lifesteal</t>
  </si>
  <si>
    <t>ClassMod.statspecial_lifesteal</t>
  </si>
  <si>
    <t>+10% Lifesteal</t>
  </si>
  <si>
    <t>Command Skill Cooldown Rate</t>
  </si>
  <si>
    <t>ClassMod.statspecial_commandskill_cooldown</t>
  </si>
  <si>
    <t>+45% Command Skill Cooldown Rate</t>
  </si>
  <si>
    <t>Phase Clone Health loss over time</t>
  </si>
  <si>
    <t>ClassMod.statspecial_phaseclone_healthloss</t>
  </si>
  <si>
    <t>-33% Phase Clone Health loss over time</t>
  </si>
  <si>
    <t>Attunement Skill Duration</t>
  </si>
  <si>
    <t>ClassMod.statspecial_attunement_duration</t>
  </si>
  <si>
    <t>+45% Attunement Skill Duration</t>
  </si>
  <si>
    <t>Ordanance Crit Hit Chance</t>
  </si>
  <si>
    <t>ClassMod.stat_criticalhitchance_ordnance</t>
  </si>
  <si>
    <t>+10% Ordnance Critical Hit Chance</t>
  </si>
  <si>
    <t>ClassMod.stat2_criticalhitchance_ordnance</t>
  </si>
  <si>
    <t>Skill Crit Hit Chance</t>
  </si>
  <si>
    <t>ClassMod.stat_criticalhitchance_skill</t>
  </si>
  <si>
    <t>+10% Skill Critical Hit Chance</t>
  </si>
  <si>
    <t>ClassMod.stat2_criticalhitchance_skill</t>
  </si>
  <si>
    <t>Gun Crit Hit Chance</t>
  </si>
  <si>
    <t>ClassMod.stat2_criticalhitchance_gun</t>
  </si>
  <si>
    <t>+10% Gun Critical Hit Chance</t>
  </si>
  <si>
    <t>ClassMod.stat_criticalhitchance_gun</t>
  </si>
  <si>
    <t>Action Skill Damage</t>
  </si>
  <si>
    <t>ClassMod.stat2_actionskill_damage</t>
  </si>
  <si>
    <t>+60% Action Skill Damage</t>
  </si>
  <si>
    <t>ClassMod.stat_actionskill_damage</t>
  </si>
  <si>
    <t>Ordanance Damage</t>
  </si>
  <si>
    <t>ClassMod.stat2_ordnance_damage</t>
  </si>
  <si>
    <t>+45% Ordnance Damage</t>
  </si>
  <si>
    <t>ClassMod.stat_ordnance_damage</t>
  </si>
  <si>
    <t>Damage Dealt</t>
  </si>
  <si>
    <t>ClassMod.stat_all_damage</t>
  </si>
  <si>
    <t>+20% Damage Dealt</t>
  </si>
  <si>
    <t>ClassMod.stat2_all_damage</t>
  </si>
  <si>
    <t>Status Effect Application Chance</t>
  </si>
  <si>
    <t>ClassMod.stat2_statuseffect_chance</t>
  </si>
  <si>
    <t>+30% Status Effect Application Chance</t>
  </si>
  <si>
    <t>Status Effect Damage</t>
  </si>
  <si>
    <t>ClassMod.stat2_statuseffect_damage</t>
  </si>
  <si>
    <t>+30% Status Effect Damage</t>
  </si>
  <si>
    <t>ClassMod.stat_statuseffect_chance</t>
  </si>
  <si>
    <t>ClassMod.stat_statuseffect_damage</t>
  </si>
  <si>
    <t>Kinetic Damage</t>
  </si>
  <si>
    <t>ClassMod.stat2_kinetic_damage</t>
  </si>
  <si>
    <t>+40% Kinetic Damage</t>
  </si>
  <si>
    <t>Elemental Damage</t>
  </si>
  <si>
    <t>ClassMod.stat2_elemental_damage</t>
  </si>
  <si>
    <t>+25% Elemental Damage</t>
  </si>
  <si>
    <t>Kinteic Damage</t>
  </si>
  <si>
    <t>ClassMod.stat_kinetic_damage</t>
  </si>
  <si>
    <t>ClassMod.stat_elemental_damage</t>
  </si>
  <si>
    <t>Action Skill Duration</t>
  </si>
  <si>
    <t>ClassMod.stat_skill_duration</t>
  </si>
  <si>
    <t>+45% Action Skill Duration</t>
  </si>
  <si>
    <t>Gun Damage</t>
  </si>
  <si>
    <t>ClassMod.stat_weapon_damage</t>
  </si>
  <si>
    <t>+30% Gun Damage</t>
  </si>
  <si>
    <t>ClassMod.stat_splash_damage</t>
  </si>
  <si>
    <t>+35% Splash Damage</t>
  </si>
  <si>
    <t>Skill Damage</t>
  </si>
  <si>
    <t>ClassMod.stat_skill_damage</t>
  </si>
  <si>
    <t>+45% Skill Damage</t>
  </si>
  <si>
    <t>Action Skill Cooldown Rate</t>
  </si>
  <si>
    <t>ClassMod.stat_skill_cooldown_rate</t>
  </si>
  <si>
    <t>+25% Action Skill Cooldown Rate</t>
  </si>
  <si>
    <t>Energy Shield Regeneration Rate</t>
  </si>
  <si>
    <t>ClassMod.stat_shield_regen_rate</t>
  </si>
  <si>
    <t>+50% Energy Shield Regeneration Rate</t>
  </si>
  <si>
    <t>Reload speed</t>
  </si>
  <si>
    <t>ClassMod.stat_reload_speed</t>
  </si>
  <si>
    <t>+26% Reload Speed</t>
  </si>
  <si>
    <t>Melee Damage</t>
  </si>
  <si>
    <t>ClassMod.stat_melee_damage</t>
  </si>
  <si>
    <t>+60% Melee Damage</t>
  </si>
  <si>
    <t>Maximum Health Capacity</t>
  </si>
  <si>
    <t>ClassMod.stat_max_health</t>
  </si>
  <si>
    <t>+2603 Maximum Health Capacity</t>
  </si>
  <si>
    <t>ClassMod.stat_fire_rate</t>
  </si>
  <si>
    <t>+20% Fire Rate</t>
  </si>
  <si>
    <t>Damage Reduction</t>
  </si>
  <si>
    <t>ClassMod.stat_damage_reduction</t>
  </si>
  <si>
    <t>+25% Damage Reduction</t>
  </si>
  <si>
    <t>Critical Hit Chance</t>
  </si>
  <si>
    <t>ClassMod.stat_crit_damage</t>
  </si>
  <si>
    <t>+35% Critical Hit Damage</t>
  </si>
  <si>
    <t>Health Regen Per Second</t>
  </si>
  <si>
    <t>ClassMod.stat_health_regen</t>
  </si>
  <si>
    <t>+56 Health Regen per second</t>
  </si>
  <si>
    <t>Movement Speed</t>
  </si>
  <si>
    <t>ClassMod.stat_speed</t>
  </si>
  <si>
    <t>+20% Movement Speed</t>
  </si>
  <si>
    <t>Pistol Damage</t>
  </si>
  <si>
    <t>ClassMod.stat_pistol_damage</t>
  </si>
  <si>
    <t>.+45% Pistol Damage</t>
  </si>
  <si>
    <t>Submachine Gun Damage</t>
  </si>
  <si>
    <t>ClassMod.stat_smg_damage</t>
  </si>
  <si>
    <t>+45% SMG Damage</t>
  </si>
  <si>
    <t>Assault Rifle Damage</t>
  </si>
  <si>
    <t>ClassMod.stat_assaultrifle_damage</t>
  </si>
  <si>
    <t>+45% AR Damage</t>
  </si>
  <si>
    <t>Shotgun Damage</t>
  </si>
  <si>
    <t>ClassMod.stat_shotgun_damage</t>
  </si>
  <si>
    <t>+45% Shotgun Damage</t>
  </si>
  <si>
    <t>Maximum Shield Capacity</t>
  </si>
  <si>
    <t>ClassMod.stat_shield_capacity</t>
  </si>
  <si>
    <t>+2231 Maximum Shield Capacity</t>
  </si>
  <si>
    <t>Sniper Rifle Damage</t>
  </si>
  <si>
    <t>ClassMod.stat_sniper_damage</t>
  </si>
  <si>
    <t>+45% Sniper Damage</t>
  </si>
  <si>
    <t>ClassMod.stat2_skill_duration</t>
  </si>
  <si>
    <t>ClassMod.stat2_weapon_damage</t>
  </si>
  <si>
    <t>ClassMod.stat2_splash_damage</t>
  </si>
  <si>
    <t>ClassMod.stat2_skill_damage</t>
  </si>
  <si>
    <t>ClassMod.stat2_skill_cooldown_rate</t>
  </si>
  <si>
    <t>ClassMod.stat2_shield_regen_rate</t>
  </si>
  <si>
    <t>ClassMod.stat2_reload_speed</t>
  </si>
  <si>
    <t>ClassMod.stat2_melee_damage</t>
  </si>
  <si>
    <t>ClassMod.stat2_max_health</t>
  </si>
  <si>
    <t>ClassMod.stat2_fire_rate</t>
  </si>
  <si>
    <t>ClassMod.stat2_damage_reduction</t>
  </si>
  <si>
    <t>Critical Hit Damage</t>
  </si>
  <si>
    <t>ClassMod.stat2_crit_damage</t>
  </si>
  <si>
    <t>ClassMod.stat2_health_regen</t>
  </si>
  <si>
    <t>ClassMod.stat2_speed</t>
  </si>
  <si>
    <t>ClassMod.stat2_pistol_damage</t>
  </si>
  <si>
    <t>+45% Pistol Damage</t>
  </si>
  <si>
    <t>ClassMod.stat2_smg_damage</t>
  </si>
  <si>
    <t>ClassMod.stat2_assaultrifle_damage</t>
  </si>
  <si>
    <t>ClassMod.stat2_shotgun_damage</t>
  </si>
  <si>
    <t>ClassMod.stat2_shield_capacity</t>
  </si>
  <si>
    <t>ClassMod.stat2_sniper_damage</t>
  </si>
  <si>
    <t>Secondary Rarity</t>
  </si>
  <si>
    <t>Common</t>
  </si>
  <si>
    <t>ClassMod.comp_01_common</t>
  </si>
  <si>
    <t>NOT USED</t>
  </si>
  <si>
    <t>Uncommon</t>
  </si>
  <si>
    <t>ClassMod.comp_02_uncommon</t>
  </si>
  <si>
    <t>Rare</t>
  </si>
  <si>
    <t>ClassMod.comp_03_rare</t>
  </si>
  <si>
    <t>Epic</t>
  </si>
  <si>
    <t>ClassMod.comp_04_epic</t>
  </si>
  <si>
    <t>ClassMod.comp_05_legendary</t>
  </si>
  <si>
    <t>ClassMod.part_firmware_risky_boots</t>
  </si>
  <si>
    <t>ClassMod.part_firmware_god_killer</t>
  </si>
  <si>
    <t>ClassMod.part_firmware_reel_big_fist</t>
  </si>
  <si>
    <t>ClassMod.part_firmware_lifeblood</t>
  </si>
  <si>
    <t>ClassMod.part_firmware_airstrike</t>
  </si>
  <si>
    <t>ClassMod.part_firmware_high_caliber</t>
  </si>
  <si>
    <t>ClassMod.part_firmware_gadget_ahoy</t>
  </si>
  <si>
    <t>ClassMod.part_firmware_baker</t>
  </si>
  <si>
    <t>ClassMod.part_firmware_oscar_mike</t>
  </si>
  <si>
    <t>ClassMod.part_firmware_rubberband_man</t>
  </si>
  <si>
    <t>ClassMod.part_firmware_deadeye</t>
  </si>
  <si>
    <t>ClassMod.part_firmware_action_fist</t>
  </si>
  <si>
    <t>ClassMod.part_firmware_goojfc</t>
  </si>
  <si>
    <t>ClassMod.part_firmware_atlas_ex</t>
  </si>
  <si>
    <t>ClassMod.part_firmware_atlas_infinum</t>
  </si>
  <si>
    <t>ClassMod.part_firmware_trickshot</t>
  </si>
  <si>
    <t>ClassMod.part_firmware_jacked</t>
  </si>
  <si>
    <t>ClassMod.part_firmware_get_throwin</t>
  </si>
  <si>
    <t>ClassMod.part_firmware_heating_up</t>
  </si>
  <si>
    <t>ClassMod.part_firmware_bullets_to_spare</t>
  </si>
  <si>
    <t>ClassMod.part_firmware_daeddy_o</t>
  </si>
  <si>
    <t>Stasis Damage</t>
  </si>
  <si>
    <t>ClassMod.statspecial_stasis_damage</t>
  </si>
  <si>
    <t>+60% Stasis Damage</t>
  </si>
  <si>
    <t>Hazard Damage</t>
  </si>
  <si>
    <t>ClassMod.statspecial_puddle_damage</t>
  </si>
  <si>
    <t>+60% Hazard Damage</t>
  </si>
  <si>
    <t>Forgeskill Damage</t>
  </si>
  <si>
    <t>ClassMod.statspecial_forgeskill_damage</t>
  </si>
  <si>
    <t>+60% Forgeskill Damage</t>
  </si>
  <si>
    <t>Detonation Damage</t>
  </si>
  <si>
    <t>ClassMod.statspecial_detonation_damage</t>
  </si>
  <si>
    <t>+60% Detonation Damage</t>
  </si>
  <si>
    <t>Cryo Damage</t>
  </si>
  <si>
    <t>ClassMod.statspecial_cryo_damage</t>
  </si>
  <si>
    <t>+45% Cryo Damage</t>
  </si>
  <si>
    <t>ClassMod.statspecial_forgedrone_duration</t>
  </si>
  <si>
    <t>+45% Forgedrone Duration</t>
  </si>
  <si>
    <t>Incendiary Damage</t>
  </si>
  <si>
    <t>ClassMod.statspecial_incendiary_damage</t>
  </si>
  <si>
    <t>+45% Incendiary Damage</t>
  </si>
  <si>
    <t>ClassMod.stat_criticalhitchance_melee</t>
  </si>
  <si>
    <t>Armor Shield</t>
  </si>
  <si>
    <t>Scavenger</t>
  </si>
  <si>
    <t>Armor_Shield.part_ra_scavenger_primary</t>
  </si>
  <si>
    <t>Refill up to 20% of current Gun's Magazine on Armor Segment filled</t>
  </si>
  <si>
    <t>Reinforced</t>
  </si>
  <si>
    <t>Armor_Shield.part_ra_reinforced_secondary</t>
  </si>
  <si>
    <t>Grants +Overshield on Armor Segment filled</t>
  </si>
  <si>
    <t>Armor_Shield.part_ra_reinforced_primary</t>
  </si>
  <si>
    <t>Grants ++Overshield on Armor Segment filled</t>
  </si>
  <si>
    <t>Positive Reinforcement</t>
  </si>
  <si>
    <t>Armor_Shield.part_ra_positive_reinforcement_secondary</t>
  </si>
  <si>
    <t>15% Chance for Armor Shard on kill</t>
  </si>
  <si>
    <t>Armor_Shield.part_ra_positive_reinforcement_primary</t>
  </si>
  <si>
    <t>25% Chance for Armor Shard on kill</t>
  </si>
  <si>
    <t>Mini Nova</t>
  </si>
  <si>
    <t>Armor_Shield.part_ra_nova_segment_secondary</t>
  </si>
  <si>
    <t>Triggers a Nova that deals 1859 Damage on Armor Segment break</t>
  </si>
  <si>
    <t>Armor_Shield.part_ra_nova_segment_primary</t>
  </si>
  <si>
    <t>Triggers a Nova that deals 2788 Damage on Armor Segment break</t>
  </si>
  <si>
    <t>Missile Swarm</t>
  </si>
  <si>
    <t>Armor_Shield.part_ra_missile_swarm_secondary</t>
  </si>
  <si>
    <t>Launches 2 Missles, each dealing 744 Damage on Armor Segment break</t>
  </si>
  <si>
    <t>Armor_Shield.part_ra_missile_swarm_primary</t>
  </si>
  <si>
    <t>Launches 3 Missles, each dealing 1487 Damage on Armor Segment break</t>
  </si>
  <si>
    <t>Knockback</t>
  </si>
  <si>
    <t>Armor_Shield.part_ra_knockback_secondary</t>
  </si>
  <si>
    <t>Knocks back enemies and grants +30% Movement Speed for 5s on Armor Segment break</t>
  </si>
  <si>
    <t>Armor_Shield.part_ra_knockback_primary</t>
  </si>
  <si>
    <t>Knocks back enemies and grants +40% Movement Speed for 5s on Armor Segment break</t>
  </si>
  <si>
    <t>Heavy Plating</t>
  </si>
  <si>
    <t>Armor_Shield.part_ra_heavy_plating_secondary</t>
  </si>
  <si>
    <t>Up to +20% Damage Reduction, scaling with broken Armor Segments</t>
  </si>
  <si>
    <t>Armor_Shield.part_ra_heavy_plating_primary</t>
  </si>
  <si>
    <t>Up to +35% Damage Reduction, scaling with broken Armor Segments</t>
  </si>
  <si>
    <t>Spunky</t>
  </si>
  <si>
    <t>Armor_Shield.part_ra_spunky_secondary</t>
  </si>
  <si>
    <t>Up to +10% Damage Dealt, scaling with broken Armor Segments</t>
  </si>
  <si>
    <t>Armor_Shield.part_ra_spunky_primary</t>
  </si>
  <si>
    <t>Up to +20% Damage Dealt, scaling with broken Armor Segments</t>
  </si>
  <si>
    <t>Bladed</t>
  </si>
  <si>
    <t>Armor_Shield.part_ra_bladed_secondary</t>
  </si>
  <si>
    <t>+13% Gun Damage for 5s on Armor Segment filled</t>
  </si>
  <si>
    <t>Armor_Shield.part_ra_bladed_primary</t>
  </si>
  <si>
    <t>+20% Gun Damage for 5s on Armor Segment filled</t>
  </si>
  <si>
    <t>Armor Strength</t>
  </si>
  <si>
    <t>Armor_Shield.part_ra_armor_strength_secondary</t>
  </si>
  <si>
    <t>+10% Damage Reduction when Armor Shield is active</t>
  </si>
  <si>
    <t>Armor_Shield.part_ra_armor_strength_primary</t>
  </si>
  <si>
    <t>+20% Damage Reduction when Armor Shield is active</t>
  </si>
  <si>
    <t>Armor Segment</t>
  </si>
  <si>
    <t>Armor_Shield.part_ra_armor_segment_secondary</t>
  </si>
  <si>
    <t>+1 Armor Segment(s)</t>
  </si>
  <si>
    <t>Armor_Shield.part_ra_armor_segment_primary</t>
  </si>
  <si>
    <t>Flanking</t>
  </si>
  <si>
    <t>Armor_Shield.part_ra_flanking_secondary</t>
  </si>
  <si>
    <t>Up to +10% Movement Speed, scaling with broken Armor Segments</t>
  </si>
  <si>
    <t>Armor_Shield.part_ra_flanking_primary</t>
  </si>
  <si>
    <t>Up to +18% Movement Speed, scaling with broken Armor Segments</t>
  </si>
  <si>
    <t>Boxer</t>
  </si>
  <si>
    <t>Armor_Shield.part_ra_boxer_secondary</t>
  </si>
  <si>
    <t>Consume an Armor Segment on Melee Hit to increase Damage Dealt by +20%</t>
  </si>
  <si>
    <t>Armor_Shield.part_ra_boxer_primary</t>
  </si>
  <si>
    <t>Consume an Armor Segment on Melee Hit to increase Damage Dealt by +30%</t>
  </si>
  <si>
    <t>Armor_Shield.part_ra_scavenger_secondary</t>
  </si>
  <si>
    <t>Refill up to 10% of current Gun's Magazine on Armor Segment filled</t>
  </si>
  <si>
    <t>Shield.part_firmware_god_killer</t>
  </si>
  <si>
    <t>Shield.part_firmware_reel_big_fist</t>
  </si>
  <si>
    <t>Shield.part_firmware_lifeblood</t>
  </si>
  <si>
    <t>Shield.part_firmware_airstrike</t>
  </si>
  <si>
    <t>Shield.part_firmware_high_caliber</t>
  </si>
  <si>
    <t>Shield.part_firmware_gadget_ahoy</t>
  </si>
  <si>
    <t>Shield.part_firmware_baker</t>
  </si>
  <si>
    <t>Shield.part_firmware_oscar_mike</t>
  </si>
  <si>
    <t>Shield.part_firmware_rubberband_man</t>
  </si>
  <si>
    <t>Shield.part_firmware_deadeye</t>
  </si>
  <si>
    <t>Shield.part_firmware_action_fist</t>
  </si>
  <si>
    <t>Shield.part_firmware_goojfc</t>
  </si>
  <si>
    <t>Shield.part_firmware_atlas_ex</t>
  </si>
  <si>
    <t>Shield.part_firmware_atlas_infinum</t>
  </si>
  <si>
    <t>Shield.part_firmware_trickshot</t>
  </si>
  <si>
    <t>Shield.part_firmware_jacked</t>
  </si>
  <si>
    <t>Shield.part_firmware_get_throwin</t>
  </si>
  <si>
    <t>Shield.part_firmware_heating_up</t>
  </si>
  <si>
    <t>Shield.part_firmware_bullets_to_spare</t>
  </si>
  <si>
    <t>Shield.part_firmware_daeddy_o</t>
  </si>
  <si>
    <t>Included when no Elemental Resistance is used</t>
  </si>
  <si>
    <t>Shield.part_corrosive</t>
  </si>
  <si>
    <t>15% Resist</t>
  </si>
  <si>
    <t>Shield.part_cryo</t>
  </si>
  <si>
    <t>Shield.part_fire</t>
  </si>
  <si>
    <t>Shield.part_radiation</t>
  </si>
  <si>
    <t>Shield.part_shock</t>
  </si>
  <si>
    <t>Utility</t>
  </si>
  <si>
    <t>Shield.part_unv_utility_secondary</t>
  </si>
  <si>
    <t>+20% Gun Handling, +10% Movement Speed when shield is empty</t>
  </si>
  <si>
    <t>Shield.part_unv_utility_primary</t>
  </si>
  <si>
    <t>+28% Gun Handling, +15% Movement Speed when shield is empty</t>
  </si>
  <si>
    <t>Turtle</t>
  </si>
  <si>
    <t>Shield.part_unv_turtle_secondary</t>
  </si>
  <si>
    <t>+40% Shield Capacity, -10% Maximum Health</t>
  </si>
  <si>
    <t>Shield.part_unv_turtle_primary</t>
  </si>
  <si>
    <t>+65% Shield Capacity, -15% Maximum Health</t>
  </si>
  <si>
    <t>Sturdy</t>
  </si>
  <si>
    <t>Shield.part_unv_sturdy_secondary</t>
  </si>
  <si>
    <t>5% Chance to grant +20% Damage Reduction for 5s when damaging enemies</t>
  </si>
  <si>
    <t>Shield.part_unv_sturdy_primary</t>
  </si>
  <si>
    <t>8% Chance to grant +28% Damage Reduction for 5s when damaging enemies</t>
  </si>
  <si>
    <t>Spike</t>
  </si>
  <si>
    <t>Shield.part_unv_spike_secondary</t>
  </si>
  <si>
    <t>2974 Damage is reflected back to enemies when receiving Melle Damage and Shield is active</t>
  </si>
  <si>
    <t>Shield.part_unv_spike_primary</t>
  </si>
  <si>
    <t>4461 Damage is reflected back to enemies when receiving Melle Damage and Shield is active</t>
  </si>
  <si>
    <t>Resistant</t>
  </si>
  <si>
    <t>Shield.part_unv_resistant_secondary</t>
  </si>
  <si>
    <t>+17% Resistance to Elemental Damage when Shield is active</t>
  </si>
  <si>
    <t>Shield.part_unv_resistant_primary</t>
  </si>
  <si>
    <t>+22% Resistance to Elemental Damage when Shield is active</t>
  </si>
  <si>
    <t>Reflect</t>
  </si>
  <si>
    <t>Shield.part_unv_reflect_secondary</t>
  </si>
  <si>
    <t>15% Chance to reflect Projectiles when Shield is active</t>
  </si>
  <si>
    <t>Shield.part_unv_reflect_primary</t>
  </si>
  <si>
    <t>30% Chance to reflect Projectiles when Shield is active</t>
  </si>
  <si>
    <t>Power Booster</t>
  </si>
  <si>
    <t>Shield.part_unv_power_booster_secondary</t>
  </si>
  <si>
    <t>20% Chance for Power Booster that grants +10% Gun Damage for 5s when damaged</t>
  </si>
  <si>
    <t>Shield.part_unv_power_booster_primary</t>
  </si>
  <si>
    <t>30% Chance for Power Booster that grants +20% Gun Damage for 5s when damaged</t>
  </si>
  <si>
    <t>Pinpoint</t>
  </si>
  <si>
    <t>Shield.part_unv_pinpoint_secondary</t>
  </si>
  <si>
    <t>+20% Accuracy, +20% Gun Handling, +25% Projectile Speed when Shield is empty</t>
  </si>
  <si>
    <t>Shield.part_unv_pinpoint_primary</t>
  </si>
  <si>
    <t>+28% Accuracy, +28% Gun Handling, +35% Projectile Speed when Shield is empty</t>
  </si>
  <si>
    <t>Overshield Booster</t>
  </si>
  <si>
    <t>Shield.part_unv_overshield_booster_secondary</t>
  </si>
  <si>
    <t>10% Chance for Overshield Booster that grants 1398 Overshield on kill</t>
  </si>
  <si>
    <t>Shield.part_unv_overshield_booster_primary</t>
  </si>
  <si>
    <t>15% Chance for Overshield Booster that grants 2098 Overshield on kill</t>
  </si>
  <si>
    <t>Magazine Booster</t>
  </si>
  <si>
    <t>Shield.part_unv_mag_refresh_booster_secondary</t>
  </si>
  <si>
    <t>10% Chance for Magazine Booster tha refills your Gun on kill</t>
  </si>
  <si>
    <t>Shield.part_unv_mag_refresh_booster_primary</t>
  </si>
  <si>
    <t>15% Chance for Magazine Booster tha refills your Gun on kill</t>
  </si>
  <si>
    <t>Health Booster</t>
  </si>
  <si>
    <t>Shield.part_unv_health_booster_secondary</t>
  </si>
  <si>
    <t>20% Chance for Health Booster that restores up to 15% Health on kill</t>
  </si>
  <si>
    <t>Shield.part_unv_health_booster_primary</t>
  </si>
  <si>
    <t>30% Chance for Health Booster that restores up to 25% Health on kill</t>
  </si>
  <si>
    <t>Healthy</t>
  </si>
  <si>
    <t>Shield.part_unv_healthy_secondary</t>
  </si>
  <si>
    <t>+10% Maximum Health</t>
  </si>
  <si>
    <t>Shield.part_unv_healthy_primary</t>
  </si>
  <si>
    <t>+25% Maximum Health</t>
  </si>
  <si>
    <t>Evasive</t>
  </si>
  <si>
    <t>Shield.part_unv_evasive_secondary</t>
  </si>
  <si>
    <t>5% Chance for +10% Movement Speed for 5s when damaging enemies</t>
  </si>
  <si>
    <t>Shield.part_unv_evasive_primary</t>
  </si>
  <si>
    <t>8% Chance for +15% Movement Speed for 5s when damaging enemies</t>
  </si>
  <si>
    <t>Capacity</t>
  </si>
  <si>
    <t>Shield.part_unv_capacity_secondary</t>
  </si>
  <si>
    <t>+25% Shield Capacity</t>
  </si>
  <si>
    <t>Shield.part_unv_capacity_primary</t>
  </si>
  <si>
    <t>+50% Shield Capacity</t>
  </si>
  <si>
    <t>Adaptive</t>
  </si>
  <si>
    <t>Shield.part_unv_adaptive_secondary</t>
  </si>
  <si>
    <t>+8% Maximum Health. +20% Resistance to last damage type received for 3s when shield is active</t>
  </si>
  <si>
    <t>Shield.part_unv_adaptive_primary</t>
  </si>
  <si>
    <t>+16% Maximum Health. +40% Resistance to last damage type received for 4s when shield is active</t>
  </si>
  <si>
    <t>Absorb</t>
  </si>
  <si>
    <t>Shield.part_unv_absorb_secondary</t>
  </si>
  <si>
    <t>+15% Chance to absorb bullets, adding the to your Ammo count</t>
  </si>
  <si>
    <t>Shield.part_unv_absorb_primary</t>
  </si>
  <si>
    <t>+30% Chance to absorb bullets, adding the to your Ammo count</t>
  </si>
  <si>
    <t>Shield.part_firmware_risky_boots</t>
  </si>
  <si>
    <t>Energy Shield</t>
  </si>
  <si>
    <t>Vagabond</t>
  </si>
  <si>
    <t>energy_shield.part_eng_vagabond_primary</t>
  </si>
  <si>
    <t>+28% Movement Speed when Energy Shields are full</t>
  </si>
  <si>
    <t>Shield Booster</t>
  </si>
  <si>
    <t>energy_shield.part_eng_shield_booster_secondary</t>
  </si>
  <si>
    <t>10% Chance for Shield Booster that refills up to 13% of Shield Capacity when damaged</t>
  </si>
  <si>
    <t>energy_shield.part_eng_shield_booster_primary</t>
  </si>
  <si>
    <t>15% Chance for Shield Booster that refills up to 18% of Shield Capacity when damaged</t>
  </si>
  <si>
    <t>Berserker</t>
  </si>
  <si>
    <t>energy_shield.part_eng_berserker_secondary</t>
  </si>
  <si>
    <t>+20% Melee Damage when Energy Shields are empty</t>
  </si>
  <si>
    <t>energy_shield.part_eng_berserker_primary</t>
  </si>
  <si>
    <t>+30% Melee Damage when Energy Shields are empty</t>
  </si>
  <si>
    <t>Siphon</t>
  </si>
  <si>
    <t>energy_shield.part_eng_siphon_secondary</t>
  </si>
  <si>
    <t>5% Chance for 716 Overshield when dealing Damage</t>
  </si>
  <si>
    <t>energy_shield.part_eng_siphon_primary</t>
  </si>
  <si>
    <t>10% Chance for 1431 Overshield when dealing Damage</t>
  </si>
  <si>
    <t>Trigger Happy</t>
  </si>
  <si>
    <t>energy_shield.part_eng_trigger_happy_secondary</t>
  </si>
  <si>
    <t>+20% Fire Rate, +20% Reload Speed when Energy Shields are empty</t>
  </si>
  <si>
    <t>energy_shield.part_eng_trigger_happy_primary</t>
  </si>
  <si>
    <t>+28% Fire Rate, +28% Reload Speed when Energy Shields are empty</t>
  </si>
  <si>
    <t>energy_shield.part_eng_nova_secondary</t>
  </si>
  <si>
    <t>Triggers a Nova that deals 7436 Damage when Energy Shield breaks</t>
  </si>
  <si>
    <t>energy_shield.part_eng_nova_primary</t>
  </si>
  <si>
    <t>Triggers a Nova that deals 11154 Damage when Energy Shield breaks</t>
  </si>
  <si>
    <t>Fleeting</t>
  </si>
  <si>
    <t>energy_shield.part_eng_fleeting_secondary</t>
  </si>
  <si>
    <t>+20% Movement Speed when Energy Shields are empty</t>
  </si>
  <si>
    <t>energy_shield.part_eng_fleeting_primary</t>
  </si>
  <si>
    <t>+28% Movement Speed when Energy Shields are empty</t>
  </si>
  <si>
    <t>Brimming</t>
  </si>
  <si>
    <t>energy_shield.part_eng_brimming_secondary</t>
  </si>
  <si>
    <t>Regenerates 149 Health/s when Energy Shields are full</t>
  </si>
  <si>
    <t>energy_shield.part_eng_brimming_primary</t>
  </si>
  <si>
    <t>Regenerates 260 Health/s when Energy Shields are full</t>
  </si>
  <si>
    <t>energy_shield.part_eng_amp_secondary</t>
  </si>
  <si>
    <t>Shots drain 20% of Shields for +50% Gun Damage when Energy Shields are full</t>
  </si>
  <si>
    <t>energy_shield.part_eng_amp_primary</t>
  </si>
  <si>
    <t>Shots drain 28% of Shields for +100% Gun Damage when Energy Shields are full</t>
  </si>
  <si>
    <t>Recharge Rate</t>
  </si>
  <si>
    <t>energy_shield.part_eng_recharge_rate_secondary</t>
  </si>
  <si>
    <t>+20% Shield Recharge Rate</t>
  </si>
  <si>
    <t>energy_shield.part_eng_recharge_rate_primary</t>
  </si>
  <si>
    <t>+30% Shield Recharge Rate</t>
  </si>
  <si>
    <t>Recharge Delay</t>
  </si>
  <si>
    <t>energy_shield.part_eng_recharge_delay_secondary</t>
  </si>
  <si>
    <t>-10% Shield Recharge Delay</t>
  </si>
  <si>
    <t>energy_shield.part_eng_recharge_delay_primary</t>
  </si>
  <si>
    <t>-20% Shield Recharge Delay</t>
  </si>
  <si>
    <t>energy_shield.part_eng_vagabond_secondary</t>
  </si>
  <si>
    <t>+20% Movement Speed when Energy Shields are full</t>
  </si>
  <si>
    <t>dad_shield.part_body_angel</t>
  </si>
  <si>
    <t>4040, 3855/s, 0.7</t>
  </si>
  <si>
    <t>Wings of Grace</t>
  </si>
  <si>
    <t>dad_shield.part_unique_SuperSoldier</t>
  </si>
  <si>
    <t>15007, 2570/s, 2.9</t>
  </si>
  <si>
    <t>Power Play</t>
  </si>
  <si>
    <t>Cover</t>
  </si>
  <si>
    <t>dad_shield.part_body_energy</t>
  </si>
  <si>
    <t>8551, 2677/s, 4.3</t>
  </si>
  <si>
    <t>Oak-Aged Cask</t>
  </si>
  <si>
    <t>jak_shield.part_body_barrelAged</t>
  </si>
  <si>
    <t>8783, 1, 24%</t>
  </si>
  <si>
    <t>Vintage</t>
  </si>
  <si>
    <t>jak_shield.part_body_armor_OnionLayeredGuard</t>
  </si>
  <si>
    <t>8783, 4, 24%</t>
  </si>
  <si>
    <t>Shallot Shell</t>
  </si>
  <si>
    <t>Stein</t>
  </si>
  <si>
    <t>jak_shield.part_body_armor</t>
  </si>
  <si>
    <t>6506, 3, 21%</t>
  </si>
  <si>
    <t>mal_shield.part_unique_supernova</t>
  </si>
  <si>
    <t>14054, 2650/s, 4.3</t>
  </si>
  <si>
    <t>Nucleosynthesis</t>
  </si>
  <si>
    <t>Requires base shield to be complete</t>
  </si>
  <si>
    <t>Gate</t>
  </si>
  <si>
    <t>mal_shield.part_body_energy</t>
  </si>
  <si>
    <t>10410, 2208/s, 5.2</t>
  </si>
  <si>
    <t>Pandoran Memento</t>
  </si>
  <si>
    <t>mal_shield.part_unique_momento</t>
  </si>
  <si>
    <t>Psychosis</t>
  </si>
  <si>
    <t>ord_shield.part_unique_cindershelly</t>
  </si>
  <si>
    <t>17065, 1606/s, 2.8</t>
  </si>
  <si>
    <t>Glass</t>
  </si>
  <si>
    <t>ord_shield.part_body_energy_ProteanCell</t>
  </si>
  <si>
    <t>20478, 964/s, 3.4</t>
  </si>
  <si>
    <t>Direct Current</t>
  </si>
  <si>
    <t>Alembic</t>
  </si>
  <si>
    <t>ord_shield.part_body_energy</t>
  </si>
  <si>
    <t>12641, 1338/s, 3.4</t>
  </si>
  <si>
    <t>Sparky</t>
  </si>
  <si>
    <t>bor_shield.part_body_energy_lightning</t>
  </si>
  <si>
    <t>10979, 602/s, 0.6</t>
  </si>
  <si>
    <t>Short Circuit</t>
  </si>
  <si>
    <t>bor_shield.part_body_energy_Watts4Dinner</t>
  </si>
  <si>
    <t>7905, 723/s. 1.5</t>
  </si>
  <si>
    <t>Overshield Eater</t>
  </si>
  <si>
    <t>Scab</t>
  </si>
  <si>
    <t>bor_shield.part_body_energy</t>
  </si>
  <si>
    <t>6506, 669/s, 0.7</t>
  </si>
  <si>
    <t>bor_shield.part_body_energy_firewall</t>
  </si>
  <si>
    <t>6588, 803/s, 1.2</t>
  </si>
  <si>
    <t>Backdoor</t>
  </si>
  <si>
    <t>ted_shield.part_body_ShieldBoi</t>
  </si>
  <si>
    <t>12046, 2, 29%</t>
  </si>
  <si>
    <t>Shield Boi</t>
  </si>
  <si>
    <t>Timekeeper's New Shield</t>
  </si>
  <si>
    <t>ted_shield.part_body_timekeeper</t>
  </si>
  <si>
    <t>,,</t>
  </si>
  <si>
    <t>Bininu</t>
  </si>
  <si>
    <t>Treatment</t>
  </si>
  <si>
    <t>ted_shield.part_body_armor</t>
  </si>
  <si>
    <t>8923, 2, 25%</t>
  </si>
  <si>
    <t>tor_shield.part_unique_firewerks</t>
  </si>
  <si>
    <t>10038, 3, 26%</t>
  </si>
  <si>
    <t>Bundled</t>
  </si>
  <si>
    <t>tor_shield.part_body_armor_compleat</t>
  </si>
  <si>
    <t>12548, 5, 26%</t>
  </si>
  <si>
    <t>Sisyphusian</t>
  </si>
  <si>
    <t>Protection</t>
  </si>
  <si>
    <t>tor_shield.part_body_armor</t>
  </si>
  <si>
    <t>7436, 3, 23%</t>
  </si>
  <si>
    <t>vla_shield.part_body_armor_Hoarder</t>
  </si>
  <si>
    <t>7529, 4, 22%</t>
  </si>
  <si>
    <t>Refreshments</t>
  </si>
  <si>
    <t>vla_shield.part_body_armor_HeavyWeight</t>
  </si>
  <si>
    <t>Bareknuckle</t>
  </si>
  <si>
    <t>Eggiweg</t>
  </si>
  <si>
    <t>vla_shield.part_body_armor</t>
  </si>
  <si>
    <t>5577, 4, 19%</t>
  </si>
  <si>
    <t>vla_shield.part_body_armor_undershield</t>
  </si>
  <si>
    <t>3764, 5, 22%</t>
  </si>
  <si>
    <t>Exoskeleton</t>
  </si>
  <si>
    <t>Sure Shot</t>
  </si>
  <si>
    <t>ATL_Enhancement.part_core_atl_sureshot</t>
  </si>
  <si>
    <t>Projectiles from Guns with Atlas-licensed parts automatically attach a Tracker Dart every 25s</t>
  </si>
  <si>
    <t>Trauma Bond</t>
  </si>
  <si>
    <t>ATL_Enhancement.part_core_atl_traumabond</t>
  </si>
  <si>
    <t>Guns with Atlas-licensed parts gain +30% Damage while Target Lock is active</t>
  </si>
  <si>
    <t>Tracker Antenna</t>
  </si>
  <si>
    <t>ATL_Enhancement.part_core_atl_trackerantenna</t>
  </si>
  <si>
    <t>Guns with Atlas-licensed parts gain +40% Fire Rate while Target Lock is active</t>
  </si>
  <si>
    <t>Protractor</t>
  </si>
  <si>
    <t>ATL_Enhancement.part_core_atl_protractor</t>
  </si>
  <si>
    <t>Guns with Atlas-licensed parts have a +50% Chance to not consume Ammo while Target Lock is active</t>
  </si>
  <si>
    <t>BOR_Enhancement.part_core_bor_shortcircuit</t>
  </si>
  <si>
    <t>After Reloading an empty Magazine, Guns with Ripper-licensed parts have a 30% Chance to increase the next Magazine's Fire Rate +100%</t>
  </si>
  <si>
    <t>Hard Charger</t>
  </si>
  <si>
    <t>BOR_Enhancement.part_core_bor_hardcharger</t>
  </si>
  <si>
    <t>Guns with Ripper-licensed parts gain +25% Damage, but Charge Time is increased by 30%</t>
  </si>
  <si>
    <t>Freeloader</t>
  </si>
  <si>
    <t>BOR_Enhancement.part_core_bor_freeloader</t>
  </si>
  <si>
    <t>Guns with Ripper-licensed parts have a 30% Chance to instantly refill its Magazine when it's empty</t>
  </si>
  <si>
    <t>High Roller</t>
  </si>
  <si>
    <t>BOR_Enhancement.part_core_bor_highroller</t>
  </si>
  <si>
    <t>Guns with Ripper-licensed parts increase Gun Damage by 2% for each consecutive shot fired, for a Maximum 25 Stacks</t>
  </si>
  <si>
    <t>CoV</t>
  </si>
  <si>
    <t>Ventilator</t>
  </si>
  <si>
    <t>COV_Enhancement.part_core_cov_ventilator</t>
  </si>
  <si>
    <t>Guns with CoV-licensed Magazines have a 25% Chance to cost 0 Heat when fired</t>
  </si>
  <si>
    <t>Duct Tape</t>
  </si>
  <si>
    <t>COV_Enhancement.part_core_cov_ducttape</t>
  </si>
  <si>
    <t>Guns with CoV-licensed Magazines have a 100% Chance to deal Critical Damage while Overheating</t>
  </si>
  <si>
    <t>Cold Open</t>
  </si>
  <si>
    <t>COV_Enhancement.part_core_cov_coldopen</t>
  </si>
  <si>
    <t>Guns with CoV-licensed Magazines gain +20% Damage when below 50% Heat</t>
  </si>
  <si>
    <t>Smelter</t>
  </si>
  <si>
    <t>COV_Enhancement.part_core_cov_smelter</t>
  </si>
  <si>
    <t>Guns with CoV-licensed Magazines have +35% Fire Rate when over 50% Heat</t>
  </si>
  <si>
    <t>DAD_Enhancement.part_core_dad_accelerator</t>
  </si>
  <si>
    <t>Guns with Daedalus-licensed parts gain +1% Fire Rate per each bullet fired, for up to a Maximum 50 Stacks, which reset on Reload</t>
  </si>
  <si>
    <t>Bullet Fabricator</t>
  </si>
  <si>
    <t>DAD_Enhancement.part_core_dad_bulletfabricator</t>
  </si>
  <si>
    <t>On kill, Guns with Daedalus-licensed parts have a 40% Chance to refill your Magazines</t>
  </si>
  <si>
    <t>Stockpiler</t>
  </si>
  <si>
    <t>DAD_Enhancement.part_core_dad_stockpiler</t>
  </si>
  <si>
    <t>On Reload, Guns with Daedalus -licensed parts gain up to +25% Damage based on the amount of spare Ammo for the currently-equipped Gun</t>
  </si>
  <si>
    <t>Backup Plan</t>
  </si>
  <si>
    <t>DAD_Enhancement.part_core_dad_backupplan</t>
  </si>
  <si>
    <t>Guns with Daedalus-licensed parts slowly regenerate reserve Ammo while equipped</t>
  </si>
  <si>
    <t>Bulwark</t>
  </si>
  <si>
    <t>HYP_Enhancement.part_core_hyp_bulwark</t>
  </si>
  <si>
    <t>Guns with Hyperion-licensed parts gain +100% Gun Shield Capacity</t>
  </si>
  <si>
    <t>Stabilizer</t>
  </si>
  <si>
    <t>HYP_Enhancement.part_core_hyp_stabilizer</t>
  </si>
  <si>
    <t>Guns with Hyperion-licensed parts gain +40% Accuracy</t>
  </si>
  <si>
    <t>Stim Converter</t>
  </si>
  <si>
    <t>HYP_Enhancement.part_core_hyp_stimconverter</t>
  </si>
  <si>
    <t>Guns with Hyperion-licensed parts regenerate up to 10% Health when the Gun Shield is hit</t>
  </si>
  <si>
    <t>Shock Guard</t>
  </si>
  <si>
    <t>HYP_Enhancement.part_core_hyp_shockguard</t>
  </si>
  <si>
    <t>Guns with Hyperion-licensed parts trigger aShock Nova when deployed (this feature has an Bs Cooldown)</t>
  </si>
  <si>
    <t>Piercer</t>
  </si>
  <si>
    <t>JAK_Enhancement.part_core_jak_piercer</t>
  </si>
  <si>
    <t>Guns with Jakobs-licensed parts have a 20% Chance to grant a Critical Hit</t>
  </si>
  <si>
    <t>Leaper</t>
  </si>
  <si>
    <t>JAK_Enhancement.part_core_jak_leaper</t>
  </si>
  <si>
    <t>Guns with Jakobs-licensed parts gain a 40% Chance to Ricochet non-Critical Hits</t>
  </si>
  <si>
    <t>Bounce Pass</t>
  </si>
  <si>
    <t>JAK_Enhancement.part_core_jak_bouncepass</t>
  </si>
  <si>
    <t>Guns with Jakobs-licensed parts increase the number of possible Ricochets by 1</t>
  </si>
  <si>
    <t>Sequencer</t>
  </si>
  <si>
    <t>JAK_Enhancement.part_core_jak_sequencer</t>
  </si>
  <si>
    <t>Guns with Jakobs-licensed parts grant consecutive Critical Hits a stacking +5% Bonus Damage, for a Maximum 8 Stacks</t>
  </si>
  <si>
    <t>Synthesizer</t>
  </si>
  <si>
    <t>MAL_Enhancement.part_core_mal_synthesizer</t>
  </si>
  <si>
    <t>Guns with Maliwan-licensed parts have +25% Status Effect Damage</t>
  </si>
  <si>
    <t>Primed Potency</t>
  </si>
  <si>
    <t>MAL_Enhancement.part_core_mal_primedpotency</t>
  </si>
  <si>
    <t>Guns with Maliwan-licensed parts have +100% Status Effect Chance on the first bullet after Reload</t>
  </si>
  <si>
    <t>Mixologist</t>
  </si>
  <si>
    <t>MAL_Enhancement.part_core_mal_mixologist</t>
  </si>
  <si>
    <t>Guns with Maliwan-licensed parts deal +10% Bonus Damage from the inactive Mode 's Element</t>
  </si>
  <si>
    <t>Transfuser</t>
  </si>
  <si>
    <t>MAL_Enhancement.part_core_mal_transfuser</t>
  </si>
  <si>
    <t>On kill, Guns with Maliwan-licensed parts spread their active Status Effect to up to 3 nearby targets</t>
  </si>
  <si>
    <t>Ammo Generator</t>
  </si>
  <si>
    <t>ORD_Enhancement.part_core_ord_ammogenerator</t>
  </si>
  <si>
    <t>Guns with Order-licensed parts slowly refill from reserve Ammo while held</t>
  </si>
  <si>
    <t>Power Shot</t>
  </si>
  <si>
    <t>ORD_Enhancement.part_core_ord_powershot</t>
  </si>
  <si>
    <t>Guns with Order-licensed parts gain 30% Damage when firing from Maximum Charge</t>
  </si>
  <si>
    <t>Free Charger</t>
  </si>
  <si>
    <t>ORD_Enhancement.part_core_ord_freecharger</t>
  </si>
  <si>
    <t>When firing from Maximum Charge, Guns with Order-licensed parts have a 30% Chance to make the next shot's Charge Time and Ammo cost 0</t>
  </si>
  <si>
    <t>Muzzle Brake</t>
  </si>
  <si>
    <t>ORD_Enhancement.part_core_ord_muzzlebrake</t>
  </si>
  <si>
    <t>Guns with Order-licensed parts gain +50% Accuracy and +50% Burst Fire Speed when firing from Maximum Charge</t>
  </si>
  <si>
    <t>Extend-a-Friend</t>
  </si>
  <si>
    <t>TED_Enhancement.part_core_ted_extendafriend</t>
  </si>
  <si>
    <t>Guns with Tediore-licensed parts have +50% longer Lifetime for Thrown Turrets</t>
  </si>
  <si>
    <t>Banger</t>
  </si>
  <si>
    <t>TED_Enhancement.part_core_ted_banger</t>
  </si>
  <si>
    <t>Guns with Tediore-licensed parts use +50% Maximum Loaded Ammo when calculating Thrown Damage</t>
  </si>
  <si>
    <t>Recycler</t>
  </si>
  <si>
    <t>TED_Enhancement.part_core_ted_recycler</t>
  </si>
  <si>
    <t>Guns with Tediore-licensed parts keep 50% of a Magazine's Ammo on Reload</t>
  </si>
  <si>
    <t>Digi-Divider</t>
  </si>
  <si>
    <t>TED_Enhancement.part_core_ted_digidivider</t>
  </si>
  <si>
    <t>Guns with Tediore-licensed parts have a 50% Chance to spawn an additional Projectile on Reload</t>
  </si>
  <si>
    <t>Head Ringer</t>
  </si>
  <si>
    <t>TOR_Enhancement.part_core_tor_headringer</t>
  </si>
  <si>
    <t>Guns with Torgue-licensed parts gain +25% Damage, and +100% Damage Radius</t>
  </si>
  <si>
    <t>Boompuppy</t>
  </si>
  <si>
    <t>TOR_Enhancement.part_core_tor_boompuppy</t>
  </si>
  <si>
    <t>On kill, Guns with Torgue-licensed parts have a 50% Chance to call down a Missile Barrage on a nearby enemy</t>
  </si>
  <si>
    <t>Explosi-ception</t>
  </si>
  <si>
    <t>TOR_Enhancement.part_core_tor_explosiception</t>
  </si>
  <si>
    <t>Guns with Torgue-licensed Sticky Magazines deal +50% of Gun Damage on impact</t>
  </si>
  <si>
    <t>TOR_Enhancement.part_core_tor_airburst</t>
  </si>
  <si>
    <t>Guns with Torgue-licensed parts fire Projectiles that explode on proximity</t>
  </si>
  <si>
    <t>Underdog</t>
  </si>
  <si>
    <t>VLA_Enhancement.part_core_vla_underdog</t>
  </si>
  <si>
    <t>Guns with Vladof-licensed parts gain +50% Underbarrel Damage</t>
  </si>
  <si>
    <t>Bullet Hose</t>
  </si>
  <si>
    <t>VLA_Enhancement.part_core_vla_boxmagazine</t>
  </si>
  <si>
    <t>Guns with Vladof-licensed parts have a 30% Chance to add an extra Projectile per shot</t>
  </si>
  <si>
    <t>Box Magazine</t>
  </si>
  <si>
    <t>VLA_Enhancement.part_core_vla_bullethose</t>
  </si>
  <si>
    <t>Guns with Vladof-licensed parts gain +20% Fire Rate and +20% Magazine Size</t>
  </si>
  <si>
    <t>Bottom Feeder</t>
  </si>
  <si>
    <t>VLA_Enhancement.part_core_vla_bottomfeeder</t>
  </si>
  <si>
    <t>Guns with Vladof-licensed parts reduce Underbarrel Cooldown Duration by 40%</t>
  </si>
  <si>
    <t>Enhancement.part_firmware_god_killer</t>
  </si>
  <si>
    <t>Enhancement.part_firmware_reel_big_fist</t>
  </si>
  <si>
    <t>Enhancement.part_firmware_lifeblood</t>
  </si>
  <si>
    <t>Enhancement.part_firmware_airstrike</t>
  </si>
  <si>
    <t>Enhancement.part_firmware_high_caliber</t>
  </si>
  <si>
    <t>Enhancement.part_firmware_gadget_ahoy</t>
  </si>
  <si>
    <t>Enhancement.part_firmware_baker</t>
  </si>
  <si>
    <t>Enhancement.part_firmware_oscar_mike</t>
  </si>
  <si>
    <t>Enhancement.part_firmware_rubberband_man</t>
  </si>
  <si>
    <t>Dead Eye</t>
  </si>
  <si>
    <t>Enhancement.part_firmware_deadeye</t>
  </si>
  <si>
    <t>Enhancement.part_firmware_action_fist</t>
  </si>
  <si>
    <t>GOOJFC</t>
  </si>
  <si>
    <t>Enhancement.part_firmware_goojfc</t>
  </si>
  <si>
    <t>Atlas E.X</t>
  </si>
  <si>
    <t>Enhancement.part_firmware_atlas_ex</t>
  </si>
  <si>
    <t>Enhancement.part_firmware_atlas_infinum</t>
  </si>
  <si>
    <t>Enhancement.part_firmware_trickshot</t>
  </si>
  <si>
    <t>Enhancement.part_firmware_jacked</t>
  </si>
  <si>
    <t>Enhancement.part_firmware_get_throwin</t>
  </si>
  <si>
    <t>Enhancement.part_firmware_heating_up</t>
  </si>
  <si>
    <t>Bullet Spare</t>
  </si>
  <si>
    <t>Enhancement.part_firmware_bullets_to_spare</t>
  </si>
  <si>
    <t>Dead-dy O'</t>
  </si>
  <si>
    <t>Enhancement.part_firmware_daeddy_o</t>
  </si>
  <si>
    <t>Enhancement.part_firmware_risky_boots</t>
  </si>
  <si>
    <t>Skillcraft</t>
  </si>
  <si>
    <t>Enhancement.part_firmware_skillcraft</t>
  </si>
  <si>
    <t>Sniper Magazine Size</t>
  </si>
  <si>
    <t>Enhancement.part_Stat_wt_SR_magsize</t>
  </si>
  <si>
    <t>Sniper Magazine +75%</t>
  </si>
  <si>
    <t>Shotgun Magazine Size</t>
  </si>
  <si>
    <t>Enhancement.part_Stat_wt_SG_magsize</t>
  </si>
  <si>
    <t>Shotgun Magazine +75%</t>
  </si>
  <si>
    <t>SMG Magazine Size</t>
  </si>
  <si>
    <t>Enhancement.part_Stat_wt_SM_magsize</t>
  </si>
  <si>
    <t>SMG Magazine +75%</t>
  </si>
  <si>
    <t>Pistol Magazine Size</t>
  </si>
  <si>
    <t>Enhancement.part_Stat_wt_PS_magsize</t>
  </si>
  <si>
    <t>Pistol Magazine +75%</t>
  </si>
  <si>
    <t>AR Magazine Size</t>
  </si>
  <si>
    <t>Enhancement.part_Stat_wt_AR_magsize</t>
  </si>
  <si>
    <t>AR Magazine +75%</t>
  </si>
  <si>
    <t>Sniper Critical Damage</t>
  </si>
  <si>
    <t>Enhancement.part_Stat_wt_SR_criticaldamage</t>
  </si>
  <si>
    <t>Sniper Crit Damage +75%</t>
  </si>
  <si>
    <t>Shotgun Critical Damage</t>
  </si>
  <si>
    <t>Enhancement.part_Stat_wt_SG_criticaldamage</t>
  </si>
  <si>
    <t>Shotgun Crit Damage +75%</t>
  </si>
  <si>
    <t>SMG Critical Damage</t>
  </si>
  <si>
    <t>Enhancement.part_Stat_wt_SM_criticaldamage</t>
  </si>
  <si>
    <t>SMG Crit Damage +75%</t>
  </si>
  <si>
    <t>Pistol Critical Damage</t>
  </si>
  <si>
    <t>Enhancement.part_Stat_wt_PS_criticaldamage</t>
  </si>
  <si>
    <t>Pistol Crit Damage +75%</t>
  </si>
  <si>
    <t>AR Critical Damage</t>
  </si>
  <si>
    <t>Enhancement.part_Stat_wt_AR_criticaldamage</t>
  </si>
  <si>
    <t>AR Crit Damage +75%</t>
  </si>
  <si>
    <t>Sniper Damage</t>
  </si>
  <si>
    <t>Enhancement.part_Stat_wt_SR_damage</t>
  </si>
  <si>
    <t>Sniper Damage +38%</t>
  </si>
  <si>
    <t>Enhancement.part_Stat_wt_SG_damage</t>
  </si>
  <si>
    <t>Shotgun Damage +38%</t>
  </si>
  <si>
    <t>SMG Damage</t>
  </si>
  <si>
    <t>Enhancement.part_Stat_wt_SM_damage</t>
  </si>
  <si>
    <t>SMG Damage +38%</t>
  </si>
  <si>
    <t>Enhancement.part_Stat_wt_PS_damage</t>
  </si>
  <si>
    <t>Pistol Damage +38%</t>
  </si>
  <si>
    <t>AR Damage</t>
  </si>
  <si>
    <t>Enhancement.part_Stat_wt_AR_damage</t>
  </si>
  <si>
    <t>AR Damage +38%</t>
  </si>
  <si>
    <t>Sniper Fire Rate</t>
  </si>
  <si>
    <t>Enhancement.part_Stat_wt_SR_firerate</t>
  </si>
  <si>
    <t>Sniper Fire Rate +38%</t>
  </si>
  <si>
    <t>Shotgun Fire Rate</t>
  </si>
  <si>
    <t>Enhancement.part_Stat_wt_SG_firerate</t>
  </si>
  <si>
    <t>Shotgun Fire Rate +38%</t>
  </si>
  <si>
    <t>SMG Fire Rate</t>
  </si>
  <si>
    <t>Enhancement.part_Stat_wt_SM_firerate</t>
  </si>
  <si>
    <t>SMG Fire Rate +38%</t>
  </si>
  <si>
    <t>Pistol Fire Rate</t>
  </si>
  <si>
    <t>Enhancement.part_Stat_wt_PS_firerate</t>
  </si>
  <si>
    <t>Pistol Fire Rate +38%</t>
  </si>
  <si>
    <t>AR Fire Rate</t>
  </si>
  <si>
    <t>Enhancement.part_Stat_wt_AR_firerate</t>
  </si>
  <si>
    <t>AR Fire Rate +38%</t>
  </si>
  <si>
    <t>Sniper Accuracy</t>
  </si>
  <si>
    <t>Enhancement.part_Stat_wt_SR_accuracy</t>
  </si>
  <si>
    <t>Sniper Accuracy +75%</t>
  </si>
  <si>
    <t>Shotgun Accuracy</t>
  </si>
  <si>
    <t>Enhancement.part_Stat_wt_SG_accuracy</t>
  </si>
  <si>
    <t>Shotgun Accuracy +75%</t>
  </si>
  <si>
    <t>SMG Accuracy</t>
  </si>
  <si>
    <t>Enhancement.part_Stat_wt_SM_accuracy</t>
  </si>
  <si>
    <t>SMG Accuracy +75%</t>
  </si>
  <si>
    <t>Pistol Accuracy</t>
  </si>
  <si>
    <t>Enhancement.part_Stat_wt_PS_accuracy</t>
  </si>
  <si>
    <t>Pistol Accuracy +75%</t>
  </si>
  <si>
    <t>AR Accuracy</t>
  </si>
  <si>
    <t>Enhancement.part_Stat_wt_AR_accuracy</t>
  </si>
  <si>
    <t>AR Accuracy +75%</t>
  </si>
  <si>
    <t>Sniper Splash Damage</t>
  </si>
  <si>
    <t>Enhancement.part_Stat_wt_SR_splashdamage</t>
  </si>
  <si>
    <t>Sniper Splash Damage +38%</t>
  </si>
  <si>
    <t>Shotgun Splash Damage</t>
  </si>
  <si>
    <t>Enhancement.part_Stat_wt_SG_splashdamage</t>
  </si>
  <si>
    <t>Shotgun Splash Damage +38%</t>
  </si>
  <si>
    <t>SMG Splash Damage</t>
  </si>
  <si>
    <t>Enhancement.part_Stat_wt_SM_splashdamage</t>
  </si>
  <si>
    <t>SMG Splash Damage +38%</t>
  </si>
  <si>
    <t>Pistol Splash Damage</t>
  </si>
  <si>
    <t>Enhancement.part_Stat_wt_PS_splashdamage</t>
  </si>
  <si>
    <t>Pistol Splash Damage +38%</t>
  </si>
  <si>
    <t>AR Splash Damage</t>
  </si>
  <si>
    <t>Enhancement.part_Stat_wt_AR_splashdamage</t>
  </si>
  <si>
    <t>AR Splash Damage +38%</t>
  </si>
  <si>
    <t>Shotgun Splash Radius</t>
  </si>
  <si>
    <t>Enhancement.part_Stat_wt_SG_splashradius</t>
  </si>
  <si>
    <t>Shotgun Splash Radius +75%</t>
  </si>
  <si>
    <t>Pistol Splash Radius</t>
  </si>
  <si>
    <t>Enhancement.part_Stat_wt_PS_splashradius</t>
  </si>
  <si>
    <t>Pistol Splash Radius +75%</t>
  </si>
  <si>
    <t>Sniper Splash Radius</t>
  </si>
  <si>
    <t>Enhancement.part_Stat_wt_SR_splashradius</t>
  </si>
  <si>
    <t>Sniper Splash Radius +75%</t>
  </si>
  <si>
    <t>SMG Splash Radius</t>
  </si>
  <si>
    <t>Enhancement.part_Stat_wt_SM_splashradius</t>
  </si>
  <si>
    <t>SMG Splash Radius +75%</t>
  </si>
  <si>
    <t>AR Splash Radius</t>
  </si>
  <si>
    <t>Enhancement.part_Stat_wt_AR_splashradius</t>
  </si>
  <si>
    <t>AR Splash Radius +75%</t>
  </si>
  <si>
    <t>Sniper ADS Proficiency</t>
  </si>
  <si>
    <t>Enhancement.part_Stat_wt_SR_ads_proficiency</t>
  </si>
  <si>
    <t>Sniper ADS +75%</t>
  </si>
  <si>
    <t>Shotgun ADS Proficiency</t>
  </si>
  <si>
    <t>Enhancement.part_Stat_wt_SG_ads_proficiency</t>
  </si>
  <si>
    <t>Shotgun ADS +75%</t>
  </si>
  <si>
    <t>SMG ADS Proficiency</t>
  </si>
  <si>
    <t>Enhancement.part_Stat_wt_SM_ads_proficiency</t>
  </si>
  <si>
    <t>SMG ADS +75%</t>
  </si>
  <si>
    <t>Pistol ADS Proficiency</t>
  </si>
  <si>
    <t>Enhancement.part_Stat_wt_PS_ads_proficiency</t>
  </si>
  <si>
    <t>Pistol ADS +75%</t>
  </si>
  <si>
    <t>AR ADS Proficiency</t>
  </si>
  <si>
    <t>Enhancement.part_Stat_wt_AR_ads_proficiency</t>
  </si>
  <si>
    <t>AR ADS +75%</t>
  </si>
  <si>
    <t>Pistol Status Effect Damage</t>
  </si>
  <si>
    <t>Enhancement.part_Stat_wt_PS_statuseffectdamage</t>
  </si>
  <si>
    <t>Pistol Status Effect Damage +38%</t>
  </si>
  <si>
    <t>Sniper Status Effect Damage</t>
  </si>
  <si>
    <t>Enhancement.part_Stat_wt_SR_statuseffectdamage</t>
  </si>
  <si>
    <t>Sniper Status Effect Damage +38%</t>
  </si>
  <si>
    <t>Shotgun Status Effect Damage</t>
  </si>
  <si>
    <t>Enhancement.part_Stat_wt_SG_statuseffectdamage</t>
  </si>
  <si>
    <t>Shotgun Status Effect Damage +38%</t>
  </si>
  <si>
    <t>SMG Status Effect Damage</t>
  </si>
  <si>
    <t>Enhancement.part_Stat_wt_SM_statuseffectdamage</t>
  </si>
  <si>
    <t>SMG Status Effect Damage +38%</t>
  </si>
  <si>
    <t>AR Status Effect Damage</t>
  </si>
  <si>
    <t>Enhancement.part_Stat_wt_AR_statuseffectdamage</t>
  </si>
  <si>
    <t>AR Status Effect Damage +38%</t>
  </si>
  <si>
    <t>Shotgun Status Effect Chance</t>
  </si>
  <si>
    <t>Enhancement.part_Stat_wt_SG_statuseffectchance</t>
  </si>
  <si>
    <t>Shotgun Status Effect Chance +38%</t>
  </si>
  <si>
    <t>SMG Status Effect Chance</t>
  </si>
  <si>
    <t>Enhancement.part_Stat_wt_SM_statuseffectchance</t>
  </si>
  <si>
    <t>SMG Status Effect Chance +38%</t>
  </si>
  <si>
    <t>Sniper Status Effect Chance</t>
  </si>
  <si>
    <t>Enhancement.part_Stat_wt_SR_statuseffectchance</t>
  </si>
  <si>
    <t>Sniper Status Effect Chance +38%</t>
  </si>
  <si>
    <t>Pistol Status Effect Chance</t>
  </si>
  <si>
    <t>Enhancement.part_Stat_wt_PS_statuseffectchance</t>
  </si>
  <si>
    <t>Pistol Status Effect Chance +38%</t>
  </si>
  <si>
    <t>AR Status Effect Chance</t>
  </si>
  <si>
    <t>Enhancement.part_Stat_wt_AR_statuseffectchance</t>
  </si>
  <si>
    <t>AR Status Effect Chance +38%</t>
  </si>
  <si>
    <t>AR Equip Speed</t>
  </si>
  <si>
    <t>Enhancement.part_Stat_wt_AR_equipspeed</t>
  </si>
  <si>
    <t>AR Equip Speed +150%</t>
  </si>
  <si>
    <t>Pistol Equip Speed</t>
  </si>
  <si>
    <t>Enhancement.part_Stat_wt_PS_equipspeed</t>
  </si>
  <si>
    <t>Pistol Equip Speed +150%</t>
  </si>
  <si>
    <t>Shotgun Equip Speed</t>
  </si>
  <si>
    <t>Enhancement.part_Stat_wt_SG_equipspeed</t>
  </si>
  <si>
    <t>Shotgun Equip Speed +150%</t>
  </si>
  <si>
    <t>SMG Equip Speed</t>
  </si>
  <si>
    <t>Enhancement.part_Stat_wt_SM_equipspeed</t>
  </si>
  <si>
    <t>SMG Equip Speed +150%</t>
  </si>
  <si>
    <t>Sniper Equip Speed</t>
  </si>
  <si>
    <t>Enhancement.part_Stat_wt_SR_equipspeed</t>
  </si>
  <si>
    <t>Sniper Equip Speed +150%</t>
  </si>
  <si>
    <t>Main Body</t>
  </si>
  <si>
    <t>Enhancement.Part_Body_05_Legendary</t>
  </si>
  <si>
    <t>Enhancement.Part_Body_04_Epic</t>
  </si>
  <si>
    <t>Enhancement.Part_Body_03_Rare</t>
  </si>
  <si>
    <t>Enhancement.Part_Body_02_Uncommon</t>
  </si>
  <si>
    <t>Enhancement.Part_Body_01_Common</t>
  </si>
  <si>
    <t>Gun Equip Speed</t>
  </si>
  <si>
    <t>Enhancement.part_Stat_weapon_equipspeed</t>
  </si>
  <si>
    <t>Gun Equip Speed +100%</t>
  </si>
  <si>
    <t>Gun Reload Speed</t>
  </si>
  <si>
    <t>Enhancement.part_Stat_weapon_reloadspeed</t>
  </si>
  <si>
    <t>Gun Reload Speed +25%</t>
  </si>
  <si>
    <t>Gun Status Effect Chance</t>
  </si>
  <si>
    <t>Enhancement.part_Stat_statuseffect_chance</t>
  </si>
  <si>
    <t>Gun Status Effect Chance +25%</t>
  </si>
  <si>
    <t>Gun Status Effect Damage</t>
  </si>
  <si>
    <t>Enhancement.part_Stat_statuseffect_damage</t>
  </si>
  <si>
    <t>Gun Status Effect Damage +25%</t>
  </si>
  <si>
    <t>Gun ADS Proficiency</t>
  </si>
  <si>
    <t>Enhancement.part_Stat_weapon_ads_proficiency</t>
  </si>
  <si>
    <t>Gun ADS +50%</t>
  </si>
  <si>
    <t>Gun Splash Radius</t>
  </si>
  <si>
    <t>Enhancement.part_Stat_weapon_splashradius</t>
  </si>
  <si>
    <t>Gun Splash Radius +50%</t>
  </si>
  <si>
    <t>Gun Splash Damage</t>
  </si>
  <si>
    <t>Enhancement.part_Stat_weapon_splashdamage</t>
  </si>
  <si>
    <t>Gun Splash Damage +25%</t>
  </si>
  <si>
    <t>Gun Critical Damage</t>
  </si>
  <si>
    <t>Enhancement.part_Stat_weapon_criticaldamage</t>
  </si>
  <si>
    <t>Gun Crit Damage +50%</t>
  </si>
  <si>
    <t>Gun Accuracy</t>
  </si>
  <si>
    <t>Enhancement.part_Stat_weapon_accuracy</t>
  </si>
  <si>
    <t>Gun Accuracy +50%</t>
  </si>
  <si>
    <t>Gun Fire Rate</t>
  </si>
  <si>
    <t>Enhancement.part_Stat_weapon_firerate</t>
  </si>
  <si>
    <t>Gun Fire Rate +25%</t>
  </si>
  <si>
    <t>Enhancement.part_Stat_weapon_damage</t>
  </si>
  <si>
    <t>Gun Damage +25%</t>
  </si>
  <si>
    <t>Sniper Reload Speed</t>
  </si>
  <si>
    <t>Enhancement.part_Stat_wt_SR_reloadspeed</t>
  </si>
  <si>
    <t>Sniper Reload Speed +38%</t>
  </si>
  <si>
    <t>SMG Reload Speed</t>
  </si>
  <si>
    <t>Enhancement.part_Stat_wt_SM_reloadspeed</t>
  </si>
  <si>
    <t>SMG Reload Speed +38%</t>
  </si>
  <si>
    <t>Shotgun Reload Speed</t>
  </si>
  <si>
    <t>Enhancement.part_Stat_wt_SG_reloadspeed</t>
  </si>
  <si>
    <t>Shotgun Reload Speed +38%</t>
  </si>
  <si>
    <t>AR Reload Speed</t>
  </si>
  <si>
    <t>Enhancement.part_Stat_wt_AR_reloadspeed</t>
  </si>
  <si>
    <t>AR Reload Speed +38%</t>
  </si>
  <si>
    <t>Pistol Reload Speed</t>
  </si>
  <si>
    <t>Enhancement.part_Stat_wt_PS_reloadspeed</t>
  </si>
  <si>
    <t>Pistol Reload Speed +38%</t>
  </si>
  <si>
    <t>Gun Magazine Size</t>
  </si>
  <si>
    <t>Enhancement.part_Stat_weapon_magsize</t>
  </si>
  <si>
    <t>Gun Magazine +50%</t>
  </si>
  <si>
    <t>Enhancement.comp_01_common</t>
  </si>
  <si>
    <t>Enhancement.comp_02_uncommon</t>
  </si>
  <si>
    <t>Enhancement.comp_03_rare</t>
  </si>
  <si>
    <t>Enhancement.comp_04_epic</t>
  </si>
  <si>
    <t>Enhancement.comp_05_legendary</t>
  </si>
  <si>
    <t>Enhancement.part_Stat3_wt_SR_statuseffectdamage</t>
  </si>
  <si>
    <t>Enhancement.part_Stat3_wt_SR_statuseffectchance</t>
  </si>
  <si>
    <t>Enhancement.part_Stat3_wt_SR_splashradius</t>
  </si>
  <si>
    <t>Enhancement.part_Stat3_wt_SR_splashdamage</t>
  </si>
  <si>
    <t>Enhancement.part_Stat3_wt_SR_reloadspeed</t>
  </si>
  <si>
    <t>Enhancement.part_Stat3_wt_SR_magsize</t>
  </si>
  <si>
    <t>Enhancement.part_Stat3_wt_SR_firerate</t>
  </si>
  <si>
    <t>Enhancement.part_Stat3_wt_SR_equipspeed</t>
  </si>
  <si>
    <t>Enhancement.part_Stat3_wt_SR_damage</t>
  </si>
  <si>
    <t>Enhancement.part_Stat3_wt_SR_criticaldamage</t>
  </si>
  <si>
    <t>Enhancement.part_Stat3_wt_SR_ads_proficiency</t>
  </si>
  <si>
    <t>Enhancement.part_Stat3_wt_SR_accuracy</t>
  </si>
  <si>
    <t>Enhancement.part_Stat3_wt_SM_statuseffectdamage</t>
  </si>
  <si>
    <t>Enhancement.part_Stat3_wt_SM_statuseffectchance</t>
  </si>
  <si>
    <t>Enhancement.part_Stat3_wt_SM_splashradius</t>
  </si>
  <si>
    <t>Enhancement.part_Stat3_wt_SM_splashdamage</t>
  </si>
  <si>
    <t>Enhancement.part_Stat3_wt_SM_reloadspeed</t>
  </si>
  <si>
    <t>Enhancement.part_Stat3_wt_SM_magsize</t>
  </si>
  <si>
    <t>Enhancement.part_Stat3_wt_SM_firerate</t>
  </si>
  <si>
    <t>Enhancement.part_Stat3_wt_SM_equipspeed</t>
  </si>
  <si>
    <t>Enhancement.part_Stat3_wt_SM_damage</t>
  </si>
  <si>
    <t>Enhancement.part_Stat3_wt_SM_criticaldamage</t>
  </si>
  <si>
    <t>Enhancement.part_Stat3_wt_SM_ads_proficiency</t>
  </si>
  <si>
    <t>Enhancement.part_Stat3_wt_SM_accuracy</t>
  </si>
  <si>
    <t>Enhancement.part_Stat3_wt_SG_statuseffectdamage</t>
  </si>
  <si>
    <t>Enhancement.part_Stat3_wt_SG_statuseffectchance</t>
  </si>
  <si>
    <t>Enhancement.part_Stat3_wt_SG_splashradius</t>
  </si>
  <si>
    <t>Enhancement.part_Stat3_wt_SG_splashdamage</t>
  </si>
  <si>
    <t>Enhancement.part_Stat3_wt_SG_reloadspeed</t>
  </si>
  <si>
    <t>Enhancement.part_Stat3_wt_SG_magsize</t>
  </si>
  <si>
    <t>Enhancement.part_Stat3_wt_SG_firerate</t>
  </si>
  <si>
    <t>Enhancement.part_Stat3_wt_SG_equipspeed</t>
  </si>
  <si>
    <t>Enhancement.part_Stat3_wt_SG_damage</t>
  </si>
  <si>
    <t>Enhancement.part_Stat3_wt_SG_criticaldamage</t>
  </si>
  <si>
    <t>Enhancement.part_Stat3_wt_SG_ads_proficiency</t>
  </si>
  <si>
    <t>Enhancement.part_Stat3_wt_SG_accuracy</t>
  </si>
  <si>
    <t>Enhancement.part_Stat3_wt_PS_statuseffectdamage</t>
  </si>
  <si>
    <t>Enhancement.part_Stat3_wt_PS_statuseffectchance</t>
  </si>
  <si>
    <t>Enhancement.part_Stat3_wt_PS_splashradius</t>
  </si>
  <si>
    <t>Enhancement.part_Stat3_wt_PS_splashdamage</t>
  </si>
  <si>
    <t>Enhancement.part_Stat3_wt_PS_reloadspeed</t>
  </si>
  <si>
    <t>Enhancement.part_Stat3_wt_PS_magsize</t>
  </si>
  <si>
    <t>Enhancement.part_Stat3_wt_PS_firerate</t>
  </si>
  <si>
    <t>Enhancement.part_Stat3_wt_PS_equipspeed</t>
  </si>
  <si>
    <t>Enhancement.part_Stat3_wt_PS_damage</t>
  </si>
  <si>
    <t>Enhancement.part_Stat3_wt_PS_criticaldamage</t>
  </si>
  <si>
    <t>Enhancement.part_Stat3_wt_PS_ads_proficiency</t>
  </si>
  <si>
    <t>Enhancement.part_Stat3_wt_PS_accuracy</t>
  </si>
  <si>
    <t>Enhancement.part_Stat3_wt_AR_statuseffectdamage</t>
  </si>
  <si>
    <t>Enhancement.part_Stat3_wt_AR_statuseffectchance</t>
  </si>
  <si>
    <t>Enhancement.part_Stat3_wt_AR_splashradius</t>
  </si>
  <si>
    <t>Enhancement.part_Stat3_wt_AR_splashdamage</t>
  </si>
  <si>
    <t>Enhancement.part_Stat3_wt_AR_reloadspeed</t>
  </si>
  <si>
    <t>Enhancement.part_Stat3_wt_AR_magsize</t>
  </si>
  <si>
    <t>Enhancement.part_Stat3_wt_AR_firerate</t>
  </si>
  <si>
    <t>Enhancement.part_Stat3_wt_AR_equipspeed</t>
  </si>
  <si>
    <t>Enhancement.part_Stat3_wt_AR_damage</t>
  </si>
  <si>
    <t>Enhancement.part_Stat3_wt_AR_criticaldamage</t>
  </si>
  <si>
    <t>Enhancement.part_Stat3_wt_AR_ads_proficiency</t>
  </si>
  <si>
    <t>Enhancement.part_Stat3_wt_AR_accuracy</t>
  </si>
  <si>
    <t>Enhancement.part_Stat3_weapon_splashradius</t>
  </si>
  <si>
    <t>Enhancement.part_Stat3_weapon_splashdamage</t>
  </si>
  <si>
    <t>Enhancement.part_Stat3_weapon_reloadspeed</t>
  </si>
  <si>
    <t>Enhancement.part_Stat3_weapon_magsize</t>
  </si>
  <si>
    <t>Enhancement.part_Stat3_weapon_firerate</t>
  </si>
  <si>
    <t>Enhancement.part_Stat3_weapon_equipspeed</t>
  </si>
  <si>
    <t>Enhancement.part_Stat3_weapon_damage</t>
  </si>
  <si>
    <t>Enhancement.part_Stat3_weapon_critical_damage</t>
  </si>
  <si>
    <t>Enhancement.part_Stat3_weapon_ads_proficiency</t>
  </si>
  <si>
    <t>Enhancement.part_Stat3_weapon_accuracy</t>
  </si>
  <si>
    <t>Enhancement.part_Stat3_statuseffect_damage</t>
  </si>
  <si>
    <t>Enhancement.part_Stat3_statuseffect_chance</t>
  </si>
  <si>
    <t>Enhancement.part_Stat2_statuseffect_chance</t>
  </si>
  <si>
    <t>Enhancement.part_Stat2_statuseffect_damage</t>
  </si>
  <si>
    <t>Enhancement.part_Stat2_weapon_accuracy</t>
  </si>
  <si>
    <t>Enhancement.part_Stat2_weapon_ads_proficiency</t>
  </si>
  <si>
    <t>Enhancement.part_Stat2_weapon_criticaldamage</t>
  </si>
  <si>
    <t>Enhancement.part_Stat2_weapon_damage</t>
  </si>
  <si>
    <t>Enhancement.part_Stat2_weapon_equipspeed</t>
  </si>
  <si>
    <t>Enhancement.part_Stat2_weapon_firerate</t>
  </si>
  <si>
    <t>Enhancement.part_Stat2_weapon_magsize</t>
  </si>
  <si>
    <t>Enhancement.part_Stat2_weapon_reloadspeed</t>
  </si>
  <si>
    <t>Enhancement.part_Stat2_weapon_splashdamage</t>
  </si>
  <si>
    <t>Enhancement.part_Stat2_weapon_splashradius</t>
  </si>
  <si>
    <t>Enhancement.part_Stat2_wt_AR_accuracy</t>
  </si>
  <si>
    <t>Enhancement.part_Stat2_wt_AR_ads_proficiency</t>
  </si>
  <si>
    <t>Enhancement.part_Stat2_wt_AR_criticaldamage</t>
  </si>
  <si>
    <t>Enhancement.part_Stat2_wt_AR_damage</t>
  </si>
  <si>
    <t>Enhancement.part_Stat2_wt_AR_equipspeed</t>
  </si>
  <si>
    <t>Enhancement.part_Stat2_wt_AR_firerate</t>
  </si>
  <si>
    <t>Enhancement.part_Stat2_wt_AR_magsize</t>
  </si>
  <si>
    <t>Enhancement.part_Stat2_wt_AR_reloadspeed</t>
  </si>
  <si>
    <t>Enhancement.part_Stat2_wt_AR_splashdamage</t>
  </si>
  <si>
    <t>Enhancement.part_Stat2_wt_AR_splashradius</t>
  </si>
  <si>
    <t>Enhancement.part_Stat2_wt_AR_statuseffectchance</t>
  </si>
  <si>
    <t>Enhancement.part_Stat2_wt_AR_statuseffectdamage</t>
  </si>
  <si>
    <t>Enhancement.part_Stat2_wt_PS_accuracy</t>
  </si>
  <si>
    <t>Enhancement.part_Stat2_wt_PS_ads_proficiency</t>
  </si>
  <si>
    <t>Enhancement.part_Stat2_wt_PS_criticaldamage</t>
  </si>
  <si>
    <t>Enhancement.part_Stat2_wt_PS_damage</t>
  </si>
  <si>
    <t>Enhancement.part_Stat2_wt_PS_equipspeed</t>
  </si>
  <si>
    <t>Enhancement.part_Stat2_wt_PS_firerate</t>
  </si>
  <si>
    <t>Enhancement.part_Stat2_wt_PS_magsize</t>
  </si>
  <si>
    <t>Enhancement.part_Stat2_wt_PS_reloadspeed</t>
  </si>
  <si>
    <t>Enhancement.part_Stat2_wt_PS_splashdamage</t>
  </si>
  <si>
    <t>Enhancement.part_Stat2_wt_PS_splashradius</t>
  </si>
  <si>
    <t>Enhancement.part_Stat2_wt_PS_statuseffectchance</t>
  </si>
  <si>
    <t>Enhancement.part_Stat2_wt_PS_statuseffectdamage</t>
  </si>
  <si>
    <t>Enhancement.part_Stat2_wt_SG_accuracy</t>
  </si>
  <si>
    <t>Enhancement.part_Stat2_wt_SG_ads_proficiency</t>
  </si>
  <si>
    <t>Enhancement.part_Stat2_wt_SG_criticaldamage</t>
  </si>
  <si>
    <t>Enhancement.part_Stat2_wt_SG_damage</t>
  </si>
  <si>
    <t>Enhancement.part_Stat2_wt_SG_equipspeed</t>
  </si>
  <si>
    <t>Enhancement.part_Stat2_wt_SG_firerate</t>
  </si>
  <si>
    <t>Enhancement.part_Stat2_wt_SG_magsize</t>
  </si>
  <si>
    <t>Enhancement.part_Stat2_wt_SG_reloadspeed</t>
  </si>
  <si>
    <t>Enhancement.part_Stat2_wt_SG_splashdamage</t>
  </si>
  <si>
    <t>Enhancement.part_Stat2_wt_SG_splashradius</t>
  </si>
  <si>
    <t>Enhancement.part_Stat2_wt_SG_statuseffectchance</t>
  </si>
  <si>
    <t>Enhancement.part_Stat2_wt_SG_statuseffectdamage</t>
  </si>
  <si>
    <t>Enhancement.part_Stat2_wt_SM_accuracy</t>
  </si>
  <si>
    <t>Enhancement.part_Stat2_wt_SM_ads_proficiency</t>
  </si>
  <si>
    <t>Enhancement.part_Stat2_wt_SM_criticaldamage</t>
  </si>
  <si>
    <t>Enhancement.part_Stat2_wt_SM_damage</t>
  </si>
  <si>
    <t>Enhancement.part_Stat2_wt_SM_equipspeed</t>
  </si>
  <si>
    <t>Enhancement.part_Stat2_wt_SM_firerate</t>
  </si>
  <si>
    <t>Enhancement.part_Stat2_wt_SM_magsize</t>
  </si>
  <si>
    <t>Enhancement.part_Stat2_wt_SM_reloadspeed</t>
  </si>
  <si>
    <t>Enhancement.part_Stat2_wt_SM_splashdamage</t>
  </si>
  <si>
    <t>Enhancement.part_Stat2_wt_SM_splashradius</t>
  </si>
  <si>
    <t>Enhancement.part_Stat2_wt_SM_statuseffectchance</t>
  </si>
  <si>
    <t>Enhancement.part_Stat2_wt_SM_statuseffectdamage</t>
  </si>
  <si>
    <t>Enhancement.part_Stat2_wt_SR_accuracy</t>
  </si>
  <si>
    <t>Enhancement.part_Stat2_wt_SR_ads_proficiency</t>
  </si>
  <si>
    <t>Enhancement.part_Stat2_wt_SR_criticaldamage</t>
  </si>
  <si>
    <t>Enhancement.part_Stat2_wt_SR_damage</t>
  </si>
  <si>
    <t>Enhancement.part_Stat2_wt_SR_equipspeed</t>
  </si>
  <si>
    <t>Enhancement.part_Stat2_wt_SR_firerate</t>
  </si>
  <si>
    <t>Enhancement.part_Stat2_wt_SR_magsize</t>
  </si>
  <si>
    <t>Enhancement.part_Stat2_wt_SR_reloadspeed</t>
  </si>
  <si>
    <t>Enhancement.part_Stat2_wt_SR_splashdamage</t>
  </si>
  <si>
    <t>Enhancement.part_Stat2_wt_SR_splashradius</t>
  </si>
  <si>
    <t>Enhancement.part_Stat2_wt_SR_statuseffectchance</t>
  </si>
  <si>
    <t>Enhancement.part_Stat2_wt_SR_statuseffectdamage</t>
  </si>
  <si>
    <t>ClassMod.part_firmware_skillcraft</t>
  </si>
  <si>
    <t>grenade_gadget.part_firmware_skillcraft</t>
  </si>
  <si>
    <t>heavy_weapon_gadget.part_firmware_action_fist</t>
  </si>
  <si>
    <t>heavy_weapon_gadget.part_firmware_airstrike</t>
  </si>
  <si>
    <t>heavy_weapon_gadget.part_firmware_atlas_ex</t>
  </si>
  <si>
    <t>heavy_weapon_gadget.part_firmware_atlas_infinum</t>
  </si>
  <si>
    <t>heavy_weapon_gadget.part_firmware_baker</t>
  </si>
  <si>
    <t>heavy_weapon_gadget.part_firmware_bullets_to_spare</t>
  </si>
  <si>
    <t>heavy_weapon_gadget.part_firmware_daeddy_o</t>
  </si>
  <si>
    <t>heavy_weapon_gadget.part_firmware_deadeye</t>
  </si>
  <si>
    <t>heavy_weapon_gadget.part_firmware_gadget_ahoy</t>
  </si>
  <si>
    <t>heavy_weapon_gadget.part_firmware_get_throwin</t>
  </si>
  <si>
    <t>heavy_weapon_gadget.part_firmware_god_killer</t>
  </si>
  <si>
    <t>heavy_weapon_gadget.part_firmware_goojfc</t>
  </si>
  <si>
    <t>heavy_weapon_gadget.part_firmware_heating_up</t>
  </si>
  <si>
    <t>heavy_weapon_gadget.part_firmware_high_caliber</t>
  </si>
  <si>
    <t>heavy_weapon_gadget.part_firmware_jacked</t>
  </si>
  <si>
    <t>heavy_weapon_gadget.part_firmware_lifeblood</t>
  </si>
  <si>
    <t>heavy_weapon_gadget.part_firmware_oscar_mike</t>
  </si>
  <si>
    <t>heavy_weapon_gadget.part_firmware_reel_big_fist</t>
  </si>
  <si>
    <t>heavy_weapon_gadget.part_firmware_risky_boots</t>
  </si>
  <si>
    <t>heavy_weapon_gadget.part_firmware_rubberband_man</t>
  </si>
  <si>
    <t>heavy_weapon_gadget.part_firmware_trickshot</t>
  </si>
  <si>
    <t>heavy_weapon_gadget.part_firmware_skillcraft</t>
  </si>
  <si>
    <t>repair_kit.part_firmware_skillcraft</t>
  </si>
  <si>
    <t>Shield.part_firmware_skillcraft</t>
  </si>
  <si>
    <t>Repkit Parts</t>
  </si>
  <si>
    <t>Grenade Parts</t>
  </si>
  <si>
    <t>Shield Perks</t>
  </si>
  <si>
    <t>Energy Shield Perks</t>
  </si>
  <si>
    <t>Armor Shield Perks</t>
  </si>
  <si>
    <t>Enhancement Parts</t>
  </si>
  <si>
    <t>HW Firmware</t>
  </si>
  <si>
    <t>Example: 7, 0, 1, 50| 2, 2518|| {100} {2} {5} {6} {4} {1:11}| "c", XX|</t>
  </si>
  <si>
    <t>Universal?</t>
  </si>
  <si>
    <t>Phosphen</t>
  </si>
  <si>
    <t>No, but Yes</t>
  </si>
  <si>
    <t>It is necessary to ascertain the weapon from which it originated</t>
  </si>
  <si>
    <t>G.M.R</t>
  </si>
  <si>
    <t>Lead Ballon</t>
  </si>
  <si>
    <t>Missing Name, but have skin</t>
  </si>
  <si>
    <t>It is surmised that the absence of a name stems from it not being a corresponding weapon; Phosphen follows the same principle, though it is visible.</t>
  </si>
  <si>
    <t>Default</t>
  </si>
  <si>
    <t>Ripper Default?</t>
  </si>
  <si>
    <t>Smiley</t>
  </si>
  <si>
    <t>Yes</t>
  </si>
  <si>
    <t>Werido</t>
  </si>
  <si>
    <t>Eternal Defender</t>
  </si>
  <si>
    <t>Bird of Prey</t>
  </si>
  <si>
    <t>Soused</t>
  </si>
  <si>
    <t>Self Excision</t>
  </si>
  <si>
    <t>Highrise</t>
  </si>
  <si>
    <t>Wellspring-Loaded</t>
  </si>
  <si>
    <t>Devourer</t>
  </si>
  <si>
    <t>The System</t>
  </si>
  <si>
    <t>Future Proof</t>
  </si>
  <si>
    <t>Frenzy Forever</t>
  </si>
  <si>
    <t>Afterparty</t>
  </si>
  <si>
    <t>Halt, Citizen</t>
  </si>
  <si>
    <t>Meltdown</t>
  </si>
  <si>
    <t>High Impact</t>
  </si>
  <si>
    <t>With the Grain</t>
  </si>
  <si>
    <t>Bestia Rossa</t>
  </si>
  <si>
    <t>Pixel Perfect</t>
  </si>
  <si>
    <t>Chain of Command</t>
  </si>
  <si>
    <t>Gloss</t>
  </si>
  <si>
    <t>Awoooooo!</t>
  </si>
  <si>
    <t>Sprinked</t>
  </si>
  <si>
    <t>Prison Buddy</t>
  </si>
  <si>
    <t>Never Say DlY</t>
  </si>
  <si>
    <t>Game Bot</t>
  </si>
  <si>
    <t>Itty Bitty Kitty Committee</t>
  </si>
  <si>
    <t>Carcade Shooter</t>
  </si>
  <si>
    <t>Fran's Frogurt</t>
  </si>
  <si>
    <t>Drawn This Way</t>
  </si>
  <si>
    <t>Coast to Coast</t>
  </si>
  <si>
    <t>The Gun is Lava</t>
  </si>
  <si>
    <t>Solar Flair</t>
  </si>
  <si>
    <t>Interaction</t>
  </si>
  <si>
    <t>10:1</t>
  </si>
  <si>
    <t>Increases Alt Fire ammo qty</t>
  </si>
  <si>
    <t>8:52</t>
  </si>
  <si>
    <t>Increases Alt Fire projectile count</t>
  </si>
  <si>
    <t>289:17</t>
  </si>
  <si>
    <t>Increases shots fired, decreases bullet damage</t>
  </si>
  <si>
    <t>282:18</t>
  </si>
  <si>
    <t>Increases damage and splash radius, doesn't change projectile</t>
  </si>
  <si>
    <t>289:18</t>
  </si>
  <si>
    <t>Increases projectiles speed, doesn't change projectile</t>
  </si>
  <si>
    <t>289:14</t>
  </si>
  <si>
    <t>Speedloader</t>
  </si>
  <si>
    <t>Increases RoF by 30%, does not change projectile!</t>
  </si>
  <si>
    <t>289:13</t>
  </si>
  <si>
    <t>Projectiles pierce through enemies, does not change projectile!</t>
  </si>
  <si>
    <t>275:18</t>
  </si>
  <si>
    <t>Makes projectile damage splash to enemies near target, does not change projectile!</t>
  </si>
  <si>
    <t>275:19</t>
  </si>
  <si>
    <t>Turns projectile into a laser beam that increases in damage the longer it is fired.</t>
  </si>
  <si>
    <t>Query Builder</t>
  </si>
  <si>
    <t>FORMULA for building QUERY</t>
  </si>
  <si>
    <t>=CONCATENATE(IF(A3, A2, ""), IF(B3, IF(A3, " AND ", ""), ""), IF(B3, B2, ""), IF(D3, SWITCH(True, B3, " AND ", A3, " AND ", ""), ""), IF(D3, D2, ""), IF(G3, SWITCH(True, D3, " AND ", B3, " AND ", A3, " AND ", ""), ""), IF(G3, G2, ""), IF(A3, "", IF(B3, "", IF(D3, "", IF(G3, "", " 2=2")))))</t>
  </si>
  <si>
    <t>ALL</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</si>
</sst>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8.0"/>
      <color rgb="FFEFEFEF"/>
      <name val="Arial"/>
      <scheme val="minor"/>
    </font>
    <font/>
    <font>
      <color theme="1"/>
      <name val="Arial"/>
      <scheme val="minor"/>
    </font>
    <font>
      <sz val="11.0"/>
      <color theme="1"/>
      <name val="Arial"/>
      <scheme val="minor"/>
    </font>
    <font>
      <u/>
      <sz val="11.0"/>
      <color rgb="FF0000FF"/>
    </font>
    <font>
      <u/>
      <sz val="11.0"/>
      <color rgb="FF0000FF"/>
    </font>
    <font>
      <b/>
      <sz val="14.0"/>
      <color rgb="FFEFEFEF"/>
      <name val="Arial"/>
      <scheme val="minor"/>
    </font>
    <font>
      <u/>
      <sz val="11.0"/>
      <color rgb="FF0000FF"/>
    </font>
    <font>
      <sz val="11.0"/>
      <color theme="1"/>
      <name val="Consolas"/>
    </font>
    <font>
      <b/>
      <sz val="11.0"/>
      <color rgb="FFFF00FF"/>
      <name val="Consolas"/>
    </font>
    <font>
      <b/>
      <sz val="12.0"/>
      <color theme="1"/>
      <name val="Arial"/>
      <scheme val="minor"/>
    </font>
    <font>
      <b/>
      <u/>
      <sz val="12.0"/>
      <color rgb="FF0000FF"/>
      <name val="Arial"/>
    </font>
    <font>
      <b/>
      <u/>
      <sz val="12.0"/>
      <color rgb="FF0000FF"/>
      <name val="Arial"/>
    </font>
    <font>
      <b/>
      <u/>
      <sz val="12.0"/>
      <color rgb="FF0000FF"/>
      <name val="Microsoft YaHei UI"/>
    </font>
    <font>
      <b/>
      <u/>
      <sz val="12.0"/>
      <color rgb="FF0000FF"/>
      <name val="Arial"/>
    </font>
    <font>
      <b/>
      <sz val="12.0"/>
      <color theme="1"/>
      <name val="Microsoft YaHei UI"/>
    </font>
    <font>
      <b/>
      <sz val="12.0"/>
      <color theme="1"/>
      <name val="Arial"/>
    </font>
    <font>
      <color theme="1"/>
      <name val="Arial"/>
    </font>
    <font>
      <b/>
      <color theme="1"/>
      <name val="Arial"/>
    </font>
    <font>
      <i/>
      <color theme="1"/>
      <name val="Arial"/>
    </font>
    <font>
      <b/>
      <color rgb="FF000000"/>
      <name val="Arial"/>
    </font>
    <font>
      <b/>
      <color theme="1"/>
      <name val="Arial"/>
      <scheme val="minor"/>
    </font>
    <font>
      <sz val="10.0"/>
      <color theme="1"/>
      <name val="Arial"/>
    </font>
    <font>
      <sz val="10.0"/>
      <color theme="1"/>
      <name val="&quot;gg sans&quot;"/>
    </font>
    <font>
      <b/>
      <sz val="12.0"/>
      <color rgb="FFFFFFFF"/>
      <name val="Arial"/>
      <scheme val="minor"/>
    </font>
    <font>
      <b/>
      <sz val="10.0"/>
      <color theme="1"/>
      <name val="Arial"/>
      <scheme val="minor"/>
    </font>
    <font>
      <b/>
      <sz val="10.0"/>
      <color rgb="FF0000FF"/>
      <name val="Arial"/>
      <scheme val="minor"/>
    </font>
    <font>
      <b/>
      <sz val="10.0"/>
      <color rgb="FFFF0000"/>
      <name val="Arial"/>
      <scheme val="minor"/>
    </font>
    <font>
      <sz val="10.0"/>
      <color theme="1"/>
      <name val="Arial"/>
      <scheme val="minor"/>
    </font>
  </fonts>
  <fills count="21">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CFE2F3"/>
        <bgColor rgb="FFCFE2F3"/>
      </patternFill>
    </fill>
    <fill>
      <patternFill patternType="solid">
        <fgColor rgb="FFC9DAF8"/>
        <bgColor rgb="FFC9DAF8"/>
      </patternFill>
    </fill>
    <fill>
      <patternFill patternType="solid">
        <fgColor rgb="FFFFFFFF"/>
        <bgColor rgb="FFFFFFFF"/>
      </patternFill>
    </fill>
    <fill>
      <patternFill patternType="solid">
        <fgColor rgb="FFEFEFEF"/>
        <bgColor rgb="FFEFEFEF"/>
      </patternFill>
    </fill>
    <fill>
      <patternFill patternType="solid">
        <fgColor rgb="FFF9CB9C"/>
        <bgColor rgb="FFF9CB9C"/>
      </patternFill>
    </fill>
    <fill>
      <patternFill patternType="solid">
        <fgColor rgb="FFD9D9D9"/>
        <bgColor rgb="FFD9D9D9"/>
      </patternFill>
    </fill>
    <fill>
      <patternFill patternType="solid">
        <fgColor rgb="FF999999"/>
        <bgColor rgb="FF999999"/>
      </patternFill>
    </fill>
    <fill>
      <patternFill patternType="solid">
        <fgColor rgb="FFFFFF00"/>
        <bgColor rgb="FFFFFF00"/>
      </patternFill>
    </fill>
    <fill>
      <patternFill patternType="solid">
        <fgColor rgb="FFB7B7B7"/>
        <bgColor rgb="FFB7B7B7"/>
      </patternFill>
    </fill>
    <fill>
      <patternFill patternType="solid">
        <fgColor rgb="FFB6D7A8"/>
        <bgColor rgb="FFB6D7A8"/>
      </patternFill>
    </fill>
    <fill>
      <patternFill patternType="solid">
        <fgColor rgb="FF4DD0E1"/>
        <bgColor rgb="FF4DD0E1"/>
      </patternFill>
    </fill>
    <fill>
      <patternFill patternType="solid">
        <fgColor rgb="FFE6B8AF"/>
        <bgColor rgb="FFE6B8AF"/>
      </patternFill>
    </fill>
    <fill>
      <patternFill patternType="solid">
        <fgColor rgb="FFFFF2CC"/>
        <bgColor rgb="FFFFF2CC"/>
      </patternFill>
    </fill>
    <fill>
      <patternFill patternType="solid">
        <fgColor rgb="FF9FC5E8"/>
        <bgColor rgb="FF9FC5E8"/>
      </patternFill>
    </fill>
    <fill>
      <patternFill patternType="solid">
        <fgColor rgb="FFCCCCCC"/>
        <bgColor rgb="FFCCCCCC"/>
      </patternFill>
    </fill>
    <fill>
      <patternFill patternType="solid">
        <fgColor rgb="FFF3F3F3"/>
        <bgColor rgb="FFF3F3F3"/>
      </patternFill>
    </fill>
    <fill>
      <patternFill patternType="solid">
        <fgColor rgb="FFFF9900"/>
        <bgColor rgb="FFFF9900"/>
      </patternFill>
    </fill>
  </fills>
  <borders count="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0" fillId="3" fontId="4" numFmtId="0" xfId="0" applyAlignment="1" applyFill="1" applyFont="1">
      <alignment readingOrder="0" shrinkToFit="0" vertical="center" wrapText="1"/>
    </xf>
    <xf borderId="1" fillId="2" fontId="1" numFmtId="0" xfId="0" applyAlignment="1" applyBorder="1" applyFont="1">
      <alignment readingOrder="0"/>
    </xf>
    <xf borderId="0" fillId="3" fontId="5" numFmtId="0" xfId="0" applyAlignment="1" applyFont="1">
      <alignment horizontal="left" readingOrder="0" vertical="top"/>
    </xf>
    <xf borderId="0" fillId="3" fontId="4" numFmtId="0" xfId="0" applyAlignment="1" applyFont="1">
      <alignment horizontal="left" readingOrder="0" vertical="top"/>
    </xf>
    <xf borderId="0" fillId="3" fontId="6" numFmtId="0" xfId="0" applyAlignment="1" applyFont="1">
      <alignment horizontal="left" readingOrder="0"/>
    </xf>
    <xf borderId="1" fillId="2" fontId="7" numFmtId="0" xfId="0" applyAlignment="1" applyBorder="1" applyFont="1">
      <alignment readingOrder="0"/>
    </xf>
    <xf borderId="0" fillId="4" fontId="4" numFmtId="0" xfId="0" applyAlignment="1" applyFill="1" applyFont="1">
      <alignment horizontal="center" readingOrder="0"/>
    </xf>
    <xf borderId="0" fillId="5" fontId="4" numFmtId="0" xfId="0" applyAlignment="1" applyFill="1" applyFont="1">
      <alignment horizontal="left" readingOrder="0" vertical="center"/>
    </xf>
    <xf borderId="0" fillId="5" fontId="4" numFmtId="0" xfId="0" applyAlignment="1" applyFont="1">
      <alignment horizontal="left" readingOrder="0" vertical="center"/>
    </xf>
    <xf borderId="0" fillId="5" fontId="8" numFmtId="0" xfId="0" applyAlignment="1" applyFont="1">
      <alignment horizontal="left" readingOrder="0" vertical="center"/>
    </xf>
    <xf borderId="0" fillId="5" fontId="9" numFmtId="0" xfId="0" applyAlignment="1" applyFont="1">
      <alignment horizontal="left" readingOrder="0" vertical="center"/>
    </xf>
    <xf borderId="0" fillId="5" fontId="10" numFmtId="0" xfId="0" applyAlignment="1" applyFont="1">
      <alignment horizontal="left" readingOrder="0" vertical="center"/>
    </xf>
    <xf borderId="0" fillId="5" fontId="4" numFmtId="0" xfId="0" applyAlignment="1" applyFont="1">
      <alignment horizontal="left" readingOrder="0" vertical="top"/>
    </xf>
    <xf borderId="0" fillId="0" fontId="3" numFmtId="0" xfId="0" applyAlignment="1" applyFont="1">
      <alignment readingOrder="0"/>
    </xf>
    <xf borderId="1" fillId="6" fontId="11" numFmtId="0" xfId="0" applyAlignment="1" applyBorder="1" applyFill="1" applyFont="1">
      <alignment horizontal="center" readingOrder="0" vertical="center"/>
    </xf>
    <xf borderId="4" fillId="6" fontId="11" numFmtId="0" xfId="0" applyAlignment="1" applyBorder="1" applyFont="1">
      <alignment horizontal="center" readingOrder="0" vertical="center"/>
    </xf>
    <xf borderId="5" fillId="7" fontId="11" numFmtId="0" xfId="0" applyAlignment="1" applyBorder="1" applyFill="1" applyFont="1">
      <alignment horizontal="center" readingOrder="0" vertical="center"/>
    </xf>
    <xf borderId="4" fillId="7" fontId="12" numFmtId="0" xfId="0" applyAlignment="1" applyBorder="1" applyFont="1">
      <alignment horizontal="center" readingOrder="0" vertical="center"/>
    </xf>
    <xf borderId="5" fillId="7" fontId="11" numFmtId="0" xfId="0" applyAlignment="1" applyBorder="1" applyFont="1">
      <alignment horizontal="center" vertical="center"/>
    </xf>
    <xf borderId="5" fillId="8" fontId="11" numFmtId="0" xfId="0" applyAlignment="1" applyBorder="1" applyFill="1" applyFont="1">
      <alignment horizontal="center" readingOrder="0" vertical="center"/>
    </xf>
    <xf borderId="5" fillId="7" fontId="13" numFmtId="0" xfId="0" applyAlignment="1" applyBorder="1" applyFont="1">
      <alignment horizontal="center" readingOrder="0" vertical="center"/>
    </xf>
    <xf borderId="5" fillId="7" fontId="11" numFmtId="0" xfId="0" applyAlignment="1" applyBorder="1" applyFont="1">
      <alignment horizontal="center" readingOrder="0" vertical="center"/>
    </xf>
    <xf borderId="5" fillId="8" fontId="14" numFmtId="0" xfId="0" applyAlignment="1" applyBorder="1" applyFont="1">
      <alignment horizontal="center" readingOrder="0" vertical="center"/>
    </xf>
    <xf borderId="5" fillId="8" fontId="11" numFmtId="0" xfId="0" applyAlignment="1" applyBorder="1" applyFont="1">
      <alignment horizontal="center" vertical="center"/>
    </xf>
    <xf borderId="5" fillId="8" fontId="15" numFmtId="0" xfId="0" applyAlignment="1" applyBorder="1" applyFont="1">
      <alignment horizontal="center" readingOrder="0" vertical="center"/>
    </xf>
    <xf borderId="5" fillId="0" fontId="3" numFmtId="0" xfId="0" applyBorder="1" applyFont="1"/>
    <xf borderId="5" fillId="8" fontId="16" numFmtId="0" xfId="0" applyAlignment="1" applyBorder="1" applyFont="1">
      <alignment horizontal="center" readingOrder="0" vertical="center"/>
    </xf>
    <xf borderId="5" fillId="7" fontId="17" numFmtId="0" xfId="0" applyAlignment="1" applyBorder="1" applyFont="1">
      <alignment horizontal="center" readingOrder="0" vertical="center"/>
    </xf>
    <xf borderId="5" fillId="8" fontId="17" numFmtId="0" xfId="0" applyAlignment="1" applyBorder="1" applyFont="1">
      <alignment horizontal="center" readingOrder="0" vertical="center"/>
    </xf>
    <xf borderId="0" fillId="0" fontId="3" numFmtId="0" xfId="0" applyAlignment="1" applyFont="1">
      <alignment horizontal="center" vertical="center"/>
    </xf>
    <xf borderId="0" fillId="0" fontId="18" numFmtId="0" xfId="0" applyAlignment="1" applyFont="1">
      <alignment vertical="bottom"/>
    </xf>
    <xf borderId="0" fillId="9" fontId="19" numFmtId="0" xfId="0" applyAlignment="1" applyFill="1" applyFont="1">
      <alignment readingOrder="0" vertical="bottom"/>
    </xf>
    <xf borderId="0" fillId="9" fontId="18" numFmtId="0" xfId="0" applyAlignment="1" applyFont="1">
      <alignment readingOrder="0" vertical="bottom"/>
    </xf>
    <xf borderId="0" fillId="0" fontId="18" numFmtId="0" xfId="0" applyAlignment="1" applyFont="1">
      <alignment readingOrder="0" vertical="bottom"/>
    </xf>
    <xf borderId="0" fillId="0" fontId="3" numFmtId="0" xfId="0" applyAlignment="1" applyFont="1">
      <alignment readingOrder="0"/>
    </xf>
    <xf borderId="0" fillId="9" fontId="19" numFmtId="0" xfId="0" applyAlignment="1" applyFont="1">
      <alignment vertical="bottom"/>
    </xf>
    <xf borderId="0" fillId="9" fontId="18" numFmtId="0" xfId="0" applyAlignment="1" applyFont="1">
      <alignment vertical="bottom"/>
    </xf>
    <xf borderId="0" fillId="9" fontId="20" numFmtId="0" xfId="0" applyAlignment="1" applyFont="1">
      <alignment vertical="bottom"/>
    </xf>
    <xf borderId="0" fillId="10" fontId="21" numFmtId="0" xfId="0" applyAlignment="1" applyFill="1" applyFont="1">
      <alignment readingOrder="0" vertical="bottom"/>
    </xf>
    <xf borderId="0" fillId="10" fontId="21" numFmtId="0" xfId="0" applyAlignment="1" applyFont="1">
      <alignment horizontal="center" readingOrder="0" vertical="bottom"/>
    </xf>
    <xf borderId="0" fillId="0" fontId="18" numFmtId="0" xfId="0" applyAlignment="1" applyFont="1">
      <alignment horizontal="center" vertical="bottom"/>
    </xf>
    <xf borderId="0" fillId="0" fontId="18" numFmtId="0" xfId="0" applyAlignment="1" applyFont="1">
      <alignment horizontal="center" readingOrder="0" vertical="bottom"/>
    </xf>
    <xf borderId="0" fillId="0" fontId="3" numFmtId="0" xfId="0" applyAlignment="1" applyFont="1">
      <alignment horizontal="center" readingOrder="0"/>
    </xf>
    <xf borderId="0" fillId="10" fontId="18" numFmtId="0" xfId="0" applyAlignment="1" applyFont="1">
      <alignment vertical="bottom"/>
    </xf>
    <xf borderId="0" fillId="10" fontId="18" numFmtId="0" xfId="0" applyAlignment="1" applyFont="1">
      <alignment horizontal="center" vertical="bottom"/>
    </xf>
    <xf borderId="0" fillId="11" fontId="18" numFmtId="0" xfId="0" applyAlignment="1" applyFill="1" applyFont="1">
      <alignment vertical="bottom"/>
    </xf>
    <xf borderId="0" fillId="11" fontId="18" numFmtId="0" xfId="0" applyAlignment="1" applyFont="1">
      <alignment readingOrder="0" vertical="bottom"/>
    </xf>
    <xf borderId="0" fillId="11" fontId="18" numFmtId="0" xfId="0" applyAlignment="1" applyFont="1">
      <alignment horizontal="center" vertical="bottom"/>
    </xf>
    <xf borderId="0" fillId="11" fontId="18" numFmtId="0" xfId="0" applyAlignment="1" applyFont="1">
      <alignment horizontal="center" readingOrder="0" vertical="bottom"/>
    </xf>
    <xf borderId="0" fillId="12" fontId="3" numFmtId="0" xfId="0" applyAlignment="1" applyFill="1" applyFont="1">
      <alignment readingOrder="0"/>
    </xf>
    <xf borderId="0" fillId="12" fontId="3" numFmtId="0" xfId="0" applyFont="1"/>
    <xf quotePrefix="1" borderId="0" fillId="0" fontId="3" numFmtId="0" xfId="0" applyAlignment="1" applyFont="1">
      <alignment readingOrder="0"/>
    </xf>
    <xf borderId="0" fillId="0" fontId="18" numFmtId="0" xfId="0" applyAlignment="1" applyFont="1">
      <alignment vertical="bottom"/>
    </xf>
    <xf quotePrefix="1" borderId="0" fillId="0" fontId="18" numFmtId="0" xfId="0" applyAlignment="1" applyFont="1">
      <alignment vertical="bottom"/>
    </xf>
    <xf borderId="0" fillId="11" fontId="3" numFmtId="0" xfId="0" applyAlignment="1" applyFont="1">
      <alignment readingOrder="0"/>
    </xf>
    <xf borderId="0" fillId="12" fontId="22" numFmtId="0" xfId="0" applyAlignment="1" applyFont="1">
      <alignment readingOrder="0"/>
    </xf>
    <xf borderId="6" fillId="0" fontId="18" numFmtId="0" xfId="0" applyAlignment="1" applyBorder="1" applyFont="1">
      <alignment vertical="bottom"/>
    </xf>
    <xf borderId="6" fillId="13" fontId="18" numFmtId="0" xfId="0" applyAlignment="1" applyBorder="1" applyFill="1" applyFont="1">
      <alignment vertical="bottom"/>
    </xf>
    <xf borderId="6" fillId="0" fontId="18" numFmtId="0" xfId="0" applyAlignment="1" applyBorder="1" applyFont="1">
      <alignment horizontal="center" readingOrder="0" vertical="bottom"/>
    </xf>
    <xf borderId="6" fillId="0" fontId="18" numFmtId="0" xfId="0" applyAlignment="1" applyBorder="1" applyFont="1">
      <alignment readingOrder="0" vertical="bottom"/>
    </xf>
    <xf borderId="7" fillId="0" fontId="18" numFmtId="0" xfId="0" applyAlignment="1" applyBorder="1" applyFont="1">
      <alignment vertical="bottom"/>
    </xf>
    <xf borderId="7" fillId="14" fontId="18" numFmtId="0" xfId="0" applyAlignment="1" applyBorder="1" applyFill="1" applyFont="1">
      <alignment vertical="bottom"/>
    </xf>
    <xf borderId="7" fillId="0" fontId="18" numFmtId="0" xfId="0" applyAlignment="1" applyBorder="1" applyFont="1">
      <alignment horizontal="center" readingOrder="0" vertical="bottom"/>
    </xf>
    <xf borderId="7" fillId="15" fontId="18" numFmtId="0" xfId="0" applyAlignment="1" applyBorder="1" applyFill="1" applyFont="1">
      <alignment vertical="bottom"/>
    </xf>
    <xf borderId="7" fillId="16" fontId="18" numFmtId="0" xfId="0" applyAlignment="1" applyBorder="1" applyFill="1" applyFont="1">
      <alignment vertical="bottom"/>
    </xf>
    <xf borderId="7" fillId="17" fontId="18" numFmtId="0" xfId="0" applyAlignment="1" applyBorder="1" applyFill="1" applyFont="1">
      <alignment vertical="bottom"/>
    </xf>
    <xf borderId="7" fillId="13" fontId="18" numFmtId="0" xfId="0" applyAlignment="1" applyBorder="1" applyFont="1">
      <alignment vertical="bottom"/>
    </xf>
    <xf borderId="6" fillId="0" fontId="3" numFmtId="0" xfId="0" applyAlignment="1" applyBorder="1" applyFont="1">
      <alignment readingOrder="0"/>
    </xf>
    <xf borderId="0" fillId="0" fontId="23" numFmtId="0" xfId="0" applyAlignment="1" applyFont="1">
      <alignment readingOrder="0"/>
    </xf>
    <xf borderId="0" fillId="0" fontId="3" numFmtId="0" xfId="0" applyAlignment="1" applyFont="1">
      <alignment horizontal="left" readingOrder="0"/>
    </xf>
    <xf borderId="0" fillId="0" fontId="24" numFmtId="0" xfId="0" applyAlignment="1" applyFont="1">
      <alignment readingOrder="0"/>
    </xf>
    <xf borderId="0" fillId="0" fontId="3" numFmtId="0" xfId="0" applyFont="1"/>
    <xf borderId="0" fillId="0" fontId="18" numFmtId="0" xfId="0" applyAlignment="1" applyFont="1">
      <alignment horizontal="left" readingOrder="0"/>
    </xf>
    <xf quotePrefix="1" borderId="0" fillId="0" fontId="18" numFmtId="0" xfId="0" applyAlignment="1" applyFont="1">
      <alignment vertical="bottom"/>
    </xf>
    <xf borderId="0" fillId="0" fontId="18" numFmtId="0" xfId="0" applyAlignment="1" applyFont="1">
      <alignment horizontal="left"/>
    </xf>
    <xf quotePrefix="1" borderId="0" fillId="0" fontId="3" numFmtId="0" xfId="0" applyFont="1"/>
    <xf borderId="0" fillId="18" fontId="3" numFmtId="0" xfId="0" applyAlignment="1" applyFill="1" applyFont="1">
      <alignment readingOrder="0"/>
    </xf>
    <xf borderId="0" fillId="18" fontId="3" numFmtId="0" xfId="0" applyFont="1"/>
    <xf borderId="0" fillId="18" fontId="18" numFmtId="0" xfId="0" applyAlignment="1" applyFont="1">
      <alignment horizontal="center" readingOrder="0" vertical="bottom"/>
    </xf>
    <xf borderId="0" fillId="18" fontId="18" numFmtId="0" xfId="0" applyAlignment="1" applyFont="1">
      <alignment readingOrder="0" vertical="bottom"/>
    </xf>
    <xf borderId="0" fillId="18" fontId="18" numFmtId="0" xfId="0" applyAlignment="1" applyFont="1">
      <alignment vertical="bottom"/>
    </xf>
    <xf quotePrefix="1" borderId="0" fillId="0" fontId="18" numFmtId="0" xfId="0" applyAlignment="1" applyFont="1">
      <alignment readingOrder="0" vertical="bottom"/>
    </xf>
    <xf borderId="0" fillId="11" fontId="3" numFmtId="0" xfId="0" applyFont="1"/>
    <xf borderId="0" fillId="0" fontId="18" numFmtId="0" xfId="0" applyAlignment="1" applyFont="1">
      <alignment horizontal="left"/>
    </xf>
    <xf borderId="0" fillId="11" fontId="3" numFmtId="0" xfId="0" applyAlignment="1" applyFont="1">
      <alignment horizontal="center" readingOrder="0"/>
    </xf>
    <xf borderId="0" fillId="0" fontId="11" numFmtId="0" xfId="0" applyAlignment="1" applyFont="1">
      <alignment readingOrder="0"/>
    </xf>
    <xf borderId="0" fillId="2" fontId="25" numFmtId="0" xfId="0" applyAlignment="1" applyFont="1">
      <alignment horizontal="center" readingOrder="0" vertical="center"/>
    </xf>
    <xf borderId="8" fillId="0" fontId="26" numFmtId="0" xfId="0" applyAlignment="1" applyBorder="1" applyFont="1">
      <alignment horizontal="center" readingOrder="0" vertical="center"/>
    </xf>
    <xf borderId="8" fillId="0" fontId="27" numFmtId="0" xfId="0" applyAlignment="1" applyBorder="1" applyFont="1">
      <alignment horizontal="center" readingOrder="0" vertical="center"/>
    </xf>
    <xf borderId="8" fillId="0" fontId="28" numFmtId="0" xfId="0" applyAlignment="1" applyBorder="1" applyFont="1">
      <alignment horizontal="center" readingOrder="0" vertical="center"/>
    </xf>
    <xf borderId="0" fillId="0" fontId="18" numFmtId="49" xfId="0" applyAlignment="1" applyFont="1" applyNumberFormat="1">
      <alignment horizontal="center" vertical="bottom"/>
    </xf>
    <xf borderId="0" fillId="0" fontId="3" numFmtId="49" xfId="0" applyAlignment="1" applyFont="1" applyNumberFormat="1">
      <alignment horizontal="center"/>
    </xf>
    <xf borderId="0" fillId="0" fontId="3" numFmtId="0" xfId="0" applyAlignment="1" applyFont="1">
      <alignment horizontal="center"/>
    </xf>
    <xf borderId="0" fillId="2" fontId="3" numFmtId="0" xfId="0" applyFont="1"/>
    <xf borderId="0" fillId="12" fontId="26" numFmtId="0" xfId="0" applyAlignment="1" applyFont="1">
      <alignment readingOrder="0"/>
    </xf>
    <xf borderId="0" fillId="12" fontId="26" numFmtId="0" xfId="0" applyFont="1"/>
    <xf borderId="0" fillId="12" fontId="26" numFmtId="0" xfId="0" applyAlignment="1" applyFont="1">
      <alignment horizontal="center"/>
    </xf>
    <xf borderId="0" fillId="0" fontId="29" numFmtId="0" xfId="0" applyFont="1"/>
    <xf borderId="0" fillId="0" fontId="29" numFmtId="0" xfId="0" applyAlignment="1" applyFont="1">
      <alignment horizontal="center"/>
    </xf>
    <xf borderId="7" fillId="0" fontId="3" numFmtId="0" xfId="0" applyAlignment="1" applyBorder="1" applyFont="1">
      <alignment horizontal="left"/>
    </xf>
    <xf borderId="0" fillId="0" fontId="3" numFmtId="0" xfId="0" applyAlignment="1" applyFont="1">
      <alignment horizontal="left"/>
    </xf>
    <xf borderId="0" fillId="19" fontId="3" numFmtId="0" xfId="0" applyAlignment="1" applyFill="1" applyFont="1">
      <alignment horizontal="left" readingOrder="0"/>
    </xf>
    <xf borderId="0" fillId="19" fontId="3" numFmtId="0" xfId="0" applyAlignment="1" applyFont="1">
      <alignment horizontal="left"/>
    </xf>
    <xf quotePrefix="1" borderId="0" fillId="0" fontId="3" numFmtId="0" xfId="0" applyAlignment="1" applyFont="1">
      <alignment horizontal="left" readingOrder="0"/>
    </xf>
    <xf borderId="0" fillId="20" fontId="3" numFmtId="0" xfId="0" applyAlignment="1" applyFill="1" applyFont="1">
      <alignment horizontal="left"/>
    </xf>
    <xf borderId="0" fillId="20" fontId="3" numFmtId="0" xfId="0" applyAlignment="1" applyFont="1">
      <alignment horizontal="center"/>
    </xf>
    <xf borderId="0" fillId="9" fontId="3" numFmtId="0" xfId="0" applyAlignment="1" applyFont="1">
      <alignment horizontal="center"/>
    </xf>
    <xf borderId="0" fillId="9" fontId="3" numFmtId="0" xfId="0" applyAlignment="1" applyFont="1">
      <alignment horizontal="left"/>
    </xf>
    <xf borderId="0" fillId="9" fontId="3" numFmtId="0" xfId="0" applyFont="1"/>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EFEFEF"/>
          <bgColor rgb="FFEFEFEF"/>
        </patternFill>
      </fill>
      <border/>
    </dxf>
    <dxf>
      <font/>
      <fill>
        <patternFill patternType="solid">
          <fgColor rgb="FFF9CB9C"/>
          <bgColor rgb="FFF9CB9C"/>
        </patternFill>
      </fill>
      <border/>
    </dxf>
    <dxf>
      <font>
        <color rgb="FF11734B"/>
      </font>
      <fill>
        <patternFill patternType="solid">
          <fgColor rgb="FFD4EDBC"/>
          <bgColor rgb="FFD4EDBC"/>
        </patternFill>
      </fill>
      <border/>
    </dxf>
    <dxf>
      <font>
        <b/>
      </font>
      <fill>
        <patternFill patternType="solid">
          <fgColor rgb="FFF4C7C3"/>
          <bgColor rgb="FFF4C7C3"/>
        </patternFill>
      </fill>
      <border/>
    </dxf>
  </dxfs>
  <tableStyles count="1">
    <tableStyle count="3" pivot="0" name="INDEX-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microsoft.com/office/2007/relationships/slicerCache" Target="slicerCaches/slicerCache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microsoft.com/office/2007/relationships/slicerCache" Target="slicerCaches/slicerCache3.xml"/><Relationship Id="rId25" Type="http://schemas.microsoft.com/office/2007/relationships/slicerCache" Target="slicerCaches/slicerCache2.xml"/><Relationship Id="rId27" Type="http://schemas.microsoft.com/office/2007/relationships/slicerCache" Target="slicerCaches/slicerCache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95250</xdr:rowOff>
    </xdr:from>
    <xdr:ext cx="219075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152400</xdr:colOff>
      <xdr:row>0</xdr:row>
      <xdr:rowOff>95250</xdr:rowOff>
    </xdr:from>
    <xdr:ext cx="2190750" cy="2857500"/>
    <mc:AlternateContent>
      <mc:Choice Requires="sle15">
        <xdr:graphicFrame>
          <xdr:nvGraphicFramePr>
            <xdr:cNvPr id="2" name="Column2_2"/>
            <xdr:cNvGraphicFramePr/>
          </xdr:nvGraphicFramePr>
          <xdr:xfrm>
            <a:off x="0" y="0"/>
            <a:ext cx="0" cy="0"/>
          </xdr:xfrm>
          <a:graphic>
            <a:graphicData uri="http://schemas.microsoft.com/office/drawing/2010/slicer">
              <x3Unk:slicer name="Column2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333375</xdr:colOff>
      <xdr:row>0</xdr:row>
      <xdr:rowOff>95250</xdr:rowOff>
    </xdr:from>
    <xdr:ext cx="2190750" cy="2857500"/>
    <mc:AlternateContent>
      <mc:Choice Requires="sle15">
        <xdr:graphicFrame>
          <xdr:nvGraphicFramePr>
            <xdr:cNvPr id="3" name="Column7_3"/>
            <xdr:cNvGraphicFramePr/>
          </xdr:nvGraphicFramePr>
          <xdr:xfrm>
            <a:off x="0" y="0"/>
            <a:ext cx="0" cy="0"/>
          </xdr:xfrm>
          <a:graphic>
            <a:graphicData uri="http://schemas.microsoft.com/office/drawing/2010/slicer">
              <x3Unk:slicer name="Column7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1152525</xdr:colOff>
      <xdr:row>0</xdr:row>
      <xdr:rowOff>95250</xdr:rowOff>
    </xdr:from>
    <xdr:ext cx="2190750" cy="2857500"/>
    <mc:AlternateContent>
      <mc:Choice Requires="sle15">
        <xdr:graphicFrame>
          <xdr:nvGraphicFramePr>
            <xdr:cNvPr id="4" name="Column4_4"/>
            <xdr:cNvGraphicFramePr/>
          </xdr:nvGraphicFramePr>
          <xdr:xfrm>
            <a:off x="0" y="0"/>
            <a:ext cx="0" cy="0"/>
          </xdr:xfrm>
          <a:graphic>
            <a:graphicData uri="http://schemas.microsoft.com/office/drawing/2010/slicer">
              <x3Unk:slicer name="Column4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Column2">
  <x14:extLst>
    <ext uri="{2F2917AC-EB37-4324-AD4E-5DD8C200BD13}">
      <x15:tableSlicerCache tableId="2"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Column4">
  <x14:extLst>
    <ext uri="{2F2917AC-EB37-4324-AD4E-5DD8C200BD13}">
      <x15:tableSlicerCache tableId="2"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7" sourceName="Column7">
  <x14:extLst>
    <ext uri="{2F2917AC-EB37-4324-AD4E-5DD8C200BD13}">
      <x15:tableSlicerCache tableId="2"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2_Col_1" caption="Column1" rowHeight="247650"/>
  <x14:slicer name="Column2_2" cache="SlicerCache_Table_2_Col_2" caption="Column2" rowHeight="247650"/>
  <x14:slicer name="Column7_3" cache="SlicerCache_Table_2_Col_7" caption="Column7" rowHeight="247650"/>
  <x14:slicer name="Column4_4" cache="SlicerCache_Table_2_Col_4" caption="Column4" rowHeight="247650"/>
</x14:slicers>
</file>

<file path=xl/tables/table1.xml><?xml version="1.0" encoding="utf-8"?>
<table xmlns="http://schemas.openxmlformats.org/spreadsheetml/2006/main" ref="A2:C22" displayName="Table_1" name="Table_1" id="1">
  <tableColumns count="3">
    <tableColumn name="/" id="1"/>
    <tableColumn name="Name" id="2"/>
    <tableColumn name="Note" id="3"/>
  </tableColumns>
  <tableStyleInfo name="INDEX-style" showColumnStripes="0" showFirstColumn="1" showLastColumn="1" showRowStripes="1"/>
</table>
</file>

<file path=xl/tables/table2.xml><?xml version="1.0" encoding="utf-8"?>
<table xmlns="http://schemas.openxmlformats.org/spreadsheetml/2006/main" headerRowCount="0" ref="A2:L1968" displayName="Table_2" name="Table_2" id="2">
  <autoFilter ref="$A$2:$L$196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DAJEz9KQ" TargetMode="External"/><Relationship Id="rId2" Type="http://schemas.openxmlformats.org/officeDocument/2006/relationships/hyperlink" Target="https://borderlands4-deserializer.nicnl.com/" TargetMode="External"/><Relationship Id="rId3" Type="http://schemas.openxmlformats.org/officeDocument/2006/relationships/hyperlink" Target="https://github.com/Nicnl/borderlands4-serials" TargetMode="External"/><Relationship Id="rId4" Type="http://schemas.openxmlformats.org/officeDocument/2006/relationships/hyperlink" Target="https://borderlands.be/" TargetMode="External"/><Relationship Id="rId5" Type="http://schemas.openxmlformats.org/officeDocument/2006/relationships/hyperlink" Target="https://borderlands4-deserializer.nicnl.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6.xml"/><Relationship Id="rId3"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xml"/><Relationship Id="rId4" Type="http://schemas.microsoft.com/office/2007/relationships/slicer" Target="../slicers/slicer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9" width="10.63"/>
    <col customWidth="1" min="10" max="10" width="4.25"/>
    <col customWidth="1" min="18" max="18" width="3.13"/>
  </cols>
  <sheetData>
    <row r="2">
      <c r="B2" s="1" t="s">
        <v>0</v>
      </c>
      <c r="C2" s="2"/>
      <c r="D2" s="2"/>
      <c r="E2" s="2"/>
      <c r="F2" s="2"/>
      <c r="G2" s="2"/>
      <c r="H2" s="2"/>
      <c r="I2" s="3"/>
      <c r="J2" s="4"/>
      <c r="K2" s="1" t="s">
        <v>1</v>
      </c>
      <c r="L2" s="2"/>
      <c r="M2" s="2"/>
      <c r="N2" s="2"/>
      <c r="O2" s="2"/>
      <c r="P2" s="2"/>
      <c r="Q2" s="3"/>
      <c r="R2" s="4"/>
    </row>
    <row r="3" ht="18.0" customHeight="1">
      <c r="B3" s="5" t="s">
        <v>2</v>
      </c>
      <c r="J3" s="4"/>
      <c r="K3" s="5" t="s">
        <v>3</v>
      </c>
      <c r="R3" s="4"/>
    </row>
    <row r="4" ht="18.0" customHeight="1">
      <c r="J4" s="4"/>
      <c r="R4" s="4"/>
    </row>
    <row r="5" ht="18.0" customHeight="1">
      <c r="J5" s="4"/>
      <c r="R5" s="4"/>
    </row>
    <row r="6" ht="18.0" customHeight="1">
      <c r="J6" s="4"/>
      <c r="R6" s="4"/>
    </row>
    <row r="7" ht="18.0" customHeight="1">
      <c r="J7" s="4"/>
    </row>
    <row r="8" ht="18.0" customHeight="1">
      <c r="J8" s="4"/>
    </row>
    <row r="9" ht="18.0" customHeight="1">
      <c r="J9" s="4"/>
      <c r="K9" s="4"/>
      <c r="L9" s="4"/>
      <c r="M9" s="4"/>
      <c r="N9" s="4"/>
      <c r="O9" s="4"/>
      <c r="P9" s="4"/>
      <c r="Q9" s="4"/>
    </row>
    <row r="13">
      <c r="B13" s="4"/>
      <c r="C13" s="4"/>
      <c r="D13" s="4"/>
      <c r="E13" s="4"/>
      <c r="F13" s="4"/>
      <c r="G13" s="4"/>
      <c r="H13" s="4"/>
      <c r="I13" s="4"/>
      <c r="K13" s="4"/>
      <c r="L13" s="4"/>
      <c r="M13" s="4"/>
      <c r="N13" s="4"/>
      <c r="O13" s="4"/>
      <c r="P13" s="4"/>
      <c r="Q13" s="4"/>
    </row>
    <row r="14">
      <c r="B14" s="6" t="s">
        <v>4</v>
      </c>
      <c r="C14" s="2"/>
      <c r="D14" s="2"/>
      <c r="E14" s="2"/>
      <c r="F14" s="2"/>
      <c r="G14" s="2"/>
      <c r="H14" s="2"/>
      <c r="I14" s="3"/>
      <c r="K14" s="6" t="s">
        <v>5</v>
      </c>
      <c r="L14" s="2"/>
      <c r="M14" s="2"/>
      <c r="N14" s="2"/>
      <c r="O14" s="2"/>
      <c r="P14" s="2"/>
      <c r="Q14" s="3"/>
    </row>
    <row r="15" ht="18.75" customHeight="1">
      <c r="B15" s="7" t="s">
        <v>6</v>
      </c>
      <c r="C15" s="8"/>
      <c r="D15" s="8"/>
      <c r="E15" s="8"/>
      <c r="F15" s="8"/>
      <c r="G15" s="8"/>
      <c r="H15" s="8"/>
      <c r="I15" s="8"/>
      <c r="K15" s="9" t="s">
        <v>7</v>
      </c>
    </row>
    <row r="16" ht="18.75" customHeight="1">
      <c r="B16" s="7" t="s">
        <v>8</v>
      </c>
      <c r="C16" s="8"/>
      <c r="D16" s="8"/>
      <c r="E16" s="8"/>
      <c r="F16" s="8"/>
      <c r="G16" s="8"/>
      <c r="H16" s="8"/>
      <c r="I16" s="8"/>
      <c r="K16" s="9" t="s">
        <v>9</v>
      </c>
    </row>
    <row r="17" ht="18.75" customHeight="1">
      <c r="B17" s="7" t="s">
        <v>10</v>
      </c>
      <c r="K17" s="9" t="s">
        <v>11</v>
      </c>
    </row>
    <row r="18">
      <c r="B18" s="7" t="s">
        <v>12</v>
      </c>
      <c r="K18" s="9" t="s">
        <v>13</v>
      </c>
    </row>
    <row r="20">
      <c r="B20" s="10" t="s">
        <v>14</v>
      </c>
      <c r="C20" s="2"/>
      <c r="D20" s="2"/>
      <c r="E20" s="2"/>
      <c r="F20" s="2"/>
      <c r="G20" s="2"/>
      <c r="H20" s="2"/>
      <c r="I20" s="3"/>
      <c r="K20" s="10" t="s">
        <v>15</v>
      </c>
      <c r="L20" s="2"/>
      <c r="M20" s="2"/>
      <c r="N20" s="2"/>
      <c r="O20" s="2"/>
      <c r="P20" s="2"/>
      <c r="Q20" s="3"/>
    </row>
    <row r="21">
      <c r="B21" s="11" t="s">
        <v>16</v>
      </c>
      <c r="D21" s="11" t="s">
        <v>17</v>
      </c>
      <c r="F21" s="11" t="s">
        <v>18</v>
      </c>
      <c r="H21" s="11" t="s">
        <v>19</v>
      </c>
      <c r="K21" s="12" t="s">
        <v>20</v>
      </c>
    </row>
    <row r="22">
      <c r="B22" s="11" t="s">
        <v>21</v>
      </c>
      <c r="D22" s="11" t="s">
        <v>22</v>
      </c>
      <c r="F22" s="11" t="s">
        <v>23</v>
      </c>
      <c r="H22" s="11" t="s">
        <v>24</v>
      </c>
    </row>
    <row r="23">
      <c r="B23" s="11" t="s">
        <v>25</v>
      </c>
      <c r="D23" s="11" t="s">
        <v>26</v>
      </c>
      <c r="F23" s="11" t="s">
        <v>27</v>
      </c>
      <c r="H23" s="11" t="s">
        <v>28</v>
      </c>
    </row>
    <row r="24">
      <c r="B24" s="11" t="s">
        <v>29</v>
      </c>
      <c r="D24" s="11" t="s">
        <v>30</v>
      </c>
      <c r="F24" s="11" t="s">
        <v>31</v>
      </c>
      <c r="H24" s="11" t="s">
        <v>32</v>
      </c>
    </row>
    <row r="26">
      <c r="B26" s="10" t="s">
        <v>33</v>
      </c>
      <c r="C26" s="2"/>
      <c r="D26" s="2"/>
      <c r="E26" s="2"/>
      <c r="F26" s="2"/>
      <c r="G26" s="2"/>
      <c r="H26" s="2"/>
      <c r="I26" s="3"/>
    </row>
    <row r="27" ht="15.0" customHeight="1">
      <c r="B27" s="13" t="s">
        <v>34</v>
      </c>
      <c r="K27" s="14" t="s">
        <v>35</v>
      </c>
    </row>
    <row r="34">
      <c r="K34" s="13" t="s">
        <v>36</v>
      </c>
    </row>
    <row r="44">
      <c r="K44" s="15"/>
    </row>
    <row r="46">
      <c r="K46" s="15" t="s">
        <v>37</v>
      </c>
    </row>
    <row r="47">
      <c r="K47" s="16" t="s">
        <v>38</v>
      </c>
    </row>
    <row r="48">
      <c r="K48" s="17" t="s">
        <v>39</v>
      </c>
    </row>
    <row r="52">
      <c r="K52" s="15"/>
    </row>
    <row r="54">
      <c r="K54" s="15" t="s">
        <v>40</v>
      </c>
    </row>
    <row r="55">
      <c r="B55" s="4"/>
      <c r="C55" s="4"/>
      <c r="D55" s="4"/>
      <c r="E55" s="18"/>
      <c r="F55" s="4"/>
      <c r="G55" s="4"/>
      <c r="H55" s="4"/>
      <c r="I55" s="4"/>
      <c r="K55" s="16" t="s">
        <v>41</v>
      </c>
    </row>
    <row r="56">
      <c r="B56" s="4"/>
      <c r="C56" s="4"/>
      <c r="D56" s="4"/>
      <c r="E56" s="4"/>
      <c r="F56" s="4"/>
      <c r="G56" s="4"/>
      <c r="H56" s="4"/>
      <c r="I56" s="4"/>
      <c r="K56" s="17" t="s">
        <v>42</v>
      </c>
    </row>
    <row r="57">
      <c r="B57" s="4"/>
      <c r="C57" s="4"/>
      <c r="D57" s="4"/>
      <c r="E57" s="4"/>
      <c r="F57" s="4"/>
      <c r="G57" s="4"/>
      <c r="H57" s="4"/>
      <c r="I57" s="4"/>
    </row>
    <row r="59">
      <c r="K59" s="15"/>
    </row>
    <row r="61">
      <c r="K61" s="15" t="s">
        <v>43</v>
      </c>
    </row>
    <row r="62">
      <c r="K62" s="16" t="s">
        <v>44</v>
      </c>
    </row>
    <row r="63">
      <c r="K63" s="17" t="s">
        <v>45</v>
      </c>
    </row>
    <row r="66">
      <c r="K66" s="15"/>
    </row>
    <row r="68">
      <c r="K68" s="15" t="s">
        <v>46</v>
      </c>
    </row>
    <row r="69">
      <c r="K69" s="16" t="s">
        <v>47</v>
      </c>
    </row>
    <row r="70">
      <c r="K70" s="17" t="s">
        <v>48</v>
      </c>
    </row>
    <row r="75">
      <c r="K75" s="15"/>
    </row>
    <row r="77">
      <c r="K77" s="15" t="s">
        <v>49</v>
      </c>
    </row>
    <row r="78">
      <c r="K78" s="16" t="s">
        <v>50</v>
      </c>
    </row>
    <row r="79">
      <c r="K79" s="17" t="s">
        <v>51</v>
      </c>
    </row>
  </sheetData>
  <mergeCells count="55">
    <mergeCell ref="K70:Q74"/>
    <mergeCell ref="K75:Q76"/>
    <mergeCell ref="K77:Q77"/>
    <mergeCell ref="K78:Q78"/>
    <mergeCell ref="K79:Q85"/>
    <mergeCell ref="K59:Q60"/>
    <mergeCell ref="K61:Q61"/>
    <mergeCell ref="K62:Q62"/>
    <mergeCell ref="K63:Q65"/>
    <mergeCell ref="K66:Q67"/>
    <mergeCell ref="K68:Q68"/>
    <mergeCell ref="K69:Q69"/>
    <mergeCell ref="B2:I2"/>
    <mergeCell ref="K2:Q2"/>
    <mergeCell ref="B3:I12"/>
    <mergeCell ref="K3:Q8"/>
    <mergeCell ref="K14:Q14"/>
    <mergeCell ref="K15:Q15"/>
    <mergeCell ref="K16:Q16"/>
    <mergeCell ref="B14:I14"/>
    <mergeCell ref="B17:I17"/>
    <mergeCell ref="B18:I18"/>
    <mergeCell ref="B20:I20"/>
    <mergeCell ref="D21:E21"/>
    <mergeCell ref="F21:G21"/>
    <mergeCell ref="H21:I21"/>
    <mergeCell ref="F23:G23"/>
    <mergeCell ref="H23:I23"/>
    <mergeCell ref="B24:C24"/>
    <mergeCell ref="D24:E24"/>
    <mergeCell ref="F24:G24"/>
    <mergeCell ref="H24:I24"/>
    <mergeCell ref="B26:I26"/>
    <mergeCell ref="B27:I53"/>
    <mergeCell ref="B21:C21"/>
    <mergeCell ref="B22:C22"/>
    <mergeCell ref="D22:E22"/>
    <mergeCell ref="F22:G22"/>
    <mergeCell ref="H22:I22"/>
    <mergeCell ref="B23:C23"/>
    <mergeCell ref="D23:E23"/>
    <mergeCell ref="K17:Q17"/>
    <mergeCell ref="K18:Q18"/>
    <mergeCell ref="K20:Q20"/>
    <mergeCell ref="K21:Q26"/>
    <mergeCell ref="K27:Q33"/>
    <mergeCell ref="K34:Q43"/>
    <mergeCell ref="K44:Q45"/>
    <mergeCell ref="K46:Q46"/>
    <mergeCell ref="K47:Q47"/>
    <mergeCell ref="K48:Q51"/>
    <mergeCell ref="K52:Q53"/>
    <mergeCell ref="K54:Q54"/>
    <mergeCell ref="K55:Q55"/>
    <mergeCell ref="K56:Q58"/>
  </mergeCells>
  <hyperlinks>
    <hyperlink display="In order to use the filters and part viewers you must make a copy of this sheet File &gt; Make a copy&#10;&#10;&#10;" location="'Wepon Parts Lookup'!A1" ref="B15"/>
    <hyperlink r:id="rId1" ref="K15"/>
    <hyperlink display="Once you have your copy you can filter any of the tables and use the special weapon parts viewers" location="'Wepon Parts Lookup'!A1" ref="B16"/>
    <hyperlink r:id="rId2" ref="K16"/>
    <hyperlink display="You can find an Index of the pages here" location="INDEX!A1" ref="B17"/>
    <hyperlink r:id="rId3" ref="K17"/>
    <hyperlink display="You can read about how items are built in game here" location="'Item Building Guide'!A1" ref="B18"/>
    <hyperlink r:id="rId4" ref="K18"/>
    <hyperlink r:id="rId5" ref="K2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33.25"/>
  </cols>
  <sheetData>
    <row r="1" ht="27.0" customHeight="1">
      <c r="A1" s="19" t="s">
        <v>52</v>
      </c>
      <c r="B1" s="2"/>
      <c r="C1" s="3"/>
    </row>
    <row r="2" ht="27.0" customHeight="1">
      <c r="A2" s="20" t="s">
        <v>53</v>
      </c>
      <c r="B2" s="20" t="s">
        <v>54</v>
      </c>
      <c r="C2" s="20" t="s">
        <v>55</v>
      </c>
    </row>
    <row r="3" ht="25.5" customHeight="1">
      <c r="A3" s="21">
        <v>1.0</v>
      </c>
      <c r="B3" s="22" t="s">
        <v>56</v>
      </c>
      <c r="C3" s="23"/>
    </row>
    <row r="4" ht="25.5" customHeight="1">
      <c r="A4" s="24">
        <v>2.0</v>
      </c>
      <c r="B4" s="25" t="s">
        <v>57</v>
      </c>
      <c r="C4" s="23"/>
    </row>
    <row r="5" ht="25.5" customHeight="1">
      <c r="A5" s="21">
        <v>3.0</v>
      </c>
      <c r="B5" s="25" t="s">
        <v>58</v>
      </c>
      <c r="C5" s="23"/>
    </row>
    <row r="6" ht="25.5" customHeight="1">
      <c r="A6" s="24">
        <v>4.0</v>
      </c>
      <c r="B6" s="25" t="s">
        <v>59</v>
      </c>
      <c r="C6" s="24"/>
    </row>
    <row r="7" ht="25.5" customHeight="1">
      <c r="A7" s="21">
        <v>5.0</v>
      </c>
      <c r="B7" s="25" t="s">
        <v>60</v>
      </c>
      <c r="C7" s="26"/>
    </row>
    <row r="8" ht="25.5" customHeight="1">
      <c r="A8" s="24">
        <v>6.0</v>
      </c>
      <c r="B8" s="27" t="s">
        <v>61</v>
      </c>
      <c r="C8" s="28"/>
    </row>
    <row r="9" ht="25.5" customHeight="1">
      <c r="A9" s="21">
        <v>7.0</v>
      </c>
      <c r="B9" s="29" t="s">
        <v>62</v>
      </c>
      <c r="C9" s="30"/>
    </row>
    <row r="10" ht="25.5" customHeight="1">
      <c r="A10" s="24">
        <v>8.0</v>
      </c>
      <c r="B10" s="25" t="s">
        <v>63</v>
      </c>
      <c r="C10" s="28"/>
    </row>
    <row r="11" ht="25.5" customHeight="1">
      <c r="A11" s="21">
        <v>9.0</v>
      </c>
      <c r="B11" s="29" t="s">
        <v>64</v>
      </c>
      <c r="C11" s="30"/>
    </row>
    <row r="12" ht="25.5" customHeight="1">
      <c r="A12" s="24">
        <v>10.0</v>
      </c>
      <c r="B12" s="29" t="s">
        <v>65</v>
      </c>
      <c r="C12" s="28"/>
    </row>
    <row r="13" ht="25.5" customHeight="1">
      <c r="A13" s="21">
        <v>11.0</v>
      </c>
      <c r="B13" s="29" t="s">
        <v>66</v>
      </c>
      <c r="C13" s="23"/>
    </row>
    <row r="14" ht="25.5" customHeight="1">
      <c r="A14" s="24">
        <v>12.0</v>
      </c>
      <c r="B14" s="25" t="s">
        <v>67</v>
      </c>
      <c r="C14" s="28"/>
    </row>
    <row r="15" ht="25.5" customHeight="1">
      <c r="A15" s="21">
        <v>13.0</v>
      </c>
      <c r="B15" s="29" t="s">
        <v>68</v>
      </c>
      <c r="C15" s="28"/>
    </row>
    <row r="16" ht="25.5" customHeight="1">
      <c r="A16" s="24">
        <v>14.0</v>
      </c>
      <c r="B16" s="29" t="s">
        <v>69</v>
      </c>
      <c r="C16" s="23"/>
    </row>
    <row r="17" ht="25.5" customHeight="1">
      <c r="A17" s="21">
        <v>15.0</v>
      </c>
      <c r="B17" s="25" t="s">
        <v>70</v>
      </c>
      <c r="C17" s="28"/>
    </row>
    <row r="18" ht="25.5" customHeight="1">
      <c r="A18" s="24">
        <v>16.0</v>
      </c>
      <c r="B18" s="31"/>
      <c r="C18" s="23"/>
    </row>
    <row r="19" ht="25.5" customHeight="1">
      <c r="A19" s="21">
        <v>17.0</v>
      </c>
      <c r="B19" s="32"/>
      <c r="C19" s="28"/>
    </row>
    <row r="20" ht="25.5" customHeight="1">
      <c r="A20" s="24">
        <v>18.0</v>
      </c>
      <c r="B20" s="30"/>
      <c r="C20" s="28"/>
    </row>
    <row r="21" ht="25.5" customHeight="1">
      <c r="A21" s="21">
        <v>19.0</v>
      </c>
      <c r="B21" s="33"/>
      <c r="C21" s="23"/>
    </row>
    <row r="22" ht="25.5" customHeight="1">
      <c r="A22" s="24">
        <v>20.0</v>
      </c>
      <c r="B22" s="33"/>
      <c r="C22" s="28"/>
    </row>
    <row r="23" ht="24.0" customHeight="1">
      <c r="A23" s="4"/>
      <c r="B23" s="4"/>
    </row>
    <row r="24" ht="24.0" customHeight="1">
      <c r="A24" s="4"/>
      <c r="B24" s="4"/>
    </row>
    <row r="25" ht="24.0" customHeight="1">
      <c r="A25" s="4"/>
      <c r="B25" s="4"/>
    </row>
    <row r="26" ht="24.0" customHeight="1">
      <c r="A26" s="4"/>
      <c r="B26" s="4"/>
    </row>
    <row r="27" ht="24.0" customHeight="1">
      <c r="A27" s="4"/>
      <c r="B27" s="4"/>
    </row>
    <row r="28" ht="24.0" customHeight="1">
      <c r="A28" s="4"/>
      <c r="B28" s="4"/>
    </row>
    <row r="29" ht="24.0" customHeight="1">
      <c r="A29" s="4"/>
      <c r="B29" s="4"/>
    </row>
    <row r="30" ht="24.0" customHeight="1">
      <c r="A30" s="4"/>
      <c r="B30" s="4"/>
    </row>
    <row r="31" ht="24.0" customHeight="1">
      <c r="A31" s="4"/>
      <c r="B31" s="4"/>
    </row>
    <row r="32" ht="24.0" customHeight="1">
      <c r="A32" s="4"/>
      <c r="B32" s="4"/>
    </row>
    <row r="33" ht="24.0" customHeight="1">
      <c r="A33" s="4"/>
      <c r="B33" s="4"/>
    </row>
    <row r="34">
      <c r="A34" s="4"/>
      <c r="B34" s="4"/>
    </row>
    <row r="35">
      <c r="A35" s="4"/>
      <c r="B35" s="4"/>
    </row>
    <row r="36">
      <c r="A36" s="4"/>
      <c r="B36" s="4"/>
    </row>
    <row r="37">
      <c r="A37" s="4"/>
      <c r="B37" s="4"/>
    </row>
    <row r="38">
      <c r="A38" s="4"/>
      <c r="B38" s="4"/>
      <c r="C38" s="4"/>
    </row>
    <row r="39">
      <c r="A39" s="4"/>
      <c r="B39" s="4"/>
      <c r="C39" s="4"/>
    </row>
    <row r="40">
      <c r="A40" s="4"/>
      <c r="B40" s="4"/>
    </row>
    <row r="41">
      <c r="A41" s="4"/>
      <c r="B41" s="4"/>
    </row>
    <row r="42">
      <c r="A42" s="4"/>
      <c r="B42" s="4"/>
    </row>
    <row r="43">
      <c r="A43" s="4"/>
      <c r="B43" s="4"/>
    </row>
    <row r="44">
      <c r="A44" s="4"/>
      <c r="B44" s="4"/>
    </row>
    <row r="45">
      <c r="A45" s="4"/>
      <c r="B45" s="4"/>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B65" s="4"/>
    </row>
    <row r="66">
      <c r="A66" s="34"/>
      <c r="B66" s="4"/>
      <c r="C66" s="34"/>
    </row>
    <row r="67">
      <c r="A67" s="34"/>
      <c r="B67" s="34"/>
      <c r="C67" s="34"/>
    </row>
    <row r="68">
      <c r="A68" s="34"/>
      <c r="B68" s="34"/>
      <c r="C68" s="34"/>
    </row>
    <row r="69">
      <c r="A69" s="34"/>
      <c r="B69" s="34"/>
      <c r="C69" s="34"/>
    </row>
    <row r="70">
      <c r="A70" s="34"/>
      <c r="B70" s="34"/>
      <c r="C70" s="34"/>
    </row>
    <row r="71">
      <c r="A71" s="34"/>
      <c r="B71" s="34"/>
      <c r="C71" s="34"/>
    </row>
    <row r="72">
      <c r="A72" s="34"/>
      <c r="B72" s="34"/>
      <c r="C72" s="34"/>
    </row>
    <row r="73">
      <c r="A73" s="34"/>
      <c r="B73" s="34"/>
      <c r="C73" s="34"/>
    </row>
    <row r="74">
      <c r="A74" s="34"/>
      <c r="B74" s="34"/>
      <c r="C74" s="34"/>
    </row>
    <row r="75">
      <c r="A75" s="34"/>
      <c r="B75" s="34"/>
      <c r="C75" s="34"/>
    </row>
    <row r="76">
      <c r="A76" s="34"/>
      <c r="B76" s="34"/>
      <c r="C76" s="34"/>
    </row>
    <row r="77">
      <c r="A77" s="34"/>
      <c r="B77" s="34"/>
      <c r="C77" s="34"/>
    </row>
    <row r="78">
      <c r="A78" s="34"/>
      <c r="B78" s="34"/>
      <c r="C78" s="34"/>
    </row>
    <row r="79">
      <c r="A79" s="34"/>
      <c r="B79" s="34"/>
      <c r="C79" s="34"/>
    </row>
    <row r="80">
      <c r="A80" s="34"/>
      <c r="B80" s="34"/>
      <c r="C80" s="34"/>
    </row>
    <row r="81">
      <c r="A81" s="34"/>
      <c r="B81" s="34"/>
      <c r="C81" s="34"/>
    </row>
    <row r="82">
      <c r="A82" s="34"/>
      <c r="B82" s="34"/>
      <c r="C82" s="34"/>
    </row>
    <row r="83">
      <c r="A83" s="34"/>
      <c r="B83" s="34"/>
      <c r="C83" s="34"/>
    </row>
    <row r="84">
      <c r="A84" s="34"/>
      <c r="B84" s="34"/>
      <c r="C84" s="34"/>
    </row>
    <row r="85">
      <c r="A85" s="34"/>
      <c r="B85" s="34"/>
      <c r="C85" s="34"/>
    </row>
    <row r="86">
      <c r="A86" s="34"/>
      <c r="B86" s="34"/>
      <c r="C86" s="34"/>
    </row>
    <row r="87">
      <c r="A87" s="34"/>
      <c r="B87" s="34"/>
      <c r="C87" s="34"/>
    </row>
    <row r="88">
      <c r="A88" s="34"/>
      <c r="B88" s="34"/>
      <c r="C88" s="34"/>
    </row>
    <row r="89">
      <c r="A89" s="34"/>
      <c r="B89" s="34"/>
      <c r="C89" s="34"/>
    </row>
    <row r="90">
      <c r="A90" s="34"/>
      <c r="B90" s="34"/>
      <c r="C90" s="34"/>
    </row>
    <row r="91">
      <c r="A91" s="34"/>
      <c r="B91" s="34"/>
      <c r="C91" s="34"/>
    </row>
    <row r="92">
      <c r="A92" s="34"/>
      <c r="B92" s="34"/>
      <c r="C92" s="34"/>
    </row>
    <row r="93">
      <c r="A93" s="34"/>
      <c r="B93" s="34"/>
      <c r="C93" s="34"/>
    </row>
    <row r="94">
      <c r="A94" s="34"/>
      <c r="B94" s="34"/>
      <c r="C94" s="34"/>
    </row>
    <row r="95">
      <c r="A95" s="34"/>
      <c r="B95" s="34"/>
      <c r="C95" s="34"/>
    </row>
    <row r="96">
      <c r="A96" s="34"/>
      <c r="B96" s="34"/>
      <c r="C96" s="34"/>
    </row>
    <row r="97">
      <c r="A97" s="34"/>
      <c r="B97" s="34"/>
      <c r="C97" s="34"/>
    </row>
    <row r="98">
      <c r="A98" s="34"/>
      <c r="B98" s="34"/>
      <c r="C98" s="34"/>
    </row>
    <row r="99">
      <c r="A99" s="34"/>
      <c r="B99" s="34"/>
      <c r="C99" s="34"/>
    </row>
    <row r="100">
      <c r="A100" s="34"/>
      <c r="B100" s="34"/>
      <c r="C100" s="34"/>
    </row>
    <row r="101">
      <c r="A101" s="34"/>
      <c r="B101" s="34"/>
      <c r="C101" s="34"/>
    </row>
    <row r="102">
      <c r="A102" s="34"/>
      <c r="B102" s="34"/>
      <c r="C102" s="34"/>
    </row>
    <row r="103">
      <c r="A103" s="34"/>
      <c r="B103" s="34"/>
      <c r="C103" s="34"/>
    </row>
    <row r="104">
      <c r="A104" s="34"/>
      <c r="B104" s="34"/>
      <c r="C104" s="34"/>
    </row>
    <row r="105">
      <c r="A105" s="34"/>
      <c r="B105" s="34"/>
      <c r="C105" s="34"/>
    </row>
    <row r="106">
      <c r="A106" s="34"/>
      <c r="B106" s="34"/>
      <c r="C106" s="34"/>
    </row>
    <row r="107">
      <c r="A107" s="34"/>
      <c r="B107" s="34"/>
      <c r="C107" s="34"/>
    </row>
    <row r="108">
      <c r="A108" s="34"/>
      <c r="B108" s="34"/>
      <c r="C108" s="34"/>
    </row>
    <row r="109">
      <c r="A109" s="34"/>
      <c r="B109" s="34"/>
      <c r="C109" s="34"/>
    </row>
    <row r="110">
      <c r="A110" s="34"/>
      <c r="B110" s="34"/>
      <c r="C110" s="34"/>
    </row>
    <row r="111">
      <c r="A111" s="34"/>
      <c r="B111" s="34"/>
      <c r="C111" s="34"/>
    </row>
    <row r="112">
      <c r="A112" s="34"/>
      <c r="B112" s="34"/>
      <c r="C112" s="34"/>
    </row>
    <row r="113">
      <c r="A113" s="34"/>
      <c r="B113" s="34"/>
      <c r="C113" s="34"/>
    </row>
    <row r="114">
      <c r="A114" s="34"/>
      <c r="B114" s="34"/>
      <c r="C114" s="34"/>
    </row>
    <row r="115">
      <c r="A115" s="34"/>
      <c r="B115" s="34"/>
      <c r="C115" s="34"/>
    </row>
    <row r="116">
      <c r="A116" s="34"/>
      <c r="B116" s="34"/>
      <c r="C116" s="34"/>
    </row>
    <row r="117">
      <c r="A117" s="34"/>
      <c r="B117" s="34"/>
      <c r="C117" s="34"/>
    </row>
    <row r="118">
      <c r="A118" s="34"/>
      <c r="B118" s="34"/>
      <c r="C118" s="34"/>
    </row>
    <row r="119">
      <c r="A119" s="34"/>
      <c r="B119" s="34"/>
      <c r="C119" s="34"/>
    </row>
    <row r="120">
      <c r="A120" s="34"/>
      <c r="B120" s="34"/>
      <c r="C120" s="34"/>
    </row>
    <row r="121">
      <c r="A121" s="34"/>
      <c r="B121" s="34"/>
      <c r="C121" s="34"/>
    </row>
    <row r="122">
      <c r="A122" s="34"/>
      <c r="B122" s="34"/>
      <c r="C122" s="34"/>
    </row>
    <row r="123">
      <c r="A123" s="34"/>
      <c r="B123" s="34"/>
      <c r="C123" s="34"/>
    </row>
    <row r="124">
      <c r="A124" s="34"/>
      <c r="B124" s="34"/>
      <c r="C124" s="34"/>
    </row>
    <row r="125">
      <c r="A125" s="34"/>
      <c r="B125" s="34"/>
      <c r="C125" s="34"/>
    </row>
    <row r="126">
      <c r="A126" s="34"/>
      <c r="B126" s="34"/>
      <c r="C126" s="34"/>
    </row>
    <row r="127">
      <c r="A127" s="34"/>
      <c r="B127" s="34"/>
      <c r="C127" s="34"/>
    </row>
    <row r="128">
      <c r="A128" s="34"/>
      <c r="B128" s="34"/>
      <c r="C128" s="34"/>
    </row>
    <row r="129">
      <c r="A129" s="34"/>
      <c r="B129" s="34"/>
      <c r="C129" s="34"/>
    </row>
    <row r="130">
      <c r="A130" s="34"/>
      <c r="B130" s="34"/>
      <c r="C130" s="34"/>
    </row>
    <row r="131">
      <c r="A131" s="34"/>
      <c r="B131" s="34"/>
      <c r="C131" s="34"/>
    </row>
    <row r="132">
      <c r="A132" s="34"/>
      <c r="B132" s="34"/>
      <c r="C132" s="34"/>
    </row>
    <row r="133">
      <c r="A133" s="34"/>
      <c r="B133" s="34"/>
      <c r="C133" s="34"/>
    </row>
    <row r="134">
      <c r="A134" s="34"/>
      <c r="B134" s="34"/>
      <c r="C134" s="34"/>
    </row>
    <row r="135">
      <c r="A135" s="34"/>
      <c r="B135" s="34"/>
      <c r="C135" s="34"/>
    </row>
    <row r="136">
      <c r="A136" s="34"/>
      <c r="B136" s="34"/>
      <c r="C136" s="34"/>
    </row>
    <row r="137">
      <c r="A137" s="34"/>
      <c r="B137" s="34"/>
      <c r="C137" s="34"/>
    </row>
    <row r="138">
      <c r="A138" s="34"/>
      <c r="B138" s="34"/>
      <c r="C138" s="34"/>
    </row>
    <row r="139">
      <c r="A139" s="34"/>
      <c r="B139" s="34"/>
      <c r="C139" s="34"/>
    </row>
    <row r="140">
      <c r="A140" s="34"/>
      <c r="B140" s="34"/>
      <c r="C140" s="34"/>
    </row>
    <row r="141">
      <c r="A141" s="34"/>
      <c r="B141" s="34"/>
      <c r="C141" s="34"/>
    </row>
    <row r="142">
      <c r="A142" s="34"/>
      <c r="B142" s="34"/>
      <c r="C142" s="34"/>
    </row>
    <row r="143">
      <c r="A143" s="34"/>
      <c r="B143" s="34"/>
      <c r="C143" s="34"/>
    </row>
    <row r="144">
      <c r="A144" s="34"/>
      <c r="B144" s="34"/>
      <c r="C144" s="34"/>
    </row>
    <row r="145">
      <c r="A145" s="34"/>
      <c r="B145" s="34"/>
      <c r="C145" s="34"/>
    </row>
    <row r="146">
      <c r="A146" s="34"/>
      <c r="B146" s="34"/>
      <c r="C146" s="34"/>
    </row>
    <row r="147">
      <c r="A147" s="34"/>
      <c r="B147" s="34"/>
      <c r="C147" s="34"/>
    </row>
    <row r="148">
      <c r="A148" s="34"/>
      <c r="B148" s="34"/>
      <c r="C148" s="34"/>
    </row>
    <row r="149">
      <c r="A149" s="34"/>
      <c r="B149" s="34"/>
      <c r="C149" s="34"/>
    </row>
    <row r="150">
      <c r="A150" s="34"/>
      <c r="B150" s="34"/>
      <c r="C150" s="34"/>
    </row>
    <row r="151">
      <c r="A151" s="34"/>
      <c r="B151" s="34"/>
      <c r="C151" s="34"/>
    </row>
    <row r="152">
      <c r="A152" s="34"/>
      <c r="B152" s="34"/>
      <c r="C152" s="34"/>
    </row>
    <row r="153">
      <c r="A153" s="34"/>
      <c r="B153" s="34"/>
      <c r="C153" s="34"/>
    </row>
    <row r="154">
      <c r="A154" s="34"/>
      <c r="B154" s="34"/>
      <c r="C154" s="34"/>
    </row>
    <row r="155">
      <c r="A155" s="34"/>
      <c r="B155" s="34"/>
      <c r="C155" s="34"/>
    </row>
    <row r="156">
      <c r="A156" s="34"/>
      <c r="B156" s="34"/>
      <c r="C156" s="34"/>
    </row>
    <row r="157">
      <c r="A157" s="34"/>
      <c r="B157" s="34"/>
      <c r="C157" s="34"/>
    </row>
    <row r="158">
      <c r="A158" s="34"/>
      <c r="B158" s="34"/>
      <c r="C158" s="34"/>
    </row>
    <row r="159">
      <c r="A159" s="34"/>
      <c r="B159" s="34"/>
      <c r="C159" s="34"/>
    </row>
    <row r="160">
      <c r="A160" s="34"/>
      <c r="B160" s="34"/>
      <c r="C160" s="34"/>
    </row>
    <row r="161">
      <c r="A161" s="34"/>
      <c r="B161" s="34"/>
      <c r="C161" s="34"/>
    </row>
    <row r="162">
      <c r="A162" s="34"/>
      <c r="B162" s="34"/>
      <c r="C162" s="34"/>
    </row>
    <row r="163">
      <c r="A163" s="34"/>
      <c r="B163" s="34"/>
      <c r="C163" s="34"/>
    </row>
    <row r="164">
      <c r="A164" s="34"/>
      <c r="B164" s="34"/>
      <c r="C164" s="34"/>
    </row>
    <row r="165">
      <c r="A165" s="34"/>
      <c r="B165" s="34"/>
      <c r="C165" s="34"/>
    </row>
    <row r="166">
      <c r="A166" s="34"/>
      <c r="B166" s="34"/>
      <c r="C166" s="34"/>
    </row>
    <row r="167">
      <c r="A167" s="34"/>
      <c r="B167" s="34"/>
      <c r="C167" s="34"/>
    </row>
    <row r="168">
      <c r="A168" s="34"/>
      <c r="B168" s="34"/>
      <c r="C168" s="34"/>
    </row>
    <row r="169">
      <c r="A169" s="34"/>
      <c r="B169" s="34"/>
      <c r="C169" s="34"/>
    </row>
    <row r="170">
      <c r="A170" s="34"/>
      <c r="B170" s="34"/>
      <c r="C170" s="34"/>
    </row>
    <row r="171">
      <c r="A171" s="34"/>
      <c r="B171" s="34"/>
      <c r="C171" s="34"/>
    </row>
    <row r="172">
      <c r="A172" s="34"/>
      <c r="B172" s="34"/>
      <c r="C172" s="34"/>
    </row>
    <row r="173">
      <c r="A173" s="34"/>
      <c r="B173" s="34"/>
      <c r="C173" s="34"/>
    </row>
    <row r="174">
      <c r="A174" s="34"/>
      <c r="B174" s="34"/>
      <c r="C174" s="34"/>
    </row>
    <row r="175">
      <c r="A175" s="34"/>
      <c r="B175" s="34"/>
      <c r="C175" s="34"/>
    </row>
    <row r="176">
      <c r="A176" s="34"/>
      <c r="B176" s="34"/>
      <c r="C176" s="34"/>
    </row>
    <row r="177">
      <c r="A177" s="34"/>
      <c r="B177" s="34"/>
      <c r="C177" s="34"/>
    </row>
    <row r="178">
      <c r="A178" s="34"/>
      <c r="B178" s="34"/>
      <c r="C178" s="34"/>
    </row>
    <row r="179">
      <c r="A179" s="34"/>
      <c r="B179" s="34"/>
      <c r="C179" s="34"/>
    </row>
    <row r="180">
      <c r="A180" s="34"/>
      <c r="B180" s="34"/>
      <c r="C180" s="34"/>
    </row>
    <row r="181">
      <c r="A181" s="34"/>
      <c r="B181" s="34"/>
      <c r="C181" s="34"/>
    </row>
    <row r="182">
      <c r="A182" s="34"/>
      <c r="B182" s="34"/>
      <c r="C182" s="34"/>
    </row>
    <row r="183">
      <c r="A183" s="34"/>
      <c r="B183" s="34"/>
      <c r="C183" s="34"/>
    </row>
    <row r="184">
      <c r="A184" s="34"/>
      <c r="B184" s="34"/>
      <c r="C184" s="34"/>
    </row>
    <row r="185">
      <c r="A185" s="34"/>
      <c r="B185" s="34"/>
      <c r="C185" s="34"/>
    </row>
    <row r="186">
      <c r="A186" s="34"/>
      <c r="B186" s="34"/>
      <c r="C186" s="34"/>
    </row>
    <row r="187">
      <c r="A187" s="34"/>
      <c r="B187" s="34"/>
      <c r="C187" s="34"/>
    </row>
    <row r="188">
      <c r="A188" s="34"/>
      <c r="B188" s="34"/>
      <c r="C188" s="34"/>
    </row>
    <row r="189">
      <c r="A189" s="34"/>
      <c r="B189" s="34"/>
      <c r="C189" s="34"/>
    </row>
    <row r="190">
      <c r="A190" s="34"/>
      <c r="B190" s="34"/>
      <c r="C190" s="34"/>
    </row>
    <row r="191">
      <c r="A191" s="34"/>
      <c r="B191" s="34"/>
      <c r="C191" s="34"/>
    </row>
    <row r="192">
      <c r="A192" s="34"/>
      <c r="B192" s="34"/>
      <c r="C192" s="34"/>
    </row>
    <row r="193">
      <c r="A193" s="34"/>
      <c r="B193" s="34"/>
      <c r="C193" s="34"/>
    </row>
    <row r="194">
      <c r="A194" s="34"/>
      <c r="B194" s="34"/>
      <c r="C194" s="34"/>
    </row>
    <row r="195">
      <c r="A195" s="34"/>
      <c r="B195" s="34"/>
      <c r="C195" s="34"/>
    </row>
    <row r="196">
      <c r="A196" s="34"/>
      <c r="B196" s="34"/>
      <c r="C196" s="34"/>
    </row>
    <row r="197">
      <c r="A197" s="34"/>
      <c r="B197" s="34"/>
      <c r="C197" s="34"/>
    </row>
    <row r="198">
      <c r="A198" s="34"/>
      <c r="B198" s="34"/>
      <c r="C198" s="34"/>
    </row>
    <row r="199">
      <c r="A199" s="34"/>
      <c r="B199" s="34"/>
      <c r="C199" s="34"/>
    </row>
    <row r="200">
      <c r="A200" s="34"/>
      <c r="B200" s="34"/>
      <c r="C200" s="34"/>
    </row>
    <row r="201">
      <c r="A201" s="34"/>
      <c r="B201" s="34"/>
      <c r="C201" s="34"/>
    </row>
    <row r="202">
      <c r="A202" s="34"/>
      <c r="B202" s="34"/>
      <c r="C202" s="34"/>
    </row>
    <row r="203">
      <c r="A203" s="34"/>
      <c r="B203" s="34"/>
      <c r="C203" s="34"/>
    </row>
    <row r="204">
      <c r="A204" s="34"/>
      <c r="B204" s="34"/>
      <c r="C204" s="34"/>
    </row>
    <row r="205">
      <c r="A205" s="34"/>
      <c r="B205" s="34"/>
      <c r="C205" s="34"/>
    </row>
    <row r="206">
      <c r="A206" s="34"/>
      <c r="B206" s="34"/>
      <c r="C206" s="34"/>
    </row>
    <row r="207">
      <c r="A207" s="34"/>
      <c r="B207" s="34"/>
      <c r="C207" s="34"/>
    </row>
    <row r="208">
      <c r="A208" s="34"/>
      <c r="B208" s="34"/>
      <c r="C208" s="34"/>
    </row>
    <row r="209">
      <c r="A209" s="34"/>
      <c r="B209" s="34"/>
      <c r="C209" s="34"/>
    </row>
    <row r="210">
      <c r="A210" s="34"/>
      <c r="B210" s="34"/>
      <c r="C210" s="34"/>
    </row>
    <row r="211">
      <c r="A211" s="34"/>
      <c r="B211" s="34"/>
      <c r="C211" s="34"/>
    </row>
    <row r="212">
      <c r="A212" s="34"/>
      <c r="B212" s="34"/>
      <c r="C212" s="34"/>
    </row>
    <row r="213">
      <c r="A213" s="34"/>
      <c r="B213" s="34"/>
      <c r="C213" s="34"/>
    </row>
    <row r="214">
      <c r="A214" s="34"/>
      <c r="B214" s="34"/>
      <c r="C214" s="34"/>
    </row>
    <row r="215">
      <c r="A215" s="34"/>
      <c r="B215" s="34"/>
      <c r="C215" s="34"/>
    </row>
    <row r="216">
      <c r="A216" s="34"/>
      <c r="B216" s="34"/>
      <c r="C216" s="34"/>
    </row>
    <row r="217">
      <c r="A217" s="34"/>
      <c r="B217" s="34"/>
      <c r="C217" s="34"/>
    </row>
    <row r="218">
      <c r="A218" s="34"/>
      <c r="B218" s="34"/>
      <c r="C218" s="34"/>
    </row>
    <row r="219">
      <c r="A219" s="34"/>
      <c r="B219" s="34"/>
      <c r="C219" s="34"/>
    </row>
    <row r="220">
      <c r="A220" s="34"/>
      <c r="B220" s="34"/>
      <c r="C220" s="34"/>
    </row>
    <row r="221">
      <c r="A221" s="34"/>
      <c r="B221" s="34"/>
      <c r="C221" s="34"/>
    </row>
    <row r="222">
      <c r="A222" s="34"/>
      <c r="B222" s="34"/>
      <c r="C222" s="34"/>
    </row>
    <row r="223">
      <c r="A223" s="34"/>
      <c r="B223" s="34"/>
      <c r="C223" s="34"/>
    </row>
    <row r="224">
      <c r="A224" s="34"/>
      <c r="B224" s="34"/>
      <c r="C224" s="34"/>
    </row>
    <row r="225">
      <c r="A225" s="34"/>
      <c r="B225" s="34"/>
      <c r="C225" s="34"/>
    </row>
    <row r="226">
      <c r="A226" s="34"/>
      <c r="B226" s="34"/>
      <c r="C226" s="34"/>
    </row>
    <row r="227">
      <c r="A227" s="34"/>
      <c r="B227" s="34"/>
      <c r="C227" s="34"/>
    </row>
    <row r="228">
      <c r="A228" s="34"/>
      <c r="B228" s="34"/>
      <c r="C228" s="34"/>
    </row>
    <row r="229">
      <c r="A229" s="34"/>
      <c r="B229" s="34"/>
      <c r="C229" s="34"/>
    </row>
    <row r="230">
      <c r="A230" s="34"/>
      <c r="B230" s="34"/>
      <c r="C230" s="34"/>
    </row>
    <row r="231">
      <c r="A231" s="34"/>
      <c r="B231" s="34"/>
      <c r="C231" s="34"/>
    </row>
    <row r="232">
      <c r="A232" s="34"/>
      <c r="B232" s="34"/>
      <c r="C232" s="34"/>
    </row>
    <row r="233">
      <c r="A233" s="34"/>
      <c r="B233" s="34"/>
      <c r="C233" s="34"/>
    </row>
    <row r="234">
      <c r="A234" s="34"/>
      <c r="B234" s="34"/>
      <c r="C234" s="34"/>
    </row>
    <row r="235">
      <c r="A235" s="34"/>
      <c r="B235" s="34"/>
      <c r="C235" s="34"/>
    </row>
    <row r="236">
      <c r="A236" s="34"/>
      <c r="B236" s="34"/>
      <c r="C236" s="34"/>
    </row>
    <row r="237">
      <c r="A237" s="34"/>
      <c r="B237" s="34"/>
      <c r="C237" s="34"/>
    </row>
    <row r="238">
      <c r="A238" s="34"/>
      <c r="B238" s="34"/>
      <c r="C238" s="34"/>
    </row>
    <row r="239">
      <c r="A239" s="34"/>
      <c r="B239" s="34"/>
      <c r="C239" s="34"/>
    </row>
    <row r="240">
      <c r="A240" s="34"/>
      <c r="B240" s="34"/>
      <c r="C240" s="34"/>
    </row>
    <row r="241">
      <c r="A241" s="34"/>
      <c r="B241" s="34"/>
      <c r="C241" s="34"/>
    </row>
    <row r="242">
      <c r="A242" s="34"/>
      <c r="B242" s="34"/>
      <c r="C242" s="34"/>
    </row>
    <row r="243">
      <c r="A243" s="34"/>
      <c r="B243" s="34"/>
      <c r="C243" s="34"/>
    </row>
    <row r="244">
      <c r="A244" s="34"/>
      <c r="B244" s="34"/>
      <c r="C244" s="34"/>
    </row>
    <row r="245">
      <c r="A245" s="34"/>
      <c r="B245" s="34"/>
      <c r="C245" s="34"/>
    </row>
    <row r="246">
      <c r="A246" s="34"/>
      <c r="B246" s="34"/>
      <c r="C246" s="34"/>
    </row>
    <row r="247">
      <c r="A247" s="34"/>
      <c r="B247" s="34"/>
      <c r="C247" s="34"/>
    </row>
    <row r="248">
      <c r="A248" s="34"/>
      <c r="B248" s="34"/>
      <c r="C248" s="34"/>
    </row>
    <row r="249">
      <c r="A249" s="34"/>
      <c r="B249" s="34"/>
      <c r="C249" s="34"/>
    </row>
    <row r="250">
      <c r="A250" s="34"/>
      <c r="B250" s="34"/>
      <c r="C250" s="34"/>
    </row>
    <row r="251">
      <c r="A251" s="34"/>
      <c r="B251" s="34"/>
      <c r="C251" s="34"/>
    </row>
    <row r="252">
      <c r="A252" s="34"/>
      <c r="B252" s="34"/>
      <c r="C252" s="34"/>
    </row>
    <row r="253">
      <c r="A253" s="34"/>
      <c r="B253" s="34"/>
      <c r="C253" s="34"/>
    </row>
    <row r="254">
      <c r="A254" s="34"/>
      <c r="B254" s="34"/>
      <c r="C254" s="34"/>
    </row>
    <row r="255">
      <c r="A255" s="34"/>
      <c r="B255" s="34"/>
      <c r="C255" s="34"/>
    </row>
    <row r="256">
      <c r="A256" s="34"/>
      <c r="B256" s="34"/>
      <c r="C256" s="34"/>
    </row>
    <row r="257">
      <c r="A257" s="34"/>
      <c r="B257" s="34"/>
      <c r="C257" s="34"/>
    </row>
    <row r="258">
      <c r="A258" s="34"/>
      <c r="B258" s="34"/>
      <c r="C258" s="34"/>
    </row>
    <row r="259">
      <c r="A259" s="34"/>
      <c r="B259" s="34"/>
      <c r="C259" s="34"/>
    </row>
    <row r="260">
      <c r="A260" s="34"/>
      <c r="B260" s="34"/>
      <c r="C260" s="34"/>
    </row>
    <row r="261">
      <c r="A261" s="34"/>
      <c r="B261" s="34"/>
      <c r="C261" s="34"/>
    </row>
    <row r="262">
      <c r="A262" s="34"/>
      <c r="B262" s="34"/>
      <c r="C262" s="34"/>
    </row>
    <row r="263">
      <c r="A263" s="34"/>
      <c r="B263" s="34"/>
      <c r="C263" s="34"/>
    </row>
    <row r="264">
      <c r="A264" s="34"/>
      <c r="B264" s="34"/>
      <c r="C264" s="34"/>
    </row>
    <row r="265">
      <c r="A265" s="34"/>
      <c r="B265" s="34"/>
      <c r="C265" s="34"/>
    </row>
    <row r="266">
      <c r="A266" s="34"/>
      <c r="B266" s="34"/>
      <c r="C266" s="34"/>
    </row>
    <row r="267">
      <c r="A267" s="34"/>
      <c r="B267" s="34"/>
      <c r="C267" s="34"/>
    </row>
    <row r="268">
      <c r="A268" s="34"/>
      <c r="B268" s="34"/>
      <c r="C268" s="34"/>
    </row>
    <row r="269">
      <c r="A269" s="34"/>
      <c r="B269" s="34"/>
      <c r="C269" s="34"/>
    </row>
    <row r="270">
      <c r="A270" s="34"/>
      <c r="B270" s="34"/>
      <c r="C270" s="34"/>
    </row>
    <row r="271">
      <c r="A271" s="34"/>
      <c r="B271" s="34"/>
      <c r="C271" s="34"/>
    </row>
    <row r="272">
      <c r="A272" s="34"/>
      <c r="B272" s="34"/>
      <c r="C272" s="34"/>
    </row>
    <row r="273">
      <c r="A273" s="34"/>
      <c r="B273" s="34"/>
      <c r="C273" s="34"/>
    </row>
    <row r="274">
      <c r="A274" s="34"/>
      <c r="B274" s="34"/>
      <c r="C274" s="34"/>
    </row>
    <row r="275">
      <c r="A275" s="34"/>
      <c r="B275" s="34"/>
      <c r="C275" s="34"/>
    </row>
    <row r="276">
      <c r="A276" s="34"/>
      <c r="B276" s="34"/>
      <c r="C276" s="34"/>
    </row>
    <row r="277">
      <c r="A277" s="34"/>
      <c r="B277" s="34"/>
      <c r="C277" s="34"/>
    </row>
    <row r="278">
      <c r="A278" s="34"/>
      <c r="B278" s="34"/>
      <c r="C278" s="34"/>
    </row>
    <row r="279">
      <c r="A279" s="34"/>
      <c r="B279" s="34"/>
      <c r="C279" s="34"/>
    </row>
    <row r="280">
      <c r="A280" s="34"/>
      <c r="B280" s="34"/>
      <c r="C280" s="34"/>
    </row>
    <row r="281">
      <c r="A281" s="34"/>
      <c r="B281" s="34"/>
      <c r="C281" s="34"/>
    </row>
    <row r="282">
      <c r="A282" s="34"/>
      <c r="B282" s="34"/>
      <c r="C282" s="34"/>
    </row>
    <row r="283">
      <c r="A283" s="34"/>
      <c r="B283" s="34"/>
      <c r="C283" s="34"/>
    </row>
    <row r="284">
      <c r="A284" s="34"/>
      <c r="B284" s="34"/>
      <c r="C284" s="34"/>
    </row>
    <row r="285">
      <c r="A285" s="34"/>
      <c r="B285" s="34"/>
      <c r="C285" s="34"/>
    </row>
    <row r="286">
      <c r="A286" s="34"/>
      <c r="B286" s="34"/>
      <c r="C286" s="34"/>
    </row>
    <row r="287">
      <c r="A287" s="34"/>
      <c r="B287" s="34"/>
      <c r="C287" s="34"/>
    </row>
    <row r="288">
      <c r="A288" s="34"/>
      <c r="B288" s="34"/>
      <c r="C288" s="34"/>
    </row>
    <row r="289">
      <c r="A289" s="34"/>
      <c r="B289" s="34"/>
      <c r="C289" s="34"/>
    </row>
    <row r="290">
      <c r="A290" s="34"/>
      <c r="B290" s="34"/>
      <c r="C290" s="34"/>
    </row>
    <row r="291">
      <c r="A291" s="34"/>
      <c r="B291" s="34"/>
      <c r="C291" s="34"/>
    </row>
    <row r="292">
      <c r="A292" s="34"/>
      <c r="B292" s="34"/>
      <c r="C292" s="34"/>
    </row>
    <row r="293">
      <c r="A293" s="34"/>
      <c r="B293" s="34"/>
      <c r="C293" s="34"/>
    </row>
    <row r="294">
      <c r="A294" s="34"/>
      <c r="B294" s="34"/>
      <c r="C294" s="34"/>
    </row>
    <row r="295">
      <c r="A295" s="34"/>
      <c r="B295" s="34"/>
      <c r="C295" s="34"/>
    </row>
    <row r="296">
      <c r="A296" s="34"/>
      <c r="B296" s="34"/>
      <c r="C296" s="34"/>
    </row>
    <row r="297">
      <c r="A297" s="34"/>
      <c r="B297" s="34"/>
      <c r="C297" s="34"/>
    </row>
    <row r="298">
      <c r="A298" s="34"/>
      <c r="B298" s="34"/>
      <c r="C298" s="34"/>
    </row>
    <row r="299">
      <c r="A299" s="34"/>
      <c r="B299" s="34"/>
      <c r="C299" s="34"/>
    </row>
    <row r="300">
      <c r="A300" s="34"/>
      <c r="B300" s="34"/>
      <c r="C300" s="34"/>
    </row>
    <row r="301">
      <c r="A301" s="34"/>
      <c r="B301" s="34"/>
      <c r="C301" s="34"/>
    </row>
    <row r="302">
      <c r="A302" s="34"/>
      <c r="B302" s="34"/>
      <c r="C302" s="34"/>
    </row>
    <row r="303">
      <c r="A303" s="34"/>
      <c r="B303" s="34"/>
      <c r="C303" s="34"/>
    </row>
    <row r="304">
      <c r="A304" s="34"/>
      <c r="B304" s="34"/>
      <c r="C304" s="34"/>
    </row>
    <row r="305">
      <c r="A305" s="34"/>
      <c r="B305" s="34"/>
      <c r="C305" s="34"/>
    </row>
    <row r="306">
      <c r="A306" s="34"/>
      <c r="B306" s="34"/>
      <c r="C306" s="34"/>
    </row>
    <row r="307">
      <c r="A307" s="34"/>
      <c r="B307" s="34"/>
      <c r="C307" s="34"/>
    </row>
    <row r="308">
      <c r="A308" s="34"/>
      <c r="B308" s="34"/>
      <c r="C308" s="34"/>
    </row>
    <row r="309">
      <c r="A309" s="34"/>
      <c r="B309" s="34"/>
      <c r="C309" s="34"/>
    </row>
    <row r="310">
      <c r="A310" s="34"/>
      <c r="B310" s="34"/>
      <c r="C310" s="34"/>
    </row>
    <row r="311">
      <c r="A311" s="34"/>
      <c r="B311" s="34"/>
      <c r="C311" s="34"/>
    </row>
    <row r="312">
      <c r="A312" s="34"/>
      <c r="B312" s="34"/>
      <c r="C312" s="34"/>
    </row>
    <row r="313">
      <c r="A313" s="34"/>
      <c r="B313" s="34"/>
      <c r="C313" s="34"/>
    </row>
    <row r="314">
      <c r="A314" s="34"/>
      <c r="B314" s="34"/>
      <c r="C314" s="34"/>
    </row>
    <row r="315">
      <c r="A315" s="34"/>
      <c r="B315" s="34"/>
      <c r="C315" s="34"/>
    </row>
    <row r="316">
      <c r="A316" s="34"/>
      <c r="B316" s="34"/>
      <c r="C316" s="34"/>
    </row>
    <row r="317">
      <c r="A317" s="34"/>
      <c r="B317" s="34"/>
      <c r="C317" s="34"/>
    </row>
    <row r="318">
      <c r="A318" s="34"/>
      <c r="B318" s="34"/>
      <c r="C318" s="34"/>
    </row>
    <row r="319">
      <c r="A319" s="34"/>
      <c r="B319" s="34"/>
      <c r="C319" s="34"/>
    </row>
    <row r="320">
      <c r="A320" s="34"/>
      <c r="B320" s="34"/>
      <c r="C320" s="34"/>
    </row>
    <row r="321">
      <c r="A321" s="34"/>
      <c r="B321" s="34"/>
      <c r="C321" s="34"/>
    </row>
    <row r="322">
      <c r="A322" s="34"/>
      <c r="B322" s="34"/>
      <c r="C322" s="34"/>
    </row>
    <row r="323">
      <c r="A323" s="34"/>
      <c r="B323" s="34"/>
      <c r="C323" s="34"/>
    </row>
    <row r="324">
      <c r="A324" s="34"/>
      <c r="B324" s="34"/>
      <c r="C324" s="34"/>
    </row>
    <row r="325">
      <c r="A325" s="34"/>
      <c r="B325" s="34"/>
      <c r="C325" s="34"/>
    </row>
    <row r="326">
      <c r="A326" s="34"/>
      <c r="B326" s="34"/>
      <c r="C326" s="34"/>
    </row>
    <row r="327">
      <c r="A327" s="34"/>
      <c r="B327" s="34"/>
      <c r="C327" s="34"/>
    </row>
    <row r="328">
      <c r="A328" s="34"/>
      <c r="B328" s="34"/>
      <c r="C328" s="34"/>
    </row>
    <row r="329">
      <c r="A329" s="34"/>
      <c r="B329" s="34"/>
      <c r="C329" s="34"/>
    </row>
    <row r="330">
      <c r="A330" s="34"/>
      <c r="B330" s="34"/>
      <c r="C330" s="34"/>
    </row>
    <row r="331">
      <c r="A331" s="34"/>
      <c r="B331" s="34"/>
      <c r="C331" s="34"/>
    </row>
    <row r="332">
      <c r="A332" s="34"/>
      <c r="B332" s="34"/>
      <c r="C332" s="34"/>
    </row>
    <row r="333">
      <c r="A333" s="34"/>
      <c r="B333" s="34"/>
      <c r="C333" s="34"/>
    </row>
    <row r="334">
      <c r="A334" s="34"/>
      <c r="B334" s="34"/>
      <c r="C334" s="34"/>
    </row>
    <row r="335">
      <c r="A335" s="34"/>
      <c r="B335" s="34"/>
      <c r="C335" s="34"/>
    </row>
    <row r="336">
      <c r="A336" s="34"/>
      <c r="B336" s="34"/>
      <c r="C336" s="34"/>
    </row>
    <row r="337">
      <c r="A337" s="34"/>
      <c r="B337" s="34"/>
      <c r="C337" s="34"/>
    </row>
    <row r="338">
      <c r="A338" s="34"/>
      <c r="B338" s="34"/>
      <c r="C338" s="34"/>
    </row>
    <row r="339">
      <c r="A339" s="34"/>
      <c r="B339" s="34"/>
      <c r="C339" s="34"/>
    </row>
    <row r="340">
      <c r="A340" s="34"/>
      <c r="B340" s="34"/>
      <c r="C340" s="34"/>
    </row>
    <row r="341">
      <c r="A341" s="34"/>
      <c r="B341" s="34"/>
      <c r="C341" s="34"/>
    </row>
    <row r="342">
      <c r="A342" s="34"/>
      <c r="B342" s="34"/>
      <c r="C342" s="34"/>
    </row>
    <row r="343">
      <c r="A343" s="34"/>
      <c r="B343" s="34"/>
      <c r="C343" s="34"/>
    </row>
    <row r="344">
      <c r="A344" s="34"/>
      <c r="B344" s="34"/>
      <c r="C344" s="34"/>
    </row>
    <row r="345">
      <c r="A345" s="34"/>
      <c r="B345" s="34"/>
      <c r="C345" s="34"/>
    </row>
    <row r="346">
      <c r="A346" s="34"/>
      <c r="B346" s="34"/>
      <c r="C346" s="34"/>
    </row>
    <row r="347">
      <c r="A347" s="34"/>
      <c r="B347" s="34"/>
      <c r="C347" s="34"/>
    </row>
    <row r="348">
      <c r="A348" s="34"/>
      <c r="B348" s="34"/>
      <c r="C348" s="34"/>
    </row>
    <row r="349">
      <c r="A349" s="34"/>
      <c r="B349" s="34"/>
      <c r="C349" s="34"/>
    </row>
    <row r="350">
      <c r="A350" s="34"/>
      <c r="B350" s="34"/>
      <c r="C350" s="34"/>
    </row>
    <row r="351">
      <c r="A351" s="34"/>
      <c r="B351" s="34"/>
      <c r="C351" s="34"/>
    </row>
    <row r="352">
      <c r="A352" s="34"/>
      <c r="B352" s="34"/>
      <c r="C352" s="34"/>
    </row>
    <row r="353">
      <c r="A353" s="34"/>
      <c r="B353" s="34"/>
      <c r="C353" s="34"/>
    </row>
    <row r="354">
      <c r="A354" s="34"/>
      <c r="B354" s="34"/>
      <c r="C354" s="34"/>
    </row>
    <row r="355">
      <c r="A355" s="34"/>
      <c r="B355" s="34"/>
      <c r="C355" s="34"/>
    </row>
    <row r="356">
      <c r="A356" s="34"/>
      <c r="B356" s="34"/>
      <c r="C356" s="34"/>
    </row>
    <row r="357">
      <c r="A357" s="34"/>
      <c r="B357" s="34"/>
      <c r="C357" s="34"/>
    </row>
    <row r="358">
      <c r="A358" s="34"/>
      <c r="B358" s="34"/>
      <c r="C358" s="34"/>
    </row>
    <row r="359">
      <c r="A359" s="34"/>
      <c r="B359" s="34"/>
      <c r="C359" s="34"/>
    </row>
    <row r="360">
      <c r="A360" s="34"/>
      <c r="B360" s="34"/>
      <c r="C360" s="34"/>
    </row>
    <row r="361">
      <c r="A361" s="34"/>
      <c r="B361" s="34"/>
      <c r="C361" s="34"/>
    </row>
    <row r="362">
      <c r="A362" s="34"/>
      <c r="B362" s="34"/>
      <c r="C362" s="34"/>
    </row>
    <row r="363">
      <c r="A363" s="34"/>
      <c r="B363" s="34"/>
      <c r="C363" s="34"/>
    </row>
    <row r="364">
      <c r="A364" s="34"/>
      <c r="B364" s="34"/>
      <c r="C364" s="34"/>
    </row>
    <row r="365">
      <c r="A365" s="34"/>
      <c r="B365" s="34"/>
      <c r="C365" s="34"/>
    </row>
    <row r="366">
      <c r="A366" s="34"/>
      <c r="B366" s="34"/>
      <c r="C366" s="34"/>
    </row>
    <row r="367">
      <c r="A367" s="34"/>
      <c r="B367" s="34"/>
      <c r="C367" s="34"/>
    </row>
    <row r="368">
      <c r="A368" s="34"/>
      <c r="B368" s="34"/>
      <c r="C368" s="34"/>
    </row>
    <row r="369">
      <c r="A369" s="34"/>
      <c r="B369" s="34"/>
      <c r="C369" s="34"/>
    </row>
    <row r="370">
      <c r="A370" s="34"/>
      <c r="B370" s="34"/>
      <c r="C370" s="34"/>
    </row>
    <row r="371">
      <c r="A371" s="34"/>
      <c r="B371" s="34"/>
      <c r="C371" s="34"/>
    </row>
    <row r="372">
      <c r="A372" s="34"/>
      <c r="B372" s="34"/>
      <c r="C372" s="34"/>
    </row>
    <row r="373">
      <c r="A373" s="34"/>
      <c r="B373" s="34"/>
      <c r="C373" s="34"/>
    </row>
    <row r="374">
      <c r="A374" s="34"/>
      <c r="B374" s="34"/>
      <c r="C374" s="34"/>
    </row>
    <row r="375">
      <c r="A375" s="34"/>
      <c r="B375" s="34"/>
      <c r="C375" s="34"/>
    </row>
    <row r="376">
      <c r="A376" s="34"/>
      <c r="B376" s="34"/>
      <c r="C376" s="34"/>
    </row>
    <row r="377">
      <c r="A377" s="34"/>
      <c r="B377" s="34"/>
      <c r="C377" s="34"/>
    </row>
    <row r="378">
      <c r="A378" s="34"/>
      <c r="B378" s="34"/>
      <c r="C378" s="34"/>
    </row>
    <row r="379">
      <c r="A379" s="34"/>
      <c r="B379" s="34"/>
      <c r="C379" s="34"/>
    </row>
    <row r="380">
      <c r="A380" s="34"/>
      <c r="B380" s="34"/>
      <c r="C380" s="34"/>
    </row>
    <row r="381">
      <c r="A381" s="34"/>
      <c r="B381" s="34"/>
      <c r="C381" s="34"/>
    </row>
    <row r="382">
      <c r="A382" s="34"/>
      <c r="B382" s="34"/>
      <c r="C382" s="34"/>
    </row>
    <row r="383">
      <c r="A383" s="34"/>
      <c r="B383" s="34"/>
      <c r="C383" s="34"/>
    </row>
    <row r="384">
      <c r="A384" s="34"/>
      <c r="B384" s="34"/>
      <c r="C384" s="34"/>
    </row>
    <row r="385">
      <c r="A385" s="34"/>
      <c r="B385" s="34"/>
      <c r="C385" s="34"/>
    </row>
    <row r="386">
      <c r="A386" s="34"/>
      <c r="B386" s="34"/>
      <c r="C386" s="34"/>
    </row>
    <row r="387">
      <c r="A387" s="34"/>
      <c r="B387" s="34"/>
      <c r="C387" s="34"/>
    </row>
    <row r="388">
      <c r="A388" s="34"/>
      <c r="B388" s="34"/>
      <c r="C388" s="34"/>
    </row>
    <row r="389">
      <c r="A389" s="34"/>
      <c r="B389" s="34"/>
      <c r="C389" s="34"/>
    </row>
    <row r="390">
      <c r="A390" s="34"/>
      <c r="B390" s="34"/>
      <c r="C390" s="34"/>
    </row>
    <row r="391">
      <c r="A391" s="34"/>
      <c r="B391" s="34"/>
      <c r="C391" s="34"/>
    </row>
    <row r="392">
      <c r="A392" s="34"/>
      <c r="B392" s="34"/>
      <c r="C392" s="34"/>
    </row>
    <row r="393">
      <c r="A393" s="34"/>
      <c r="B393" s="34"/>
      <c r="C393" s="34"/>
    </row>
    <row r="394">
      <c r="A394" s="34"/>
      <c r="B394" s="34"/>
      <c r="C394" s="34"/>
    </row>
    <row r="395">
      <c r="A395" s="34"/>
      <c r="B395" s="34"/>
      <c r="C395" s="34"/>
    </row>
    <row r="396">
      <c r="A396" s="34"/>
      <c r="B396" s="34"/>
      <c r="C396" s="34"/>
    </row>
    <row r="397">
      <c r="A397" s="34"/>
      <c r="B397" s="34"/>
      <c r="C397" s="34"/>
    </row>
    <row r="398">
      <c r="A398" s="34"/>
      <c r="B398" s="34"/>
      <c r="C398" s="34"/>
    </row>
    <row r="399">
      <c r="A399" s="34"/>
      <c r="B399" s="34"/>
      <c r="C399" s="34"/>
    </row>
    <row r="400">
      <c r="A400" s="34"/>
      <c r="B400" s="34"/>
      <c r="C400" s="34"/>
    </row>
    <row r="401">
      <c r="A401" s="34"/>
      <c r="B401" s="34"/>
      <c r="C401" s="34"/>
    </row>
    <row r="402">
      <c r="A402" s="34"/>
      <c r="B402" s="34"/>
      <c r="C402" s="34"/>
    </row>
    <row r="403">
      <c r="A403" s="34"/>
      <c r="B403" s="34"/>
      <c r="C403" s="34"/>
    </row>
    <row r="404">
      <c r="A404" s="34"/>
      <c r="B404" s="34"/>
      <c r="C404" s="34"/>
    </row>
    <row r="405">
      <c r="A405" s="34"/>
      <c r="B405" s="34"/>
      <c r="C405" s="34"/>
    </row>
    <row r="406">
      <c r="A406" s="34"/>
      <c r="B406" s="34"/>
      <c r="C406" s="34"/>
    </row>
    <row r="407">
      <c r="A407" s="34"/>
      <c r="B407" s="34"/>
      <c r="C407" s="34"/>
    </row>
    <row r="408">
      <c r="A408" s="34"/>
      <c r="B408" s="34"/>
      <c r="C408" s="34"/>
    </row>
    <row r="409">
      <c r="A409" s="34"/>
      <c r="B409" s="34"/>
      <c r="C409" s="34"/>
    </row>
    <row r="410">
      <c r="A410" s="34"/>
      <c r="B410" s="34"/>
      <c r="C410" s="34"/>
    </row>
    <row r="411">
      <c r="A411" s="34"/>
      <c r="B411" s="34"/>
      <c r="C411" s="34"/>
    </row>
    <row r="412">
      <c r="A412" s="34"/>
      <c r="B412" s="34"/>
      <c r="C412" s="34"/>
    </row>
    <row r="413">
      <c r="A413" s="34"/>
      <c r="B413" s="34"/>
      <c r="C413" s="34"/>
    </row>
    <row r="414">
      <c r="A414" s="34"/>
      <c r="B414" s="34"/>
      <c r="C414" s="34"/>
    </row>
    <row r="415">
      <c r="A415" s="34"/>
      <c r="B415" s="34"/>
      <c r="C415" s="34"/>
    </row>
    <row r="416">
      <c r="A416" s="34"/>
      <c r="B416" s="34"/>
      <c r="C416" s="34"/>
    </row>
    <row r="417">
      <c r="A417" s="34"/>
      <c r="B417" s="34"/>
      <c r="C417" s="34"/>
    </row>
    <row r="418">
      <c r="A418" s="34"/>
      <c r="B418" s="34"/>
      <c r="C418" s="34"/>
    </row>
    <row r="419">
      <c r="A419" s="34"/>
      <c r="B419" s="34"/>
      <c r="C419" s="34"/>
    </row>
    <row r="420">
      <c r="A420" s="34"/>
      <c r="B420" s="34"/>
      <c r="C420" s="34"/>
    </row>
    <row r="421">
      <c r="A421" s="34"/>
      <c r="B421" s="34"/>
      <c r="C421" s="34"/>
    </row>
    <row r="422">
      <c r="A422" s="34"/>
      <c r="B422" s="34"/>
      <c r="C422" s="34"/>
    </row>
    <row r="423">
      <c r="A423" s="34"/>
      <c r="B423" s="34"/>
      <c r="C423" s="34"/>
    </row>
    <row r="424">
      <c r="A424" s="34"/>
      <c r="B424" s="34"/>
      <c r="C424" s="34"/>
    </row>
    <row r="425">
      <c r="A425" s="34"/>
      <c r="B425" s="34"/>
      <c r="C425" s="34"/>
    </row>
    <row r="426">
      <c r="A426" s="34"/>
      <c r="B426" s="34"/>
      <c r="C426" s="34"/>
    </row>
    <row r="427">
      <c r="A427" s="34"/>
      <c r="B427" s="34"/>
      <c r="C427" s="34"/>
    </row>
    <row r="428">
      <c r="A428" s="34"/>
      <c r="B428" s="34"/>
      <c r="C428" s="34"/>
    </row>
    <row r="429">
      <c r="A429" s="34"/>
      <c r="B429" s="34"/>
      <c r="C429" s="34"/>
    </row>
    <row r="430">
      <c r="A430" s="34"/>
      <c r="B430" s="34"/>
      <c r="C430" s="34"/>
    </row>
    <row r="431">
      <c r="A431" s="34"/>
      <c r="B431" s="34"/>
      <c r="C431" s="34"/>
    </row>
    <row r="432">
      <c r="A432" s="34"/>
      <c r="B432" s="34"/>
      <c r="C432" s="34"/>
    </row>
    <row r="433">
      <c r="A433" s="34"/>
      <c r="B433" s="34"/>
      <c r="C433" s="34"/>
    </row>
    <row r="434">
      <c r="A434" s="34"/>
      <c r="B434" s="34"/>
      <c r="C434" s="34"/>
    </row>
    <row r="435">
      <c r="A435" s="34"/>
      <c r="B435" s="34"/>
      <c r="C435" s="34"/>
    </row>
    <row r="436">
      <c r="A436" s="34"/>
      <c r="B436" s="34"/>
      <c r="C436" s="34"/>
    </row>
    <row r="437">
      <c r="A437" s="34"/>
      <c r="B437" s="34"/>
      <c r="C437" s="34"/>
    </row>
    <row r="438">
      <c r="A438" s="34"/>
      <c r="B438" s="34"/>
      <c r="C438" s="34"/>
    </row>
    <row r="439">
      <c r="A439" s="34"/>
      <c r="B439" s="34"/>
      <c r="C439" s="34"/>
    </row>
    <row r="440">
      <c r="A440" s="34"/>
      <c r="B440" s="34"/>
      <c r="C440" s="34"/>
    </row>
    <row r="441">
      <c r="A441" s="34"/>
      <c r="B441" s="34"/>
      <c r="C441" s="34"/>
    </row>
    <row r="442">
      <c r="A442" s="34"/>
      <c r="B442" s="34"/>
      <c r="C442" s="34"/>
    </row>
    <row r="443">
      <c r="A443" s="34"/>
      <c r="B443" s="34"/>
      <c r="C443" s="34"/>
    </row>
    <row r="444">
      <c r="A444" s="34"/>
      <c r="B444" s="34"/>
      <c r="C444" s="34"/>
    </row>
    <row r="445">
      <c r="A445" s="34"/>
      <c r="B445" s="34"/>
      <c r="C445" s="34"/>
    </row>
    <row r="446">
      <c r="A446" s="34"/>
      <c r="B446" s="34"/>
      <c r="C446" s="34"/>
    </row>
    <row r="447">
      <c r="A447" s="34"/>
      <c r="B447" s="34"/>
      <c r="C447" s="34"/>
    </row>
    <row r="448">
      <c r="A448" s="34"/>
      <c r="B448" s="34"/>
      <c r="C448" s="34"/>
    </row>
    <row r="449">
      <c r="A449" s="34"/>
      <c r="B449" s="34"/>
      <c r="C449" s="34"/>
    </row>
    <row r="450">
      <c r="A450" s="34"/>
      <c r="B450" s="34"/>
      <c r="C450" s="34"/>
    </row>
    <row r="451">
      <c r="A451" s="34"/>
      <c r="B451" s="34"/>
      <c r="C451" s="34"/>
    </row>
    <row r="452">
      <c r="A452" s="34"/>
      <c r="B452" s="34"/>
      <c r="C452" s="34"/>
    </row>
    <row r="453">
      <c r="A453" s="34"/>
      <c r="B453" s="34"/>
      <c r="C453" s="34"/>
    </row>
    <row r="454">
      <c r="A454" s="34"/>
      <c r="B454" s="34"/>
      <c r="C454" s="34"/>
    </row>
    <row r="455">
      <c r="A455" s="34"/>
      <c r="B455" s="34"/>
      <c r="C455" s="34"/>
    </row>
    <row r="456">
      <c r="A456" s="34"/>
      <c r="B456" s="34"/>
      <c r="C456" s="34"/>
    </row>
    <row r="457">
      <c r="A457" s="34"/>
      <c r="B457" s="34"/>
      <c r="C457" s="34"/>
    </row>
    <row r="458">
      <c r="A458" s="34"/>
      <c r="B458" s="34"/>
      <c r="C458" s="34"/>
    </row>
    <row r="459">
      <c r="A459" s="34"/>
      <c r="B459" s="34"/>
      <c r="C459" s="34"/>
    </row>
    <row r="460">
      <c r="A460" s="34"/>
      <c r="B460" s="34"/>
      <c r="C460" s="34"/>
    </row>
    <row r="461">
      <c r="A461" s="34"/>
      <c r="B461" s="34"/>
      <c r="C461" s="34"/>
    </row>
    <row r="462">
      <c r="A462" s="34"/>
      <c r="B462" s="34"/>
      <c r="C462" s="34"/>
    </row>
    <row r="463">
      <c r="A463" s="34"/>
      <c r="B463" s="34"/>
      <c r="C463" s="34"/>
    </row>
    <row r="464">
      <c r="A464" s="34"/>
      <c r="B464" s="34"/>
      <c r="C464" s="34"/>
    </row>
    <row r="465">
      <c r="A465" s="34"/>
      <c r="B465" s="34"/>
      <c r="C465" s="34"/>
    </row>
    <row r="466">
      <c r="A466" s="34"/>
      <c r="B466" s="34"/>
      <c r="C466" s="34"/>
    </row>
    <row r="467">
      <c r="A467" s="34"/>
      <c r="B467" s="34"/>
      <c r="C467" s="34"/>
    </row>
    <row r="468">
      <c r="A468" s="34"/>
      <c r="B468" s="34"/>
      <c r="C468" s="34"/>
    </row>
    <row r="469">
      <c r="A469" s="34"/>
      <c r="B469" s="34"/>
      <c r="C469" s="34"/>
    </row>
    <row r="470">
      <c r="A470" s="34"/>
      <c r="B470" s="34"/>
      <c r="C470" s="34"/>
    </row>
    <row r="471">
      <c r="A471" s="34"/>
      <c r="B471" s="34"/>
      <c r="C471" s="34"/>
    </row>
    <row r="472">
      <c r="A472" s="34"/>
      <c r="B472" s="34"/>
      <c r="C472" s="34"/>
    </row>
    <row r="473">
      <c r="A473" s="34"/>
      <c r="B473" s="34"/>
      <c r="C473" s="34"/>
    </row>
    <row r="474">
      <c r="A474" s="34"/>
      <c r="B474" s="34"/>
      <c r="C474" s="34"/>
    </row>
    <row r="475">
      <c r="A475" s="34"/>
      <c r="B475" s="34"/>
      <c r="C475" s="34"/>
    </row>
    <row r="476">
      <c r="A476" s="34"/>
      <c r="B476" s="34"/>
      <c r="C476" s="34"/>
    </row>
    <row r="477">
      <c r="A477" s="34"/>
      <c r="B477" s="34"/>
      <c r="C477" s="34"/>
    </row>
    <row r="478">
      <c r="A478" s="34"/>
      <c r="B478" s="34"/>
      <c r="C478" s="34"/>
    </row>
    <row r="479">
      <c r="A479" s="34"/>
      <c r="B479" s="34"/>
      <c r="C479" s="34"/>
    </row>
    <row r="480">
      <c r="A480" s="34"/>
      <c r="B480" s="34"/>
      <c r="C480" s="34"/>
    </row>
    <row r="481">
      <c r="A481" s="34"/>
      <c r="B481" s="34"/>
      <c r="C481" s="34"/>
    </row>
    <row r="482">
      <c r="A482" s="34"/>
      <c r="B482" s="34"/>
      <c r="C482" s="34"/>
    </row>
    <row r="483">
      <c r="A483" s="34"/>
      <c r="B483" s="34"/>
      <c r="C483" s="34"/>
    </row>
    <row r="484">
      <c r="A484" s="34"/>
      <c r="B484" s="34"/>
      <c r="C484" s="34"/>
    </row>
    <row r="485">
      <c r="A485" s="34"/>
      <c r="B485" s="34"/>
      <c r="C485" s="34"/>
    </row>
    <row r="486">
      <c r="A486" s="34"/>
      <c r="B486" s="34"/>
      <c r="C486" s="34"/>
    </row>
    <row r="487">
      <c r="A487" s="34"/>
      <c r="B487" s="34"/>
      <c r="C487" s="34"/>
    </row>
    <row r="488">
      <c r="A488" s="34"/>
      <c r="B488" s="34"/>
      <c r="C488" s="34"/>
    </row>
    <row r="489">
      <c r="A489" s="34"/>
      <c r="B489" s="34"/>
      <c r="C489" s="34"/>
    </row>
    <row r="490">
      <c r="A490" s="34"/>
      <c r="B490" s="34"/>
      <c r="C490" s="34"/>
    </row>
    <row r="491">
      <c r="A491" s="34"/>
      <c r="B491" s="34"/>
      <c r="C491" s="34"/>
    </row>
    <row r="492">
      <c r="A492" s="34"/>
      <c r="B492" s="34"/>
      <c r="C492" s="34"/>
    </row>
    <row r="493">
      <c r="A493" s="34"/>
      <c r="B493" s="34"/>
      <c r="C493" s="34"/>
    </row>
    <row r="494">
      <c r="A494" s="34"/>
      <c r="B494" s="34"/>
      <c r="C494" s="34"/>
    </row>
    <row r="495">
      <c r="A495" s="34"/>
      <c r="B495" s="34"/>
      <c r="C495" s="34"/>
    </row>
    <row r="496">
      <c r="A496" s="34"/>
      <c r="B496" s="34"/>
      <c r="C496" s="34"/>
    </row>
    <row r="497">
      <c r="A497" s="34"/>
      <c r="B497" s="34"/>
      <c r="C497" s="34"/>
    </row>
    <row r="498">
      <c r="A498" s="34"/>
      <c r="B498" s="34"/>
      <c r="C498" s="34"/>
    </row>
    <row r="499">
      <c r="A499" s="34"/>
      <c r="B499" s="34"/>
      <c r="C499" s="34"/>
    </row>
    <row r="500">
      <c r="A500" s="34"/>
      <c r="B500" s="34"/>
      <c r="C500" s="34"/>
    </row>
    <row r="501">
      <c r="A501" s="34"/>
      <c r="B501" s="34"/>
      <c r="C501" s="34"/>
    </row>
    <row r="502">
      <c r="A502" s="34"/>
      <c r="B502" s="34"/>
      <c r="C502" s="34"/>
    </row>
    <row r="503">
      <c r="A503" s="34"/>
      <c r="B503" s="34"/>
      <c r="C503" s="34"/>
    </row>
    <row r="504">
      <c r="A504" s="34"/>
      <c r="B504" s="34"/>
      <c r="C504" s="34"/>
    </row>
    <row r="505">
      <c r="A505" s="34"/>
      <c r="B505" s="34"/>
      <c r="C505" s="34"/>
    </row>
    <row r="506">
      <c r="A506" s="34"/>
      <c r="B506" s="34"/>
      <c r="C506" s="34"/>
    </row>
    <row r="507">
      <c r="A507" s="34"/>
      <c r="B507" s="34"/>
      <c r="C507" s="34"/>
    </row>
    <row r="508">
      <c r="A508" s="34"/>
      <c r="B508" s="34"/>
      <c r="C508" s="34"/>
    </row>
    <row r="509">
      <c r="A509" s="34"/>
      <c r="B509" s="34"/>
      <c r="C509" s="34"/>
    </row>
    <row r="510">
      <c r="A510" s="34"/>
      <c r="B510" s="34"/>
      <c r="C510" s="34"/>
    </row>
    <row r="511">
      <c r="A511" s="34"/>
      <c r="B511" s="34"/>
      <c r="C511" s="34"/>
    </row>
    <row r="512">
      <c r="A512" s="34"/>
      <c r="B512" s="34"/>
      <c r="C512" s="34"/>
    </row>
    <row r="513">
      <c r="A513" s="34"/>
      <c r="B513" s="34"/>
      <c r="C513" s="34"/>
    </row>
    <row r="514">
      <c r="A514" s="34"/>
      <c r="B514" s="34"/>
      <c r="C514" s="34"/>
    </row>
    <row r="515">
      <c r="A515" s="34"/>
      <c r="B515" s="34"/>
      <c r="C515" s="34"/>
    </row>
    <row r="516">
      <c r="A516" s="34"/>
      <c r="B516" s="34"/>
      <c r="C516" s="34"/>
    </row>
    <row r="517">
      <c r="A517" s="34"/>
      <c r="B517" s="34"/>
      <c r="C517" s="34"/>
    </row>
    <row r="518">
      <c r="A518" s="34"/>
      <c r="B518" s="34"/>
      <c r="C518" s="34"/>
    </row>
    <row r="519">
      <c r="A519" s="34"/>
      <c r="B519" s="34"/>
      <c r="C519" s="34"/>
    </row>
    <row r="520">
      <c r="A520" s="34"/>
      <c r="B520" s="34"/>
      <c r="C520" s="34"/>
    </row>
    <row r="521">
      <c r="A521" s="34"/>
      <c r="B521" s="34"/>
      <c r="C521" s="34"/>
    </row>
    <row r="522">
      <c r="A522" s="34"/>
      <c r="B522" s="34"/>
      <c r="C522" s="34"/>
    </row>
    <row r="523">
      <c r="A523" s="34"/>
      <c r="B523" s="34"/>
      <c r="C523" s="34"/>
    </row>
    <row r="524">
      <c r="A524" s="34"/>
      <c r="B524" s="34"/>
      <c r="C524" s="34"/>
    </row>
    <row r="525">
      <c r="A525" s="34"/>
      <c r="B525" s="34"/>
      <c r="C525" s="34"/>
    </row>
    <row r="526">
      <c r="A526" s="34"/>
      <c r="B526" s="34"/>
      <c r="C526" s="34"/>
    </row>
    <row r="527">
      <c r="A527" s="34"/>
      <c r="B527" s="34"/>
      <c r="C527" s="34"/>
    </row>
    <row r="528">
      <c r="A528" s="34"/>
      <c r="B528" s="34"/>
      <c r="C528" s="34"/>
    </row>
    <row r="529">
      <c r="A529" s="34"/>
      <c r="B529" s="34"/>
      <c r="C529" s="34"/>
    </row>
    <row r="530">
      <c r="A530" s="34"/>
      <c r="B530" s="34"/>
      <c r="C530" s="34"/>
    </row>
    <row r="531">
      <c r="A531" s="34"/>
      <c r="B531" s="34"/>
      <c r="C531" s="34"/>
    </row>
    <row r="532">
      <c r="A532" s="34"/>
      <c r="B532" s="34"/>
      <c r="C532" s="34"/>
    </row>
    <row r="533">
      <c r="A533" s="34"/>
      <c r="B533" s="34"/>
      <c r="C533" s="34"/>
    </row>
    <row r="534">
      <c r="A534" s="34"/>
      <c r="B534" s="34"/>
      <c r="C534" s="34"/>
    </row>
    <row r="535">
      <c r="A535" s="34"/>
      <c r="B535" s="34"/>
      <c r="C535" s="34"/>
    </row>
    <row r="536">
      <c r="A536" s="34"/>
      <c r="B536" s="34"/>
      <c r="C536" s="34"/>
    </row>
    <row r="537">
      <c r="A537" s="34"/>
      <c r="B537" s="34"/>
      <c r="C537" s="34"/>
    </row>
    <row r="538">
      <c r="A538" s="34"/>
      <c r="B538" s="34"/>
      <c r="C538" s="34"/>
    </row>
    <row r="539">
      <c r="A539" s="34"/>
      <c r="B539" s="34"/>
      <c r="C539" s="34"/>
    </row>
    <row r="540">
      <c r="A540" s="34"/>
      <c r="B540" s="34"/>
      <c r="C540" s="34"/>
    </row>
    <row r="541">
      <c r="A541" s="34"/>
      <c r="B541" s="34"/>
      <c r="C541" s="34"/>
    </row>
    <row r="542">
      <c r="A542" s="34"/>
      <c r="B542" s="34"/>
      <c r="C542" s="34"/>
    </row>
    <row r="543">
      <c r="A543" s="34"/>
      <c r="B543" s="34"/>
      <c r="C543" s="34"/>
    </row>
    <row r="544">
      <c r="A544" s="34"/>
      <c r="B544" s="34"/>
      <c r="C544" s="34"/>
    </row>
    <row r="545">
      <c r="A545" s="34"/>
      <c r="B545" s="34"/>
      <c r="C545" s="34"/>
    </row>
    <row r="546">
      <c r="A546" s="34"/>
      <c r="B546" s="34"/>
      <c r="C546" s="34"/>
    </row>
    <row r="547">
      <c r="A547" s="34"/>
      <c r="B547" s="34"/>
      <c r="C547" s="34"/>
    </row>
    <row r="548">
      <c r="A548" s="34"/>
      <c r="B548" s="34"/>
      <c r="C548" s="34"/>
    </row>
    <row r="549">
      <c r="A549" s="34"/>
      <c r="B549" s="34"/>
      <c r="C549" s="34"/>
    </row>
    <row r="550">
      <c r="A550" s="34"/>
      <c r="B550" s="34"/>
      <c r="C550" s="34"/>
    </row>
    <row r="551">
      <c r="A551" s="34"/>
      <c r="B551" s="34"/>
      <c r="C551" s="34"/>
    </row>
    <row r="552">
      <c r="A552" s="34"/>
      <c r="B552" s="34"/>
      <c r="C552" s="34"/>
    </row>
    <row r="553">
      <c r="A553" s="34"/>
      <c r="B553" s="34"/>
      <c r="C553" s="34"/>
    </row>
    <row r="554">
      <c r="A554" s="34"/>
      <c r="B554" s="34"/>
      <c r="C554" s="34"/>
    </row>
    <row r="555">
      <c r="A555" s="34"/>
      <c r="B555" s="34"/>
      <c r="C555" s="34"/>
    </row>
    <row r="556">
      <c r="A556" s="34"/>
      <c r="B556" s="34"/>
      <c r="C556" s="34"/>
    </row>
    <row r="557">
      <c r="A557" s="34"/>
      <c r="B557" s="34"/>
      <c r="C557" s="34"/>
    </row>
    <row r="558">
      <c r="A558" s="34"/>
      <c r="B558" s="34"/>
      <c r="C558" s="34"/>
    </row>
    <row r="559">
      <c r="A559" s="34"/>
      <c r="B559" s="34"/>
      <c r="C559" s="34"/>
    </row>
    <row r="560">
      <c r="A560" s="34"/>
      <c r="B560" s="34"/>
      <c r="C560" s="34"/>
    </row>
    <row r="561">
      <c r="A561" s="34"/>
      <c r="B561" s="34"/>
      <c r="C561" s="34"/>
    </row>
    <row r="562">
      <c r="A562" s="34"/>
      <c r="B562" s="34"/>
      <c r="C562" s="34"/>
    </row>
    <row r="563">
      <c r="A563" s="34"/>
      <c r="B563" s="34"/>
      <c r="C563" s="34"/>
    </row>
    <row r="564">
      <c r="A564" s="34"/>
      <c r="B564" s="34"/>
      <c r="C564" s="34"/>
    </row>
    <row r="565">
      <c r="A565" s="34"/>
      <c r="B565" s="34"/>
      <c r="C565" s="34"/>
    </row>
    <row r="566">
      <c r="A566" s="34"/>
      <c r="B566" s="34"/>
      <c r="C566" s="34"/>
    </row>
    <row r="567">
      <c r="A567" s="34"/>
      <c r="B567" s="34"/>
      <c r="C567" s="34"/>
    </row>
    <row r="568">
      <c r="A568" s="34"/>
      <c r="B568" s="34"/>
      <c r="C568" s="34"/>
    </row>
    <row r="569">
      <c r="A569" s="34"/>
      <c r="B569" s="34"/>
      <c r="C569" s="34"/>
    </row>
    <row r="570">
      <c r="A570" s="34"/>
      <c r="B570" s="34"/>
      <c r="C570" s="34"/>
    </row>
    <row r="571">
      <c r="A571" s="34"/>
      <c r="B571" s="34"/>
      <c r="C571" s="34"/>
    </row>
    <row r="572">
      <c r="A572" s="34"/>
      <c r="B572" s="34"/>
      <c r="C572" s="34"/>
    </row>
    <row r="573">
      <c r="A573" s="34"/>
      <c r="B573" s="34"/>
      <c r="C573" s="34"/>
    </row>
    <row r="574">
      <c r="A574" s="34"/>
      <c r="B574" s="34"/>
      <c r="C574" s="34"/>
    </row>
    <row r="575">
      <c r="A575" s="34"/>
      <c r="B575" s="34"/>
      <c r="C575" s="34"/>
    </row>
    <row r="576">
      <c r="A576" s="34"/>
      <c r="B576" s="34"/>
      <c r="C576" s="34"/>
    </row>
    <row r="577">
      <c r="A577" s="34"/>
      <c r="B577" s="34"/>
      <c r="C577" s="34"/>
    </row>
    <row r="578">
      <c r="A578" s="34"/>
      <c r="B578" s="34"/>
      <c r="C578" s="34"/>
    </row>
    <row r="579">
      <c r="A579" s="34"/>
      <c r="B579" s="34"/>
      <c r="C579" s="34"/>
    </row>
    <row r="580">
      <c r="A580" s="34"/>
      <c r="B580" s="34"/>
      <c r="C580" s="34"/>
    </row>
    <row r="581">
      <c r="A581" s="34"/>
      <c r="B581" s="34"/>
      <c r="C581" s="34"/>
    </row>
    <row r="582">
      <c r="A582" s="34"/>
      <c r="B582" s="34"/>
      <c r="C582" s="34"/>
    </row>
    <row r="583">
      <c r="A583" s="34"/>
      <c r="B583" s="34"/>
      <c r="C583" s="34"/>
    </row>
    <row r="584">
      <c r="A584" s="34"/>
      <c r="B584" s="34"/>
      <c r="C584" s="34"/>
    </row>
    <row r="585">
      <c r="A585" s="34"/>
      <c r="B585" s="34"/>
      <c r="C585" s="34"/>
    </row>
    <row r="586">
      <c r="A586" s="34"/>
      <c r="B586" s="34"/>
      <c r="C586" s="34"/>
    </row>
    <row r="587">
      <c r="A587" s="34"/>
      <c r="B587" s="34"/>
      <c r="C587" s="34"/>
    </row>
    <row r="588">
      <c r="A588" s="34"/>
      <c r="B588" s="34"/>
      <c r="C588" s="34"/>
    </row>
    <row r="589">
      <c r="A589" s="34"/>
      <c r="B589" s="34"/>
      <c r="C589" s="34"/>
    </row>
    <row r="590">
      <c r="A590" s="34"/>
      <c r="B590" s="34"/>
      <c r="C590" s="34"/>
    </row>
    <row r="591">
      <c r="A591" s="34"/>
      <c r="B591" s="34"/>
      <c r="C591" s="34"/>
    </row>
    <row r="592">
      <c r="A592" s="34"/>
      <c r="B592" s="34"/>
      <c r="C592" s="34"/>
    </row>
    <row r="593">
      <c r="A593" s="34"/>
      <c r="B593" s="34"/>
      <c r="C593" s="34"/>
    </row>
    <row r="594">
      <c r="A594" s="34"/>
      <c r="B594" s="34"/>
      <c r="C594" s="34"/>
    </row>
    <row r="595">
      <c r="A595" s="34"/>
      <c r="B595" s="34"/>
      <c r="C595" s="34"/>
    </row>
    <row r="596">
      <c r="A596" s="34"/>
      <c r="B596" s="34"/>
      <c r="C596" s="34"/>
    </row>
    <row r="597">
      <c r="A597" s="34"/>
      <c r="B597" s="34"/>
      <c r="C597" s="34"/>
    </row>
    <row r="598">
      <c r="A598" s="34"/>
      <c r="B598" s="34"/>
      <c r="C598" s="34"/>
    </row>
    <row r="599">
      <c r="A599" s="34"/>
      <c r="B599" s="34"/>
      <c r="C599" s="34"/>
    </row>
    <row r="600">
      <c r="A600" s="34"/>
      <c r="B600" s="34"/>
      <c r="C600" s="34"/>
    </row>
    <row r="601">
      <c r="A601" s="34"/>
      <c r="B601" s="34"/>
      <c r="C601" s="34"/>
    </row>
    <row r="602">
      <c r="A602" s="34"/>
      <c r="B602" s="34"/>
      <c r="C602" s="34"/>
    </row>
    <row r="603">
      <c r="A603" s="34"/>
      <c r="B603" s="34"/>
      <c r="C603" s="34"/>
    </row>
    <row r="604">
      <c r="A604" s="34"/>
      <c r="B604" s="34"/>
      <c r="C604" s="34"/>
    </row>
    <row r="605">
      <c r="A605" s="34"/>
      <c r="B605" s="34"/>
      <c r="C605" s="34"/>
    </row>
    <row r="606">
      <c r="A606" s="34"/>
      <c r="B606" s="34"/>
      <c r="C606" s="34"/>
    </row>
    <row r="607">
      <c r="A607" s="34"/>
      <c r="B607" s="34"/>
      <c r="C607" s="34"/>
    </row>
    <row r="608">
      <c r="A608" s="34"/>
      <c r="B608" s="34"/>
      <c r="C608" s="34"/>
    </row>
    <row r="609">
      <c r="A609" s="34"/>
      <c r="B609" s="34"/>
      <c r="C609" s="34"/>
    </row>
    <row r="610">
      <c r="A610" s="34"/>
      <c r="B610" s="34"/>
      <c r="C610" s="34"/>
    </row>
    <row r="611">
      <c r="A611" s="34"/>
      <c r="B611" s="34"/>
      <c r="C611" s="34"/>
    </row>
    <row r="612">
      <c r="A612" s="34"/>
      <c r="B612" s="34"/>
      <c r="C612" s="34"/>
    </row>
    <row r="613">
      <c r="A613" s="34"/>
      <c r="B613" s="34"/>
      <c r="C613" s="34"/>
    </row>
    <row r="614">
      <c r="A614" s="34"/>
      <c r="B614" s="34"/>
      <c r="C614" s="34"/>
    </row>
    <row r="615">
      <c r="A615" s="34"/>
      <c r="B615" s="34"/>
      <c r="C615" s="34"/>
    </row>
    <row r="616">
      <c r="A616" s="34"/>
      <c r="B616" s="34"/>
      <c r="C616" s="34"/>
    </row>
    <row r="617">
      <c r="A617" s="34"/>
      <c r="B617" s="34"/>
      <c r="C617" s="34"/>
    </row>
    <row r="618">
      <c r="A618" s="34"/>
      <c r="B618" s="34"/>
      <c r="C618" s="34"/>
    </row>
    <row r="619">
      <c r="A619" s="34"/>
      <c r="B619" s="34"/>
      <c r="C619" s="34"/>
    </row>
    <row r="620">
      <c r="A620" s="34"/>
      <c r="B620" s="34"/>
      <c r="C620" s="34"/>
    </row>
    <row r="621">
      <c r="A621" s="34"/>
      <c r="B621" s="34"/>
      <c r="C621" s="34"/>
    </row>
    <row r="622">
      <c r="A622" s="34"/>
      <c r="B622" s="34"/>
      <c r="C622" s="34"/>
    </row>
    <row r="623">
      <c r="A623" s="34"/>
      <c r="B623" s="34"/>
      <c r="C623" s="34"/>
    </row>
    <row r="624">
      <c r="A624" s="34"/>
      <c r="B624" s="34"/>
      <c r="C624" s="34"/>
    </row>
    <row r="625">
      <c r="A625" s="34"/>
      <c r="B625" s="34"/>
      <c r="C625" s="34"/>
    </row>
    <row r="626">
      <c r="A626" s="34"/>
      <c r="B626" s="34"/>
      <c r="C626" s="34"/>
    </row>
    <row r="627">
      <c r="A627" s="34"/>
      <c r="B627" s="34"/>
      <c r="C627" s="34"/>
    </row>
    <row r="628">
      <c r="A628" s="34"/>
      <c r="B628" s="34"/>
      <c r="C628" s="34"/>
    </row>
    <row r="629">
      <c r="A629" s="34"/>
      <c r="B629" s="34"/>
      <c r="C629" s="34"/>
    </row>
    <row r="630">
      <c r="A630" s="34"/>
      <c r="B630" s="34"/>
      <c r="C630" s="34"/>
    </row>
    <row r="631">
      <c r="A631" s="34"/>
      <c r="B631" s="34"/>
      <c r="C631" s="34"/>
    </row>
    <row r="632">
      <c r="A632" s="34"/>
      <c r="B632" s="34"/>
      <c r="C632" s="34"/>
    </row>
    <row r="633">
      <c r="A633" s="34"/>
      <c r="B633" s="34"/>
      <c r="C633" s="34"/>
    </row>
    <row r="634">
      <c r="A634" s="34"/>
      <c r="B634" s="34"/>
      <c r="C634" s="34"/>
    </row>
    <row r="635">
      <c r="A635" s="34"/>
      <c r="B635" s="34"/>
      <c r="C635" s="34"/>
    </row>
    <row r="636">
      <c r="A636" s="34"/>
      <c r="B636" s="34"/>
      <c r="C636" s="34"/>
    </row>
    <row r="637">
      <c r="A637" s="34"/>
      <c r="B637" s="34"/>
      <c r="C637" s="34"/>
    </row>
    <row r="638">
      <c r="A638" s="34"/>
      <c r="B638" s="34"/>
      <c r="C638" s="34"/>
    </row>
    <row r="639">
      <c r="A639" s="34"/>
      <c r="B639" s="34"/>
      <c r="C639" s="34"/>
    </row>
    <row r="640">
      <c r="A640" s="34"/>
      <c r="B640" s="34"/>
      <c r="C640" s="34"/>
    </row>
    <row r="641">
      <c r="A641" s="34"/>
      <c r="B641" s="34"/>
      <c r="C641" s="34"/>
    </row>
    <row r="642">
      <c r="A642" s="34"/>
      <c r="B642" s="34"/>
      <c r="C642" s="34"/>
    </row>
    <row r="643">
      <c r="A643" s="34"/>
      <c r="B643" s="34"/>
      <c r="C643" s="34"/>
    </row>
    <row r="644">
      <c r="A644" s="34"/>
      <c r="B644" s="34"/>
      <c r="C644" s="34"/>
    </row>
    <row r="645">
      <c r="A645" s="34"/>
      <c r="B645" s="34"/>
      <c r="C645" s="34"/>
    </row>
    <row r="646">
      <c r="A646" s="34"/>
      <c r="B646" s="34"/>
      <c r="C646" s="34"/>
    </row>
    <row r="647">
      <c r="A647" s="34"/>
      <c r="B647" s="34"/>
      <c r="C647" s="34"/>
    </row>
    <row r="648">
      <c r="A648" s="34"/>
      <c r="B648" s="34"/>
      <c r="C648" s="34"/>
    </row>
    <row r="649">
      <c r="A649" s="34"/>
      <c r="B649" s="34"/>
      <c r="C649" s="34"/>
    </row>
    <row r="650">
      <c r="A650" s="34"/>
      <c r="B650" s="34"/>
      <c r="C650" s="34"/>
    </row>
    <row r="651">
      <c r="A651" s="34"/>
      <c r="B651" s="34"/>
      <c r="C651" s="34"/>
    </row>
    <row r="652">
      <c r="A652" s="34"/>
      <c r="B652" s="34"/>
      <c r="C652" s="34"/>
    </row>
    <row r="653">
      <c r="A653" s="34"/>
      <c r="B653" s="34"/>
      <c r="C653" s="34"/>
    </row>
    <row r="654">
      <c r="A654" s="34"/>
      <c r="B654" s="34"/>
      <c r="C654" s="34"/>
    </row>
    <row r="655">
      <c r="A655" s="34"/>
      <c r="B655" s="34"/>
      <c r="C655" s="34"/>
    </row>
    <row r="656">
      <c r="A656" s="34"/>
      <c r="B656" s="34"/>
      <c r="C656" s="34"/>
    </row>
    <row r="657">
      <c r="A657" s="34"/>
      <c r="B657" s="34"/>
      <c r="C657" s="34"/>
    </row>
    <row r="658">
      <c r="A658" s="34"/>
      <c r="B658" s="34"/>
      <c r="C658" s="34"/>
    </row>
    <row r="659">
      <c r="A659" s="34"/>
      <c r="B659" s="34"/>
      <c r="C659" s="34"/>
    </row>
    <row r="660">
      <c r="A660" s="34"/>
      <c r="B660" s="34"/>
      <c r="C660" s="34"/>
    </row>
    <row r="661">
      <c r="A661" s="34"/>
      <c r="B661" s="34"/>
      <c r="C661" s="34"/>
    </row>
    <row r="662">
      <c r="A662" s="34"/>
      <c r="B662" s="34"/>
      <c r="C662" s="34"/>
    </row>
    <row r="663">
      <c r="A663" s="34"/>
      <c r="B663" s="34"/>
      <c r="C663" s="34"/>
    </row>
    <row r="664">
      <c r="A664" s="34"/>
      <c r="B664" s="34"/>
      <c r="C664" s="34"/>
    </row>
    <row r="665">
      <c r="A665" s="34"/>
      <c r="B665" s="34"/>
      <c r="C665" s="34"/>
    </row>
    <row r="666">
      <c r="A666" s="34"/>
      <c r="B666" s="34"/>
      <c r="C666" s="34"/>
    </row>
    <row r="667">
      <c r="A667" s="34"/>
      <c r="B667" s="34"/>
      <c r="C667" s="34"/>
    </row>
    <row r="668">
      <c r="A668" s="34"/>
      <c r="B668" s="34"/>
      <c r="C668" s="34"/>
    </row>
    <row r="669">
      <c r="A669" s="34"/>
      <c r="B669" s="34"/>
      <c r="C669" s="34"/>
    </row>
    <row r="670">
      <c r="A670" s="34"/>
      <c r="B670" s="34"/>
      <c r="C670" s="34"/>
    </row>
    <row r="671">
      <c r="A671" s="34"/>
      <c r="B671" s="34"/>
      <c r="C671" s="34"/>
    </row>
    <row r="672">
      <c r="A672" s="34"/>
      <c r="B672" s="34"/>
      <c r="C672" s="34"/>
    </row>
    <row r="673">
      <c r="A673" s="34"/>
      <c r="B673" s="34"/>
      <c r="C673" s="34"/>
    </row>
    <row r="674">
      <c r="A674" s="34"/>
      <c r="B674" s="34"/>
      <c r="C674" s="34"/>
    </row>
    <row r="675">
      <c r="A675" s="34"/>
      <c r="B675" s="34"/>
      <c r="C675" s="34"/>
    </row>
    <row r="676">
      <c r="A676" s="34"/>
      <c r="B676" s="34"/>
      <c r="C676" s="34"/>
    </row>
    <row r="677">
      <c r="A677" s="34"/>
      <c r="B677" s="34"/>
      <c r="C677" s="34"/>
    </row>
    <row r="678">
      <c r="A678" s="34"/>
      <c r="B678" s="34"/>
      <c r="C678" s="34"/>
    </row>
    <row r="679">
      <c r="A679" s="34"/>
      <c r="B679" s="34"/>
      <c r="C679" s="34"/>
    </row>
    <row r="680">
      <c r="A680" s="34"/>
      <c r="B680" s="34"/>
      <c r="C680" s="34"/>
    </row>
    <row r="681">
      <c r="A681" s="34"/>
      <c r="B681" s="34"/>
      <c r="C681" s="34"/>
    </row>
    <row r="682">
      <c r="A682" s="34"/>
      <c r="B682" s="34"/>
      <c r="C682" s="34"/>
    </row>
    <row r="683">
      <c r="A683" s="34"/>
      <c r="B683" s="34"/>
      <c r="C683" s="34"/>
    </row>
    <row r="684">
      <c r="A684" s="34"/>
      <c r="B684" s="34"/>
      <c r="C684" s="34"/>
    </row>
    <row r="685">
      <c r="A685" s="34"/>
      <c r="B685" s="34"/>
      <c r="C685" s="34"/>
    </row>
    <row r="686">
      <c r="A686" s="34"/>
      <c r="B686" s="34"/>
      <c r="C686" s="34"/>
    </row>
    <row r="687">
      <c r="A687" s="34"/>
      <c r="B687" s="34"/>
      <c r="C687" s="34"/>
    </row>
    <row r="688">
      <c r="A688" s="34"/>
      <c r="B688" s="34"/>
      <c r="C688" s="34"/>
    </row>
    <row r="689">
      <c r="A689" s="34"/>
      <c r="B689" s="34"/>
      <c r="C689" s="34"/>
    </row>
    <row r="690">
      <c r="A690" s="34"/>
      <c r="B690" s="34"/>
      <c r="C690" s="34"/>
    </row>
    <row r="691">
      <c r="A691" s="34"/>
      <c r="B691" s="34"/>
      <c r="C691" s="34"/>
    </row>
    <row r="692">
      <c r="A692" s="34"/>
      <c r="B692" s="34"/>
      <c r="C692" s="34"/>
    </row>
    <row r="693">
      <c r="A693" s="34"/>
      <c r="B693" s="34"/>
      <c r="C693" s="34"/>
    </row>
    <row r="694">
      <c r="A694" s="34"/>
      <c r="B694" s="34"/>
      <c r="C694" s="34"/>
    </row>
    <row r="695">
      <c r="A695" s="34"/>
      <c r="B695" s="34"/>
      <c r="C695" s="34"/>
    </row>
    <row r="696">
      <c r="A696" s="34"/>
      <c r="B696" s="34"/>
      <c r="C696" s="34"/>
    </row>
    <row r="697">
      <c r="A697" s="34"/>
      <c r="B697" s="34"/>
      <c r="C697" s="34"/>
    </row>
    <row r="698">
      <c r="A698" s="34"/>
      <c r="B698" s="34"/>
      <c r="C698" s="34"/>
    </row>
    <row r="699">
      <c r="A699" s="34"/>
      <c r="B699" s="34"/>
      <c r="C699" s="34"/>
    </row>
    <row r="700">
      <c r="A700" s="34"/>
      <c r="B700" s="34"/>
      <c r="C700" s="34"/>
    </row>
    <row r="701">
      <c r="A701" s="34"/>
      <c r="B701" s="34"/>
      <c r="C701" s="34"/>
    </row>
    <row r="702">
      <c r="A702" s="34"/>
      <c r="B702" s="34"/>
      <c r="C702" s="34"/>
    </row>
    <row r="703">
      <c r="A703" s="34"/>
      <c r="B703" s="34"/>
      <c r="C703" s="34"/>
    </row>
    <row r="704">
      <c r="A704" s="34"/>
      <c r="B704" s="34"/>
      <c r="C704" s="34"/>
    </row>
    <row r="705">
      <c r="A705" s="34"/>
      <c r="B705" s="34"/>
      <c r="C705" s="34"/>
    </row>
    <row r="706">
      <c r="A706" s="34"/>
      <c r="B706" s="34"/>
      <c r="C706" s="34"/>
    </row>
    <row r="707">
      <c r="A707" s="34"/>
      <c r="B707" s="34"/>
      <c r="C707" s="34"/>
    </row>
    <row r="708">
      <c r="A708" s="34"/>
      <c r="B708" s="34"/>
      <c r="C708" s="34"/>
    </row>
    <row r="709">
      <c r="A709" s="34"/>
      <c r="B709" s="34"/>
      <c r="C709" s="34"/>
    </row>
    <row r="710">
      <c r="A710" s="34"/>
      <c r="B710" s="34"/>
      <c r="C710" s="34"/>
    </row>
    <row r="711">
      <c r="A711" s="34"/>
      <c r="B711" s="34"/>
      <c r="C711" s="34"/>
    </row>
    <row r="712">
      <c r="A712" s="34"/>
      <c r="B712" s="34"/>
      <c r="C712" s="34"/>
    </row>
    <row r="713">
      <c r="A713" s="34"/>
      <c r="B713" s="34"/>
      <c r="C713" s="34"/>
    </row>
    <row r="714">
      <c r="A714" s="34"/>
      <c r="B714" s="34"/>
      <c r="C714" s="34"/>
    </row>
    <row r="715">
      <c r="A715" s="34"/>
      <c r="B715" s="34"/>
      <c r="C715" s="34"/>
    </row>
    <row r="716">
      <c r="A716" s="34"/>
      <c r="B716" s="34"/>
      <c r="C716" s="34"/>
    </row>
    <row r="717">
      <c r="A717" s="34"/>
      <c r="B717" s="34"/>
      <c r="C717" s="34"/>
    </row>
    <row r="718">
      <c r="A718" s="34"/>
      <c r="B718" s="34"/>
      <c r="C718" s="34"/>
    </row>
    <row r="719">
      <c r="A719" s="34"/>
      <c r="B719" s="34"/>
      <c r="C719" s="34"/>
    </row>
    <row r="720">
      <c r="A720" s="34"/>
      <c r="B720" s="34"/>
      <c r="C720" s="34"/>
    </row>
    <row r="721">
      <c r="A721" s="34"/>
      <c r="B721" s="34"/>
      <c r="C721" s="34"/>
    </row>
    <row r="722">
      <c r="A722" s="34"/>
      <c r="B722" s="34"/>
      <c r="C722" s="34"/>
    </row>
    <row r="723">
      <c r="A723" s="34"/>
      <c r="B723" s="34"/>
      <c r="C723" s="34"/>
    </row>
    <row r="724">
      <c r="A724" s="34"/>
      <c r="B724" s="34"/>
      <c r="C724" s="34"/>
    </row>
    <row r="725">
      <c r="A725" s="34"/>
      <c r="B725" s="34"/>
      <c r="C725" s="34"/>
    </row>
    <row r="726">
      <c r="A726" s="34"/>
      <c r="B726" s="34"/>
      <c r="C726" s="34"/>
    </row>
    <row r="727">
      <c r="A727" s="34"/>
      <c r="B727" s="34"/>
      <c r="C727" s="34"/>
    </row>
    <row r="728">
      <c r="A728" s="34"/>
      <c r="B728" s="34"/>
      <c r="C728" s="34"/>
    </row>
    <row r="729">
      <c r="A729" s="34"/>
      <c r="B729" s="34"/>
      <c r="C729" s="34"/>
    </row>
    <row r="730">
      <c r="A730" s="34"/>
      <c r="B730" s="34"/>
      <c r="C730" s="34"/>
    </row>
    <row r="731">
      <c r="A731" s="34"/>
      <c r="B731" s="34"/>
      <c r="C731" s="34"/>
    </row>
    <row r="732">
      <c r="A732" s="34"/>
      <c r="B732" s="34"/>
      <c r="C732" s="34"/>
    </row>
    <row r="733">
      <c r="A733" s="34"/>
      <c r="B733" s="34"/>
      <c r="C733" s="34"/>
    </row>
    <row r="734">
      <c r="A734" s="34"/>
      <c r="B734" s="34"/>
      <c r="C734" s="34"/>
    </row>
    <row r="735">
      <c r="A735" s="34"/>
      <c r="B735" s="34"/>
      <c r="C735" s="34"/>
    </row>
    <row r="736">
      <c r="A736" s="34"/>
      <c r="B736" s="34"/>
      <c r="C736" s="34"/>
    </row>
    <row r="737">
      <c r="A737" s="34"/>
      <c r="B737" s="34"/>
      <c r="C737" s="34"/>
    </row>
    <row r="738">
      <c r="A738" s="34"/>
      <c r="B738" s="34"/>
      <c r="C738" s="34"/>
    </row>
    <row r="739">
      <c r="A739" s="34"/>
      <c r="B739" s="34"/>
      <c r="C739" s="34"/>
    </row>
    <row r="740">
      <c r="A740" s="34"/>
      <c r="B740" s="34"/>
      <c r="C740" s="34"/>
    </row>
    <row r="741">
      <c r="A741" s="34"/>
      <c r="B741" s="34"/>
      <c r="C741" s="34"/>
    </row>
    <row r="742">
      <c r="A742" s="34"/>
      <c r="B742" s="34"/>
      <c r="C742" s="34"/>
    </row>
    <row r="743">
      <c r="A743" s="34"/>
      <c r="B743" s="34"/>
      <c r="C743" s="34"/>
    </row>
    <row r="744">
      <c r="A744" s="34"/>
      <c r="B744" s="34"/>
      <c r="C744" s="34"/>
    </row>
    <row r="745">
      <c r="A745" s="34"/>
      <c r="B745" s="34"/>
      <c r="C745" s="34"/>
    </row>
    <row r="746">
      <c r="A746" s="34"/>
      <c r="B746" s="34"/>
      <c r="C746" s="34"/>
    </row>
    <row r="747">
      <c r="A747" s="34"/>
      <c r="B747" s="34"/>
      <c r="C747" s="34"/>
    </row>
    <row r="748">
      <c r="A748" s="34"/>
      <c r="B748" s="34"/>
      <c r="C748" s="34"/>
    </row>
    <row r="749">
      <c r="A749" s="34"/>
      <c r="B749" s="34"/>
      <c r="C749" s="34"/>
    </row>
    <row r="750">
      <c r="A750" s="34"/>
      <c r="B750" s="34"/>
      <c r="C750" s="34"/>
    </row>
    <row r="751">
      <c r="A751" s="34"/>
      <c r="B751" s="34"/>
      <c r="C751" s="34"/>
    </row>
    <row r="752">
      <c r="A752" s="34"/>
      <c r="B752" s="34"/>
      <c r="C752" s="34"/>
    </row>
    <row r="753">
      <c r="A753" s="34"/>
      <c r="B753" s="34"/>
      <c r="C753" s="34"/>
    </row>
    <row r="754">
      <c r="A754" s="34"/>
      <c r="B754" s="34"/>
      <c r="C754" s="34"/>
    </row>
    <row r="755">
      <c r="A755" s="34"/>
      <c r="B755" s="34"/>
      <c r="C755" s="34"/>
    </row>
    <row r="756">
      <c r="A756" s="34"/>
      <c r="B756" s="34"/>
      <c r="C756" s="34"/>
    </row>
    <row r="757">
      <c r="A757" s="34"/>
      <c r="B757" s="34"/>
      <c r="C757" s="34"/>
    </row>
    <row r="758">
      <c r="A758" s="34"/>
      <c r="B758" s="34"/>
      <c r="C758" s="34"/>
    </row>
    <row r="759">
      <c r="A759" s="34"/>
      <c r="B759" s="34"/>
      <c r="C759" s="34"/>
    </row>
    <row r="760">
      <c r="A760" s="34"/>
      <c r="B760" s="34"/>
      <c r="C760" s="34"/>
    </row>
    <row r="761">
      <c r="A761" s="34"/>
      <c r="B761" s="34"/>
      <c r="C761" s="34"/>
    </row>
    <row r="762">
      <c r="A762" s="34"/>
      <c r="B762" s="34"/>
      <c r="C762" s="34"/>
    </row>
    <row r="763">
      <c r="A763" s="34"/>
      <c r="B763" s="34"/>
      <c r="C763" s="34"/>
    </row>
    <row r="764">
      <c r="A764" s="34"/>
      <c r="B764" s="34"/>
      <c r="C764" s="34"/>
    </row>
    <row r="765">
      <c r="A765" s="34"/>
      <c r="B765" s="34"/>
      <c r="C765" s="34"/>
    </row>
    <row r="766">
      <c r="A766" s="34"/>
      <c r="B766" s="34"/>
      <c r="C766" s="34"/>
    </row>
    <row r="767">
      <c r="A767" s="34"/>
      <c r="B767" s="34"/>
      <c r="C767" s="34"/>
    </row>
    <row r="768">
      <c r="A768" s="34"/>
      <c r="B768" s="34"/>
      <c r="C768" s="34"/>
    </row>
    <row r="769">
      <c r="A769" s="34"/>
      <c r="B769" s="34"/>
      <c r="C769" s="34"/>
    </row>
    <row r="770">
      <c r="A770" s="34"/>
      <c r="B770" s="34"/>
      <c r="C770" s="34"/>
    </row>
    <row r="771">
      <c r="A771" s="34"/>
      <c r="B771" s="34"/>
      <c r="C771" s="34"/>
    </row>
    <row r="772">
      <c r="A772" s="34"/>
      <c r="B772" s="34"/>
      <c r="C772" s="34"/>
    </row>
    <row r="773">
      <c r="A773" s="34"/>
      <c r="B773" s="34"/>
      <c r="C773" s="34"/>
    </row>
    <row r="774">
      <c r="A774" s="34"/>
      <c r="B774" s="34"/>
      <c r="C774" s="34"/>
    </row>
    <row r="775">
      <c r="A775" s="34"/>
      <c r="B775" s="34"/>
      <c r="C775" s="34"/>
    </row>
    <row r="776">
      <c r="A776" s="34"/>
      <c r="B776" s="34"/>
      <c r="C776" s="34"/>
    </row>
    <row r="777">
      <c r="A777" s="34"/>
      <c r="B777" s="34"/>
      <c r="C777" s="34"/>
    </row>
    <row r="778">
      <c r="A778" s="34"/>
      <c r="B778" s="34"/>
      <c r="C778" s="34"/>
    </row>
    <row r="779">
      <c r="A779" s="34"/>
      <c r="B779" s="34"/>
      <c r="C779" s="34"/>
    </row>
    <row r="780">
      <c r="A780" s="34"/>
      <c r="B780" s="34"/>
      <c r="C780" s="34"/>
    </row>
    <row r="781">
      <c r="A781" s="34"/>
      <c r="B781" s="34"/>
      <c r="C781" s="34"/>
    </row>
    <row r="782">
      <c r="A782" s="34"/>
      <c r="B782" s="34"/>
      <c r="C782" s="34"/>
    </row>
    <row r="783">
      <c r="A783" s="34"/>
      <c r="B783" s="34"/>
      <c r="C783" s="34"/>
    </row>
    <row r="784">
      <c r="A784" s="34"/>
      <c r="B784" s="34"/>
      <c r="C784" s="34"/>
    </row>
    <row r="785">
      <c r="A785" s="34"/>
      <c r="B785" s="34"/>
      <c r="C785" s="34"/>
    </row>
    <row r="786">
      <c r="A786" s="34"/>
      <c r="B786" s="34"/>
      <c r="C786" s="34"/>
    </row>
    <row r="787">
      <c r="A787" s="34"/>
      <c r="B787" s="34"/>
      <c r="C787" s="34"/>
    </row>
    <row r="788">
      <c r="A788" s="34"/>
      <c r="B788" s="34"/>
      <c r="C788" s="34"/>
    </row>
    <row r="789">
      <c r="A789" s="34"/>
      <c r="B789" s="34"/>
      <c r="C789" s="34"/>
    </row>
    <row r="790">
      <c r="A790" s="34"/>
      <c r="B790" s="34"/>
      <c r="C790" s="34"/>
    </row>
    <row r="791">
      <c r="A791" s="34"/>
      <c r="B791" s="34"/>
      <c r="C791" s="34"/>
    </row>
    <row r="792">
      <c r="A792" s="34"/>
      <c r="B792" s="34"/>
      <c r="C792" s="34"/>
    </row>
    <row r="793">
      <c r="A793" s="34"/>
      <c r="B793" s="34"/>
      <c r="C793" s="34"/>
    </row>
    <row r="794">
      <c r="A794" s="34"/>
      <c r="B794" s="34"/>
      <c r="C794" s="34"/>
    </row>
    <row r="795">
      <c r="A795" s="34"/>
      <c r="B795" s="34"/>
      <c r="C795" s="34"/>
    </row>
    <row r="796">
      <c r="A796" s="34"/>
      <c r="B796" s="34"/>
      <c r="C796" s="34"/>
    </row>
    <row r="797">
      <c r="A797" s="34"/>
      <c r="B797" s="34"/>
      <c r="C797" s="34"/>
    </row>
    <row r="798">
      <c r="A798" s="34"/>
      <c r="B798" s="34"/>
      <c r="C798" s="34"/>
    </row>
    <row r="799">
      <c r="A799" s="34"/>
      <c r="B799" s="34"/>
      <c r="C799" s="34"/>
    </row>
    <row r="800">
      <c r="A800" s="34"/>
      <c r="B800" s="34"/>
      <c r="C800" s="34"/>
    </row>
    <row r="801">
      <c r="A801" s="34"/>
      <c r="B801" s="34"/>
      <c r="C801" s="34"/>
    </row>
    <row r="802">
      <c r="A802" s="34"/>
      <c r="B802" s="34"/>
      <c r="C802" s="34"/>
    </row>
    <row r="803">
      <c r="A803" s="34"/>
      <c r="B803" s="34"/>
      <c r="C803" s="34"/>
    </row>
    <row r="804">
      <c r="A804" s="34"/>
      <c r="B804" s="34"/>
      <c r="C804" s="34"/>
    </row>
    <row r="805">
      <c r="A805" s="34"/>
      <c r="B805" s="34"/>
      <c r="C805" s="34"/>
    </row>
    <row r="806">
      <c r="A806" s="34"/>
      <c r="B806" s="34"/>
      <c r="C806" s="34"/>
    </row>
    <row r="807">
      <c r="A807" s="34"/>
      <c r="B807" s="34"/>
      <c r="C807" s="34"/>
    </row>
    <row r="808">
      <c r="A808" s="34"/>
      <c r="B808" s="34"/>
      <c r="C808" s="34"/>
    </row>
    <row r="809">
      <c r="A809" s="34"/>
      <c r="B809" s="34"/>
      <c r="C809" s="34"/>
    </row>
    <row r="810">
      <c r="A810" s="34"/>
      <c r="B810" s="34"/>
      <c r="C810" s="34"/>
    </row>
    <row r="811">
      <c r="A811" s="34"/>
      <c r="B811" s="34"/>
      <c r="C811" s="34"/>
    </row>
    <row r="812">
      <c r="A812" s="34"/>
      <c r="B812" s="34"/>
      <c r="C812" s="34"/>
    </row>
    <row r="813">
      <c r="A813" s="34"/>
      <c r="B813" s="34"/>
      <c r="C813" s="34"/>
    </row>
    <row r="814">
      <c r="A814" s="34"/>
      <c r="B814" s="34"/>
      <c r="C814" s="34"/>
    </row>
    <row r="815">
      <c r="A815" s="34"/>
      <c r="B815" s="34"/>
      <c r="C815" s="34"/>
    </row>
    <row r="816">
      <c r="A816" s="34"/>
      <c r="B816" s="34"/>
      <c r="C816" s="34"/>
    </row>
    <row r="817">
      <c r="A817" s="34"/>
      <c r="B817" s="34"/>
      <c r="C817" s="34"/>
    </row>
    <row r="818">
      <c r="A818" s="34"/>
      <c r="B818" s="34"/>
      <c r="C818" s="34"/>
    </row>
    <row r="819">
      <c r="A819" s="34"/>
      <c r="B819" s="34"/>
      <c r="C819" s="34"/>
    </row>
    <row r="820">
      <c r="A820" s="34"/>
      <c r="B820" s="34"/>
      <c r="C820" s="34"/>
    </row>
    <row r="821">
      <c r="A821" s="34"/>
      <c r="B821" s="34"/>
      <c r="C821" s="34"/>
    </row>
    <row r="822">
      <c r="A822" s="34"/>
      <c r="B822" s="34"/>
      <c r="C822" s="34"/>
    </row>
    <row r="823">
      <c r="A823" s="34"/>
      <c r="B823" s="34"/>
      <c r="C823" s="34"/>
    </row>
    <row r="824">
      <c r="A824" s="34"/>
      <c r="B824" s="34"/>
      <c r="C824" s="34"/>
    </row>
    <row r="825">
      <c r="A825" s="34"/>
      <c r="B825" s="34"/>
      <c r="C825" s="34"/>
    </row>
    <row r="826">
      <c r="A826" s="34"/>
      <c r="B826" s="34"/>
      <c r="C826" s="34"/>
    </row>
    <row r="827">
      <c r="A827" s="34"/>
      <c r="B827" s="34"/>
      <c r="C827" s="34"/>
    </row>
    <row r="828">
      <c r="A828" s="34"/>
      <c r="B828" s="34"/>
      <c r="C828" s="34"/>
    </row>
    <row r="829">
      <c r="A829" s="34"/>
      <c r="B829" s="34"/>
      <c r="C829" s="34"/>
    </row>
    <row r="830">
      <c r="A830" s="34"/>
      <c r="B830" s="34"/>
      <c r="C830" s="34"/>
    </row>
    <row r="831">
      <c r="A831" s="34"/>
      <c r="B831" s="34"/>
      <c r="C831" s="34"/>
    </row>
    <row r="832">
      <c r="A832" s="34"/>
      <c r="B832" s="34"/>
      <c r="C832" s="34"/>
    </row>
    <row r="833">
      <c r="A833" s="34"/>
      <c r="B833" s="34"/>
      <c r="C833" s="34"/>
    </row>
    <row r="834">
      <c r="A834" s="34"/>
      <c r="B834" s="34"/>
      <c r="C834" s="34"/>
    </row>
    <row r="835">
      <c r="A835" s="34"/>
      <c r="B835" s="34"/>
      <c r="C835" s="34"/>
    </row>
    <row r="836">
      <c r="A836" s="34"/>
      <c r="B836" s="34"/>
      <c r="C836" s="34"/>
    </row>
    <row r="837">
      <c r="A837" s="34"/>
      <c r="B837" s="34"/>
      <c r="C837" s="34"/>
    </row>
    <row r="838">
      <c r="A838" s="34"/>
      <c r="B838" s="34"/>
      <c r="C838" s="34"/>
    </row>
    <row r="839">
      <c r="A839" s="34"/>
      <c r="B839" s="34"/>
      <c r="C839" s="34"/>
    </row>
    <row r="840">
      <c r="A840" s="34"/>
      <c r="B840" s="34"/>
      <c r="C840" s="34"/>
    </row>
    <row r="841">
      <c r="A841" s="34"/>
      <c r="B841" s="34"/>
      <c r="C841" s="34"/>
    </row>
    <row r="842">
      <c r="A842" s="34"/>
      <c r="B842" s="34"/>
      <c r="C842" s="34"/>
    </row>
    <row r="843">
      <c r="A843" s="34"/>
      <c r="B843" s="34"/>
      <c r="C843" s="34"/>
    </row>
    <row r="844">
      <c r="A844" s="34"/>
      <c r="B844" s="34"/>
      <c r="C844" s="34"/>
    </row>
    <row r="845">
      <c r="A845" s="34"/>
      <c r="B845" s="34"/>
      <c r="C845" s="34"/>
    </row>
    <row r="846">
      <c r="A846" s="34"/>
      <c r="B846" s="34"/>
      <c r="C846" s="34"/>
    </row>
    <row r="847">
      <c r="A847" s="34"/>
      <c r="B847" s="34"/>
      <c r="C847" s="34"/>
    </row>
    <row r="848">
      <c r="A848" s="34"/>
      <c r="B848" s="34"/>
      <c r="C848" s="34"/>
    </row>
    <row r="849">
      <c r="A849" s="34"/>
      <c r="B849" s="34"/>
      <c r="C849" s="34"/>
    </row>
    <row r="850">
      <c r="A850" s="34"/>
      <c r="B850" s="34"/>
      <c r="C850" s="34"/>
    </row>
    <row r="851">
      <c r="A851" s="34"/>
      <c r="B851" s="34"/>
      <c r="C851" s="34"/>
    </row>
    <row r="852">
      <c r="A852" s="34"/>
      <c r="B852" s="34"/>
      <c r="C852" s="34"/>
    </row>
    <row r="853">
      <c r="A853" s="34"/>
      <c r="B853" s="34"/>
      <c r="C853" s="34"/>
    </row>
    <row r="854">
      <c r="A854" s="34"/>
      <c r="B854" s="34"/>
      <c r="C854" s="34"/>
    </row>
    <row r="855">
      <c r="A855" s="34"/>
      <c r="B855" s="34"/>
      <c r="C855" s="34"/>
    </row>
    <row r="856">
      <c r="A856" s="34"/>
      <c r="B856" s="34"/>
      <c r="C856" s="34"/>
    </row>
    <row r="857">
      <c r="A857" s="34"/>
      <c r="B857" s="34"/>
      <c r="C857" s="34"/>
    </row>
    <row r="858">
      <c r="A858" s="34"/>
      <c r="B858" s="34"/>
      <c r="C858" s="34"/>
    </row>
    <row r="859">
      <c r="A859" s="34"/>
      <c r="B859" s="34"/>
      <c r="C859" s="34"/>
    </row>
    <row r="860">
      <c r="A860" s="34"/>
      <c r="B860" s="34"/>
      <c r="C860" s="34"/>
    </row>
    <row r="861">
      <c r="A861" s="34"/>
      <c r="B861" s="34"/>
      <c r="C861" s="34"/>
    </row>
    <row r="862">
      <c r="A862" s="34"/>
      <c r="B862" s="34"/>
      <c r="C862" s="34"/>
    </row>
    <row r="863">
      <c r="A863" s="34"/>
      <c r="B863" s="34"/>
      <c r="C863" s="34"/>
    </row>
    <row r="864">
      <c r="A864" s="34"/>
      <c r="B864" s="34"/>
      <c r="C864" s="34"/>
    </row>
    <row r="865">
      <c r="A865" s="34"/>
      <c r="B865" s="34"/>
      <c r="C865" s="34"/>
    </row>
    <row r="866">
      <c r="A866" s="34"/>
      <c r="B866" s="34"/>
      <c r="C866" s="34"/>
    </row>
    <row r="867">
      <c r="A867" s="34"/>
      <c r="B867" s="34"/>
      <c r="C867" s="34"/>
    </row>
    <row r="868">
      <c r="A868" s="34"/>
      <c r="B868" s="34"/>
      <c r="C868" s="34"/>
    </row>
    <row r="869">
      <c r="A869" s="34"/>
      <c r="B869" s="34"/>
      <c r="C869" s="34"/>
    </row>
    <row r="870">
      <c r="A870" s="34"/>
      <c r="B870" s="34"/>
      <c r="C870" s="34"/>
    </row>
    <row r="871">
      <c r="A871" s="34"/>
      <c r="B871" s="34"/>
      <c r="C871" s="34"/>
    </row>
    <row r="872">
      <c r="A872" s="34"/>
      <c r="B872" s="34"/>
      <c r="C872" s="34"/>
    </row>
    <row r="873">
      <c r="A873" s="34"/>
      <c r="B873" s="34"/>
      <c r="C873" s="34"/>
    </row>
    <row r="874">
      <c r="A874" s="34"/>
      <c r="B874" s="34"/>
      <c r="C874" s="34"/>
    </row>
    <row r="875">
      <c r="A875" s="34"/>
      <c r="B875" s="34"/>
      <c r="C875" s="34"/>
    </row>
    <row r="876">
      <c r="A876" s="34"/>
      <c r="B876" s="34"/>
      <c r="C876" s="34"/>
    </row>
    <row r="877">
      <c r="A877" s="34"/>
      <c r="B877" s="34"/>
      <c r="C877" s="34"/>
    </row>
    <row r="878">
      <c r="A878" s="34"/>
      <c r="B878" s="34"/>
      <c r="C878" s="34"/>
    </row>
    <row r="879">
      <c r="A879" s="34"/>
      <c r="B879" s="34"/>
      <c r="C879" s="34"/>
    </row>
    <row r="880">
      <c r="A880" s="34"/>
      <c r="B880" s="34"/>
      <c r="C880" s="34"/>
    </row>
    <row r="881">
      <c r="A881" s="34"/>
      <c r="B881" s="34"/>
      <c r="C881" s="34"/>
    </row>
    <row r="882">
      <c r="A882" s="34"/>
      <c r="B882" s="34"/>
      <c r="C882" s="34"/>
    </row>
    <row r="883">
      <c r="A883" s="34"/>
      <c r="B883" s="34"/>
      <c r="C883" s="34"/>
    </row>
    <row r="884">
      <c r="A884" s="34"/>
      <c r="B884" s="34"/>
      <c r="C884" s="34"/>
    </row>
    <row r="885">
      <c r="A885" s="34"/>
      <c r="B885" s="34"/>
      <c r="C885" s="34"/>
    </row>
    <row r="886">
      <c r="A886" s="34"/>
      <c r="B886" s="34"/>
      <c r="C886" s="34"/>
    </row>
    <row r="887">
      <c r="A887" s="34"/>
      <c r="B887" s="34"/>
      <c r="C887" s="34"/>
    </row>
    <row r="888">
      <c r="A888" s="34"/>
      <c r="B888" s="34"/>
      <c r="C888" s="34"/>
    </row>
    <row r="889">
      <c r="A889" s="34"/>
      <c r="B889" s="34"/>
      <c r="C889" s="34"/>
    </row>
    <row r="890">
      <c r="A890" s="34"/>
      <c r="B890" s="34"/>
      <c r="C890" s="34"/>
    </row>
    <row r="891">
      <c r="A891" s="34"/>
      <c r="B891" s="34"/>
      <c r="C891" s="34"/>
    </row>
    <row r="892">
      <c r="A892" s="34"/>
      <c r="B892" s="34"/>
      <c r="C892" s="34"/>
    </row>
    <row r="893">
      <c r="A893" s="34"/>
      <c r="B893" s="34"/>
      <c r="C893" s="34"/>
    </row>
    <row r="894">
      <c r="A894" s="34"/>
      <c r="B894" s="34"/>
      <c r="C894" s="34"/>
    </row>
    <row r="895">
      <c r="A895" s="34"/>
      <c r="B895" s="34"/>
      <c r="C895" s="34"/>
    </row>
    <row r="896">
      <c r="A896" s="34"/>
      <c r="B896" s="34"/>
      <c r="C896" s="34"/>
    </row>
    <row r="897">
      <c r="A897" s="34"/>
      <c r="B897" s="34"/>
      <c r="C897" s="34"/>
    </row>
    <row r="898">
      <c r="A898" s="34"/>
      <c r="B898" s="34"/>
      <c r="C898" s="34"/>
    </row>
    <row r="899">
      <c r="A899" s="34"/>
      <c r="B899" s="34"/>
      <c r="C899" s="34"/>
    </row>
    <row r="900">
      <c r="A900" s="34"/>
      <c r="B900" s="34"/>
      <c r="C900" s="34"/>
    </row>
    <row r="901">
      <c r="A901" s="34"/>
      <c r="B901" s="34"/>
      <c r="C901" s="34"/>
    </row>
    <row r="902">
      <c r="A902" s="34"/>
      <c r="B902" s="34"/>
      <c r="C902" s="34"/>
    </row>
    <row r="903">
      <c r="A903" s="34"/>
      <c r="B903" s="34"/>
      <c r="C903" s="34"/>
    </row>
    <row r="904">
      <c r="A904" s="34"/>
      <c r="B904" s="34"/>
      <c r="C904" s="34"/>
    </row>
    <row r="905">
      <c r="A905" s="34"/>
      <c r="B905" s="34"/>
      <c r="C905" s="34"/>
    </row>
    <row r="906">
      <c r="A906" s="34"/>
      <c r="B906" s="34"/>
      <c r="C906" s="34"/>
    </row>
    <row r="907">
      <c r="A907" s="34"/>
      <c r="B907" s="34"/>
      <c r="C907" s="34"/>
    </row>
    <row r="908">
      <c r="A908" s="34"/>
      <c r="B908" s="34"/>
      <c r="C908" s="34"/>
    </row>
    <row r="909">
      <c r="A909" s="34"/>
      <c r="B909" s="34"/>
      <c r="C909" s="34"/>
    </row>
    <row r="910">
      <c r="A910" s="34"/>
      <c r="B910" s="34"/>
      <c r="C910" s="34"/>
    </row>
    <row r="911">
      <c r="A911" s="34"/>
      <c r="B911" s="34"/>
      <c r="C911" s="34"/>
    </row>
    <row r="912">
      <c r="A912" s="34"/>
      <c r="B912" s="34"/>
      <c r="C912" s="34"/>
    </row>
    <row r="913">
      <c r="A913" s="34"/>
      <c r="B913" s="34"/>
      <c r="C913" s="34"/>
    </row>
    <row r="914">
      <c r="A914" s="34"/>
      <c r="B914" s="34"/>
      <c r="C914" s="34"/>
    </row>
    <row r="915">
      <c r="A915" s="34"/>
      <c r="B915" s="34"/>
      <c r="C915" s="34"/>
    </row>
    <row r="916">
      <c r="A916" s="34"/>
      <c r="B916" s="34"/>
      <c r="C916" s="34"/>
    </row>
    <row r="917">
      <c r="A917" s="34"/>
      <c r="B917" s="34"/>
      <c r="C917" s="34"/>
    </row>
    <row r="918">
      <c r="A918" s="34"/>
      <c r="B918" s="34"/>
      <c r="C918" s="34"/>
    </row>
    <row r="919">
      <c r="A919" s="34"/>
      <c r="B919" s="34"/>
      <c r="C919" s="34"/>
    </row>
    <row r="920">
      <c r="A920" s="34"/>
      <c r="B920" s="34"/>
      <c r="C920" s="34"/>
    </row>
    <row r="921">
      <c r="A921" s="34"/>
      <c r="B921" s="34"/>
      <c r="C921" s="34"/>
    </row>
    <row r="922">
      <c r="A922" s="34"/>
      <c r="B922" s="34"/>
      <c r="C922" s="34"/>
    </row>
    <row r="923">
      <c r="A923" s="34"/>
      <c r="B923" s="34"/>
      <c r="C923" s="34"/>
    </row>
    <row r="924">
      <c r="A924" s="34"/>
      <c r="B924" s="34"/>
      <c r="C924" s="34"/>
    </row>
    <row r="925">
      <c r="A925" s="34"/>
      <c r="B925" s="34"/>
      <c r="C925" s="34"/>
    </row>
    <row r="926">
      <c r="A926" s="34"/>
      <c r="B926" s="34"/>
      <c r="C926" s="34"/>
    </row>
    <row r="927">
      <c r="A927" s="34"/>
      <c r="B927" s="34"/>
      <c r="C927" s="34"/>
    </row>
    <row r="928">
      <c r="A928" s="34"/>
      <c r="B928" s="34"/>
      <c r="C928" s="34"/>
    </row>
    <row r="929">
      <c r="A929" s="34"/>
      <c r="B929" s="34"/>
      <c r="C929" s="34"/>
    </row>
    <row r="930">
      <c r="A930" s="34"/>
      <c r="B930" s="34"/>
      <c r="C930" s="34"/>
    </row>
    <row r="931">
      <c r="A931" s="34"/>
      <c r="B931" s="34"/>
      <c r="C931" s="34"/>
    </row>
    <row r="932">
      <c r="A932" s="34"/>
      <c r="B932" s="34"/>
      <c r="C932" s="34"/>
    </row>
    <row r="933">
      <c r="A933" s="34"/>
      <c r="B933" s="34"/>
      <c r="C933" s="34"/>
    </row>
    <row r="934">
      <c r="A934" s="34"/>
      <c r="B934" s="34"/>
      <c r="C934" s="34"/>
    </row>
    <row r="935">
      <c r="A935" s="34"/>
      <c r="B935" s="34"/>
      <c r="C935" s="34"/>
    </row>
    <row r="936">
      <c r="A936" s="34"/>
      <c r="B936" s="34"/>
      <c r="C936" s="34"/>
    </row>
    <row r="937">
      <c r="A937" s="34"/>
      <c r="B937" s="34"/>
      <c r="C937" s="34"/>
    </row>
    <row r="938">
      <c r="A938" s="34"/>
      <c r="B938" s="34"/>
      <c r="C938" s="34"/>
    </row>
    <row r="939">
      <c r="A939" s="34"/>
      <c r="B939" s="34"/>
      <c r="C939" s="34"/>
    </row>
    <row r="940">
      <c r="A940" s="34"/>
      <c r="B940" s="34"/>
      <c r="C940" s="34"/>
    </row>
    <row r="941">
      <c r="A941" s="34"/>
      <c r="B941" s="34"/>
      <c r="C941" s="34"/>
    </row>
    <row r="942">
      <c r="A942" s="34"/>
      <c r="B942" s="34"/>
      <c r="C942" s="34"/>
    </row>
    <row r="943">
      <c r="A943" s="34"/>
      <c r="B943" s="34"/>
      <c r="C943" s="34"/>
    </row>
    <row r="944">
      <c r="A944" s="34"/>
      <c r="B944" s="34"/>
      <c r="C944" s="34"/>
    </row>
    <row r="945">
      <c r="A945" s="34"/>
      <c r="B945" s="34"/>
      <c r="C945" s="34"/>
    </row>
    <row r="946">
      <c r="A946" s="34"/>
      <c r="B946" s="34"/>
      <c r="C946" s="34"/>
    </row>
    <row r="947">
      <c r="A947" s="34"/>
      <c r="B947" s="34"/>
      <c r="C947" s="34"/>
    </row>
    <row r="948">
      <c r="A948" s="34"/>
      <c r="B948" s="34"/>
      <c r="C948" s="34"/>
    </row>
    <row r="949">
      <c r="A949" s="34"/>
      <c r="B949" s="34"/>
      <c r="C949" s="34"/>
    </row>
    <row r="950">
      <c r="A950" s="34"/>
      <c r="B950" s="34"/>
      <c r="C950" s="34"/>
    </row>
    <row r="951">
      <c r="A951" s="34"/>
      <c r="B951" s="34"/>
      <c r="C951" s="34"/>
    </row>
    <row r="952">
      <c r="A952" s="34"/>
      <c r="B952" s="34"/>
      <c r="C952" s="34"/>
    </row>
    <row r="953">
      <c r="A953" s="34"/>
      <c r="B953" s="34"/>
      <c r="C953" s="34"/>
    </row>
    <row r="954">
      <c r="A954" s="34"/>
      <c r="B954" s="34"/>
      <c r="C954" s="34"/>
    </row>
    <row r="955">
      <c r="A955" s="34"/>
      <c r="B955" s="34"/>
      <c r="C955" s="34"/>
    </row>
    <row r="956">
      <c r="A956" s="34"/>
      <c r="B956" s="34"/>
      <c r="C956" s="34"/>
    </row>
    <row r="957">
      <c r="A957" s="34"/>
      <c r="B957" s="34"/>
      <c r="C957" s="34"/>
    </row>
    <row r="958">
      <c r="A958" s="34"/>
      <c r="B958" s="34"/>
      <c r="C958" s="34"/>
    </row>
    <row r="959">
      <c r="A959" s="34"/>
      <c r="B959" s="34"/>
      <c r="C959" s="34"/>
    </row>
    <row r="960">
      <c r="A960" s="34"/>
      <c r="B960" s="34"/>
      <c r="C960" s="34"/>
    </row>
    <row r="961">
      <c r="A961" s="34"/>
      <c r="B961" s="34"/>
      <c r="C961" s="34"/>
    </row>
    <row r="962">
      <c r="A962" s="34"/>
      <c r="B962" s="34"/>
      <c r="C962" s="34"/>
    </row>
    <row r="963">
      <c r="A963" s="34"/>
      <c r="B963" s="34"/>
      <c r="C963" s="34"/>
    </row>
    <row r="964">
      <c r="A964" s="34"/>
      <c r="B964" s="34"/>
      <c r="C964" s="34"/>
    </row>
    <row r="965">
      <c r="A965" s="34"/>
      <c r="B965" s="34"/>
      <c r="C965" s="34"/>
    </row>
    <row r="966">
      <c r="A966" s="34"/>
      <c r="B966" s="34"/>
      <c r="C966" s="34"/>
    </row>
    <row r="967">
      <c r="A967" s="34"/>
      <c r="B967" s="34"/>
      <c r="C967" s="34"/>
    </row>
    <row r="968">
      <c r="A968" s="34"/>
      <c r="B968" s="34"/>
      <c r="C968" s="34"/>
    </row>
    <row r="969">
      <c r="A969" s="34"/>
      <c r="B969" s="34"/>
      <c r="C969" s="34"/>
    </row>
    <row r="970">
      <c r="A970" s="34"/>
      <c r="B970" s="34"/>
      <c r="C970" s="34"/>
    </row>
    <row r="971">
      <c r="A971" s="34"/>
      <c r="B971" s="34"/>
      <c r="C971" s="34"/>
    </row>
    <row r="972">
      <c r="A972" s="34"/>
      <c r="B972" s="34"/>
      <c r="C972" s="34"/>
    </row>
    <row r="973">
      <c r="A973" s="34"/>
      <c r="B973" s="34"/>
      <c r="C973" s="34"/>
    </row>
    <row r="974">
      <c r="A974" s="34"/>
      <c r="B974" s="34"/>
      <c r="C974" s="34"/>
    </row>
    <row r="975">
      <c r="A975" s="34"/>
      <c r="B975" s="34"/>
      <c r="C975" s="34"/>
    </row>
    <row r="976">
      <c r="A976" s="34"/>
      <c r="B976" s="34"/>
      <c r="C976" s="34"/>
    </row>
    <row r="977">
      <c r="A977" s="34"/>
      <c r="B977" s="34"/>
      <c r="C977" s="34"/>
    </row>
    <row r="978">
      <c r="A978" s="34"/>
      <c r="B978" s="34"/>
      <c r="C978" s="34"/>
    </row>
    <row r="979">
      <c r="A979" s="34"/>
      <c r="B979" s="34"/>
      <c r="C979" s="34"/>
    </row>
    <row r="980">
      <c r="A980" s="34"/>
      <c r="B980" s="34"/>
      <c r="C980" s="34"/>
    </row>
    <row r="981">
      <c r="A981" s="34"/>
      <c r="B981" s="34"/>
      <c r="C981" s="34"/>
    </row>
    <row r="982">
      <c r="A982" s="34"/>
      <c r="B982" s="34"/>
      <c r="C982" s="34"/>
    </row>
    <row r="983">
      <c r="A983" s="34"/>
      <c r="B983" s="34"/>
      <c r="C983" s="34"/>
    </row>
    <row r="984">
      <c r="A984" s="34"/>
      <c r="B984" s="34"/>
      <c r="C984" s="34"/>
    </row>
    <row r="985">
      <c r="A985" s="34"/>
      <c r="B985" s="34"/>
      <c r="C985" s="34"/>
    </row>
    <row r="986">
      <c r="A986" s="34"/>
      <c r="B986" s="34"/>
      <c r="C986" s="34"/>
    </row>
    <row r="987">
      <c r="A987" s="34"/>
      <c r="B987" s="34"/>
      <c r="C987" s="34"/>
    </row>
    <row r="988">
      <c r="A988" s="34"/>
      <c r="B988" s="34"/>
      <c r="C988" s="34"/>
    </row>
    <row r="989">
      <c r="A989" s="34"/>
      <c r="B989" s="34"/>
      <c r="C989" s="34"/>
    </row>
    <row r="990">
      <c r="A990" s="34"/>
      <c r="B990" s="34"/>
      <c r="C990" s="34"/>
    </row>
    <row r="991">
      <c r="A991" s="34"/>
      <c r="B991" s="34"/>
      <c r="C991" s="34"/>
    </row>
    <row r="992">
      <c r="A992" s="34"/>
      <c r="B992" s="34"/>
      <c r="C992" s="34"/>
    </row>
    <row r="993">
      <c r="A993" s="34"/>
      <c r="B993" s="34"/>
      <c r="C993" s="34"/>
    </row>
    <row r="994">
      <c r="A994" s="34"/>
      <c r="B994" s="34"/>
      <c r="C994" s="34"/>
    </row>
    <row r="995">
      <c r="A995" s="34"/>
      <c r="B995" s="34"/>
      <c r="C995" s="34"/>
    </row>
    <row r="996">
      <c r="A996" s="34"/>
      <c r="B996" s="34"/>
      <c r="C996" s="34"/>
    </row>
    <row r="997">
      <c r="A997" s="34"/>
      <c r="B997" s="34"/>
      <c r="C997" s="34"/>
    </row>
    <row r="998">
      <c r="A998" s="34"/>
      <c r="B998" s="34"/>
      <c r="C998" s="34"/>
    </row>
    <row r="999">
      <c r="A999" s="34"/>
      <c r="B999" s="34"/>
      <c r="C999" s="34"/>
    </row>
    <row r="1000">
      <c r="A1000" s="34"/>
      <c r="B1000" s="34"/>
      <c r="C1000" s="34"/>
    </row>
    <row r="1001">
      <c r="A1001" s="34"/>
      <c r="B1001" s="34"/>
      <c r="C1001" s="34"/>
    </row>
    <row r="1002">
      <c r="A1002" s="34"/>
      <c r="B1002" s="34"/>
      <c r="C1002" s="34"/>
    </row>
    <row r="1003">
      <c r="A1003" s="34"/>
      <c r="B1003" s="34"/>
      <c r="C1003" s="34"/>
    </row>
    <row r="1004">
      <c r="A1004" s="34"/>
      <c r="B1004" s="34"/>
      <c r="C1004" s="34"/>
    </row>
    <row r="1005">
      <c r="A1005" s="34"/>
      <c r="B1005" s="34"/>
    </row>
  </sheetData>
  <mergeCells count="1">
    <mergeCell ref="A1:C1"/>
  </mergeCells>
  <hyperlinks>
    <hyperlink display="Item Building Guide" location="'Item Building Guide'!A1" ref="B3"/>
    <hyperlink display="Rarities" location="Rarities!A1" ref="B4"/>
    <hyperlink display="Weapon Parts List" location="'Weapon Parts List'!A1" ref="B5"/>
    <hyperlink display="Weapon Parts Lookup Table" location="'Weapon Parts Lookup Table V2'!A3" ref="B6"/>
    <hyperlink display="Weapon Elemental Effects" location="null!A1" ref="B7"/>
    <hyperlink display="Legendary Weapon Perks" location="'Legendary Weapon Perks'!A1" ref="B8"/>
    <hyperlink display="Heavy Weapon List" location="'Heavy Weapons'!A1" ref="B9"/>
    <hyperlink display="Repkits" location="Repkits!A1" ref="B10"/>
    <hyperlink display="Grenades" location="Grenades!A1" ref="B11"/>
    <hyperlink display="Class Mods" location="'Class Mods'!A1" ref="B12"/>
    <hyperlink display="Shield" location="Shields!A1" ref="B13"/>
    <hyperlink display="Enchancements" location="Enhancements!A1" ref="B14"/>
    <hyperlink display="Firmware" location="Firmware!A1" ref="B15"/>
    <hyperlink display="Item Type IDs" location="'Item Type IDs'!A1" ref="B16"/>
    <hyperlink display="Weapon Skin Codes" location="'Weapon Skin Code'!A1" ref="B17"/>
  </hyperlink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8.75"/>
    <col customWidth="1" min="4" max="4" width="14.25"/>
    <col customWidth="1" min="5" max="5" width="22.25"/>
    <col customWidth="1" min="6" max="6" width="13.25"/>
    <col customWidth="1" min="7" max="7" width="14.25"/>
    <col customWidth="1" min="8" max="8" width="13.25"/>
    <col customWidth="1" min="9" max="9" width="13.0"/>
    <col customWidth="1" min="10" max="10" width="9.38"/>
    <col customWidth="1" min="11" max="11" width="8.25"/>
    <col customWidth="1" min="12" max="12" width="10.13"/>
    <col customWidth="1" min="13" max="13" width="7.88"/>
    <col customWidth="1" min="14" max="14" width="8.63"/>
    <col customWidth="1" min="15" max="15" width="10.38"/>
  </cols>
  <sheetData>
    <row r="1">
      <c r="A1" s="35"/>
      <c r="B1" s="35"/>
      <c r="C1" s="35"/>
      <c r="D1" s="35"/>
      <c r="E1" s="35"/>
      <c r="F1" s="35"/>
      <c r="G1" s="35"/>
      <c r="H1" s="35"/>
      <c r="I1" s="35"/>
    </row>
    <row r="2">
      <c r="A2" s="35" t="s">
        <v>71</v>
      </c>
    </row>
    <row r="3">
      <c r="A3" s="35"/>
      <c r="B3" s="35"/>
      <c r="C3" s="35"/>
      <c r="D3" s="35"/>
      <c r="E3" s="35"/>
      <c r="F3" s="35"/>
      <c r="G3" s="35"/>
      <c r="H3" s="35"/>
      <c r="I3" s="35"/>
    </row>
    <row r="4">
      <c r="A4" s="36" t="s">
        <v>72</v>
      </c>
      <c r="B4" s="37" t="s">
        <v>73</v>
      </c>
    </row>
    <row r="5">
      <c r="B5" s="37" t="s">
        <v>74</v>
      </c>
    </row>
    <row r="6">
      <c r="B6" s="37" t="s">
        <v>75</v>
      </c>
    </row>
    <row r="7">
      <c r="B7" s="37" t="s">
        <v>76</v>
      </c>
    </row>
    <row r="8">
      <c r="B8" s="37" t="s">
        <v>77</v>
      </c>
    </row>
    <row r="9">
      <c r="A9" s="38" t="s">
        <v>78</v>
      </c>
      <c r="B9" s="38" t="s">
        <v>79</v>
      </c>
      <c r="C9" s="38" t="s">
        <v>80</v>
      </c>
      <c r="D9" s="38" t="s">
        <v>81</v>
      </c>
      <c r="E9" s="38" t="s">
        <v>82</v>
      </c>
      <c r="F9" s="38" t="s">
        <v>83</v>
      </c>
      <c r="G9" s="38" t="s">
        <v>84</v>
      </c>
      <c r="H9" s="38" t="s">
        <v>85</v>
      </c>
      <c r="I9" s="38" t="s">
        <v>86</v>
      </c>
      <c r="J9" s="38" t="s">
        <v>87</v>
      </c>
      <c r="K9" s="39" t="s">
        <v>88</v>
      </c>
      <c r="L9" s="39" t="s">
        <v>89</v>
      </c>
      <c r="M9" s="39" t="s">
        <v>90</v>
      </c>
      <c r="N9" s="39" t="s">
        <v>91</v>
      </c>
      <c r="O9" s="39" t="s">
        <v>92</v>
      </c>
    </row>
    <row r="10">
      <c r="A10" s="35"/>
      <c r="B10" s="35"/>
      <c r="C10" s="35"/>
      <c r="D10" s="35"/>
      <c r="E10" s="35"/>
      <c r="F10" s="35"/>
      <c r="G10" s="35"/>
      <c r="H10" s="35"/>
      <c r="I10" s="35"/>
    </row>
    <row r="11">
      <c r="A11" s="40" t="s">
        <v>93</v>
      </c>
      <c r="B11" s="41" t="s">
        <v>94</v>
      </c>
    </row>
    <row r="12">
      <c r="A12" s="35" t="s">
        <v>78</v>
      </c>
      <c r="B12" s="35" t="s">
        <v>79</v>
      </c>
      <c r="C12" s="35" t="s">
        <v>80</v>
      </c>
      <c r="D12" s="35" t="s">
        <v>81</v>
      </c>
      <c r="E12" s="35" t="s">
        <v>82</v>
      </c>
      <c r="F12" s="35" t="s">
        <v>84</v>
      </c>
      <c r="G12" s="35" t="s">
        <v>85</v>
      </c>
      <c r="H12" s="35" t="s">
        <v>95</v>
      </c>
      <c r="I12" s="35"/>
    </row>
    <row r="13">
      <c r="A13" s="35"/>
      <c r="B13" s="35"/>
      <c r="C13" s="35"/>
      <c r="D13" s="35"/>
      <c r="E13" s="35"/>
      <c r="F13" s="35"/>
      <c r="G13" s="35"/>
      <c r="H13" s="35"/>
      <c r="I13" s="35"/>
    </row>
    <row r="14">
      <c r="A14" s="40" t="s">
        <v>63</v>
      </c>
      <c r="B14" s="41" t="s">
        <v>96</v>
      </c>
    </row>
    <row r="15">
      <c r="B15" s="41" t="s">
        <v>97</v>
      </c>
    </row>
    <row r="16">
      <c r="B16" s="41" t="s">
        <v>98</v>
      </c>
    </row>
    <row r="17">
      <c r="B17" s="41" t="s">
        <v>99</v>
      </c>
    </row>
    <row r="18">
      <c r="A18" s="35" t="s">
        <v>78</v>
      </c>
      <c r="B18" s="35" t="s">
        <v>79</v>
      </c>
      <c r="C18" s="35" t="s">
        <v>80</v>
      </c>
      <c r="D18" s="35" t="s">
        <v>100</v>
      </c>
      <c r="E18" s="35" t="s">
        <v>101</v>
      </c>
      <c r="F18" s="35" t="s">
        <v>102</v>
      </c>
      <c r="G18" s="35" t="s">
        <v>103</v>
      </c>
      <c r="H18" s="35"/>
      <c r="I18" s="35"/>
    </row>
    <row r="19">
      <c r="A19" s="35"/>
      <c r="B19" s="35"/>
      <c r="C19" s="35"/>
      <c r="D19" s="35"/>
      <c r="E19" s="35"/>
      <c r="F19" s="35"/>
      <c r="G19" s="35"/>
      <c r="H19" s="35"/>
      <c r="I19" s="35"/>
    </row>
    <row r="20">
      <c r="A20" s="40" t="s">
        <v>64</v>
      </c>
      <c r="B20" s="41" t="s">
        <v>104</v>
      </c>
    </row>
    <row r="21">
      <c r="B21" s="41" t="s">
        <v>105</v>
      </c>
      <c r="C21" s="41"/>
      <c r="D21" s="41"/>
      <c r="E21" s="41"/>
      <c r="F21" s="41"/>
      <c r="G21" s="41"/>
      <c r="H21" s="41"/>
      <c r="I21" s="41"/>
    </row>
    <row r="22">
      <c r="A22" s="35" t="s">
        <v>78</v>
      </c>
      <c r="B22" s="35" t="s">
        <v>79</v>
      </c>
      <c r="C22" s="35" t="s">
        <v>80</v>
      </c>
      <c r="D22" s="35" t="s">
        <v>81</v>
      </c>
      <c r="E22" s="35" t="s">
        <v>106</v>
      </c>
      <c r="F22" s="35" t="s">
        <v>107</v>
      </c>
      <c r="G22" s="35"/>
      <c r="H22" s="35"/>
      <c r="I22" s="35"/>
    </row>
    <row r="23">
      <c r="A23" s="35"/>
      <c r="B23" s="35"/>
      <c r="C23" s="35"/>
      <c r="D23" s="35"/>
      <c r="E23" s="35"/>
      <c r="F23" s="35"/>
      <c r="G23" s="35"/>
      <c r="H23" s="35"/>
      <c r="I23" s="35"/>
    </row>
    <row r="24">
      <c r="A24" s="40" t="s">
        <v>65</v>
      </c>
      <c r="B24" s="37" t="s">
        <v>108</v>
      </c>
    </row>
    <row r="25">
      <c r="B25" s="41" t="s">
        <v>109</v>
      </c>
    </row>
    <row r="26">
      <c r="A26" s="35" t="s">
        <v>78</v>
      </c>
      <c r="B26" s="35" t="s">
        <v>79</v>
      </c>
      <c r="C26" s="35" t="s">
        <v>80</v>
      </c>
      <c r="D26" s="35" t="s">
        <v>81</v>
      </c>
      <c r="E26" s="35" t="s">
        <v>110</v>
      </c>
      <c r="F26" s="35" t="s">
        <v>111</v>
      </c>
      <c r="G26" s="38" t="s">
        <v>112</v>
      </c>
      <c r="H26" s="35"/>
      <c r="I26" s="35"/>
    </row>
    <row r="27">
      <c r="A27" s="35"/>
      <c r="B27" s="35"/>
      <c r="C27" s="35"/>
      <c r="D27" s="35"/>
      <c r="E27" s="35"/>
      <c r="F27" s="35"/>
      <c r="G27" s="35"/>
      <c r="H27" s="35"/>
      <c r="I27" s="35"/>
    </row>
    <row r="28">
      <c r="A28" s="40" t="s">
        <v>113</v>
      </c>
      <c r="B28" s="41" t="s">
        <v>114</v>
      </c>
    </row>
    <row r="29">
      <c r="B29" s="41" t="s">
        <v>115</v>
      </c>
    </row>
    <row r="30">
      <c r="B30" s="41" t="s">
        <v>116</v>
      </c>
    </row>
    <row r="31">
      <c r="B31" s="41" t="s">
        <v>117</v>
      </c>
    </row>
    <row r="32">
      <c r="A32" s="35" t="s">
        <v>78</v>
      </c>
      <c r="B32" s="35" t="s">
        <v>79</v>
      </c>
      <c r="C32" s="35" t="s">
        <v>80</v>
      </c>
      <c r="D32" s="35" t="s">
        <v>100</v>
      </c>
      <c r="E32" s="35" t="s">
        <v>101</v>
      </c>
      <c r="F32" s="35" t="s">
        <v>118</v>
      </c>
      <c r="G32" s="35" t="s">
        <v>119</v>
      </c>
      <c r="H32" s="35" t="s">
        <v>120</v>
      </c>
      <c r="I32" s="35" t="s">
        <v>121</v>
      </c>
    </row>
    <row r="33">
      <c r="A33" s="35"/>
      <c r="B33" s="35"/>
      <c r="C33" s="35"/>
      <c r="D33" s="35"/>
      <c r="E33" s="35"/>
      <c r="F33" s="35"/>
      <c r="G33" s="35"/>
      <c r="H33" s="35"/>
      <c r="I33" s="35"/>
    </row>
    <row r="34">
      <c r="A34" s="40" t="s">
        <v>122</v>
      </c>
      <c r="B34" s="41" t="s">
        <v>123</v>
      </c>
    </row>
    <row r="35">
      <c r="B35" s="42" t="s">
        <v>124</v>
      </c>
    </row>
    <row r="36">
      <c r="A36" s="35" t="s">
        <v>78</v>
      </c>
      <c r="B36" s="35" t="s">
        <v>79</v>
      </c>
      <c r="C36" s="35" t="s">
        <v>80</v>
      </c>
      <c r="D36" s="35" t="s">
        <v>125</v>
      </c>
      <c r="E36" s="35" t="s">
        <v>126</v>
      </c>
      <c r="F36" s="35" t="s">
        <v>127</v>
      </c>
      <c r="G36" s="35" t="s">
        <v>128</v>
      </c>
      <c r="H36" s="35"/>
      <c r="I36" s="35"/>
    </row>
    <row r="37">
      <c r="A37" s="35"/>
      <c r="B37" s="35"/>
      <c r="C37" s="35"/>
      <c r="D37" s="35"/>
      <c r="E37" s="35"/>
      <c r="F37" s="35"/>
      <c r="G37" s="35"/>
      <c r="H37" s="35"/>
      <c r="I37" s="35"/>
    </row>
  </sheetData>
  <mergeCells count="27">
    <mergeCell ref="A4:A8"/>
    <mergeCell ref="A14:A17"/>
    <mergeCell ref="A20:A21"/>
    <mergeCell ref="A24:A25"/>
    <mergeCell ref="A28:A31"/>
    <mergeCell ref="A34:A35"/>
    <mergeCell ref="A2:I2"/>
    <mergeCell ref="B4:K4"/>
    <mergeCell ref="B5:K5"/>
    <mergeCell ref="B6:K6"/>
    <mergeCell ref="B7:K7"/>
    <mergeCell ref="B8:K8"/>
    <mergeCell ref="B11:K11"/>
    <mergeCell ref="B25:K25"/>
    <mergeCell ref="B28:K28"/>
    <mergeCell ref="B29:K29"/>
    <mergeCell ref="B30:K30"/>
    <mergeCell ref="B31:K31"/>
    <mergeCell ref="B34:K34"/>
    <mergeCell ref="B35:K35"/>
    <mergeCell ref="B14:K14"/>
    <mergeCell ref="B15:K15"/>
    <mergeCell ref="B16:K16"/>
    <mergeCell ref="B17:K17"/>
    <mergeCell ref="B20:K20"/>
    <mergeCell ref="I21:K21"/>
    <mergeCell ref="B24:K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5.5"/>
    <col customWidth="1" min="3" max="3" width="44.75"/>
    <col customWidth="1" min="4" max="5" width="13.13"/>
    <col customWidth="1" min="6" max="6" width="35.13"/>
    <col customWidth="1" min="7" max="7" width="17.63"/>
  </cols>
  <sheetData>
    <row r="1">
      <c r="A1" s="43" t="s">
        <v>78</v>
      </c>
      <c r="B1" s="43" t="s">
        <v>129</v>
      </c>
      <c r="C1" s="43" t="s">
        <v>130</v>
      </c>
      <c r="D1" s="44" t="s">
        <v>131</v>
      </c>
      <c r="E1" s="44" t="s">
        <v>132</v>
      </c>
      <c r="F1" s="43" t="s">
        <v>133</v>
      </c>
      <c r="G1" s="43" t="s">
        <v>134</v>
      </c>
    </row>
    <row r="2">
      <c r="A2" s="35" t="s">
        <v>135</v>
      </c>
      <c r="B2" s="35" t="s">
        <v>136</v>
      </c>
      <c r="C2" s="35" t="s">
        <v>137</v>
      </c>
      <c r="D2" s="45">
        <v>284.0</v>
      </c>
      <c r="E2" s="45">
        <v>8.0</v>
      </c>
      <c r="F2" s="35"/>
      <c r="G2" s="35"/>
    </row>
    <row r="3">
      <c r="A3" s="35" t="s">
        <v>135</v>
      </c>
      <c r="B3" s="35" t="s">
        <v>136</v>
      </c>
      <c r="C3" s="35" t="s">
        <v>138</v>
      </c>
      <c r="D3" s="45">
        <v>284.0</v>
      </c>
      <c r="E3" s="45">
        <v>7.0</v>
      </c>
      <c r="F3" s="35"/>
      <c r="G3" s="35"/>
    </row>
    <row r="4">
      <c r="A4" s="35" t="s">
        <v>135</v>
      </c>
      <c r="B4" s="35" t="s">
        <v>136</v>
      </c>
      <c r="C4" s="35" t="s">
        <v>139</v>
      </c>
      <c r="D4" s="45">
        <v>284.0</v>
      </c>
      <c r="E4" s="45">
        <v>6.0</v>
      </c>
      <c r="F4" s="35"/>
      <c r="G4" s="35"/>
    </row>
    <row r="5">
      <c r="A5" s="35" t="s">
        <v>135</v>
      </c>
      <c r="B5" s="35" t="s">
        <v>136</v>
      </c>
      <c r="C5" s="35" t="s">
        <v>140</v>
      </c>
      <c r="D5" s="45">
        <v>284.0</v>
      </c>
      <c r="E5" s="45">
        <v>5.0</v>
      </c>
      <c r="F5" s="35"/>
      <c r="G5" s="35"/>
    </row>
    <row r="6">
      <c r="A6" s="35" t="s">
        <v>135</v>
      </c>
      <c r="B6" s="35" t="s">
        <v>136</v>
      </c>
      <c r="C6" s="35" t="s">
        <v>141</v>
      </c>
      <c r="D6" s="45">
        <v>284.0</v>
      </c>
      <c r="E6" s="45">
        <v>4.0</v>
      </c>
      <c r="F6" s="35"/>
      <c r="G6" s="35"/>
    </row>
    <row r="7">
      <c r="A7" s="35" t="s">
        <v>142</v>
      </c>
      <c r="B7" s="35" t="s">
        <v>136</v>
      </c>
      <c r="C7" s="35" t="s">
        <v>143</v>
      </c>
      <c r="D7" s="45">
        <v>286.0</v>
      </c>
      <c r="E7" s="45">
        <v>8.0</v>
      </c>
      <c r="F7" s="35"/>
      <c r="G7" s="35"/>
    </row>
    <row r="8">
      <c r="A8" s="35" t="s">
        <v>142</v>
      </c>
      <c r="B8" s="35" t="s">
        <v>136</v>
      </c>
      <c r="C8" s="35" t="s">
        <v>144</v>
      </c>
      <c r="D8" s="45">
        <v>286.0</v>
      </c>
      <c r="E8" s="45">
        <v>7.0</v>
      </c>
      <c r="F8" s="35"/>
      <c r="G8" s="35"/>
    </row>
    <row r="9">
      <c r="A9" s="35" t="s">
        <v>142</v>
      </c>
      <c r="B9" s="35" t="s">
        <v>136</v>
      </c>
      <c r="C9" s="35" t="s">
        <v>145</v>
      </c>
      <c r="D9" s="45">
        <v>286.0</v>
      </c>
      <c r="E9" s="45">
        <v>6.0</v>
      </c>
      <c r="F9" s="35"/>
      <c r="G9" s="35"/>
    </row>
    <row r="10">
      <c r="A10" s="35" t="s">
        <v>142</v>
      </c>
      <c r="B10" s="35" t="s">
        <v>136</v>
      </c>
      <c r="C10" s="35" t="s">
        <v>146</v>
      </c>
      <c r="D10" s="45">
        <v>286.0</v>
      </c>
      <c r="E10" s="45">
        <v>5.0</v>
      </c>
      <c r="F10" s="35"/>
      <c r="G10" s="35"/>
    </row>
    <row r="11">
      <c r="A11" s="35" t="s">
        <v>142</v>
      </c>
      <c r="B11" s="35" t="s">
        <v>136</v>
      </c>
      <c r="C11" s="35" t="s">
        <v>147</v>
      </c>
      <c r="D11" s="45">
        <v>286.0</v>
      </c>
      <c r="E11" s="45">
        <v>4.0</v>
      </c>
      <c r="F11" s="35"/>
      <c r="G11" s="35"/>
    </row>
    <row r="12">
      <c r="A12" s="35" t="s">
        <v>148</v>
      </c>
      <c r="B12" s="35" t="s">
        <v>149</v>
      </c>
      <c r="C12" s="35" t="s">
        <v>150</v>
      </c>
      <c r="D12" s="45">
        <v>13.0</v>
      </c>
      <c r="E12" s="45">
        <v>95.0</v>
      </c>
      <c r="F12" s="35"/>
      <c r="G12" s="35"/>
    </row>
    <row r="13">
      <c r="A13" s="35" t="s">
        <v>148</v>
      </c>
      <c r="B13" s="35" t="s">
        <v>149</v>
      </c>
      <c r="C13" s="35" t="s">
        <v>151</v>
      </c>
      <c r="D13" s="45">
        <v>13.0</v>
      </c>
      <c r="E13" s="45">
        <v>96.0</v>
      </c>
      <c r="F13" s="35"/>
      <c r="G13" s="35"/>
    </row>
    <row r="14">
      <c r="A14" s="35" t="s">
        <v>148</v>
      </c>
      <c r="B14" s="35" t="s">
        <v>149</v>
      </c>
      <c r="C14" s="35" t="s">
        <v>152</v>
      </c>
      <c r="D14" s="45">
        <v>13.0</v>
      </c>
      <c r="E14" s="45">
        <v>97.0</v>
      </c>
      <c r="F14" s="35"/>
      <c r="G14" s="35"/>
    </row>
    <row r="15">
      <c r="A15" s="35" t="s">
        <v>148</v>
      </c>
      <c r="B15" s="35" t="s">
        <v>149</v>
      </c>
      <c r="C15" s="35" t="s">
        <v>153</v>
      </c>
      <c r="D15" s="45">
        <v>13.0</v>
      </c>
      <c r="E15" s="45">
        <v>98.0</v>
      </c>
      <c r="F15" s="35"/>
      <c r="G15" s="35"/>
    </row>
    <row r="16">
      <c r="A16" s="35" t="s">
        <v>148</v>
      </c>
      <c r="B16" s="35" t="s">
        <v>149</v>
      </c>
      <c r="C16" s="35" t="s">
        <v>154</v>
      </c>
      <c r="D16" s="45">
        <v>13.0</v>
      </c>
      <c r="E16" s="45">
        <v>85.0</v>
      </c>
      <c r="F16" s="35" t="s">
        <v>155</v>
      </c>
      <c r="G16" s="35" t="s">
        <v>156</v>
      </c>
    </row>
    <row r="17">
      <c r="A17" s="35" t="s">
        <v>148</v>
      </c>
      <c r="B17" s="35" t="s">
        <v>149</v>
      </c>
      <c r="C17" s="35" t="s">
        <v>157</v>
      </c>
      <c r="D17" s="45">
        <v>13.0</v>
      </c>
      <c r="E17" s="45">
        <v>72.0</v>
      </c>
      <c r="F17" s="35" t="s">
        <v>158</v>
      </c>
      <c r="G17" s="35"/>
    </row>
    <row r="18">
      <c r="A18" s="35" t="s">
        <v>148</v>
      </c>
      <c r="B18" s="35" t="s">
        <v>149</v>
      </c>
      <c r="C18" s="35" t="s">
        <v>159</v>
      </c>
      <c r="D18" s="45">
        <v>13.0</v>
      </c>
      <c r="E18" s="45">
        <v>100.0</v>
      </c>
      <c r="F18" s="35" t="s">
        <v>160</v>
      </c>
      <c r="G18" s="35"/>
    </row>
    <row r="19">
      <c r="A19" s="35" t="s">
        <v>148</v>
      </c>
      <c r="B19" s="35" t="s">
        <v>149</v>
      </c>
      <c r="C19" s="35" t="s">
        <v>161</v>
      </c>
      <c r="D19" s="45">
        <v>13.0</v>
      </c>
      <c r="E19" s="45">
        <v>73.0</v>
      </c>
      <c r="F19" s="35" t="s">
        <v>162</v>
      </c>
      <c r="G19" s="35"/>
    </row>
    <row r="20">
      <c r="A20" s="35" t="s">
        <v>148</v>
      </c>
      <c r="B20" s="35" t="s">
        <v>136</v>
      </c>
      <c r="C20" s="35" t="s">
        <v>163</v>
      </c>
      <c r="D20" s="45">
        <v>299.0</v>
      </c>
      <c r="E20" s="45">
        <v>4.0</v>
      </c>
      <c r="F20" s="35"/>
      <c r="G20" s="35"/>
    </row>
    <row r="21">
      <c r="A21" s="35" t="s">
        <v>148</v>
      </c>
      <c r="B21" s="35" t="s">
        <v>136</v>
      </c>
      <c r="C21" s="35" t="s">
        <v>164</v>
      </c>
      <c r="D21" s="45">
        <v>299.0</v>
      </c>
      <c r="E21" s="45">
        <v>5.0</v>
      </c>
      <c r="F21" s="35"/>
      <c r="G21" s="35"/>
    </row>
    <row r="22">
      <c r="A22" s="35" t="s">
        <v>148</v>
      </c>
      <c r="B22" s="35" t="s">
        <v>136</v>
      </c>
      <c r="C22" s="35" t="s">
        <v>165</v>
      </c>
      <c r="D22" s="45">
        <v>299.0</v>
      </c>
      <c r="E22" s="45">
        <v>6.0</v>
      </c>
      <c r="F22" s="35"/>
      <c r="G22" s="35"/>
    </row>
    <row r="23">
      <c r="A23" s="35" t="s">
        <v>148</v>
      </c>
      <c r="B23" s="35" t="s">
        <v>136</v>
      </c>
      <c r="C23" s="35" t="s">
        <v>166</v>
      </c>
      <c r="D23" s="45">
        <v>299.0</v>
      </c>
      <c r="E23" s="45">
        <v>7.0</v>
      </c>
      <c r="F23" s="35"/>
      <c r="G23" s="35"/>
    </row>
    <row r="24">
      <c r="A24" s="35" t="s">
        <v>148</v>
      </c>
      <c r="B24" s="35" t="s">
        <v>136</v>
      </c>
      <c r="C24" s="35" t="s">
        <v>167</v>
      </c>
      <c r="D24" s="45">
        <v>299.0</v>
      </c>
      <c r="E24" s="45">
        <v>8.0</v>
      </c>
      <c r="F24" s="35"/>
      <c r="G24" s="35"/>
    </row>
    <row r="25">
      <c r="A25" s="35" t="s">
        <v>148</v>
      </c>
      <c r="B25" s="35" t="s">
        <v>168</v>
      </c>
      <c r="C25" s="35" t="s">
        <v>169</v>
      </c>
      <c r="D25" s="45">
        <v>270.0</v>
      </c>
      <c r="E25" s="45">
        <v>1.0</v>
      </c>
      <c r="F25" s="35"/>
      <c r="G25" s="35"/>
    </row>
    <row r="26">
      <c r="A26" s="35" t="s">
        <v>148</v>
      </c>
      <c r="B26" s="35" t="s">
        <v>168</v>
      </c>
      <c r="C26" s="35" t="s">
        <v>170</v>
      </c>
      <c r="D26" s="45">
        <v>270.0</v>
      </c>
      <c r="E26" s="45">
        <v>2.0</v>
      </c>
      <c r="F26" s="35"/>
      <c r="G26" s="35"/>
    </row>
    <row r="27">
      <c r="A27" s="35" t="s">
        <v>148</v>
      </c>
      <c r="B27" s="35" t="s">
        <v>168</v>
      </c>
      <c r="C27" s="35" t="s">
        <v>171</v>
      </c>
      <c r="D27" s="45">
        <v>270.0</v>
      </c>
      <c r="E27" s="45">
        <v>3.0</v>
      </c>
      <c r="F27" s="35"/>
      <c r="G27" s="35"/>
    </row>
    <row r="28">
      <c r="A28" s="35" t="s">
        <v>148</v>
      </c>
      <c r="B28" s="35" t="s">
        <v>168</v>
      </c>
      <c r="C28" s="35" t="s">
        <v>172</v>
      </c>
      <c r="D28" s="45">
        <v>270.0</v>
      </c>
      <c r="E28" s="45">
        <v>4.0</v>
      </c>
      <c r="F28" s="35"/>
      <c r="G28" s="35"/>
    </row>
    <row r="29">
      <c r="A29" s="35" t="s">
        <v>148</v>
      </c>
      <c r="B29" s="35" t="s">
        <v>168</v>
      </c>
      <c r="C29" s="35" t="s">
        <v>173</v>
      </c>
      <c r="D29" s="45">
        <v>270.0</v>
      </c>
      <c r="E29" s="45">
        <v>7.0</v>
      </c>
      <c r="F29" s="35" t="s">
        <v>174</v>
      </c>
      <c r="G29" s="35"/>
    </row>
    <row r="30">
      <c r="A30" s="35" t="s">
        <v>148</v>
      </c>
      <c r="B30" s="35" t="s">
        <v>168</v>
      </c>
      <c r="C30" s="35" t="s">
        <v>175</v>
      </c>
      <c r="D30" s="45">
        <v>270.0</v>
      </c>
      <c r="E30" s="45">
        <v>9.0</v>
      </c>
      <c r="F30" s="35" t="s">
        <v>176</v>
      </c>
      <c r="G30" s="35"/>
    </row>
    <row r="31">
      <c r="A31" s="35" t="s">
        <v>148</v>
      </c>
      <c r="B31" s="35" t="s">
        <v>177</v>
      </c>
      <c r="C31" s="35" t="s">
        <v>178</v>
      </c>
      <c r="D31" s="45">
        <v>2.0</v>
      </c>
      <c r="E31" s="45">
        <v>95.0</v>
      </c>
      <c r="F31" s="35"/>
      <c r="G31" s="35"/>
    </row>
    <row r="32">
      <c r="A32" s="35" t="s">
        <v>148</v>
      </c>
      <c r="B32" s="35" t="s">
        <v>177</v>
      </c>
      <c r="C32" s="35" t="s">
        <v>179</v>
      </c>
      <c r="D32" s="45">
        <v>2.0</v>
      </c>
      <c r="E32" s="45">
        <v>96.0</v>
      </c>
      <c r="F32" s="35"/>
      <c r="G32" s="35"/>
    </row>
    <row r="33">
      <c r="A33" s="35" t="s">
        <v>148</v>
      </c>
      <c r="B33" s="35" t="s">
        <v>177</v>
      </c>
      <c r="C33" s="35" t="s">
        <v>180</v>
      </c>
      <c r="D33" s="45">
        <v>2.0</v>
      </c>
      <c r="E33" s="45">
        <v>97.0</v>
      </c>
      <c r="F33" s="35"/>
      <c r="G33" s="35"/>
    </row>
    <row r="34">
      <c r="A34" s="35" t="s">
        <v>148</v>
      </c>
      <c r="B34" s="35" t="s">
        <v>177</v>
      </c>
      <c r="C34" s="35" t="s">
        <v>181</v>
      </c>
      <c r="D34" s="45">
        <v>2.0</v>
      </c>
      <c r="E34" s="45">
        <v>98.0</v>
      </c>
      <c r="F34" s="35"/>
      <c r="G34" s="35"/>
    </row>
    <row r="35">
      <c r="A35" s="35" t="s">
        <v>148</v>
      </c>
      <c r="B35" s="35" t="s">
        <v>177</v>
      </c>
      <c r="C35" s="35" t="s">
        <v>182</v>
      </c>
      <c r="D35" s="45">
        <v>2.0</v>
      </c>
      <c r="E35" s="45">
        <v>59.0</v>
      </c>
      <c r="F35" s="35" t="s">
        <v>183</v>
      </c>
      <c r="G35" s="35"/>
    </row>
    <row r="36">
      <c r="A36" s="35" t="s">
        <v>148</v>
      </c>
      <c r="B36" s="35" t="s">
        <v>177</v>
      </c>
      <c r="C36" s="35" t="s">
        <v>184</v>
      </c>
      <c r="D36" s="45">
        <v>2.0</v>
      </c>
      <c r="E36" s="45">
        <v>54.0</v>
      </c>
      <c r="F36" s="35" t="s">
        <v>185</v>
      </c>
      <c r="G36" s="35"/>
    </row>
    <row r="37">
      <c r="A37" s="35" t="s">
        <v>148</v>
      </c>
      <c r="B37" s="35" t="s">
        <v>186</v>
      </c>
      <c r="C37" s="35" t="s">
        <v>187</v>
      </c>
      <c r="D37" s="45">
        <v>277.0</v>
      </c>
      <c r="E37" s="45">
        <v>3.0</v>
      </c>
      <c r="F37" s="35"/>
      <c r="G37" s="35"/>
    </row>
    <row r="38">
      <c r="A38" s="35" t="s">
        <v>148</v>
      </c>
      <c r="B38" s="35" t="s">
        <v>186</v>
      </c>
      <c r="C38" s="35" t="s">
        <v>188</v>
      </c>
      <c r="D38" s="45">
        <v>277.0</v>
      </c>
      <c r="E38" s="45">
        <v>4.0</v>
      </c>
      <c r="F38" s="35"/>
      <c r="G38" s="35"/>
    </row>
    <row r="39">
      <c r="A39" s="35" t="s">
        <v>148</v>
      </c>
      <c r="B39" s="35" t="s">
        <v>186</v>
      </c>
      <c r="C39" s="35" t="s">
        <v>189</v>
      </c>
      <c r="D39" s="45">
        <v>277.0</v>
      </c>
      <c r="E39" s="45">
        <v>5.0</v>
      </c>
      <c r="F39" s="35"/>
      <c r="G39" s="35"/>
    </row>
    <row r="40">
      <c r="A40" s="35" t="s">
        <v>148</v>
      </c>
      <c r="B40" s="35" t="s">
        <v>186</v>
      </c>
      <c r="C40" s="35" t="s">
        <v>190</v>
      </c>
      <c r="D40" s="45">
        <v>277.0</v>
      </c>
      <c r="E40" s="45">
        <v>6.0</v>
      </c>
      <c r="F40" s="35"/>
      <c r="G40" s="35"/>
    </row>
    <row r="41">
      <c r="A41" s="38" t="s">
        <v>148</v>
      </c>
      <c r="B41" s="38" t="s">
        <v>186</v>
      </c>
      <c r="C41" s="38" t="s">
        <v>191</v>
      </c>
      <c r="D41" s="46">
        <v>277.0</v>
      </c>
      <c r="E41" s="46">
        <v>9.0</v>
      </c>
      <c r="F41" s="38" t="s">
        <v>192</v>
      </c>
      <c r="G41" s="35"/>
    </row>
    <row r="42">
      <c r="A42" s="35" t="s">
        <v>148</v>
      </c>
      <c r="B42" s="35" t="s">
        <v>186</v>
      </c>
      <c r="C42" s="35" t="s">
        <v>193</v>
      </c>
      <c r="D42" s="45">
        <v>277.0</v>
      </c>
      <c r="E42" s="45">
        <v>7.0</v>
      </c>
      <c r="F42" s="35" t="s">
        <v>194</v>
      </c>
      <c r="G42" s="35"/>
    </row>
    <row r="43">
      <c r="A43" s="35" t="s">
        <v>148</v>
      </c>
      <c r="B43" s="35" t="s">
        <v>66</v>
      </c>
      <c r="C43" s="35" t="s">
        <v>195</v>
      </c>
      <c r="D43" s="45">
        <v>312.0</v>
      </c>
      <c r="E43" s="45">
        <v>1.0</v>
      </c>
      <c r="F43" s="35"/>
      <c r="G43" s="35"/>
    </row>
    <row r="44">
      <c r="A44" s="35" t="s">
        <v>148</v>
      </c>
      <c r="B44" s="35" t="s">
        <v>66</v>
      </c>
      <c r="C44" s="35" t="s">
        <v>196</v>
      </c>
      <c r="D44" s="45">
        <v>312.0</v>
      </c>
      <c r="E44" s="45">
        <v>2.0</v>
      </c>
      <c r="F44" s="35"/>
      <c r="G44" s="35"/>
    </row>
    <row r="45">
      <c r="A45" s="35" t="s">
        <v>148</v>
      </c>
      <c r="B45" s="35" t="s">
        <v>66</v>
      </c>
      <c r="C45" s="35" t="s">
        <v>197</v>
      </c>
      <c r="D45" s="45">
        <v>312.0</v>
      </c>
      <c r="E45" s="45">
        <v>3.0</v>
      </c>
      <c r="F45" s="35"/>
      <c r="G45" s="35"/>
    </row>
    <row r="46">
      <c r="A46" s="35" t="s">
        <v>148</v>
      </c>
      <c r="B46" s="35" t="s">
        <v>66</v>
      </c>
      <c r="C46" s="35" t="s">
        <v>198</v>
      </c>
      <c r="D46" s="45">
        <v>312.0</v>
      </c>
      <c r="E46" s="45">
        <v>4.0</v>
      </c>
      <c r="F46" s="35"/>
      <c r="G46" s="35"/>
    </row>
    <row r="47">
      <c r="A47" s="35" t="s">
        <v>148</v>
      </c>
      <c r="B47" s="35" t="s">
        <v>66</v>
      </c>
      <c r="C47" s="35" t="s">
        <v>199</v>
      </c>
      <c r="D47" s="45">
        <v>312.0</v>
      </c>
      <c r="E47" s="45">
        <v>7.0</v>
      </c>
      <c r="F47" s="35" t="s">
        <v>200</v>
      </c>
      <c r="G47" s="35"/>
    </row>
    <row r="48">
      <c r="A48" s="35" t="s">
        <v>148</v>
      </c>
      <c r="B48" s="35" t="s">
        <v>66</v>
      </c>
      <c r="C48" s="35" t="s">
        <v>201</v>
      </c>
      <c r="D48" s="45">
        <v>312.0</v>
      </c>
      <c r="E48" s="45">
        <v>9.0</v>
      </c>
      <c r="F48" s="35" t="s">
        <v>202</v>
      </c>
      <c r="G48" s="35"/>
    </row>
    <row r="49">
      <c r="A49" s="35" t="s">
        <v>148</v>
      </c>
      <c r="B49" s="35" t="s">
        <v>203</v>
      </c>
      <c r="C49" s="35" t="s">
        <v>204</v>
      </c>
      <c r="D49" s="45">
        <v>8.0</v>
      </c>
      <c r="E49" s="45">
        <v>95.0</v>
      </c>
      <c r="F49" s="35"/>
      <c r="G49" s="35"/>
    </row>
    <row r="50">
      <c r="A50" s="35" t="s">
        <v>148</v>
      </c>
      <c r="B50" s="35" t="s">
        <v>203</v>
      </c>
      <c r="C50" s="35" t="s">
        <v>205</v>
      </c>
      <c r="D50" s="45">
        <v>8.0</v>
      </c>
      <c r="E50" s="45">
        <v>96.0</v>
      </c>
      <c r="F50" s="35"/>
      <c r="G50" s="35"/>
    </row>
    <row r="51">
      <c r="A51" s="35" t="s">
        <v>148</v>
      </c>
      <c r="B51" s="35" t="s">
        <v>203</v>
      </c>
      <c r="C51" s="35" t="s">
        <v>206</v>
      </c>
      <c r="D51" s="45">
        <v>8.0</v>
      </c>
      <c r="E51" s="45">
        <v>97.0</v>
      </c>
      <c r="F51" s="35"/>
      <c r="G51" s="35"/>
    </row>
    <row r="52">
      <c r="A52" s="35" t="s">
        <v>148</v>
      </c>
      <c r="B52" s="35" t="s">
        <v>203</v>
      </c>
      <c r="C52" s="35" t="s">
        <v>207</v>
      </c>
      <c r="D52" s="45">
        <v>8.0</v>
      </c>
      <c r="E52" s="45">
        <v>98.0</v>
      </c>
      <c r="F52" s="35"/>
      <c r="G52" s="35"/>
    </row>
    <row r="53">
      <c r="A53" s="35" t="s">
        <v>148</v>
      </c>
      <c r="B53" s="35" t="s">
        <v>203</v>
      </c>
      <c r="C53" s="35" t="s">
        <v>208</v>
      </c>
      <c r="D53" s="45">
        <v>8.0</v>
      </c>
      <c r="E53" s="45">
        <v>53.0</v>
      </c>
      <c r="F53" s="35" t="s">
        <v>209</v>
      </c>
      <c r="G53" s="35"/>
    </row>
    <row r="54">
      <c r="A54" s="35" t="s">
        <v>148</v>
      </c>
      <c r="B54" s="35" t="s">
        <v>203</v>
      </c>
      <c r="C54" s="35" t="s">
        <v>210</v>
      </c>
      <c r="D54" s="45">
        <v>8.0</v>
      </c>
      <c r="E54" s="45">
        <v>55.0</v>
      </c>
      <c r="F54" s="35" t="s">
        <v>211</v>
      </c>
      <c r="G54" s="35"/>
    </row>
    <row r="55">
      <c r="A55" s="35" t="s">
        <v>148</v>
      </c>
      <c r="B55" s="35" t="s">
        <v>203</v>
      </c>
      <c r="C55" s="38" t="s">
        <v>212</v>
      </c>
      <c r="D55" s="46">
        <v>8.0</v>
      </c>
      <c r="E55" s="46">
        <v>58.0</v>
      </c>
      <c r="F55" s="38" t="s">
        <v>213</v>
      </c>
      <c r="G55" s="35"/>
    </row>
    <row r="56">
      <c r="A56" s="35" t="s">
        <v>148</v>
      </c>
      <c r="B56" s="35" t="s">
        <v>214</v>
      </c>
      <c r="C56" s="35" t="s">
        <v>215</v>
      </c>
      <c r="D56" s="45">
        <v>20.0</v>
      </c>
      <c r="E56" s="45">
        <v>95.0</v>
      </c>
      <c r="F56" s="35"/>
      <c r="G56" s="35"/>
    </row>
    <row r="57">
      <c r="A57" s="35" t="s">
        <v>148</v>
      </c>
      <c r="B57" s="35" t="s">
        <v>214</v>
      </c>
      <c r="C57" s="35" t="s">
        <v>216</v>
      </c>
      <c r="D57" s="45">
        <v>20.0</v>
      </c>
      <c r="E57" s="45">
        <v>96.0</v>
      </c>
      <c r="F57" s="35"/>
      <c r="G57" s="35"/>
    </row>
    <row r="58">
      <c r="A58" s="35" t="s">
        <v>148</v>
      </c>
      <c r="B58" s="35" t="s">
        <v>214</v>
      </c>
      <c r="C58" s="35" t="s">
        <v>217</v>
      </c>
      <c r="D58" s="45">
        <v>20.0</v>
      </c>
      <c r="E58" s="45">
        <v>97.0</v>
      </c>
      <c r="F58" s="35"/>
      <c r="G58" s="35"/>
    </row>
    <row r="59">
      <c r="A59" s="35" t="s">
        <v>148</v>
      </c>
      <c r="B59" s="35" t="s">
        <v>214</v>
      </c>
      <c r="C59" s="35" t="s">
        <v>218</v>
      </c>
      <c r="D59" s="45">
        <v>20.0</v>
      </c>
      <c r="E59" s="45">
        <v>98.0</v>
      </c>
      <c r="F59" s="35"/>
      <c r="G59" s="35"/>
    </row>
    <row r="60">
      <c r="A60" s="35" t="s">
        <v>148</v>
      </c>
      <c r="B60" s="35" t="s">
        <v>214</v>
      </c>
      <c r="C60" s="35" t="s">
        <v>219</v>
      </c>
      <c r="D60" s="45">
        <v>20.0</v>
      </c>
      <c r="E60" s="45">
        <v>63.0</v>
      </c>
      <c r="F60" s="35" t="s">
        <v>220</v>
      </c>
      <c r="G60" s="35"/>
    </row>
    <row r="61">
      <c r="A61" s="35" t="s">
        <v>148</v>
      </c>
      <c r="B61" s="35" t="s">
        <v>214</v>
      </c>
      <c r="C61" s="39" t="s">
        <v>221</v>
      </c>
      <c r="D61" s="47">
        <v>20.0</v>
      </c>
      <c r="E61" s="47">
        <v>65.0</v>
      </c>
      <c r="F61" s="39" t="s">
        <v>222</v>
      </c>
    </row>
    <row r="62">
      <c r="A62" s="48" t="s">
        <v>148</v>
      </c>
      <c r="B62" s="48" t="s">
        <v>214</v>
      </c>
      <c r="C62" s="48" t="s">
        <v>223</v>
      </c>
      <c r="D62" s="49">
        <v>20.0</v>
      </c>
      <c r="E62" s="49">
        <v>68.0</v>
      </c>
      <c r="F62" s="48" t="s">
        <v>224</v>
      </c>
      <c r="G62" s="48" t="s">
        <v>225</v>
      </c>
    </row>
    <row r="63">
      <c r="A63" s="35" t="s">
        <v>226</v>
      </c>
      <c r="B63" s="35" t="s">
        <v>136</v>
      </c>
      <c r="C63" s="35" t="s">
        <v>227</v>
      </c>
      <c r="D63" s="45">
        <v>264.0</v>
      </c>
      <c r="E63" s="45">
        <v>4.0</v>
      </c>
      <c r="F63" s="35"/>
      <c r="G63" s="35"/>
    </row>
    <row r="64">
      <c r="A64" s="35" t="s">
        <v>226</v>
      </c>
      <c r="B64" s="35" t="s">
        <v>136</v>
      </c>
      <c r="C64" s="35" t="s">
        <v>228</v>
      </c>
      <c r="D64" s="45">
        <v>264.0</v>
      </c>
      <c r="E64" s="45">
        <v>5.0</v>
      </c>
      <c r="F64" s="35"/>
      <c r="G64" s="35"/>
    </row>
    <row r="65">
      <c r="A65" s="35" t="s">
        <v>226</v>
      </c>
      <c r="B65" s="35" t="s">
        <v>136</v>
      </c>
      <c r="C65" s="35" t="s">
        <v>229</v>
      </c>
      <c r="D65" s="45">
        <v>264.0</v>
      </c>
      <c r="E65" s="45">
        <v>6.0</v>
      </c>
      <c r="F65" s="35"/>
      <c r="G65" s="35"/>
    </row>
    <row r="66">
      <c r="A66" s="35" t="s">
        <v>226</v>
      </c>
      <c r="B66" s="35" t="s">
        <v>136</v>
      </c>
      <c r="C66" s="35" t="s">
        <v>230</v>
      </c>
      <c r="D66" s="45">
        <v>264.0</v>
      </c>
      <c r="E66" s="45">
        <v>7.0</v>
      </c>
      <c r="F66" s="35"/>
      <c r="G66" s="35"/>
    </row>
    <row r="67">
      <c r="A67" s="35" t="s">
        <v>226</v>
      </c>
      <c r="B67" s="35" t="s">
        <v>136</v>
      </c>
      <c r="C67" s="35" t="s">
        <v>231</v>
      </c>
      <c r="D67" s="45">
        <v>264.0</v>
      </c>
      <c r="E67" s="45">
        <v>8.0</v>
      </c>
      <c r="F67" s="35"/>
      <c r="G67" s="35"/>
    </row>
    <row r="68">
      <c r="A68" s="35" t="s">
        <v>232</v>
      </c>
      <c r="B68" s="35" t="s">
        <v>149</v>
      </c>
      <c r="C68" s="35" t="s">
        <v>233</v>
      </c>
      <c r="D68" s="45">
        <v>27.0</v>
      </c>
      <c r="E68" s="45">
        <v>95.0</v>
      </c>
      <c r="F68" s="35"/>
      <c r="G68" s="35"/>
    </row>
    <row r="69">
      <c r="A69" s="35" t="s">
        <v>232</v>
      </c>
      <c r="B69" s="35" t="s">
        <v>149</v>
      </c>
      <c r="C69" s="35" t="s">
        <v>234</v>
      </c>
      <c r="D69" s="45">
        <v>27.0</v>
      </c>
      <c r="E69" s="45">
        <v>96.0</v>
      </c>
      <c r="F69" s="35"/>
      <c r="G69" s="35"/>
    </row>
    <row r="70">
      <c r="A70" s="35" t="s">
        <v>232</v>
      </c>
      <c r="B70" s="35" t="s">
        <v>149</v>
      </c>
      <c r="C70" s="35" t="s">
        <v>235</v>
      </c>
      <c r="D70" s="45">
        <v>27.0</v>
      </c>
      <c r="E70" s="45">
        <v>97.0</v>
      </c>
      <c r="F70" s="35"/>
      <c r="G70" s="35"/>
    </row>
    <row r="71">
      <c r="A71" s="35" t="s">
        <v>232</v>
      </c>
      <c r="B71" s="35" t="s">
        <v>149</v>
      </c>
      <c r="C71" s="35" t="s">
        <v>236</v>
      </c>
      <c r="D71" s="45">
        <v>27.0</v>
      </c>
      <c r="E71" s="45">
        <v>98.0</v>
      </c>
      <c r="F71" s="35"/>
      <c r="G71" s="35"/>
    </row>
    <row r="72">
      <c r="A72" s="35" t="s">
        <v>232</v>
      </c>
      <c r="B72" s="35" t="s">
        <v>149</v>
      </c>
      <c r="C72" s="35" t="s">
        <v>237</v>
      </c>
      <c r="D72" s="45">
        <v>27.0</v>
      </c>
      <c r="E72" s="45">
        <v>1.0</v>
      </c>
      <c r="F72" s="35" t="s">
        <v>238</v>
      </c>
      <c r="G72" s="35"/>
    </row>
    <row r="73">
      <c r="A73" s="35" t="s">
        <v>232</v>
      </c>
      <c r="B73" s="35" t="s">
        <v>149</v>
      </c>
      <c r="C73" s="35" t="s">
        <v>239</v>
      </c>
      <c r="D73" s="45">
        <v>27.0</v>
      </c>
      <c r="E73" s="45">
        <v>74.0</v>
      </c>
      <c r="F73" s="35" t="s">
        <v>240</v>
      </c>
      <c r="G73" s="35"/>
    </row>
    <row r="74">
      <c r="A74" s="35" t="s">
        <v>232</v>
      </c>
      <c r="B74" s="35" t="s">
        <v>149</v>
      </c>
      <c r="C74" s="38" t="s">
        <v>241</v>
      </c>
      <c r="D74" s="45">
        <v>27.0</v>
      </c>
      <c r="E74" s="46">
        <v>79.0</v>
      </c>
      <c r="F74" s="38" t="s">
        <v>242</v>
      </c>
      <c r="G74" s="35"/>
    </row>
    <row r="75">
      <c r="A75" s="48" t="s">
        <v>232</v>
      </c>
      <c r="B75" s="48" t="s">
        <v>149</v>
      </c>
      <c r="C75" s="48" t="s">
        <v>243</v>
      </c>
      <c r="D75" s="49">
        <v>27.0</v>
      </c>
      <c r="E75" s="49">
        <v>77.0</v>
      </c>
      <c r="F75" s="48" t="s">
        <v>244</v>
      </c>
      <c r="G75" s="48"/>
    </row>
    <row r="76">
      <c r="A76" s="35" t="s">
        <v>232</v>
      </c>
      <c r="B76" s="35" t="s">
        <v>136</v>
      </c>
      <c r="C76" s="35" t="s">
        <v>245</v>
      </c>
      <c r="D76" s="45">
        <v>268.0</v>
      </c>
      <c r="E76" s="45">
        <v>4.0</v>
      </c>
      <c r="F76" s="35"/>
      <c r="G76" s="35"/>
    </row>
    <row r="77">
      <c r="A77" s="35" t="s">
        <v>232</v>
      </c>
      <c r="B77" s="35" t="s">
        <v>136</v>
      </c>
      <c r="C77" s="35" t="s">
        <v>246</v>
      </c>
      <c r="D77" s="45">
        <v>268.0</v>
      </c>
      <c r="E77" s="45">
        <v>5.0</v>
      </c>
      <c r="F77" s="35"/>
      <c r="G77" s="35"/>
    </row>
    <row r="78">
      <c r="A78" s="35" t="s">
        <v>232</v>
      </c>
      <c r="B78" s="35" t="s">
        <v>136</v>
      </c>
      <c r="C78" s="35" t="s">
        <v>247</v>
      </c>
      <c r="D78" s="45">
        <v>268.0</v>
      </c>
      <c r="E78" s="45">
        <v>6.0</v>
      </c>
      <c r="F78" s="35"/>
      <c r="G78" s="35"/>
    </row>
    <row r="79">
      <c r="A79" s="35" t="s">
        <v>232</v>
      </c>
      <c r="B79" s="35" t="s">
        <v>136</v>
      </c>
      <c r="C79" s="35" t="s">
        <v>248</v>
      </c>
      <c r="D79" s="45">
        <v>268.0</v>
      </c>
      <c r="E79" s="45">
        <v>7.0</v>
      </c>
      <c r="F79" s="35"/>
      <c r="G79" s="35"/>
    </row>
    <row r="80">
      <c r="A80" s="35" t="s">
        <v>232</v>
      </c>
      <c r="B80" s="35" t="s">
        <v>136</v>
      </c>
      <c r="C80" s="35" t="s">
        <v>249</v>
      </c>
      <c r="D80" s="45">
        <v>268.0</v>
      </c>
      <c r="E80" s="45">
        <v>8.0</v>
      </c>
      <c r="F80" s="35"/>
      <c r="G80" s="35"/>
    </row>
    <row r="81">
      <c r="A81" s="35" t="s">
        <v>232</v>
      </c>
      <c r="B81" s="35" t="s">
        <v>168</v>
      </c>
      <c r="C81" s="35" t="s">
        <v>250</v>
      </c>
      <c r="D81" s="45">
        <v>267.0</v>
      </c>
      <c r="E81" s="45">
        <v>4.0</v>
      </c>
      <c r="F81" s="35"/>
      <c r="G81" s="35"/>
    </row>
    <row r="82">
      <c r="A82" s="35" t="s">
        <v>232</v>
      </c>
      <c r="B82" s="35" t="s">
        <v>168</v>
      </c>
      <c r="C82" s="35" t="s">
        <v>251</v>
      </c>
      <c r="D82" s="45">
        <v>267.0</v>
      </c>
      <c r="E82" s="45">
        <v>5.0</v>
      </c>
      <c r="F82" s="35"/>
      <c r="G82" s="35"/>
    </row>
    <row r="83">
      <c r="A83" s="35" t="s">
        <v>232</v>
      </c>
      <c r="B83" s="35" t="s">
        <v>168</v>
      </c>
      <c r="C83" s="35" t="s">
        <v>252</v>
      </c>
      <c r="D83" s="45">
        <v>267.0</v>
      </c>
      <c r="E83" s="45">
        <v>6.0</v>
      </c>
      <c r="F83" s="35"/>
      <c r="G83" s="35"/>
    </row>
    <row r="84">
      <c r="A84" s="35" t="s">
        <v>232</v>
      </c>
      <c r="B84" s="35" t="s">
        <v>168</v>
      </c>
      <c r="C84" s="35" t="s">
        <v>253</v>
      </c>
      <c r="D84" s="45">
        <v>267.0</v>
      </c>
      <c r="E84" s="45">
        <v>7.0</v>
      </c>
      <c r="F84" s="35"/>
      <c r="G84" s="35"/>
    </row>
    <row r="85">
      <c r="A85" s="35" t="s">
        <v>232</v>
      </c>
      <c r="B85" s="35" t="s">
        <v>168</v>
      </c>
      <c r="C85" s="35" t="s">
        <v>254</v>
      </c>
      <c r="D85" s="45">
        <v>267.0</v>
      </c>
      <c r="E85" s="45">
        <v>12.0</v>
      </c>
      <c r="F85" s="35" t="s">
        <v>255</v>
      </c>
      <c r="G85" s="35"/>
    </row>
    <row r="86">
      <c r="A86" s="35" t="s">
        <v>232</v>
      </c>
      <c r="B86" s="35" t="s">
        <v>168</v>
      </c>
      <c r="C86" s="35" t="s">
        <v>256</v>
      </c>
      <c r="D86" s="45">
        <v>267.0</v>
      </c>
      <c r="E86" s="45">
        <v>10.0</v>
      </c>
      <c r="F86" s="35" t="s">
        <v>257</v>
      </c>
      <c r="G86" s="35"/>
    </row>
    <row r="87">
      <c r="A87" s="35" t="s">
        <v>232</v>
      </c>
      <c r="B87" s="35" t="s">
        <v>177</v>
      </c>
      <c r="C87" s="35" t="s">
        <v>258</v>
      </c>
      <c r="D87" s="45">
        <v>3.0</v>
      </c>
      <c r="E87" s="45">
        <v>95.0</v>
      </c>
      <c r="F87" s="35"/>
      <c r="G87" s="35"/>
    </row>
    <row r="88">
      <c r="A88" s="35" t="s">
        <v>232</v>
      </c>
      <c r="B88" s="35" t="s">
        <v>177</v>
      </c>
      <c r="C88" s="35" t="s">
        <v>259</v>
      </c>
      <c r="D88" s="45">
        <v>3.0</v>
      </c>
      <c r="E88" s="45">
        <v>96.0</v>
      </c>
      <c r="F88" s="35"/>
      <c r="G88" s="35"/>
    </row>
    <row r="89">
      <c r="A89" s="35" t="s">
        <v>232</v>
      </c>
      <c r="B89" s="35" t="s">
        <v>177</v>
      </c>
      <c r="C89" s="35" t="s">
        <v>260</v>
      </c>
      <c r="D89" s="45">
        <v>3.0</v>
      </c>
      <c r="E89" s="45">
        <v>97.0</v>
      </c>
      <c r="F89" s="35"/>
      <c r="G89" s="35"/>
    </row>
    <row r="90">
      <c r="A90" s="35" t="s">
        <v>232</v>
      </c>
      <c r="B90" s="35" t="s">
        <v>177</v>
      </c>
      <c r="C90" s="35" t="s">
        <v>261</v>
      </c>
      <c r="D90" s="45">
        <v>3.0</v>
      </c>
      <c r="E90" s="45">
        <v>98.0</v>
      </c>
      <c r="F90" s="35"/>
      <c r="G90" s="35"/>
    </row>
    <row r="91">
      <c r="A91" s="35" t="s">
        <v>232</v>
      </c>
      <c r="B91" s="35" t="s">
        <v>177</v>
      </c>
      <c r="C91" s="35" t="s">
        <v>262</v>
      </c>
      <c r="D91" s="45">
        <v>3.0</v>
      </c>
      <c r="E91" s="45">
        <v>76.0</v>
      </c>
      <c r="F91" s="35" t="s">
        <v>263</v>
      </c>
      <c r="G91" s="35"/>
    </row>
    <row r="92">
      <c r="A92" s="35" t="s">
        <v>232</v>
      </c>
      <c r="B92" s="35" t="s">
        <v>177</v>
      </c>
      <c r="C92" s="35" t="s">
        <v>264</v>
      </c>
      <c r="D92" s="45">
        <v>3.0</v>
      </c>
      <c r="E92" s="45">
        <v>78.0</v>
      </c>
      <c r="F92" s="35" t="s">
        <v>265</v>
      </c>
      <c r="G92" s="35"/>
    </row>
    <row r="93">
      <c r="A93" s="35" t="s">
        <v>232</v>
      </c>
      <c r="B93" s="35" t="s">
        <v>177</v>
      </c>
      <c r="C93" s="35" t="s">
        <v>266</v>
      </c>
      <c r="D93" s="45">
        <v>3.0</v>
      </c>
      <c r="E93" s="45">
        <v>79.0</v>
      </c>
      <c r="F93" s="35" t="s">
        <v>267</v>
      </c>
      <c r="G93" s="35"/>
    </row>
    <row r="94">
      <c r="A94" s="35" t="s">
        <v>232</v>
      </c>
      <c r="B94" s="35" t="s">
        <v>177</v>
      </c>
      <c r="C94" s="35" t="s">
        <v>268</v>
      </c>
      <c r="D94" s="45">
        <v>3.0</v>
      </c>
      <c r="E94" s="45">
        <v>81.0</v>
      </c>
      <c r="F94" s="35" t="s">
        <v>269</v>
      </c>
      <c r="G94" s="35"/>
    </row>
    <row r="95">
      <c r="A95" s="35" t="s">
        <v>232</v>
      </c>
      <c r="B95" s="35" t="s">
        <v>186</v>
      </c>
      <c r="C95" s="35" t="s">
        <v>270</v>
      </c>
      <c r="D95" s="45">
        <v>265.0</v>
      </c>
      <c r="E95" s="45">
        <v>1.0</v>
      </c>
      <c r="F95" s="35"/>
      <c r="G95" s="35"/>
    </row>
    <row r="96">
      <c r="A96" s="35" t="s">
        <v>232</v>
      </c>
      <c r="B96" s="35" t="s">
        <v>186</v>
      </c>
      <c r="C96" s="35" t="s">
        <v>271</v>
      </c>
      <c r="D96" s="45">
        <v>265.0</v>
      </c>
      <c r="E96" s="45">
        <v>2.0</v>
      </c>
      <c r="F96" s="35"/>
      <c r="G96" s="35"/>
    </row>
    <row r="97">
      <c r="A97" s="35" t="s">
        <v>232</v>
      </c>
      <c r="B97" s="35" t="s">
        <v>186</v>
      </c>
      <c r="C97" s="35" t="s">
        <v>272</v>
      </c>
      <c r="D97" s="45">
        <v>265.0</v>
      </c>
      <c r="E97" s="45">
        <v>3.0</v>
      </c>
      <c r="F97" s="35"/>
      <c r="G97" s="35"/>
    </row>
    <row r="98">
      <c r="A98" s="35" t="s">
        <v>232</v>
      </c>
      <c r="B98" s="35" t="s">
        <v>186</v>
      </c>
      <c r="C98" s="35" t="s">
        <v>273</v>
      </c>
      <c r="D98" s="45">
        <v>265.0</v>
      </c>
      <c r="E98" s="45">
        <v>4.0</v>
      </c>
      <c r="F98" s="35"/>
      <c r="G98" s="35"/>
    </row>
    <row r="99">
      <c r="A99" s="35" t="s">
        <v>232</v>
      </c>
      <c r="B99" s="35" t="s">
        <v>186</v>
      </c>
      <c r="C99" s="35" t="s">
        <v>274</v>
      </c>
      <c r="D99" s="45">
        <v>265.0</v>
      </c>
      <c r="E99" s="45">
        <v>5.0</v>
      </c>
      <c r="F99" s="35" t="s">
        <v>275</v>
      </c>
      <c r="G99" s="35"/>
    </row>
    <row r="100">
      <c r="A100" s="35" t="s">
        <v>232</v>
      </c>
      <c r="B100" s="35" t="s">
        <v>66</v>
      </c>
      <c r="C100" s="35" t="s">
        <v>276</v>
      </c>
      <c r="D100" s="45">
        <v>306.0</v>
      </c>
      <c r="E100" s="45">
        <v>1.0</v>
      </c>
      <c r="F100" s="35"/>
      <c r="G100" s="35"/>
    </row>
    <row r="101">
      <c r="A101" s="35" t="s">
        <v>232</v>
      </c>
      <c r="B101" s="35" t="s">
        <v>66</v>
      </c>
      <c r="C101" s="35" t="s">
        <v>277</v>
      </c>
      <c r="D101" s="45">
        <v>306.0</v>
      </c>
      <c r="E101" s="45">
        <v>2.0</v>
      </c>
      <c r="F101" s="35"/>
      <c r="G101" s="35"/>
    </row>
    <row r="102">
      <c r="A102" s="35" t="s">
        <v>232</v>
      </c>
      <c r="B102" s="35" t="s">
        <v>66</v>
      </c>
      <c r="C102" s="35" t="s">
        <v>278</v>
      </c>
      <c r="D102" s="45">
        <v>306.0</v>
      </c>
      <c r="E102" s="45">
        <v>3.0</v>
      </c>
      <c r="F102" s="35"/>
      <c r="G102" s="35"/>
    </row>
    <row r="103">
      <c r="A103" s="35" t="s">
        <v>232</v>
      </c>
      <c r="B103" s="35" t="s">
        <v>66</v>
      </c>
      <c r="C103" s="35" t="s">
        <v>279</v>
      </c>
      <c r="D103" s="45">
        <v>306.0</v>
      </c>
      <c r="E103" s="45">
        <v>4.0</v>
      </c>
      <c r="F103" s="35"/>
      <c r="G103" s="35"/>
    </row>
    <row r="104">
      <c r="A104" s="35" t="s">
        <v>232</v>
      </c>
      <c r="B104" s="35" t="s">
        <v>66</v>
      </c>
      <c r="C104" s="35" t="s">
        <v>280</v>
      </c>
      <c r="D104" s="45">
        <v>306.0</v>
      </c>
      <c r="E104" s="45">
        <v>6.0</v>
      </c>
      <c r="F104" s="35" t="s">
        <v>281</v>
      </c>
      <c r="G104" s="35"/>
    </row>
    <row r="105">
      <c r="A105" s="35" t="s">
        <v>232</v>
      </c>
      <c r="B105" s="35" t="s">
        <v>66</v>
      </c>
      <c r="C105" s="35" t="s">
        <v>282</v>
      </c>
      <c r="D105" s="45">
        <v>306.0</v>
      </c>
      <c r="E105" s="45">
        <v>9.0</v>
      </c>
      <c r="F105" s="35" t="s">
        <v>283</v>
      </c>
      <c r="G105" s="35"/>
    </row>
    <row r="106">
      <c r="A106" s="35" t="s">
        <v>232</v>
      </c>
      <c r="B106" s="35" t="s">
        <v>203</v>
      </c>
      <c r="C106" s="35" t="s">
        <v>284</v>
      </c>
      <c r="D106" s="45">
        <v>9.0</v>
      </c>
      <c r="E106" s="45">
        <v>95.0</v>
      </c>
      <c r="F106" s="35"/>
      <c r="G106" s="35"/>
    </row>
    <row r="107">
      <c r="A107" s="35" t="s">
        <v>232</v>
      </c>
      <c r="B107" s="35" t="s">
        <v>203</v>
      </c>
      <c r="C107" s="35" t="s">
        <v>285</v>
      </c>
      <c r="D107" s="45">
        <v>9.0</v>
      </c>
      <c r="E107" s="45">
        <v>96.0</v>
      </c>
      <c r="F107" s="35"/>
      <c r="G107" s="35"/>
    </row>
    <row r="108">
      <c r="A108" s="35" t="s">
        <v>232</v>
      </c>
      <c r="B108" s="35" t="s">
        <v>203</v>
      </c>
      <c r="C108" s="35" t="s">
        <v>286</v>
      </c>
      <c r="D108" s="45">
        <v>9.0</v>
      </c>
      <c r="E108" s="45">
        <v>97.0</v>
      </c>
      <c r="F108" s="35"/>
      <c r="G108" s="35"/>
    </row>
    <row r="109">
      <c r="A109" s="35" t="s">
        <v>232</v>
      </c>
      <c r="B109" s="35" t="s">
        <v>203</v>
      </c>
      <c r="C109" s="35" t="s">
        <v>287</v>
      </c>
      <c r="D109" s="45">
        <v>9.0</v>
      </c>
      <c r="E109" s="45">
        <v>98.0</v>
      </c>
      <c r="F109" s="35"/>
      <c r="G109" s="35"/>
    </row>
    <row r="110">
      <c r="A110" s="35" t="s">
        <v>232</v>
      </c>
      <c r="B110" s="35" t="s">
        <v>203</v>
      </c>
      <c r="C110" s="35" t="s">
        <v>288</v>
      </c>
      <c r="D110" s="45">
        <v>9.0</v>
      </c>
      <c r="E110" s="45">
        <v>83.0</v>
      </c>
      <c r="F110" s="35" t="s">
        <v>289</v>
      </c>
      <c r="G110" s="35"/>
    </row>
    <row r="111">
      <c r="A111" s="35" t="s">
        <v>232</v>
      </c>
      <c r="B111" s="35" t="s">
        <v>203</v>
      </c>
      <c r="C111" s="35" t="s">
        <v>290</v>
      </c>
      <c r="D111" s="45">
        <v>9.0</v>
      </c>
      <c r="E111" s="45">
        <v>85.0</v>
      </c>
      <c r="F111" s="35" t="s">
        <v>291</v>
      </c>
      <c r="G111" s="35"/>
    </row>
    <row r="112">
      <c r="A112" s="35" t="s">
        <v>232</v>
      </c>
      <c r="B112" s="35" t="s">
        <v>203</v>
      </c>
      <c r="C112" s="35" t="s">
        <v>292</v>
      </c>
      <c r="D112" s="45">
        <v>9.0</v>
      </c>
      <c r="E112" s="45">
        <v>80.0</v>
      </c>
      <c r="F112" s="35" t="s">
        <v>293</v>
      </c>
      <c r="G112" s="35"/>
    </row>
    <row r="113">
      <c r="A113" s="35" t="s">
        <v>232</v>
      </c>
      <c r="B113" s="35" t="s">
        <v>203</v>
      </c>
      <c r="C113" s="35" t="s">
        <v>294</v>
      </c>
      <c r="D113" s="45">
        <v>9.0</v>
      </c>
      <c r="E113" s="45">
        <v>91.0</v>
      </c>
      <c r="F113" s="35" t="s">
        <v>295</v>
      </c>
      <c r="G113" s="35"/>
    </row>
    <row r="114">
      <c r="A114" s="35" t="s">
        <v>232</v>
      </c>
      <c r="B114" s="35" t="s">
        <v>296</v>
      </c>
      <c r="C114" s="35" t="s">
        <v>297</v>
      </c>
      <c r="D114" s="45">
        <v>24.0</v>
      </c>
      <c r="E114" s="45">
        <v>95.0</v>
      </c>
      <c r="F114" s="35"/>
      <c r="G114" s="35"/>
    </row>
    <row r="115">
      <c r="A115" s="35" t="s">
        <v>232</v>
      </c>
      <c r="B115" s="35" t="s">
        <v>296</v>
      </c>
      <c r="C115" s="35" t="s">
        <v>298</v>
      </c>
      <c r="D115" s="45">
        <v>24.0</v>
      </c>
      <c r="E115" s="45">
        <v>96.0</v>
      </c>
      <c r="F115" s="35"/>
      <c r="G115" s="35"/>
    </row>
    <row r="116">
      <c r="A116" s="35" t="s">
        <v>232</v>
      </c>
      <c r="B116" s="35" t="s">
        <v>296</v>
      </c>
      <c r="C116" s="35" t="s">
        <v>299</v>
      </c>
      <c r="D116" s="45">
        <v>24.0</v>
      </c>
      <c r="E116" s="45">
        <v>97.0</v>
      </c>
      <c r="F116" s="35"/>
      <c r="G116" s="35"/>
    </row>
    <row r="117">
      <c r="A117" s="35" t="s">
        <v>232</v>
      </c>
      <c r="B117" s="35" t="s">
        <v>296</v>
      </c>
      <c r="C117" s="35" t="s">
        <v>300</v>
      </c>
      <c r="D117" s="45">
        <v>24.0</v>
      </c>
      <c r="E117" s="45">
        <v>98.0</v>
      </c>
      <c r="F117" s="35"/>
      <c r="G117" s="35"/>
    </row>
    <row r="118">
      <c r="A118" s="35" t="s">
        <v>232</v>
      </c>
      <c r="B118" s="35" t="s">
        <v>296</v>
      </c>
      <c r="C118" s="35" t="s">
        <v>301</v>
      </c>
      <c r="D118" s="45">
        <v>24.0</v>
      </c>
      <c r="E118" s="45">
        <v>73.0</v>
      </c>
      <c r="F118" s="35" t="s">
        <v>302</v>
      </c>
      <c r="G118" s="35"/>
    </row>
    <row r="119">
      <c r="A119" s="35" t="s">
        <v>232</v>
      </c>
      <c r="B119" s="35" t="s">
        <v>296</v>
      </c>
      <c r="C119" s="35" t="s">
        <v>303</v>
      </c>
      <c r="D119" s="45">
        <v>24.0</v>
      </c>
      <c r="E119" s="45">
        <v>1.0</v>
      </c>
      <c r="F119" s="35" t="s">
        <v>304</v>
      </c>
      <c r="G119" s="35"/>
    </row>
    <row r="120">
      <c r="A120" s="35" t="s">
        <v>232</v>
      </c>
      <c r="B120" s="35" t="s">
        <v>296</v>
      </c>
      <c r="C120" s="35" t="s">
        <v>305</v>
      </c>
      <c r="D120" s="45">
        <v>24.0</v>
      </c>
      <c r="E120" s="45">
        <v>76.0</v>
      </c>
      <c r="F120" s="35" t="s">
        <v>306</v>
      </c>
      <c r="G120" s="35"/>
    </row>
    <row r="121">
      <c r="A121" s="35" t="s">
        <v>307</v>
      </c>
      <c r="B121" s="35" t="s">
        <v>136</v>
      </c>
      <c r="C121" s="35" t="s">
        <v>308</v>
      </c>
      <c r="D121" s="45">
        <v>271.0</v>
      </c>
      <c r="E121" s="45">
        <v>4.0</v>
      </c>
      <c r="F121" s="35"/>
      <c r="G121" s="35"/>
    </row>
    <row r="122">
      <c r="A122" s="35" t="s">
        <v>307</v>
      </c>
      <c r="B122" s="35" t="s">
        <v>136</v>
      </c>
      <c r="C122" s="35" t="s">
        <v>309</v>
      </c>
      <c r="D122" s="45">
        <v>271.0</v>
      </c>
      <c r="E122" s="45">
        <v>5.0</v>
      </c>
      <c r="F122" s="35"/>
      <c r="G122" s="35"/>
    </row>
    <row r="123">
      <c r="A123" s="35" t="s">
        <v>307</v>
      </c>
      <c r="B123" s="35" t="s">
        <v>136</v>
      </c>
      <c r="C123" s="35" t="s">
        <v>310</v>
      </c>
      <c r="D123" s="45">
        <v>271.0</v>
      </c>
      <c r="E123" s="45">
        <v>6.0</v>
      </c>
      <c r="F123" s="35"/>
      <c r="G123" s="35"/>
    </row>
    <row r="124">
      <c r="A124" s="35" t="s">
        <v>307</v>
      </c>
      <c r="B124" s="35" t="s">
        <v>136</v>
      </c>
      <c r="C124" s="35" t="s">
        <v>311</v>
      </c>
      <c r="D124" s="45">
        <v>271.0</v>
      </c>
      <c r="E124" s="45">
        <v>7.0</v>
      </c>
      <c r="F124" s="35"/>
      <c r="G124" s="35"/>
    </row>
    <row r="125">
      <c r="A125" s="35" t="s">
        <v>307</v>
      </c>
      <c r="B125" s="35" t="s">
        <v>136</v>
      </c>
      <c r="C125" s="35" t="s">
        <v>312</v>
      </c>
      <c r="D125" s="45">
        <v>271.0</v>
      </c>
      <c r="E125" s="45">
        <v>8.0</v>
      </c>
      <c r="F125" s="35"/>
      <c r="G125" s="35"/>
    </row>
    <row r="126">
      <c r="A126" s="35" t="s">
        <v>307</v>
      </c>
      <c r="B126" s="35" t="s">
        <v>168</v>
      </c>
      <c r="C126" s="35" t="s">
        <v>313</v>
      </c>
      <c r="D126" s="45">
        <v>263.0</v>
      </c>
      <c r="E126" s="45">
        <v>4.0</v>
      </c>
      <c r="F126" s="35"/>
      <c r="G126" s="35"/>
    </row>
    <row r="127">
      <c r="A127" s="35" t="s">
        <v>307</v>
      </c>
      <c r="B127" s="35" t="s">
        <v>168</v>
      </c>
      <c r="C127" s="35" t="s">
        <v>314</v>
      </c>
      <c r="D127" s="45">
        <v>263.0</v>
      </c>
      <c r="E127" s="45">
        <v>5.0</v>
      </c>
      <c r="F127" s="35"/>
      <c r="G127" s="35"/>
    </row>
    <row r="128">
      <c r="A128" s="35" t="s">
        <v>307</v>
      </c>
      <c r="B128" s="35" t="s">
        <v>168</v>
      </c>
      <c r="C128" s="35" t="s">
        <v>315</v>
      </c>
      <c r="D128" s="45">
        <v>263.0</v>
      </c>
      <c r="E128" s="45">
        <v>6.0</v>
      </c>
      <c r="F128" s="35"/>
      <c r="G128" s="35"/>
    </row>
    <row r="129">
      <c r="A129" s="35" t="s">
        <v>307</v>
      </c>
      <c r="B129" s="35" t="s">
        <v>168</v>
      </c>
      <c r="C129" s="35" t="s">
        <v>316</v>
      </c>
      <c r="D129" s="45">
        <v>263.0</v>
      </c>
      <c r="E129" s="45">
        <v>7.0</v>
      </c>
      <c r="F129" s="35"/>
      <c r="G129" s="35"/>
    </row>
    <row r="130">
      <c r="A130" s="35" t="s">
        <v>307</v>
      </c>
      <c r="B130" s="35" t="s">
        <v>168</v>
      </c>
      <c r="C130" s="35" t="s">
        <v>317</v>
      </c>
      <c r="D130" s="45">
        <v>263.0</v>
      </c>
      <c r="E130" s="45">
        <v>9.0</v>
      </c>
      <c r="F130" s="35" t="s">
        <v>318</v>
      </c>
      <c r="G130" s="35"/>
    </row>
    <row r="131">
      <c r="A131" s="35" t="s">
        <v>307</v>
      </c>
      <c r="B131" s="35" t="s">
        <v>168</v>
      </c>
      <c r="C131" s="35" t="s">
        <v>319</v>
      </c>
      <c r="D131" s="45">
        <v>263.0</v>
      </c>
      <c r="E131" s="45">
        <v>11.0</v>
      </c>
      <c r="F131" s="35" t="s">
        <v>320</v>
      </c>
      <c r="G131" s="35"/>
    </row>
    <row r="132">
      <c r="A132" s="35" t="s">
        <v>307</v>
      </c>
      <c r="B132" s="35" t="s">
        <v>321</v>
      </c>
      <c r="C132" s="35" t="s">
        <v>322</v>
      </c>
      <c r="D132" s="45">
        <v>289.0</v>
      </c>
      <c r="E132" s="45">
        <v>20.0</v>
      </c>
      <c r="F132" s="35"/>
      <c r="G132" s="35"/>
    </row>
    <row r="133">
      <c r="A133" s="35" t="s">
        <v>307</v>
      </c>
      <c r="B133" s="35" t="s">
        <v>321</v>
      </c>
      <c r="C133" s="35" t="s">
        <v>323</v>
      </c>
      <c r="D133" s="45">
        <v>289.0</v>
      </c>
      <c r="E133" s="45">
        <v>21.0</v>
      </c>
      <c r="F133" s="35"/>
      <c r="G133" s="35"/>
    </row>
    <row r="134">
      <c r="A134" s="35" t="s">
        <v>307</v>
      </c>
      <c r="B134" s="35" t="s">
        <v>321</v>
      </c>
      <c r="C134" s="35" t="s">
        <v>324</v>
      </c>
      <c r="D134" s="45">
        <v>289.0</v>
      </c>
      <c r="E134" s="45">
        <v>22.0</v>
      </c>
      <c r="F134" s="35"/>
      <c r="G134" s="35"/>
    </row>
    <row r="135">
      <c r="A135" s="35" t="s">
        <v>307</v>
      </c>
      <c r="B135" s="35" t="s">
        <v>321</v>
      </c>
      <c r="C135" s="35" t="s">
        <v>325</v>
      </c>
      <c r="D135" s="45">
        <v>289.0</v>
      </c>
      <c r="E135" s="45">
        <v>23.0</v>
      </c>
      <c r="F135" s="35"/>
      <c r="G135" s="35"/>
    </row>
    <row r="136">
      <c r="A136" s="35" t="s">
        <v>307</v>
      </c>
      <c r="B136" s="35" t="s">
        <v>321</v>
      </c>
      <c r="C136" s="35" t="s">
        <v>326</v>
      </c>
      <c r="D136" s="45">
        <v>289.0</v>
      </c>
      <c r="E136" s="45">
        <v>1.0</v>
      </c>
      <c r="F136" s="35" t="s">
        <v>327</v>
      </c>
      <c r="G136" s="35"/>
    </row>
    <row r="137">
      <c r="A137" s="35" t="s">
        <v>307</v>
      </c>
      <c r="B137" s="35" t="s">
        <v>321</v>
      </c>
      <c r="C137" s="35" t="s">
        <v>328</v>
      </c>
      <c r="D137" s="45">
        <v>289.0</v>
      </c>
      <c r="E137" s="45">
        <v>25.0</v>
      </c>
      <c r="F137" s="35" t="s">
        <v>329</v>
      </c>
      <c r="G137" s="35"/>
    </row>
    <row r="138">
      <c r="A138" s="35" t="s">
        <v>307</v>
      </c>
      <c r="B138" s="35" t="s">
        <v>186</v>
      </c>
      <c r="C138" s="35" t="s">
        <v>330</v>
      </c>
      <c r="D138" s="45">
        <v>266.0</v>
      </c>
      <c r="E138" s="45">
        <v>1.0</v>
      </c>
      <c r="F138" s="35"/>
      <c r="G138" s="35"/>
    </row>
    <row r="139">
      <c r="A139" s="35" t="s">
        <v>307</v>
      </c>
      <c r="B139" s="35" t="s">
        <v>186</v>
      </c>
      <c r="C139" s="35" t="s">
        <v>331</v>
      </c>
      <c r="D139" s="45">
        <v>266.0</v>
      </c>
      <c r="E139" s="45">
        <v>2.0</v>
      </c>
      <c r="F139" s="35"/>
      <c r="G139" s="35"/>
    </row>
    <row r="140">
      <c r="A140" s="35" t="s">
        <v>307</v>
      </c>
      <c r="B140" s="35" t="s">
        <v>186</v>
      </c>
      <c r="C140" s="35" t="s">
        <v>332</v>
      </c>
      <c r="D140" s="45">
        <v>266.0</v>
      </c>
      <c r="E140" s="45">
        <v>3.0</v>
      </c>
      <c r="F140" s="35"/>
      <c r="G140" s="35"/>
    </row>
    <row r="141">
      <c r="A141" s="35" t="s">
        <v>307</v>
      </c>
      <c r="B141" s="35" t="s">
        <v>186</v>
      </c>
      <c r="C141" s="35" t="s">
        <v>333</v>
      </c>
      <c r="D141" s="45">
        <v>266.0</v>
      </c>
      <c r="E141" s="45">
        <v>4.0</v>
      </c>
      <c r="F141" s="35"/>
      <c r="G141" s="35"/>
    </row>
    <row r="142">
      <c r="A142" s="35" t="s">
        <v>307</v>
      </c>
      <c r="B142" s="35" t="s">
        <v>186</v>
      </c>
      <c r="C142" s="35" t="s">
        <v>334</v>
      </c>
      <c r="D142" s="45">
        <v>266.0</v>
      </c>
      <c r="E142" s="45">
        <v>5.0</v>
      </c>
      <c r="F142" s="35" t="s">
        <v>335</v>
      </c>
      <c r="G142" s="35"/>
    </row>
    <row r="143">
      <c r="A143" s="35" t="s">
        <v>307</v>
      </c>
      <c r="B143" s="35" t="s">
        <v>66</v>
      </c>
      <c r="C143" s="35" t="s">
        <v>336</v>
      </c>
      <c r="D143" s="45">
        <v>279.0</v>
      </c>
      <c r="E143" s="45">
        <v>3.0</v>
      </c>
      <c r="F143" s="35"/>
      <c r="G143" s="35"/>
    </row>
    <row r="144">
      <c r="A144" s="35" t="s">
        <v>307</v>
      </c>
      <c r="B144" s="35" t="s">
        <v>66</v>
      </c>
      <c r="C144" s="35" t="s">
        <v>337</v>
      </c>
      <c r="D144" s="45">
        <v>279.0</v>
      </c>
      <c r="E144" s="45">
        <v>4.0</v>
      </c>
      <c r="F144" s="35"/>
      <c r="G144" s="35"/>
    </row>
    <row r="145">
      <c r="A145" s="35" t="s">
        <v>307</v>
      </c>
      <c r="B145" s="35" t="s">
        <v>66</v>
      </c>
      <c r="C145" s="35" t="s">
        <v>338</v>
      </c>
      <c r="D145" s="45">
        <v>279.0</v>
      </c>
      <c r="E145" s="45">
        <v>5.0</v>
      </c>
      <c r="F145" s="35"/>
      <c r="G145" s="35"/>
    </row>
    <row r="146">
      <c r="A146" s="35" t="s">
        <v>307</v>
      </c>
      <c r="B146" s="35" t="s">
        <v>66</v>
      </c>
      <c r="C146" s="35" t="s">
        <v>339</v>
      </c>
      <c r="D146" s="45">
        <v>279.0</v>
      </c>
      <c r="E146" s="45">
        <v>6.0</v>
      </c>
      <c r="F146" s="35"/>
      <c r="G146" s="35"/>
    </row>
    <row r="147">
      <c r="A147" s="35" t="s">
        <v>307</v>
      </c>
      <c r="B147" s="35" t="s">
        <v>66</v>
      </c>
      <c r="C147" s="35" t="s">
        <v>340</v>
      </c>
      <c r="D147" s="45">
        <v>279.0</v>
      </c>
      <c r="E147" s="45">
        <v>9.0</v>
      </c>
      <c r="F147" s="35" t="s">
        <v>341</v>
      </c>
      <c r="G147" s="35"/>
    </row>
    <row r="148">
      <c r="A148" s="35" t="s">
        <v>307</v>
      </c>
      <c r="B148" s="35" t="s">
        <v>66</v>
      </c>
      <c r="C148" s="35" t="s">
        <v>342</v>
      </c>
      <c r="D148" s="45">
        <v>279.0</v>
      </c>
      <c r="E148" s="45">
        <v>10.0</v>
      </c>
      <c r="F148" s="35" t="s">
        <v>343</v>
      </c>
      <c r="G148" s="35"/>
    </row>
    <row r="149">
      <c r="A149" s="35" t="s">
        <v>307</v>
      </c>
      <c r="B149" s="35" t="s">
        <v>203</v>
      </c>
      <c r="C149" s="35" t="s">
        <v>344</v>
      </c>
      <c r="D149" s="45">
        <v>10.0</v>
      </c>
      <c r="E149" s="45">
        <v>95.0</v>
      </c>
      <c r="F149" s="35"/>
      <c r="G149" s="35"/>
    </row>
    <row r="150">
      <c r="A150" s="35" t="s">
        <v>307</v>
      </c>
      <c r="B150" s="35" t="s">
        <v>203</v>
      </c>
      <c r="C150" s="35" t="s">
        <v>345</v>
      </c>
      <c r="D150" s="45">
        <v>10.0</v>
      </c>
      <c r="E150" s="45">
        <v>96.0</v>
      </c>
      <c r="F150" s="35"/>
      <c r="G150" s="35"/>
    </row>
    <row r="151">
      <c r="A151" s="35" t="s">
        <v>307</v>
      </c>
      <c r="B151" s="35" t="s">
        <v>203</v>
      </c>
      <c r="C151" s="35" t="s">
        <v>346</v>
      </c>
      <c r="D151" s="45">
        <v>10.0</v>
      </c>
      <c r="E151" s="45">
        <v>97.0</v>
      </c>
      <c r="F151" s="35"/>
      <c r="G151" s="35"/>
    </row>
    <row r="152">
      <c r="A152" s="35" t="s">
        <v>307</v>
      </c>
      <c r="B152" s="35" t="s">
        <v>203</v>
      </c>
      <c r="C152" s="35" t="s">
        <v>347</v>
      </c>
      <c r="D152" s="45">
        <v>10.0</v>
      </c>
      <c r="E152" s="45">
        <v>98.0</v>
      </c>
      <c r="F152" s="35"/>
      <c r="G152" s="35"/>
    </row>
    <row r="153">
      <c r="A153" s="35" t="s">
        <v>307</v>
      </c>
      <c r="B153" s="35" t="s">
        <v>203</v>
      </c>
      <c r="C153" s="35" t="s">
        <v>348</v>
      </c>
      <c r="D153" s="45">
        <v>10.0</v>
      </c>
      <c r="E153" s="45">
        <v>1.0</v>
      </c>
      <c r="F153" s="35" t="s">
        <v>349</v>
      </c>
      <c r="G153" s="35"/>
    </row>
    <row r="154">
      <c r="A154" s="35" t="s">
        <v>307</v>
      </c>
      <c r="B154" s="35" t="s">
        <v>203</v>
      </c>
      <c r="C154" s="35" t="s">
        <v>350</v>
      </c>
      <c r="D154" s="45">
        <v>10.0</v>
      </c>
      <c r="E154" s="45">
        <v>100.0</v>
      </c>
      <c r="F154" s="35" t="s">
        <v>351</v>
      </c>
      <c r="G154" s="35"/>
    </row>
    <row r="155">
      <c r="A155" s="35" t="s">
        <v>307</v>
      </c>
      <c r="B155" s="35" t="s">
        <v>203</v>
      </c>
      <c r="C155" s="35" t="s">
        <v>352</v>
      </c>
      <c r="D155" s="45">
        <v>10.0</v>
      </c>
      <c r="E155" s="45">
        <v>57.0</v>
      </c>
      <c r="F155" s="35" t="s">
        <v>353</v>
      </c>
      <c r="G155" s="35"/>
    </row>
    <row r="156">
      <c r="A156" s="50" t="s">
        <v>307</v>
      </c>
      <c r="B156" s="50" t="s">
        <v>203</v>
      </c>
      <c r="C156" s="51" t="s">
        <v>354</v>
      </c>
      <c r="D156" s="52">
        <v>10.0</v>
      </c>
      <c r="E156" s="53">
        <v>80.0</v>
      </c>
      <c r="F156" s="51" t="s">
        <v>355</v>
      </c>
      <c r="G156" s="51" t="s">
        <v>356</v>
      </c>
    </row>
    <row r="157">
      <c r="A157" s="35" t="s">
        <v>307</v>
      </c>
      <c r="B157" s="35" t="s">
        <v>214</v>
      </c>
      <c r="C157" s="35" t="s">
        <v>357</v>
      </c>
      <c r="D157" s="45">
        <v>21.0</v>
      </c>
      <c r="E157" s="45">
        <v>58.0</v>
      </c>
      <c r="F157" s="35"/>
      <c r="G157" s="35"/>
    </row>
    <row r="158">
      <c r="A158" s="35" t="s">
        <v>307</v>
      </c>
      <c r="B158" s="35" t="s">
        <v>214</v>
      </c>
      <c r="C158" s="35" t="s">
        <v>358</v>
      </c>
      <c r="D158" s="45">
        <v>21.0</v>
      </c>
      <c r="E158" s="45">
        <v>96.0</v>
      </c>
      <c r="F158" s="35"/>
      <c r="G158" s="35"/>
    </row>
    <row r="159">
      <c r="A159" s="35" t="s">
        <v>307</v>
      </c>
      <c r="B159" s="35" t="s">
        <v>214</v>
      </c>
      <c r="C159" s="35" t="s">
        <v>359</v>
      </c>
      <c r="D159" s="45">
        <v>21.0</v>
      </c>
      <c r="E159" s="45">
        <v>97.0</v>
      </c>
      <c r="F159" s="35"/>
      <c r="G159" s="35"/>
    </row>
    <row r="160">
      <c r="A160" s="35" t="s">
        <v>307</v>
      </c>
      <c r="B160" s="35" t="s">
        <v>214</v>
      </c>
      <c r="C160" s="35" t="s">
        <v>360</v>
      </c>
      <c r="D160" s="45">
        <v>21.0</v>
      </c>
      <c r="E160" s="45">
        <v>98.0</v>
      </c>
      <c r="F160" s="35"/>
      <c r="G160" s="35"/>
    </row>
    <row r="161">
      <c r="A161" s="35" t="s">
        <v>307</v>
      </c>
      <c r="B161" s="35" t="s">
        <v>214</v>
      </c>
      <c r="C161" s="35" t="s">
        <v>361</v>
      </c>
      <c r="D161" s="45">
        <v>21.0</v>
      </c>
      <c r="E161" s="45">
        <v>83.0</v>
      </c>
      <c r="F161" s="35" t="s">
        <v>362</v>
      </c>
      <c r="G161" s="35" t="s">
        <v>156</v>
      </c>
    </row>
    <row r="162">
      <c r="A162" s="35" t="s">
        <v>307</v>
      </c>
      <c r="B162" s="35" t="s">
        <v>214</v>
      </c>
      <c r="C162" s="35" t="s">
        <v>363</v>
      </c>
      <c r="D162" s="45">
        <v>21.0</v>
      </c>
      <c r="E162" s="45">
        <v>60.0</v>
      </c>
      <c r="F162" s="35" t="s">
        <v>364</v>
      </c>
      <c r="G162" s="35"/>
    </row>
    <row r="163">
      <c r="A163" s="35" t="s">
        <v>307</v>
      </c>
      <c r="B163" s="35" t="s">
        <v>214</v>
      </c>
      <c r="C163" s="35" t="s">
        <v>365</v>
      </c>
      <c r="D163" s="45">
        <v>21.0</v>
      </c>
      <c r="E163" s="45">
        <v>63.0</v>
      </c>
      <c r="F163" s="35" t="s">
        <v>366</v>
      </c>
      <c r="G163" s="35"/>
    </row>
    <row r="164">
      <c r="A164" s="35" t="s">
        <v>307</v>
      </c>
      <c r="B164" s="35" t="s">
        <v>296</v>
      </c>
      <c r="C164" s="35" t="s">
        <v>367</v>
      </c>
      <c r="D164" s="45">
        <v>25.0</v>
      </c>
      <c r="E164" s="45">
        <v>95.0</v>
      </c>
      <c r="F164" s="35"/>
      <c r="G164" s="35"/>
    </row>
    <row r="165">
      <c r="A165" s="35" t="s">
        <v>307</v>
      </c>
      <c r="B165" s="35" t="s">
        <v>296</v>
      </c>
      <c r="C165" s="35" t="s">
        <v>368</v>
      </c>
      <c r="D165" s="45">
        <v>25.0</v>
      </c>
      <c r="E165" s="45">
        <v>96.0</v>
      </c>
      <c r="F165" s="35"/>
      <c r="G165" s="35"/>
    </row>
    <row r="166">
      <c r="A166" s="35" t="s">
        <v>307</v>
      </c>
      <c r="B166" s="35" t="s">
        <v>296</v>
      </c>
      <c r="C166" s="35" t="s">
        <v>369</v>
      </c>
      <c r="D166" s="45">
        <v>25.0</v>
      </c>
      <c r="E166" s="45">
        <v>97.0</v>
      </c>
      <c r="F166" s="35"/>
      <c r="G166" s="35"/>
    </row>
    <row r="167">
      <c r="A167" s="35" t="s">
        <v>307</v>
      </c>
      <c r="B167" s="35" t="s">
        <v>296</v>
      </c>
      <c r="C167" s="35" t="s">
        <v>370</v>
      </c>
      <c r="D167" s="45">
        <v>25.0</v>
      </c>
      <c r="E167" s="45">
        <v>98.0</v>
      </c>
      <c r="F167" s="35"/>
      <c r="G167" s="35"/>
    </row>
    <row r="168">
      <c r="A168" s="35" t="s">
        <v>307</v>
      </c>
      <c r="B168" s="35" t="s">
        <v>296</v>
      </c>
      <c r="C168" s="35" t="s">
        <v>371</v>
      </c>
      <c r="D168" s="45">
        <v>25.0</v>
      </c>
      <c r="E168" s="45">
        <v>80.0</v>
      </c>
      <c r="F168" s="35" t="s">
        <v>372</v>
      </c>
      <c r="G168" s="35"/>
    </row>
    <row r="169">
      <c r="A169" s="35" t="s">
        <v>307</v>
      </c>
      <c r="B169" s="35" t="s">
        <v>296</v>
      </c>
      <c r="C169" s="35" t="s">
        <v>373</v>
      </c>
      <c r="D169" s="45">
        <v>25.0</v>
      </c>
      <c r="E169" s="45">
        <v>59.0</v>
      </c>
      <c r="F169" s="35" t="s">
        <v>374</v>
      </c>
      <c r="G169" s="35"/>
    </row>
    <row r="170">
      <c r="A170" s="35" t="s">
        <v>307</v>
      </c>
      <c r="B170" s="35" t="s">
        <v>296</v>
      </c>
      <c r="C170" s="35" t="s">
        <v>375</v>
      </c>
      <c r="D170" s="45">
        <v>25.0</v>
      </c>
      <c r="E170" s="45">
        <v>61.0</v>
      </c>
      <c r="F170" s="35" t="s">
        <v>376</v>
      </c>
      <c r="G170" s="35"/>
    </row>
    <row r="171">
      <c r="A171" s="38" t="s">
        <v>377</v>
      </c>
      <c r="B171" s="38" t="s">
        <v>378</v>
      </c>
      <c r="C171" s="35" t="s">
        <v>379</v>
      </c>
      <c r="D171" s="45">
        <v>255.0</v>
      </c>
      <c r="E171" s="45">
        <v>69.0</v>
      </c>
      <c r="F171" s="35"/>
      <c r="G171" s="35"/>
    </row>
    <row r="172">
      <c r="A172" s="38" t="s">
        <v>377</v>
      </c>
      <c r="B172" s="38" t="s">
        <v>378</v>
      </c>
      <c r="C172" s="35" t="s">
        <v>380</v>
      </c>
      <c r="D172" s="45">
        <v>255.0</v>
      </c>
      <c r="E172" s="45">
        <v>68.0</v>
      </c>
      <c r="F172" s="35"/>
      <c r="G172" s="35"/>
    </row>
    <row r="173">
      <c r="A173" s="38" t="s">
        <v>377</v>
      </c>
      <c r="B173" s="38" t="s">
        <v>378</v>
      </c>
      <c r="C173" s="35" t="s">
        <v>381</v>
      </c>
      <c r="D173" s="45">
        <v>255.0</v>
      </c>
      <c r="E173" s="45">
        <v>67.0</v>
      </c>
      <c r="F173" s="35"/>
      <c r="G173" s="35"/>
    </row>
    <row r="174">
      <c r="A174" s="38" t="s">
        <v>377</v>
      </c>
      <c r="B174" s="38" t="s">
        <v>378</v>
      </c>
      <c r="C174" s="35" t="s">
        <v>382</v>
      </c>
      <c r="D174" s="45">
        <v>255.0</v>
      </c>
      <c r="E174" s="45">
        <v>25.0</v>
      </c>
      <c r="F174" s="35" t="s">
        <v>383</v>
      </c>
      <c r="G174" s="35"/>
    </row>
    <row r="175">
      <c r="A175" s="38" t="s">
        <v>377</v>
      </c>
      <c r="B175" s="38" t="s">
        <v>378</v>
      </c>
      <c r="C175" s="35" t="s">
        <v>384</v>
      </c>
      <c r="D175" s="45">
        <v>255.0</v>
      </c>
      <c r="E175" s="45">
        <v>24.0</v>
      </c>
      <c r="F175" s="35" t="s">
        <v>385</v>
      </c>
      <c r="G175" s="35"/>
    </row>
    <row r="176">
      <c r="A176" s="38" t="s">
        <v>377</v>
      </c>
      <c r="B176" s="38" t="s">
        <v>378</v>
      </c>
      <c r="C176" s="35" t="s">
        <v>386</v>
      </c>
      <c r="D176" s="45">
        <v>255.0</v>
      </c>
      <c r="E176" s="45">
        <v>23.0</v>
      </c>
      <c r="F176" s="35" t="s">
        <v>387</v>
      </c>
      <c r="G176" s="35"/>
    </row>
    <row r="177">
      <c r="A177" s="38" t="s">
        <v>377</v>
      </c>
      <c r="B177" s="38" t="s">
        <v>378</v>
      </c>
      <c r="C177" s="35" t="s">
        <v>388</v>
      </c>
      <c r="D177" s="45">
        <v>255.0</v>
      </c>
      <c r="E177" s="45">
        <v>22.0</v>
      </c>
      <c r="F177" s="35" t="s">
        <v>389</v>
      </c>
      <c r="G177" s="35"/>
    </row>
    <row r="178">
      <c r="A178" s="38" t="s">
        <v>377</v>
      </c>
      <c r="B178" s="38" t="s">
        <v>378</v>
      </c>
      <c r="C178" s="35" t="s">
        <v>390</v>
      </c>
      <c r="D178" s="45">
        <v>255.0</v>
      </c>
      <c r="E178" s="45">
        <v>21.0</v>
      </c>
      <c r="F178" s="35" t="s">
        <v>391</v>
      </c>
      <c r="G178" s="35"/>
    </row>
    <row r="179">
      <c r="A179" s="38" t="s">
        <v>377</v>
      </c>
      <c r="B179" s="38" t="s">
        <v>378</v>
      </c>
      <c r="C179" s="35" t="s">
        <v>392</v>
      </c>
      <c r="D179" s="45">
        <v>255.0</v>
      </c>
      <c r="E179" s="45">
        <v>20.0</v>
      </c>
      <c r="F179" s="35" t="s">
        <v>393</v>
      </c>
      <c r="G179" s="35"/>
    </row>
    <row r="180">
      <c r="A180" s="51" t="s">
        <v>377</v>
      </c>
      <c r="B180" s="51" t="s">
        <v>378</v>
      </c>
      <c r="C180" s="51" t="s">
        <v>394</v>
      </c>
      <c r="D180" s="53">
        <v>255.0</v>
      </c>
      <c r="E180" s="53">
        <v>539.0</v>
      </c>
      <c r="F180" s="51" t="s">
        <v>395</v>
      </c>
      <c r="G180" s="51" t="s">
        <v>356</v>
      </c>
    </row>
    <row r="181">
      <c r="A181" s="38" t="s">
        <v>377</v>
      </c>
      <c r="B181" s="38" t="s">
        <v>378</v>
      </c>
      <c r="C181" s="35" t="s">
        <v>396</v>
      </c>
      <c r="D181" s="45">
        <v>255.0</v>
      </c>
      <c r="E181" s="45">
        <v>70.0</v>
      </c>
      <c r="F181" s="35"/>
      <c r="G181" s="35"/>
    </row>
    <row r="182">
      <c r="A182" s="38" t="s">
        <v>397</v>
      </c>
      <c r="B182" s="38" t="s">
        <v>378</v>
      </c>
      <c r="C182" s="35" t="s">
        <v>398</v>
      </c>
      <c r="D182" s="45">
        <v>259.0</v>
      </c>
      <c r="E182" s="45">
        <v>223.0</v>
      </c>
      <c r="F182" s="35"/>
      <c r="G182" s="35"/>
    </row>
    <row r="183">
      <c r="A183" s="38" t="s">
        <v>397</v>
      </c>
      <c r="B183" s="38" t="s">
        <v>378</v>
      </c>
      <c r="C183" s="35" t="s">
        <v>399</v>
      </c>
      <c r="D183" s="45">
        <v>259.0</v>
      </c>
      <c r="E183" s="45">
        <v>222.0</v>
      </c>
      <c r="F183" s="35"/>
      <c r="G183" s="35"/>
    </row>
    <row r="184">
      <c r="A184" s="38" t="s">
        <v>397</v>
      </c>
      <c r="B184" s="38" t="s">
        <v>378</v>
      </c>
      <c r="C184" s="35" t="s">
        <v>400</v>
      </c>
      <c r="D184" s="45">
        <v>259.0</v>
      </c>
      <c r="E184" s="45">
        <v>221.0</v>
      </c>
      <c r="F184" s="35"/>
      <c r="G184" s="35"/>
    </row>
    <row r="185">
      <c r="A185" s="38" t="s">
        <v>397</v>
      </c>
      <c r="B185" s="38" t="s">
        <v>378</v>
      </c>
      <c r="C185" s="35" t="s">
        <v>401</v>
      </c>
      <c r="D185" s="45">
        <v>259.0</v>
      </c>
      <c r="E185" s="45">
        <v>26.0</v>
      </c>
      <c r="F185" s="35" t="s">
        <v>402</v>
      </c>
      <c r="G185" s="35"/>
    </row>
    <row r="186">
      <c r="A186" s="38" t="s">
        <v>397</v>
      </c>
      <c r="B186" s="38" t="s">
        <v>378</v>
      </c>
      <c r="C186" s="35" t="s">
        <v>403</v>
      </c>
      <c r="D186" s="45">
        <v>259.0</v>
      </c>
      <c r="E186" s="45">
        <v>25.0</v>
      </c>
      <c r="F186" s="35" t="s">
        <v>404</v>
      </c>
      <c r="G186" s="35"/>
    </row>
    <row r="187">
      <c r="A187" s="38" t="s">
        <v>397</v>
      </c>
      <c r="B187" s="38" t="s">
        <v>378</v>
      </c>
      <c r="C187" s="35" t="s">
        <v>405</v>
      </c>
      <c r="D187" s="45">
        <v>259.0</v>
      </c>
      <c r="E187" s="45">
        <v>24.0</v>
      </c>
      <c r="F187" s="35" t="s">
        <v>406</v>
      </c>
      <c r="G187" s="35"/>
    </row>
    <row r="188">
      <c r="A188" s="38" t="s">
        <v>397</v>
      </c>
      <c r="B188" s="38" t="s">
        <v>378</v>
      </c>
      <c r="C188" s="35" t="s">
        <v>407</v>
      </c>
      <c r="D188" s="45">
        <v>259.0</v>
      </c>
      <c r="E188" s="45">
        <v>23.0</v>
      </c>
      <c r="F188" s="35" t="s">
        <v>408</v>
      </c>
      <c r="G188" s="35"/>
    </row>
    <row r="189">
      <c r="A189" s="38" t="s">
        <v>397</v>
      </c>
      <c r="B189" s="38" t="s">
        <v>378</v>
      </c>
      <c r="C189" s="35" t="s">
        <v>409</v>
      </c>
      <c r="D189" s="45">
        <v>259.0</v>
      </c>
      <c r="E189" s="45">
        <v>22.0</v>
      </c>
      <c r="F189" s="35" t="s">
        <v>410</v>
      </c>
      <c r="G189" s="35"/>
    </row>
    <row r="190">
      <c r="A190" s="38" t="s">
        <v>397</v>
      </c>
      <c r="B190" s="38" t="s">
        <v>378</v>
      </c>
      <c r="C190" s="35" t="s">
        <v>411</v>
      </c>
      <c r="D190" s="45">
        <v>259.0</v>
      </c>
      <c r="E190" s="45">
        <v>21.0</v>
      </c>
      <c r="F190" s="35" t="s">
        <v>412</v>
      </c>
      <c r="G190" s="35"/>
    </row>
    <row r="191">
      <c r="A191" s="51" t="s">
        <v>397</v>
      </c>
      <c r="B191" s="51" t="s">
        <v>378</v>
      </c>
      <c r="C191" s="51" t="s">
        <v>413</v>
      </c>
      <c r="D191" s="52">
        <v>259.0</v>
      </c>
      <c r="E191" s="53">
        <v>541.0</v>
      </c>
      <c r="F191" s="51" t="s">
        <v>414</v>
      </c>
      <c r="G191" s="51" t="s">
        <v>356</v>
      </c>
    </row>
    <row r="192">
      <c r="A192" s="38" t="s">
        <v>397</v>
      </c>
      <c r="B192" s="38" t="s">
        <v>378</v>
      </c>
      <c r="C192" s="35" t="s">
        <v>415</v>
      </c>
      <c r="D192" s="45">
        <v>259.0</v>
      </c>
      <c r="E192" s="45">
        <v>224.0</v>
      </c>
      <c r="F192" s="35"/>
      <c r="G192" s="35"/>
    </row>
    <row r="193">
      <c r="A193" s="38" t="s">
        <v>416</v>
      </c>
      <c r="B193" s="38" t="s">
        <v>378</v>
      </c>
      <c r="C193" s="35" t="s">
        <v>417</v>
      </c>
      <c r="D193" s="45">
        <v>256.0</v>
      </c>
      <c r="E193" s="45">
        <v>67.0</v>
      </c>
      <c r="F193" s="35"/>
      <c r="G193" s="35"/>
    </row>
    <row r="194">
      <c r="A194" s="38" t="s">
        <v>416</v>
      </c>
      <c r="B194" s="38" t="s">
        <v>378</v>
      </c>
      <c r="C194" s="35" t="s">
        <v>418</v>
      </c>
      <c r="D194" s="45">
        <v>256.0</v>
      </c>
      <c r="E194" s="45">
        <v>68.0</v>
      </c>
      <c r="F194" s="35"/>
      <c r="G194" s="35"/>
    </row>
    <row r="195">
      <c r="A195" s="38" t="s">
        <v>416</v>
      </c>
      <c r="B195" s="38" t="s">
        <v>378</v>
      </c>
      <c r="C195" s="35" t="s">
        <v>419</v>
      </c>
      <c r="D195" s="45">
        <v>256.0</v>
      </c>
      <c r="E195" s="45">
        <v>69.0</v>
      </c>
      <c r="F195" s="35"/>
      <c r="G195" s="35"/>
    </row>
    <row r="196">
      <c r="A196" s="38" t="s">
        <v>416</v>
      </c>
      <c r="B196" s="38" t="s">
        <v>378</v>
      </c>
      <c r="C196" s="35" t="s">
        <v>420</v>
      </c>
      <c r="D196" s="45">
        <v>256.0</v>
      </c>
      <c r="E196" s="45">
        <v>26.0</v>
      </c>
      <c r="F196" s="35" t="s">
        <v>421</v>
      </c>
      <c r="G196" s="35"/>
    </row>
    <row r="197">
      <c r="A197" s="38" t="s">
        <v>416</v>
      </c>
      <c r="B197" s="38" t="s">
        <v>378</v>
      </c>
      <c r="C197" s="35" t="s">
        <v>422</v>
      </c>
      <c r="D197" s="45">
        <v>256.0</v>
      </c>
      <c r="E197" s="45">
        <v>25.0</v>
      </c>
      <c r="F197" s="35" t="s">
        <v>423</v>
      </c>
      <c r="G197" s="35"/>
    </row>
    <row r="198">
      <c r="A198" s="38" t="s">
        <v>416</v>
      </c>
      <c r="B198" s="38" t="s">
        <v>378</v>
      </c>
      <c r="C198" s="35" t="s">
        <v>424</v>
      </c>
      <c r="D198" s="45">
        <v>256.0</v>
      </c>
      <c r="E198" s="45">
        <v>24.0</v>
      </c>
      <c r="F198" s="35" t="s">
        <v>425</v>
      </c>
      <c r="G198" s="35"/>
    </row>
    <row r="199">
      <c r="A199" s="38" t="s">
        <v>416</v>
      </c>
      <c r="B199" s="38" t="s">
        <v>378</v>
      </c>
      <c r="C199" s="35" t="s">
        <v>426</v>
      </c>
      <c r="D199" s="45">
        <v>256.0</v>
      </c>
      <c r="E199" s="45">
        <v>23.0</v>
      </c>
      <c r="F199" s="35" t="s">
        <v>427</v>
      </c>
      <c r="G199" s="35"/>
    </row>
    <row r="200">
      <c r="A200" s="38" t="s">
        <v>416</v>
      </c>
      <c r="B200" s="38" t="s">
        <v>378</v>
      </c>
      <c r="C200" s="35" t="s">
        <v>428</v>
      </c>
      <c r="D200" s="45">
        <v>256.0</v>
      </c>
      <c r="E200" s="45">
        <v>22.0</v>
      </c>
      <c r="F200" s="35" t="s">
        <v>429</v>
      </c>
      <c r="G200" s="35"/>
    </row>
    <row r="201">
      <c r="A201" s="38" t="s">
        <v>416</v>
      </c>
      <c r="B201" s="38" t="s">
        <v>378</v>
      </c>
      <c r="C201" s="35" t="s">
        <v>430</v>
      </c>
      <c r="D201" s="45">
        <v>256.0</v>
      </c>
      <c r="E201" s="45">
        <v>21.0</v>
      </c>
      <c r="F201" s="35" t="s">
        <v>431</v>
      </c>
      <c r="G201" s="35"/>
    </row>
    <row r="202">
      <c r="A202" s="51" t="s">
        <v>416</v>
      </c>
      <c r="B202" s="51" t="s">
        <v>378</v>
      </c>
      <c r="C202" s="51" t="s">
        <v>432</v>
      </c>
      <c r="D202" s="52">
        <v>256.0</v>
      </c>
      <c r="E202" s="53">
        <v>538.0</v>
      </c>
      <c r="F202" s="51" t="s">
        <v>433</v>
      </c>
      <c r="G202" s="51" t="s">
        <v>356</v>
      </c>
    </row>
    <row r="203">
      <c r="A203" s="38" t="s">
        <v>416</v>
      </c>
      <c r="B203" s="38" t="s">
        <v>378</v>
      </c>
      <c r="C203" s="35" t="s">
        <v>434</v>
      </c>
      <c r="D203" s="45">
        <v>256.0</v>
      </c>
      <c r="E203" s="45">
        <v>66.0</v>
      </c>
      <c r="F203" s="35"/>
      <c r="G203" s="35"/>
    </row>
    <row r="204">
      <c r="A204" s="38" t="s">
        <v>435</v>
      </c>
      <c r="B204" s="38" t="s">
        <v>378</v>
      </c>
      <c r="C204" s="35" t="s">
        <v>436</v>
      </c>
      <c r="D204" s="45">
        <v>254.0</v>
      </c>
      <c r="E204" s="45">
        <v>218.0</v>
      </c>
      <c r="F204" s="35"/>
      <c r="G204" s="35"/>
    </row>
    <row r="205">
      <c r="A205" s="38" t="s">
        <v>435</v>
      </c>
      <c r="B205" s="38" t="s">
        <v>378</v>
      </c>
      <c r="C205" s="35" t="s">
        <v>437</v>
      </c>
      <c r="D205" s="45">
        <v>254.0</v>
      </c>
      <c r="E205" s="45">
        <v>219.0</v>
      </c>
      <c r="F205" s="35"/>
      <c r="G205" s="35"/>
    </row>
    <row r="206">
      <c r="A206" s="38" t="s">
        <v>435</v>
      </c>
      <c r="B206" s="38" t="s">
        <v>378</v>
      </c>
      <c r="C206" s="35" t="s">
        <v>438</v>
      </c>
      <c r="D206" s="45">
        <v>254.0</v>
      </c>
      <c r="E206" s="45">
        <v>220.0</v>
      </c>
      <c r="F206" s="35"/>
      <c r="G206" s="35"/>
    </row>
    <row r="207">
      <c r="A207" s="38" t="s">
        <v>435</v>
      </c>
      <c r="B207" s="38" t="s">
        <v>378</v>
      </c>
      <c r="C207" s="35" t="s">
        <v>439</v>
      </c>
      <c r="D207" s="45">
        <v>254.0</v>
      </c>
      <c r="E207" s="45">
        <v>56.0</v>
      </c>
      <c r="F207" s="35" t="s">
        <v>440</v>
      </c>
      <c r="G207" s="35"/>
    </row>
    <row r="208">
      <c r="A208" s="38" t="s">
        <v>435</v>
      </c>
      <c r="B208" s="38" t="s">
        <v>378</v>
      </c>
      <c r="C208" s="35" t="s">
        <v>441</v>
      </c>
      <c r="D208" s="45">
        <v>254.0</v>
      </c>
      <c r="E208" s="45">
        <v>55.0</v>
      </c>
      <c r="F208" s="35" t="s">
        <v>442</v>
      </c>
      <c r="G208" s="35"/>
    </row>
    <row r="209">
      <c r="A209" s="38" t="s">
        <v>435</v>
      </c>
      <c r="B209" s="38" t="s">
        <v>378</v>
      </c>
      <c r="C209" s="35" t="s">
        <v>443</v>
      </c>
      <c r="D209" s="45">
        <v>254.0</v>
      </c>
      <c r="E209" s="45">
        <v>54.0</v>
      </c>
      <c r="F209" s="35" t="s">
        <v>444</v>
      </c>
      <c r="G209" s="35"/>
    </row>
    <row r="210">
      <c r="A210" s="38" t="s">
        <v>435</v>
      </c>
      <c r="B210" s="38" t="s">
        <v>378</v>
      </c>
      <c r="C210" s="35" t="s">
        <v>445</v>
      </c>
      <c r="D210" s="45">
        <v>254.0</v>
      </c>
      <c r="E210" s="45">
        <v>53.0</v>
      </c>
      <c r="F210" s="35" t="s">
        <v>446</v>
      </c>
      <c r="G210" s="35"/>
    </row>
    <row r="211">
      <c r="A211" s="38" t="s">
        <v>435</v>
      </c>
      <c r="B211" s="38" t="s">
        <v>378</v>
      </c>
      <c r="C211" s="35" t="s">
        <v>447</v>
      </c>
      <c r="D211" s="45">
        <v>254.0</v>
      </c>
      <c r="E211" s="45">
        <v>52.0</v>
      </c>
      <c r="F211" s="35" t="s">
        <v>448</v>
      </c>
      <c r="G211" s="35"/>
    </row>
    <row r="212">
      <c r="A212" s="38" t="s">
        <v>435</v>
      </c>
      <c r="B212" s="38" t="s">
        <v>378</v>
      </c>
      <c r="C212" s="35" t="s">
        <v>449</v>
      </c>
      <c r="D212" s="45">
        <v>254.0</v>
      </c>
      <c r="E212" s="45">
        <v>51.0</v>
      </c>
      <c r="F212" s="35" t="s">
        <v>450</v>
      </c>
      <c r="G212" s="35"/>
    </row>
    <row r="213">
      <c r="A213" s="51" t="s">
        <v>435</v>
      </c>
      <c r="B213" s="51" t="s">
        <v>378</v>
      </c>
      <c r="C213" s="51" t="s">
        <v>451</v>
      </c>
      <c r="D213" s="52">
        <v>254.0</v>
      </c>
      <c r="E213" s="53">
        <v>537.0</v>
      </c>
      <c r="F213" s="51" t="s">
        <v>452</v>
      </c>
      <c r="G213" s="51" t="s">
        <v>356</v>
      </c>
    </row>
    <row r="214">
      <c r="A214" s="38" t="s">
        <v>435</v>
      </c>
      <c r="B214" s="38" t="s">
        <v>378</v>
      </c>
      <c r="C214" s="35" t="s">
        <v>453</v>
      </c>
      <c r="D214" s="45">
        <v>254.0</v>
      </c>
      <c r="E214" s="45">
        <v>217.0</v>
      </c>
      <c r="F214" s="35"/>
      <c r="G214" s="35"/>
    </row>
    <row r="215">
      <c r="A215" s="35" t="s">
        <v>454</v>
      </c>
      <c r="B215" s="35" t="s">
        <v>149</v>
      </c>
      <c r="C215" s="35" t="s">
        <v>455</v>
      </c>
      <c r="D215" s="45">
        <v>15.0</v>
      </c>
      <c r="E215" s="45">
        <v>95.0</v>
      </c>
      <c r="F215" s="35"/>
      <c r="G215" s="35"/>
    </row>
    <row r="216">
      <c r="A216" s="35" t="s">
        <v>454</v>
      </c>
      <c r="B216" s="35" t="s">
        <v>149</v>
      </c>
      <c r="C216" s="35" t="s">
        <v>456</v>
      </c>
      <c r="D216" s="45">
        <v>15.0</v>
      </c>
      <c r="E216" s="45">
        <v>96.0</v>
      </c>
      <c r="F216" s="35"/>
      <c r="G216" s="35"/>
    </row>
    <row r="217">
      <c r="A217" s="35" t="s">
        <v>454</v>
      </c>
      <c r="B217" s="35" t="s">
        <v>149</v>
      </c>
      <c r="C217" s="35" t="s">
        <v>457</v>
      </c>
      <c r="D217" s="45">
        <v>15.0</v>
      </c>
      <c r="E217" s="45">
        <v>97.0</v>
      </c>
      <c r="F217" s="35"/>
      <c r="G217" s="35"/>
    </row>
    <row r="218">
      <c r="A218" s="35" t="s">
        <v>454</v>
      </c>
      <c r="B218" s="35" t="s">
        <v>149</v>
      </c>
      <c r="C218" s="35" t="s">
        <v>458</v>
      </c>
      <c r="D218" s="45">
        <v>15.0</v>
      </c>
      <c r="E218" s="45">
        <v>98.0</v>
      </c>
      <c r="F218" s="35"/>
      <c r="G218" s="35"/>
    </row>
    <row r="219">
      <c r="A219" s="35" t="s">
        <v>454</v>
      </c>
      <c r="B219" s="35" t="s">
        <v>149</v>
      </c>
      <c r="C219" s="35" t="s">
        <v>459</v>
      </c>
      <c r="D219" s="45">
        <v>15.0</v>
      </c>
      <c r="E219" s="45">
        <v>75.0</v>
      </c>
      <c r="F219" s="35" t="s">
        <v>460</v>
      </c>
      <c r="G219" s="35"/>
    </row>
    <row r="220">
      <c r="A220" s="35" t="s">
        <v>454</v>
      </c>
      <c r="B220" s="35" t="s">
        <v>149</v>
      </c>
      <c r="C220" s="35" t="s">
        <v>461</v>
      </c>
      <c r="D220" s="45">
        <v>15.0</v>
      </c>
      <c r="E220" s="45">
        <v>76.0</v>
      </c>
      <c r="F220" s="35" t="s">
        <v>462</v>
      </c>
      <c r="G220" s="35"/>
    </row>
    <row r="221">
      <c r="A221" s="35" t="s">
        <v>454</v>
      </c>
      <c r="B221" s="35" t="s">
        <v>136</v>
      </c>
      <c r="C221" s="35" t="s">
        <v>463</v>
      </c>
      <c r="D221" s="45">
        <v>281.0</v>
      </c>
      <c r="E221" s="45">
        <v>4.0</v>
      </c>
      <c r="F221" s="35"/>
      <c r="G221" s="35"/>
    </row>
    <row r="222">
      <c r="A222" s="35" t="s">
        <v>454</v>
      </c>
      <c r="B222" s="35" t="s">
        <v>136</v>
      </c>
      <c r="C222" s="35" t="s">
        <v>464</v>
      </c>
      <c r="D222" s="45">
        <v>281.0</v>
      </c>
      <c r="E222" s="45">
        <v>5.0</v>
      </c>
      <c r="F222" s="35"/>
      <c r="G222" s="35"/>
    </row>
    <row r="223">
      <c r="A223" s="35" t="s">
        <v>454</v>
      </c>
      <c r="B223" s="35" t="s">
        <v>136</v>
      </c>
      <c r="C223" s="35" t="s">
        <v>465</v>
      </c>
      <c r="D223" s="45">
        <v>281.0</v>
      </c>
      <c r="E223" s="45">
        <v>6.0</v>
      </c>
      <c r="F223" s="35"/>
      <c r="G223" s="35"/>
    </row>
    <row r="224">
      <c r="A224" s="35" t="s">
        <v>454</v>
      </c>
      <c r="B224" s="35" t="s">
        <v>136</v>
      </c>
      <c r="C224" s="35" t="s">
        <v>466</v>
      </c>
      <c r="D224" s="45">
        <v>281.0</v>
      </c>
      <c r="E224" s="45">
        <v>7.0</v>
      </c>
      <c r="F224" s="35"/>
      <c r="G224" s="35"/>
    </row>
    <row r="225">
      <c r="A225" s="35" t="s">
        <v>454</v>
      </c>
      <c r="B225" s="35" t="s">
        <v>136</v>
      </c>
      <c r="C225" s="35" t="s">
        <v>467</v>
      </c>
      <c r="D225" s="45">
        <v>281.0</v>
      </c>
      <c r="E225" s="45">
        <v>8.0</v>
      </c>
      <c r="F225" s="35"/>
      <c r="G225" s="35"/>
    </row>
    <row r="226">
      <c r="A226" s="35" t="s">
        <v>454</v>
      </c>
      <c r="B226" s="35" t="s">
        <v>168</v>
      </c>
      <c r="C226" s="35" t="s">
        <v>468</v>
      </c>
      <c r="D226" s="45">
        <v>272.0</v>
      </c>
      <c r="E226" s="45">
        <v>2.0</v>
      </c>
      <c r="F226" s="35"/>
      <c r="G226" s="35"/>
    </row>
    <row r="227">
      <c r="A227" s="35" t="s">
        <v>454</v>
      </c>
      <c r="B227" s="35" t="s">
        <v>168</v>
      </c>
      <c r="C227" s="35" t="s">
        <v>469</v>
      </c>
      <c r="D227" s="45">
        <v>272.0</v>
      </c>
      <c r="E227" s="45">
        <v>3.0</v>
      </c>
      <c r="F227" s="35"/>
      <c r="G227" s="35"/>
    </row>
    <row r="228">
      <c r="A228" s="35" t="s">
        <v>454</v>
      </c>
      <c r="B228" s="35" t="s">
        <v>168</v>
      </c>
      <c r="C228" s="35" t="s">
        <v>470</v>
      </c>
      <c r="D228" s="45">
        <v>272.0</v>
      </c>
      <c r="E228" s="45">
        <v>4.0</v>
      </c>
      <c r="F228" s="35"/>
      <c r="G228" s="35"/>
    </row>
    <row r="229">
      <c r="A229" s="35" t="s">
        <v>454</v>
      </c>
      <c r="B229" s="35" t="s">
        <v>168</v>
      </c>
      <c r="C229" s="35" t="s">
        <v>471</v>
      </c>
      <c r="D229" s="45">
        <v>272.0</v>
      </c>
      <c r="E229" s="45">
        <v>5.0</v>
      </c>
      <c r="F229" s="35"/>
      <c r="G229" s="35"/>
    </row>
    <row r="230">
      <c r="A230" s="35" t="s">
        <v>454</v>
      </c>
      <c r="B230" s="35" t="s">
        <v>168</v>
      </c>
      <c r="C230" s="35" t="s">
        <v>472</v>
      </c>
      <c r="D230" s="45">
        <v>272.0</v>
      </c>
      <c r="E230" s="45">
        <v>10.0</v>
      </c>
      <c r="F230" s="35" t="s">
        <v>473</v>
      </c>
      <c r="G230" s="35"/>
    </row>
    <row r="231">
      <c r="A231" s="35" t="s">
        <v>454</v>
      </c>
      <c r="B231" s="35" t="s">
        <v>168</v>
      </c>
      <c r="C231" s="35" t="s">
        <v>474</v>
      </c>
      <c r="D231" s="45">
        <v>272.0</v>
      </c>
      <c r="E231" s="45">
        <v>12.0</v>
      </c>
      <c r="F231" s="35" t="s">
        <v>475</v>
      </c>
      <c r="G231" s="35"/>
    </row>
    <row r="232">
      <c r="A232" s="35" t="s">
        <v>454</v>
      </c>
      <c r="B232" s="35" t="s">
        <v>168</v>
      </c>
      <c r="C232" s="35" t="s">
        <v>476</v>
      </c>
      <c r="D232" s="45">
        <v>272.0</v>
      </c>
      <c r="E232" s="45">
        <v>8.0</v>
      </c>
      <c r="F232" s="35" t="s">
        <v>477</v>
      </c>
      <c r="G232" s="35"/>
    </row>
    <row r="233">
      <c r="A233" s="35" t="s">
        <v>454</v>
      </c>
      <c r="B233" s="35" t="s">
        <v>177</v>
      </c>
      <c r="C233" s="35" t="s">
        <v>478</v>
      </c>
      <c r="D233" s="45">
        <v>4.0</v>
      </c>
      <c r="E233" s="45">
        <v>95.0</v>
      </c>
      <c r="F233" s="35"/>
      <c r="G233" s="35"/>
    </row>
    <row r="234">
      <c r="A234" s="35" t="s">
        <v>454</v>
      </c>
      <c r="B234" s="35" t="s">
        <v>177</v>
      </c>
      <c r="C234" s="35" t="s">
        <v>479</v>
      </c>
      <c r="D234" s="45">
        <v>4.0</v>
      </c>
      <c r="E234" s="45">
        <v>96.0</v>
      </c>
      <c r="F234" s="35"/>
      <c r="G234" s="35"/>
    </row>
    <row r="235">
      <c r="A235" s="35" t="s">
        <v>454</v>
      </c>
      <c r="B235" s="35" t="s">
        <v>177</v>
      </c>
      <c r="C235" s="35" t="s">
        <v>480</v>
      </c>
      <c r="D235" s="45">
        <v>4.0</v>
      </c>
      <c r="E235" s="45">
        <v>97.0</v>
      </c>
      <c r="F235" s="35"/>
      <c r="G235" s="35"/>
    </row>
    <row r="236">
      <c r="A236" s="35" t="s">
        <v>454</v>
      </c>
      <c r="B236" s="35" t="s">
        <v>177</v>
      </c>
      <c r="C236" s="35" t="s">
        <v>481</v>
      </c>
      <c r="D236" s="45">
        <v>4.0</v>
      </c>
      <c r="E236" s="45">
        <v>98.0</v>
      </c>
      <c r="F236" s="35"/>
      <c r="G236" s="35"/>
    </row>
    <row r="237">
      <c r="A237" s="35" t="s">
        <v>454</v>
      </c>
      <c r="B237" s="35" t="s">
        <v>177</v>
      </c>
      <c r="C237" s="35" t="s">
        <v>482</v>
      </c>
      <c r="D237" s="45">
        <v>4.0</v>
      </c>
      <c r="E237" s="45">
        <v>76.0</v>
      </c>
      <c r="F237" s="35" t="s">
        <v>483</v>
      </c>
      <c r="G237" s="35"/>
    </row>
    <row r="238">
      <c r="A238" s="35" t="s">
        <v>454</v>
      </c>
      <c r="B238" s="35" t="s">
        <v>177</v>
      </c>
      <c r="C238" s="35" t="s">
        <v>484</v>
      </c>
      <c r="D238" s="45">
        <v>4.0</v>
      </c>
      <c r="E238" s="45">
        <v>80.0</v>
      </c>
      <c r="F238" s="35" t="s">
        <v>485</v>
      </c>
      <c r="G238" s="35"/>
    </row>
    <row r="239">
      <c r="A239" s="35" t="s">
        <v>454</v>
      </c>
      <c r="B239" s="35" t="s">
        <v>177</v>
      </c>
      <c r="C239" s="35" t="s">
        <v>486</v>
      </c>
      <c r="D239" s="45">
        <v>4.0</v>
      </c>
      <c r="E239" s="45">
        <v>53.0</v>
      </c>
      <c r="F239" s="35" t="s">
        <v>487</v>
      </c>
      <c r="G239" s="35"/>
    </row>
    <row r="240">
      <c r="A240" s="35" t="s">
        <v>454</v>
      </c>
      <c r="B240" s="35" t="s">
        <v>177</v>
      </c>
      <c r="C240" s="35" t="s">
        <v>488</v>
      </c>
      <c r="D240" s="45">
        <v>4.0</v>
      </c>
      <c r="E240" s="45">
        <v>74.0</v>
      </c>
      <c r="F240" s="35"/>
      <c r="G240" s="35"/>
    </row>
    <row r="241">
      <c r="A241" s="35" t="s">
        <v>454</v>
      </c>
      <c r="B241" s="35" t="s">
        <v>186</v>
      </c>
      <c r="C241" s="35" t="s">
        <v>489</v>
      </c>
      <c r="D241" s="45">
        <v>285.0</v>
      </c>
      <c r="E241" s="45">
        <v>3.0</v>
      </c>
      <c r="F241" s="35"/>
      <c r="G241" s="35"/>
    </row>
    <row r="242">
      <c r="A242" s="35" t="s">
        <v>454</v>
      </c>
      <c r="B242" s="35" t="s">
        <v>186</v>
      </c>
      <c r="C242" s="35" t="s">
        <v>490</v>
      </c>
      <c r="D242" s="45">
        <v>285.0</v>
      </c>
      <c r="E242" s="45">
        <v>4.0</v>
      </c>
      <c r="F242" s="35"/>
      <c r="G242" s="35"/>
    </row>
    <row r="243">
      <c r="A243" s="35" t="s">
        <v>454</v>
      </c>
      <c r="B243" s="35" t="s">
        <v>186</v>
      </c>
      <c r="C243" s="35" t="s">
        <v>491</v>
      </c>
      <c r="D243" s="45">
        <v>285.0</v>
      </c>
      <c r="E243" s="45">
        <v>5.0</v>
      </c>
      <c r="F243" s="35"/>
      <c r="G243" s="35"/>
    </row>
    <row r="244">
      <c r="A244" s="35" t="s">
        <v>454</v>
      </c>
      <c r="B244" s="35" t="s">
        <v>186</v>
      </c>
      <c r="C244" s="35" t="s">
        <v>492</v>
      </c>
      <c r="D244" s="45">
        <v>285.0</v>
      </c>
      <c r="E244" s="45">
        <v>6.0</v>
      </c>
      <c r="F244" s="35"/>
      <c r="G244" s="35"/>
    </row>
    <row r="245">
      <c r="A245" s="35" t="s">
        <v>454</v>
      </c>
      <c r="B245" s="35" t="s">
        <v>186</v>
      </c>
      <c r="C245" s="35" t="s">
        <v>493</v>
      </c>
      <c r="D245" s="45">
        <v>285.0</v>
      </c>
      <c r="E245" s="45">
        <v>7.0</v>
      </c>
      <c r="F245" s="35" t="s">
        <v>494</v>
      </c>
      <c r="G245" s="35"/>
    </row>
    <row r="246">
      <c r="A246" s="35" t="s">
        <v>454</v>
      </c>
      <c r="B246" s="35" t="s">
        <v>66</v>
      </c>
      <c r="C246" s="35" t="s">
        <v>495</v>
      </c>
      <c r="D246" s="45">
        <v>293.0</v>
      </c>
      <c r="E246" s="45">
        <v>5.0</v>
      </c>
      <c r="F246" s="35"/>
      <c r="G246" s="35"/>
    </row>
    <row r="247">
      <c r="A247" s="35" t="s">
        <v>454</v>
      </c>
      <c r="B247" s="35" t="s">
        <v>66</v>
      </c>
      <c r="C247" s="35" t="s">
        <v>496</v>
      </c>
      <c r="D247" s="45">
        <v>293.0</v>
      </c>
      <c r="E247" s="45">
        <v>6.0</v>
      </c>
      <c r="F247" s="35"/>
      <c r="G247" s="35"/>
    </row>
    <row r="248">
      <c r="A248" s="35" t="s">
        <v>454</v>
      </c>
      <c r="B248" s="35" t="s">
        <v>66</v>
      </c>
      <c r="C248" s="35" t="s">
        <v>497</v>
      </c>
      <c r="D248" s="45">
        <v>293.0</v>
      </c>
      <c r="E248" s="45">
        <v>7.0</v>
      </c>
      <c r="F248" s="35"/>
      <c r="G248" s="35"/>
    </row>
    <row r="249">
      <c r="A249" s="35" t="s">
        <v>454</v>
      </c>
      <c r="B249" s="35" t="s">
        <v>66</v>
      </c>
      <c r="C249" s="35" t="s">
        <v>498</v>
      </c>
      <c r="D249" s="45">
        <v>293.0</v>
      </c>
      <c r="E249" s="45">
        <v>8.0</v>
      </c>
      <c r="F249" s="35"/>
      <c r="G249" s="35"/>
    </row>
    <row r="250">
      <c r="A250" s="35" t="s">
        <v>454</v>
      </c>
      <c r="B250" s="35" t="s">
        <v>66</v>
      </c>
      <c r="C250" s="35" t="s">
        <v>499</v>
      </c>
      <c r="D250" s="45">
        <v>293.0</v>
      </c>
      <c r="E250" s="45">
        <v>10.0</v>
      </c>
      <c r="F250" s="35" t="s">
        <v>500</v>
      </c>
      <c r="G250" s="35"/>
    </row>
    <row r="251">
      <c r="A251" s="35" t="s">
        <v>454</v>
      </c>
      <c r="B251" s="35" t="s">
        <v>66</v>
      </c>
      <c r="C251" s="35" t="s">
        <v>501</v>
      </c>
      <c r="D251" s="45">
        <v>293.0</v>
      </c>
      <c r="E251" s="45">
        <v>3.0</v>
      </c>
      <c r="F251" s="35" t="s">
        <v>502</v>
      </c>
      <c r="G251" s="35"/>
    </row>
    <row r="252">
      <c r="A252" s="35" t="s">
        <v>454</v>
      </c>
      <c r="B252" s="35" t="s">
        <v>296</v>
      </c>
      <c r="C252" s="35" t="s">
        <v>503</v>
      </c>
      <c r="D252" s="45">
        <v>26.0</v>
      </c>
      <c r="E252" s="45">
        <v>95.0</v>
      </c>
      <c r="F252" s="35"/>
      <c r="G252" s="35"/>
    </row>
    <row r="253">
      <c r="A253" s="35" t="s">
        <v>454</v>
      </c>
      <c r="B253" s="35" t="s">
        <v>296</v>
      </c>
      <c r="C253" s="35" t="s">
        <v>504</v>
      </c>
      <c r="D253" s="45">
        <v>26.0</v>
      </c>
      <c r="E253" s="45">
        <v>96.0</v>
      </c>
      <c r="F253" s="35"/>
      <c r="G253" s="35"/>
    </row>
    <row r="254">
      <c r="A254" s="35" t="s">
        <v>454</v>
      </c>
      <c r="B254" s="35" t="s">
        <v>296</v>
      </c>
      <c r="C254" s="35" t="s">
        <v>505</v>
      </c>
      <c r="D254" s="45">
        <v>26.0</v>
      </c>
      <c r="E254" s="45">
        <v>97.0</v>
      </c>
      <c r="F254" s="35"/>
      <c r="G254" s="35"/>
    </row>
    <row r="255">
      <c r="A255" s="35" t="s">
        <v>454</v>
      </c>
      <c r="B255" s="35" t="s">
        <v>296</v>
      </c>
      <c r="C255" s="35" t="s">
        <v>506</v>
      </c>
      <c r="D255" s="45">
        <v>26.0</v>
      </c>
      <c r="E255" s="45">
        <v>98.0</v>
      </c>
      <c r="F255" s="35"/>
      <c r="G255" s="35"/>
    </row>
    <row r="256">
      <c r="A256" s="35" t="s">
        <v>454</v>
      </c>
      <c r="B256" s="35" t="s">
        <v>296</v>
      </c>
      <c r="C256" s="35" t="s">
        <v>507</v>
      </c>
      <c r="D256" s="45">
        <v>26.0</v>
      </c>
      <c r="E256" s="45">
        <v>1.0</v>
      </c>
      <c r="F256" s="35" t="s">
        <v>508</v>
      </c>
      <c r="G256" s="35"/>
    </row>
    <row r="257">
      <c r="A257" s="35" t="s">
        <v>454</v>
      </c>
      <c r="B257" s="35" t="s">
        <v>296</v>
      </c>
      <c r="C257" s="35" t="s">
        <v>509</v>
      </c>
      <c r="D257" s="45">
        <v>26.0</v>
      </c>
      <c r="E257" s="45">
        <v>76.0</v>
      </c>
      <c r="F257" s="35" t="s">
        <v>510</v>
      </c>
      <c r="G257" s="35"/>
    </row>
    <row r="258">
      <c r="A258" s="35" t="s">
        <v>454</v>
      </c>
      <c r="B258" s="35" t="s">
        <v>296</v>
      </c>
      <c r="C258" s="38" t="s">
        <v>511</v>
      </c>
      <c r="D258" s="45">
        <v>26.0</v>
      </c>
      <c r="E258" s="46">
        <v>79.0</v>
      </c>
      <c r="F258" s="38" t="s">
        <v>512</v>
      </c>
      <c r="G258" s="35"/>
    </row>
    <row r="259">
      <c r="A259" s="35" t="s">
        <v>513</v>
      </c>
      <c r="B259" s="35" t="s">
        <v>136</v>
      </c>
      <c r="C259" s="35" t="s">
        <v>514</v>
      </c>
      <c r="D259" s="45">
        <v>296.0</v>
      </c>
      <c r="E259" s="45">
        <v>8.0</v>
      </c>
      <c r="F259" s="35"/>
      <c r="G259" s="35"/>
    </row>
    <row r="260">
      <c r="A260" s="35" t="s">
        <v>513</v>
      </c>
      <c r="B260" s="35" t="s">
        <v>136</v>
      </c>
      <c r="C260" s="35" t="s">
        <v>515</v>
      </c>
      <c r="D260" s="45">
        <v>296.0</v>
      </c>
      <c r="E260" s="45">
        <v>7.0</v>
      </c>
      <c r="F260" s="35"/>
      <c r="G260" s="35"/>
    </row>
    <row r="261">
      <c r="A261" s="35" t="s">
        <v>513</v>
      </c>
      <c r="B261" s="35" t="s">
        <v>136</v>
      </c>
      <c r="C261" s="35" t="s">
        <v>516</v>
      </c>
      <c r="D261" s="45">
        <v>296.0</v>
      </c>
      <c r="E261" s="45">
        <v>6.0</v>
      </c>
      <c r="F261" s="35"/>
      <c r="G261" s="35"/>
    </row>
    <row r="262">
      <c r="A262" s="35" t="s">
        <v>513</v>
      </c>
      <c r="B262" s="35" t="s">
        <v>136</v>
      </c>
      <c r="C262" s="35" t="s">
        <v>517</v>
      </c>
      <c r="D262" s="45">
        <v>296.0</v>
      </c>
      <c r="E262" s="45">
        <v>5.0</v>
      </c>
      <c r="F262" s="35"/>
      <c r="G262" s="35"/>
    </row>
    <row r="263">
      <c r="A263" s="35" t="s">
        <v>513</v>
      </c>
      <c r="B263" s="35" t="s">
        <v>136</v>
      </c>
      <c r="C263" s="35" t="s">
        <v>518</v>
      </c>
      <c r="D263" s="45">
        <v>296.0</v>
      </c>
      <c r="E263" s="45">
        <v>4.0</v>
      </c>
      <c r="F263" s="35"/>
      <c r="G263" s="35"/>
    </row>
    <row r="264">
      <c r="A264" s="35" t="s">
        <v>513</v>
      </c>
      <c r="B264" s="35" t="s">
        <v>168</v>
      </c>
      <c r="C264" s="35" t="s">
        <v>519</v>
      </c>
      <c r="D264" s="45">
        <v>278.0</v>
      </c>
      <c r="E264" s="45">
        <v>5.0</v>
      </c>
      <c r="F264" s="35"/>
      <c r="G264" s="35"/>
    </row>
    <row r="265">
      <c r="A265" s="35" t="s">
        <v>513</v>
      </c>
      <c r="B265" s="35" t="s">
        <v>168</v>
      </c>
      <c r="C265" s="35" t="s">
        <v>520</v>
      </c>
      <c r="D265" s="45">
        <v>278.0</v>
      </c>
      <c r="E265" s="45">
        <v>6.0</v>
      </c>
      <c r="F265" s="35"/>
      <c r="G265" s="35"/>
    </row>
    <row r="266">
      <c r="A266" s="35" t="s">
        <v>513</v>
      </c>
      <c r="B266" s="35" t="s">
        <v>168</v>
      </c>
      <c r="C266" s="35" t="s">
        <v>521</v>
      </c>
      <c r="D266" s="45">
        <v>278.0</v>
      </c>
      <c r="E266" s="45">
        <v>7.0</v>
      </c>
      <c r="F266" s="35"/>
      <c r="G266" s="35"/>
    </row>
    <row r="267">
      <c r="A267" s="35" t="s">
        <v>513</v>
      </c>
      <c r="B267" s="35" t="s">
        <v>168</v>
      </c>
      <c r="C267" s="35" t="s">
        <v>522</v>
      </c>
      <c r="D267" s="45">
        <v>278.0</v>
      </c>
      <c r="E267" s="45">
        <v>12.0</v>
      </c>
      <c r="F267" s="35" t="s">
        <v>523</v>
      </c>
      <c r="G267" s="35"/>
    </row>
    <row r="268">
      <c r="A268" s="35" t="s">
        <v>513</v>
      </c>
      <c r="B268" s="35" t="s">
        <v>168</v>
      </c>
      <c r="C268" s="35" t="s">
        <v>524</v>
      </c>
      <c r="D268" s="45">
        <v>278.0</v>
      </c>
      <c r="E268" s="45">
        <v>9.0</v>
      </c>
      <c r="F268" s="35" t="s">
        <v>525</v>
      </c>
      <c r="G268" s="35"/>
    </row>
    <row r="269">
      <c r="A269" s="35" t="s">
        <v>513</v>
      </c>
      <c r="B269" s="35" t="s">
        <v>168</v>
      </c>
      <c r="C269" s="35" t="s">
        <v>526</v>
      </c>
      <c r="D269" s="45">
        <v>278.0</v>
      </c>
      <c r="E269" s="45">
        <v>15.0</v>
      </c>
      <c r="F269" s="35" t="s">
        <v>527</v>
      </c>
      <c r="G269" s="35" t="s">
        <v>156</v>
      </c>
    </row>
    <row r="270">
      <c r="A270" s="35" t="s">
        <v>513</v>
      </c>
      <c r="B270" s="35" t="s">
        <v>168</v>
      </c>
      <c r="C270" s="35" t="s">
        <v>528</v>
      </c>
      <c r="D270" s="45">
        <v>278.0</v>
      </c>
      <c r="E270" s="45">
        <v>4.0</v>
      </c>
      <c r="F270" s="35"/>
      <c r="G270" s="35"/>
    </row>
    <row r="271">
      <c r="A271" s="35" t="s">
        <v>513</v>
      </c>
      <c r="B271" s="35" t="s">
        <v>321</v>
      </c>
      <c r="C271" s="35" t="s">
        <v>529</v>
      </c>
      <c r="D271" s="45">
        <v>275.0</v>
      </c>
      <c r="E271" s="45">
        <v>27.0</v>
      </c>
      <c r="F271" s="35"/>
      <c r="G271" s="35"/>
    </row>
    <row r="272">
      <c r="A272" s="35" t="s">
        <v>513</v>
      </c>
      <c r="B272" s="35" t="s">
        <v>321</v>
      </c>
      <c r="C272" s="35" t="s">
        <v>530</v>
      </c>
      <c r="D272" s="45">
        <v>275.0</v>
      </c>
      <c r="E272" s="45">
        <v>28.0</v>
      </c>
      <c r="F272" s="35"/>
      <c r="G272" s="35"/>
    </row>
    <row r="273">
      <c r="A273" s="35" t="s">
        <v>513</v>
      </c>
      <c r="B273" s="35" t="s">
        <v>321</v>
      </c>
      <c r="C273" s="35" t="s">
        <v>531</v>
      </c>
      <c r="D273" s="45">
        <v>275.0</v>
      </c>
      <c r="E273" s="45">
        <v>29.0</v>
      </c>
      <c r="F273" s="35"/>
      <c r="G273" s="35"/>
    </row>
    <row r="274">
      <c r="A274" s="35" t="s">
        <v>513</v>
      </c>
      <c r="B274" s="35" t="s">
        <v>321</v>
      </c>
      <c r="C274" s="35" t="s">
        <v>532</v>
      </c>
      <c r="D274" s="45">
        <v>275.0</v>
      </c>
      <c r="E274" s="45">
        <v>31.0</v>
      </c>
      <c r="F274" s="35" t="s">
        <v>533</v>
      </c>
      <c r="G274" s="35"/>
    </row>
    <row r="275">
      <c r="A275" s="35" t="s">
        <v>513</v>
      </c>
      <c r="B275" s="35" t="s">
        <v>321</v>
      </c>
      <c r="C275" s="35" t="s">
        <v>534</v>
      </c>
      <c r="D275" s="45">
        <v>275.0</v>
      </c>
      <c r="E275" s="45">
        <v>32.0</v>
      </c>
      <c r="F275" s="35" t="s">
        <v>535</v>
      </c>
      <c r="G275" s="35"/>
    </row>
    <row r="276">
      <c r="A276" s="50" t="s">
        <v>513</v>
      </c>
      <c r="B276" s="50" t="s">
        <v>321</v>
      </c>
      <c r="C276" s="51" t="s">
        <v>536</v>
      </c>
      <c r="D276" s="52">
        <v>275.0</v>
      </c>
      <c r="E276" s="53">
        <v>36.0</v>
      </c>
      <c r="F276" s="51" t="s">
        <v>537</v>
      </c>
      <c r="G276" s="51" t="s">
        <v>356</v>
      </c>
    </row>
    <row r="277">
      <c r="A277" s="35" t="s">
        <v>513</v>
      </c>
      <c r="B277" s="35" t="s">
        <v>321</v>
      </c>
      <c r="C277" s="35" t="s">
        <v>538</v>
      </c>
      <c r="D277" s="45">
        <v>275.0</v>
      </c>
      <c r="E277" s="45">
        <v>26.0</v>
      </c>
      <c r="F277" s="35"/>
      <c r="G277" s="35"/>
    </row>
    <row r="278">
      <c r="A278" s="35" t="s">
        <v>513</v>
      </c>
      <c r="B278" s="35" t="s">
        <v>186</v>
      </c>
      <c r="C278" s="35" t="s">
        <v>539</v>
      </c>
      <c r="D278" s="45">
        <v>274.0</v>
      </c>
      <c r="E278" s="45">
        <v>4.0</v>
      </c>
      <c r="F278" s="35"/>
      <c r="G278" s="35"/>
    </row>
    <row r="279">
      <c r="A279" s="35" t="s">
        <v>513</v>
      </c>
      <c r="B279" s="35" t="s">
        <v>186</v>
      </c>
      <c r="C279" s="35" t="s">
        <v>540</v>
      </c>
      <c r="D279" s="45">
        <v>274.0</v>
      </c>
      <c r="E279" s="45">
        <v>5.0</v>
      </c>
      <c r="F279" s="35"/>
      <c r="G279" s="35"/>
    </row>
    <row r="280">
      <c r="A280" s="35" t="s">
        <v>513</v>
      </c>
      <c r="B280" s="35" t="s">
        <v>186</v>
      </c>
      <c r="C280" s="35" t="s">
        <v>541</v>
      </c>
      <c r="D280" s="45">
        <v>274.0</v>
      </c>
      <c r="E280" s="45">
        <v>6.0</v>
      </c>
      <c r="F280" s="35"/>
      <c r="G280" s="35"/>
    </row>
    <row r="281">
      <c r="A281" s="35" t="s">
        <v>513</v>
      </c>
      <c r="B281" s="35" t="s">
        <v>186</v>
      </c>
      <c r="C281" s="35" t="s">
        <v>542</v>
      </c>
      <c r="D281" s="45">
        <v>274.0</v>
      </c>
      <c r="E281" s="45">
        <v>7.0</v>
      </c>
      <c r="F281" s="35" t="s">
        <v>543</v>
      </c>
      <c r="G281" s="35"/>
    </row>
    <row r="282">
      <c r="A282" s="35" t="s">
        <v>513</v>
      </c>
      <c r="B282" s="35" t="s">
        <v>186</v>
      </c>
      <c r="C282" s="35" t="s">
        <v>544</v>
      </c>
      <c r="D282" s="45">
        <v>274.0</v>
      </c>
      <c r="E282" s="45">
        <v>3.0</v>
      </c>
      <c r="F282" s="35"/>
      <c r="G282" s="35"/>
    </row>
    <row r="283">
      <c r="A283" s="35" t="s">
        <v>513</v>
      </c>
      <c r="B283" s="35" t="s">
        <v>66</v>
      </c>
      <c r="C283" s="35" t="s">
        <v>545</v>
      </c>
      <c r="D283" s="45">
        <v>300.0</v>
      </c>
      <c r="E283" s="45">
        <v>2.0</v>
      </c>
      <c r="F283" s="35"/>
      <c r="G283" s="35"/>
    </row>
    <row r="284">
      <c r="A284" s="35" t="s">
        <v>513</v>
      </c>
      <c r="B284" s="35" t="s">
        <v>66</v>
      </c>
      <c r="C284" s="35" t="s">
        <v>546</v>
      </c>
      <c r="D284" s="45">
        <v>300.0</v>
      </c>
      <c r="E284" s="45">
        <v>3.0</v>
      </c>
      <c r="F284" s="35"/>
      <c r="G284" s="35"/>
    </row>
    <row r="285">
      <c r="A285" s="35" t="s">
        <v>513</v>
      </c>
      <c r="B285" s="35" t="s">
        <v>66</v>
      </c>
      <c r="C285" s="35" t="s">
        <v>547</v>
      </c>
      <c r="D285" s="45">
        <v>300.0</v>
      </c>
      <c r="E285" s="45">
        <v>4.0</v>
      </c>
      <c r="F285" s="35"/>
      <c r="G285" s="35"/>
    </row>
    <row r="286">
      <c r="A286" s="35" t="s">
        <v>513</v>
      </c>
      <c r="B286" s="35" t="s">
        <v>66</v>
      </c>
      <c r="C286" s="35" t="s">
        <v>548</v>
      </c>
      <c r="D286" s="45">
        <v>300.0</v>
      </c>
      <c r="E286" s="45">
        <v>12.0</v>
      </c>
      <c r="F286" s="35" t="s">
        <v>549</v>
      </c>
      <c r="G286" s="35" t="s">
        <v>550</v>
      </c>
    </row>
    <row r="287">
      <c r="A287" s="35" t="s">
        <v>513</v>
      </c>
      <c r="B287" s="35" t="s">
        <v>66</v>
      </c>
      <c r="C287" s="35" t="s">
        <v>551</v>
      </c>
      <c r="D287" s="45">
        <v>300.0</v>
      </c>
      <c r="E287" s="45">
        <v>7.0</v>
      </c>
      <c r="F287" s="35" t="s">
        <v>552</v>
      </c>
      <c r="G287" s="35"/>
    </row>
    <row r="288">
      <c r="A288" s="35" t="s">
        <v>513</v>
      </c>
      <c r="B288" s="35" t="s">
        <v>66</v>
      </c>
      <c r="C288" s="35" t="s">
        <v>553</v>
      </c>
      <c r="D288" s="45">
        <v>300.0</v>
      </c>
      <c r="E288" s="45">
        <v>9.0</v>
      </c>
      <c r="F288" s="35" t="s">
        <v>554</v>
      </c>
      <c r="G288" s="35"/>
    </row>
    <row r="289">
      <c r="A289" s="35" t="s">
        <v>513</v>
      </c>
      <c r="B289" s="35" t="s">
        <v>66</v>
      </c>
      <c r="C289" s="35" t="s">
        <v>555</v>
      </c>
      <c r="D289" s="45">
        <v>300.0</v>
      </c>
      <c r="E289" s="45">
        <v>1.0</v>
      </c>
      <c r="F289" s="35"/>
      <c r="G289" s="35"/>
    </row>
    <row r="290">
      <c r="A290" s="35" t="s">
        <v>513</v>
      </c>
      <c r="B290" s="35" t="s">
        <v>203</v>
      </c>
      <c r="C290" s="35" t="s">
        <v>556</v>
      </c>
      <c r="D290" s="45">
        <v>7.0</v>
      </c>
      <c r="E290" s="45">
        <v>96.0</v>
      </c>
      <c r="F290" s="35"/>
      <c r="G290" s="35"/>
    </row>
    <row r="291">
      <c r="A291" s="35" t="s">
        <v>513</v>
      </c>
      <c r="B291" s="35" t="s">
        <v>203</v>
      </c>
      <c r="C291" s="35" t="s">
        <v>557</v>
      </c>
      <c r="D291" s="45">
        <v>7.0</v>
      </c>
      <c r="E291" s="45">
        <v>97.0</v>
      </c>
      <c r="F291" s="35"/>
      <c r="G291" s="35"/>
    </row>
    <row r="292">
      <c r="A292" s="35" t="s">
        <v>513</v>
      </c>
      <c r="B292" s="35" t="s">
        <v>203</v>
      </c>
      <c r="C292" s="35" t="s">
        <v>558</v>
      </c>
      <c r="D292" s="45">
        <v>7.0</v>
      </c>
      <c r="E292" s="45">
        <v>98.0</v>
      </c>
      <c r="F292" s="35"/>
      <c r="G292" s="35"/>
    </row>
    <row r="293">
      <c r="A293" s="35" t="s">
        <v>513</v>
      </c>
      <c r="B293" s="35" t="s">
        <v>203</v>
      </c>
      <c r="C293" s="35" t="s">
        <v>559</v>
      </c>
      <c r="D293" s="45">
        <v>7.0</v>
      </c>
      <c r="E293" s="45">
        <v>100.0</v>
      </c>
      <c r="F293" s="35" t="s">
        <v>560</v>
      </c>
      <c r="G293" s="35"/>
    </row>
    <row r="294">
      <c r="A294" s="35" t="s">
        <v>513</v>
      </c>
      <c r="B294" s="35" t="s">
        <v>203</v>
      </c>
      <c r="C294" s="35" t="s">
        <v>561</v>
      </c>
      <c r="D294" s="45">
        <v>7.0</v>
      </c>
      <c r="E294" s="45">
        <v>19.0</v>
      </c>
      <c r="F294" s="35" t="s">
        <v>562</v>
      </c>
      <c r="G294" s="35"/>
    </row>
    <row r="295">
      <c r="A295" s="35" t="s">
        <v>513</v>
      </c>
      <c r="B295" s="35" t="s">
        <v>203</v>
      </c>
      <c r="C295" s="35" t="s">
        <v>563</v>
      </c>
      <c r="D295" s="45">
        <v>7.0</v>
      </c>
      <c r="E295" s="45">
        <v>20.0</v>
      </c>
      <c r="F295" s="35" t="s">
        <v>564</v>
      </c>
      <c r="G295" s="35"/>
    </row>
    <row r="296">
      <c r="A296" s="35" t="s">
        <v>513</v>
      </c>
      <c r="B296" s="35" t="s">
        <v>203</v>
      </c>
      <c r="C296" s="35" t="s">
        <v>565</v>
      </c>
      <c r="D296" s="45">
        <v>7.0</v>
      </c>
      <c r="E296" s="45">
        <v>95.0</v>
      </c>
      <c r="F296" s="35"/>
      <c r="G296" s="35"/>
    </row>
    <row r="297">
      <c r="A297" s="35" t="s">
        <v>513</v>
      </c>
      <c r="B297" s="35" t="s">
        <v>214</v>
      </c>
      <c r="C297" s="35" t="s">
        <v>566</v>
      </c>
      <c r="D297" s="45">
        <v>19.0</v>
      </c>
      <c r="E297" s="45">
        <v>96.0</v>
      </c>
      <c r="F297" s="35"/>
      <c r="G297" s="35"/>
    </row>
    <row r="298">
      <c r="A298" s="35" t="s">
        <v>513</v>
      </c>
      <c r="B298" s="35" t="s">
        <v>214</v>
      </c>
      <c r="C298" s="35" t="s">
        <v>567</v>
      </c>
      <c r="D298" s="45">
        <v>19.0</v>
      </c>
      <c r="E298" s="45">
        <v>97.0</v>
      </c>
      <c r="F298" s="35"/>
      <c r="G298" s="35"/>
    </row>
    <row r="299">
      <c r="A299" s="35" t="s">
        <v>513</v>
      </c>
      <c r="B299" s="35" t="s">
        <v>214</v>
      </c>
      <c r="C299" s="35" t="s">
        <v>568</v>
      </c>
      <c r="D299" s="45">
        <v>19.0</v>
      </c>
      <c r="E299" s="45">
        <v>98.0</v>
      </c>
      <c r="F299" s="35"/>
      <c r="G299" s="35"/>
    </row>
    <row r="300">
      <c r="A300" s="35" t="s">
        <v>513</v>
      </c>
      <c r="B300" s="35" t="s">
        <v>214</v>
      </c>
      <c r="C300" s="35" t="s">
        <v>569</v>
      </c>
      <c r="D300" s="45">
        <v>19.0</v>
      </c>
      <c r="E300" s="45">
        <v>19.0</v>
      </c>
      <c r="F300" s="35" t="s">
        <v>570</v>
      </c>
      <c r="G300" s="35"/>
    </row>
    <row r="301">
      <c r="A301" s="35" t="s">
        <v>513</v>
      </c>
      <c r="B301" s="35" t="s">
        <v>214</v>
      </c>
      <c r="C301" s="35" t="s">
        <v>571</v>
      </c>
      <c r="D301" s="45">
        <v>19.0</v>
      </c>
      <c r="E301" s="45">
        <v>1.0</v>
      </c>
      <c r="F301" s="35" t="s">
        <v>572</v>
      </c>
      <c r="G301" s="35"/>
    </row>
    <row r="302">
      <c r="A302" s="35" t="s">
        <v>513</v>
      </c>
      <c r="B302" s="35" t="s">
        <v>214</v>
      </c>
      <c r="C302" s="38" t="s">
        <v>573</v>
      </c>
      <c r="D302" s="45">
        <v>19.0</v>
      </c>
      <c r="E302" s="46">
        <v>56.0</v>
      </c>
      <c r="F302" s="38" t="s">
        <v>574</v>
      </c>
      <c r="G302" s="35"/>
    </row>
    <row r="303">
      <c r="A303" s="35" t="s">
        <v>513</v>
      </c>
      <c r="B303" s="35" t="s">
        <v>214</v>
      </c>
      <c r="C303" s="35" t="s">
        <v>575</v>
      </c>
      <c r="D303" s="45">
        <v>19.0</v>
      </c>
      <c r="E303" s="45">
        <v>95.0</v>
      </c>
      <c r="F303" s="35"/>
      <c r="G303" s="35"/>
    </row>
    <row r="304">
      <c r="A304" s="35" t="s">
        <v>513</v>
      </c>
      <c r="B304" s="35" t="s">
        <v>296</v>
      </c>
      <c r="C304" s="35" t="s">
        <v>576</v>
      </c>
      <c r="D304" s="45">
        <v>23.0</v>
      </c>
      <c r="E304" s="45">
        <v>96.0</v>
      </c>
      <c r="F304" s="35"/>
      <c r="G304" s="35"/>
    </row>
    <row r="305">
      <c r="A305" s="35" t="s">
        <v>513</v>
      </c>
      <c r="B305" s="35" t="s">
        <v>296</v>
      </c>
      <c r="C305" s="35" t="s">
        <v>577</v>
      </c>
      <c r="D305" s="45">
        <v>23.0</v>
      </c>
      <c r="E305" s="45">
        <v>97.0</v>
      </c>
      <c r="F305" s="35"/>
      <c r="G305" s="35"/>
    </row>
    <row r="306">
      <c r="A306" s="35" t="s">
        <v>513</v>
      </c>
      <c r="B306" s="35" t="s">
        <v>296</v>
      </c>
      <c r="C306" s="35" t="s">
        <v>578</v>
      </c>
      <c r="D306" s="45">
        <v>23.0</v>
      </c>
      <c r="E306" s="45">
        <v>98.0</v>
      </c>
      <c r="F306" s="35"/>
      <c r="G306" s="35"/>
    </row>
    <row r="307">
      <c r="A307" s="35" t="s">
        <v>513</v>
      </c>
      <c r="B307" s="35" t="s">
        <v>296</v>
      </c>
      <c r="C307" s="35" t="s">
        <v>579</v>
      </c>
      <c r="D307" s="45">
        <v>23.0</v>
      </c>
      <c r="E307" s="45">
        <v>19.0</v>
      </c>
      <c r="F307" s="35" t="s">
        <v>580</v>
      </c>
      <c r="G307" s="35"/>
    </row>
    <row r="308">
      <c r="A308" s="35" t="s">
        <v>513</v>
      </c>
      <c r="B308" s="35" t="s">
        <v>296</v>
      </c>
      <c r="C308" s="35" t="s">
        <v>581</v>
      </c>
      <c r="D308" s="45">
        <v>23.0</v>
      </c>
      <c r="E308" s="45">
        <v>1.0</v>
      </c>
      <c r="F308" s="35" t="s">
        <v>582</v>
      </c>
      <c r="G308" s="35"/>
    </row>
    <row r="309">
      <c r="A309" s="50" t="s">
        <v>513</v>
      </c>
      <c r="B309" s="50" t="s">
        <v>296</v>
      </c>
      <c r="C309" s="51" t="s">
        <v>583</v>
      </c>
      <c r="D309" s="52">
        <v>23.0</v>
      </c>
      <c r="E309" s="53">
        <v>57.0</v>
      </c>
      <c r="F309" s="51" t="s">
        <v>584</v>
      </c>
      <c r="G309" s="51" t="s">
        <v>356</v>
      </c>
    </row>
    <row r="310">
      <c r="A310" s="35" t="s">
        <v>513</v>
      </c>
      <c r="B310" s="35" t="s">
        <v>296</v>
      </c>
      <c r="C310" s="35" t="s">
        <v>585</v>
      </c>
      <c r="D310" s="45">
        <v>23.0</v>
      </c>
      <c r="E310" s="45">
        <v>95.0</v>
      </c>
      <c r="F310" s="35"/>
      <c r="G310" s="35"/>
    </row>
    <row r="311">
      <c r="A311" s="35" t="s">
        <v>586</v>
      </c>
      <c r="B311" s="35" t="s">
        <v>149</v>
      </c>
      <c r="C311" s="35" t="s">
        <v>587</v>
      </c>
      <c r="D311" s="45">
        <v>14.0</v>
      </c>
      <c r="E311" s="45">
        <v>89.0</v>
      </c>
      <c r="F311" s="35"/>
      <c r="G311" s="35"/>
    </row>
    <row r="312">
      <c r="A312" s="35" t="s">
        <v>586</v>
      </c>
      <c r="B312" s="35" t="s">
        <v>149</v>
      </c>
      <c r="C312" s="35" t="s">
        <v>588</v>
      </c>
      <c r="D312" s="45">
        <v>14.0</v>
      </c>
      <c r="E312" s="45">
        <v>90.0</v>
      </c>
      <c r="F312" s="35"/>
      <c r="G312" s="35"/>
    </row>
    <row r="313">
      <c r="A313" s="35" t="s">
        <v>586</v>
      </c>
      <c r="B313" s="35" t="s">
        <v>149</v>
      </c>
      <c r="C313" s="35" t="s">
        <v>589</v>
      </c>
      <c r="D313" s="45">
        <v>14.0</v>
      </c>
      <c r="E313" s="45">
        <v>91.0</v>
      </c>
      <c r="F313" s="35"/>
      <c r="G313" s="35"/>
    </row>
    <row r="314">
      <c r="A314" s="35" t="s">
        <v>586</v>
      </c>
      <c r="B314" s="35" t="s">
        <v>149</v>
      </c>
      <c r="C314" s="35" t="s">
        <v>590</v>
      </c>
      <c r="D314" s="45">
        <v>14.0</v>
      </c>
      <c r="E314" s="45">
        <v>92.0</v>
      </c>
      <c r="F314" s="35"/>
      <c r="G314" s="35"/>
    </row>
    <row r="315">
      <c r="A315" s="35" t="s">
        <v>586</v>
      </c>
      <c r="B315" s="35" t="s">
        <v>149</v>
      </c>
      <c r="C315" s="35" t="s">
        <v>591</v>
      </c>
      <c r="D315" s="45">
        <v>14.0</v>
      </c>
      <c r="E315" s="45">
        <v>35.0</v>
      </c>
      <c r="F315" s="35" t="s">
        <v>592</v>
      </c>
      <c r="G315" s="35"/>
    </row>
    <row r="316">
      <c r="A316" s="35" t="s">
        <v>586</v>
      </c>
      <c r="B316" s="35" t="s">
        <v>149</v>
      </c>
      <c r="C316" s="35" t="s">
        <v>593</v>
      </c>
      <c r="D316" s="45">
        <v>14.0</v>
      </c>
      <c r="E316" s="45">
        <v>36.0</v>
      </c>
      <c r="F316" s="35" t="s">
        <v>594</v>
      </c>
      <c r="G316" s="35"/>
    </row>
    <row r="317">
      <c r="A317" s="35" t="s">
        <v>586</v>
      </c>
      <c r="B317" s="35" t="s">
        <v>149</v>
      </c>
      <c r="C317" s="35" t="s">
        <v>595</v>
      </c>
      <c r="D317" s="45">
        <v>14.0</v>
      </c>
      <c r="E317" s="45">
        <v>77.0</v>
      </c>
      <c r="F317" s="35" t="s">
        <v>596</v>
      </c>
      <c r="G317" s="35"/>
    </row>
    <row r="318">
      <c r="A318" s="35" t="s">
        <v>586</v>
      </c>
      <c r="B318" s="35" t="s">
        <v>136</v>
      </c>
      <c r="C318" s="35" t="s">
        <v>597</v>
      </c>
      <c r="D318" s="45">
        <v>292.0</v>
      </c>
      <c r="E318" s="45">
        <v>4.0</v>
      </c>
      <c r="F318" s="35"/>
      <c r="G318" s="35"/>
    </row>
    <row r="319">
      <c r="A319" s="35" t="s">
        <v>586</v>
      </c>
      <c r="B319" s="35" t="s">
        <v>136</v>
      </c>
      <c r="C319" s="35" t="s">
        <v>598</v>
      </c>
      <c r="D319" s="45">
        <v>292.0</v>
      </c>
      <c r="E319" s="45">
        <v>5.0</v>
      </c>
      <c r="F319" s="35"/>
      <c r="G319" s="35"/>
    </row>
    <row r="320">
      <c r="A320" s="35" t="s">
        <v>586</v>
      </c>
      <c r="B320" s="35" t="s">
        <v>136</v>
      </c>
      <c r="C320" s="35" t="s">
        <v>599</v>
      </c>
      <c r="D320" s="45">
        <v>292.0</v>
      </c>
      <c r="E320" s="45">
        <v>6.0</v>
      </c>
      <c r="F320" s="35"/>
      <c r="G320" s="35"/>
    </row>
    <row r="321">
      <c r="A321" s="35" t="s">
        <v>586</v>
      </c>
      <c r="B321" s="35" t="s">
        <v>136</v>
      </c>
      <c r="C321" s="35" t="s">
        <v>600</v>
      </c>
      <c r="D321" s="45">
        <v>292.0</v>
      </c>
      <c r="E321" s="45">
        <v>7.0</v>
      </c>
      <c r="F321" s="35"/>
      <c r="G321" s="35"/>
    </row>
    <row r="322">
      <c r="A322" s="35" t="s">
        <v>586</v>
      </c>
      <c r="B322" s="35" t="s">
        <v>136</v>
      </c>
      <c r="C322" s="35" t="s">
        <v>601</v>
      </c>
      <c r="D322" s="45">
        <v>292.0</v>
      </c>
      <c r="E322" s="45">
        <v>8.0</v>
      </c>
      <c r="F322" s="35"/>
      <c r="G322" s="35"/>
    </row>
    <row r="323">
      <c r="A323" s="35" t="s">
        <v>586</v>
      </c>
      <c r="B323" s="35" t="s">
        <v>168</v>
      </c>
      <c r="C323" s="35" t="s">
        <v>602</v>
      </c>
      <c r="D323" s="45">
        <v>311.0</v>
      </c>
      <c r="E323" s="45">
        <v>1.0</v>
      </c>
      <c r="F323" s="35"/>
      <c r="G323" s="35"/>
    </row>
    <row r="324">
      <c r="A324" s="35" t="s">
        <v>586</v>
      </c>
      <c r="B324" s="35" t="s">
        <v>168</v>
      </c>
      <c r="C324" s="35" t="s">
        <v>603</v>
      </c>
      <c r="D324" s="45">
        <v>311.0</v>
      </c>
      <c r="E324" s="45">
        <v>2.0</v>
      </c>
      <c r="F324" s="35"/>
      <c r="G324" s="35"/>
    </row>
    <row r="325">
      <c r="A325" s="35" t="s">
        <v>586</v>
      </c>
      <c r="B325" s="35" t="s">
        <v>168</v>
      </c>
      <c r="C325" s="35" t="s">
        <v>604</v>
      </c>
      <c r="D325" s="45">
        <v>311.0</v>
      </c>
      <c r="E325" s="45">
        <v>3.0</v>
      </c>
      <c r="F325" s="35"/>
      <c r="G325" s="35"/>
    </row>
    <row r="326">
      <c r="A326" s="35" t="s">
        <v>586</v>
      </c>
      <c r="B326" s="35" t="s">
        <v>168</v>
      </c>
      <c r="C326" s="35" t="s">
        <v>605</v>
      </c>
      <c r="D326" s="45">
        <v>311.0</v>
      </c>
      <c r="E326" s="45">
        <v>4.0</v>
      </c>
      <c r="F326" s="35"/>
      <c r="G326" s="35"/>
    </row>
    <row r="327">
      <c r="A327" s="35" t="s">
        <v>586</v>
      </c>
      <c r="B327" s="35" t="s">
        <v>168</v>
      </c>
      <c r="C327" s="35" t="s">
        <v>606</v>
      </c>
      <c r="D327" s="45">
        <v>311.0</v>
      </c>
      <c r="E327" s="45">
        <v>7.0</v>
      </c>
      <c r="F327" s="35" t="s">
        <v>607</v>
      </c>
      <c r="G327" s="35"/>
    </row>
    <row r="328">
      <c r="A328" s="35" t="s">
        <v>586</v>
      </c>
      <c r="B328" s="35" t="s">
        <v>168</v>
      </c>
      <c r="C328" s="35" t="s">
        <v>608</v>
      </c>
      <c r="D328" s="45">
        <v>311.0</v>
      </c>
      <c r="E328" s="45">
        <v>9.0</v>
      </c>
      <c r="F328" s="35" t="s">
        <v>609</v>
      </c>
      <c r="G328" s="35"/>
    </row>
    <row r="329">
      <c r="A329" s="50" t="s">
        <v>586</v>
      </c>
      <c r="B329" s="50" t="s">
        <v>168</v>
      </c>
      <c r="C329" s="51" t="s">
        <v>610</v>
      </c>
      <c r="D329" s="53">
        <v>311.0</v>
      </c>
      <c r="E329" s="53">
        <v>12.0</v>
      </c>
      <c r="F329" s="51" t="s">
        <v>611</v>
      </c>
      <c r="G329" s="51" t="s">
        <v>356</v>
      </c>
    </row>
    <row r="330">
      <c r="A330" s="35" t="s">
        <v>586</v>
      </c>
      <c r="B330" s="35" t="s">
        <v>177</v>
      </c>
      <c r="C330" s="35" t="s">
        <v>612</v>
      </c>
      <c r="D330" s="45">
        <v>5.0</v>
      </c>
      <c r="E330" s="45">
        <v>95.0</v>
      </c>
      <c r="F330" s="35"/>
      <c r="G330" s="35"/>
    </row>
    <row r="331">
      <c r="A331" s="35" t="s">
        <v>586</v>
      </c>
      <c r="B331" s="35" t="s">
        <v>177</v>
      </c>
      <c r="C331" s="35" t="s">
        <v>613</v>
      </c>
      <c r="D331" s="45">
        <v>5.0</v>
      </c>
      <c r="E331" s="45">
        <v>96.0</v>
      </c>
      <c r="F331" s="35"/>
      <c r="G331" s="35"/>
    </row>
    <row r="332">
      <c r="A332" s="35" t="s">
        <v>586</v>
      </c>
      <c r="B332" s="35" t="s">
        <v>177</v>
      </c>
      <c r="C332" s="35" t="s">
        <v>614</v>
      </c>
      <c r="D332" s="45">
        <v>5.0</v>
      </c>
      <c r="E332" s="45">
        <v>97.0</v>
      </c>
      <c r="F332" s="35"/>
      <c r="G332" s="35"/>
    </row>
    <row r="333">
      <c r="A333" s="35" t="s">
        <v>586</v>
      </c>
      <c r="B333" s="35" t="s">
        <v>177</v>
      </c>
      <c r="C333" s="35" t="s">
        <v>615</v>
      </c>
      <c r="D333" s="45">
        <v>5.0</v>
      </c>
      <c r="E333" s="45">
        <v>98.0</v>
      </c>
      <c r="F333" s="35"/>
      <c r="G333" s="35"/>
    </row>
    <row r="334">
      <c r="A334" s="35" t="s">
        <v>586</v>
      </c>
      <c r="B334" s="35" t="s">
        <v>177</v>
      </c>
      <c r="C334" s="35" t="s">
        <v>616</v>
      </c>
      <c r="D334" s="45">
        <v>5.0</v>
      </c>
      <c r="E334" s="45">
        <v>60.0</v>
      </c>
      <c r="F334" s="35" t="s">
        <v>617</v>
      </c>
      <c r="G334" s="35"/>
    </row>
    <row r="335">
      <c r="A335" s="35" t="s">
        <v>586</v>
      </c>
      <c r="B335" s="35" t="s">
        <v>177</v>
      </c>
      <c r="C335" s="35" t="s">
        <v>618</v>
      </c>
      <c r="D335" s="45">
        <v>5.0</v>
      </c>
      <c r="E335" s="45">
        <v>66.0</v>
      </c>
      <c r="F335" s="35" t="s">
        <v>619</v>
      </c>
      <c r="G335" s="35"/>
    </row>
    <row r="336">
      <c r="A336" s="38" t="s">
        <v>586</v>
      </c>
      <c r="B336" s="38" t="s">
        <v>177</v>
      </c>
      <c r="C336" s="38" t="s">
        <v>620</v>
      </c>
      <c r="D336" s="46">
        <v>5.0</v>
      </c>
      <c r="E336" s="46">
        <v>86.0</v>
      </c>
      <c r="F336" s="38" t="s">
        <v>621</v>
      </c>
      <c r="G336" s="35"/>
    </row>
    <row r="337">
      <c r="A337" s="35" t="s">
        <v>586</v>
      </c>
      <c r="B337" s="35" t="s">
        <v>177</v>
      </c>
      <c r="C337" s="35" t="s">
        <v>622</v>
      </c>
      <c r="D337" s="45">
        <v>5.0</v>
      </c>
      <c r="E337" s="45">
        <v>1.0</v>
      </c>
      <c r="F337" s="35" t="s">
        <v>623</v>
      </c>
      <c r="G337" s="35"/>
    </row>
    <row r="338">
      <c r="A338" s="35" t="s">
        <v>586</v>
      </c>
      <c r="B338" s="35" t="s">
        <v>186</v>
      </c>
      <c r="C338" s="35" t="s">
        <v>624</v>
      </c>
      <c r="D338" s="45">
        <v>290.0</v>
      </c>
      <c r="E338" s="45">
        <v>3.0</v>
      </c>
      <c r="F338" s="35"/>
      <c r="G338" s="35"/>
    </row>
    <row r="339">
      <c r="A339" s="35" t="s">
        <v>586</v>
      </c>
      <c r="B339" s="35" t="s">
        <v>186</v>
      </c>
      <c r="C339" s="35" t="s">
        <v>625</v>
      </c>
      <c r="D339" s="45">
        <v>290.0</v>
      </c>
      <c r="E339" s="45">
        <v>4.0</v>
      </c>
      <c r="F339" s="35"/>
      <c r="G339" s="35"/>
    </row>
    <row r="340">
      <c r="A340" s="35" t="s">
        <v>586</v>
      </c>
      <c r="B340" s="35" t="s">
        <v>186</v>
      </c>
      <c r="C340" s="35" t="s">
        <v>626</v>
      </c>
      <c r="D340" s="45">
        <v>290.0</v>
      </c>
      <c r="E340" s="45">
        <v>5.0</v>
      </c>
      <c r="F340" s="35"/>
      <c r="G340" s="35"/>
    </row>
    <row r="341">
      <c r="A341" s="35" t="s">
        <v>586</v>
      </c>
      <c r="B341" s="35" t="s">
        <v>186</v>
      </c>
      <c r="C341" s="35" t="s">
        <v>627</v>
      </c>
      <c r="D341" s="45">
        <v>290.0</v>
      </c>
      <c r="E341" s="45">
        <v>6.0</v>
      </c>
      <c r="F341" s="35"/>
      <c r="G341" s="35"/>
    </row>
    <row r="342">
      <c r="A342" s="35" t="s">
        <v>586</v>
      </c>
      <c r="B342" s="35" t="s">
        <v>186</v>
      </c>
      <c r="C342" s="35" t="s">
        <v>628</v>
      </c>
      <c r="D342" s="45">
        <v>290.0</v>
      </c>
      <c r="E342" s="45">
        <v>7.0</v>
      </c>
      <c r="F342" s="35" t="s">
        <v>629</v>
      </c>
      <c r="G342" s="35"/>
    </row>
    <row r="343">
      <c r="A343" s="35" t="s">
        <v>586</v>
      </c>
      <c r="B343" s="35" t="s">
        <v>66</v>
      </c>
      <c r="C343" s="35" t="s">
        <v>630</v>
      </c>
      <c r="D343" s="45">
        <v>287.0</v>
      </c>
      <c r="E343" s="45">
        <v>1.0</v>
      </c>
      <c r="F343" s="35"/>
      <c r="G343" s="35"/>
    </row>
    <row r="344">
      <c r="A344" s="35" t="s">
        <v>586</v>
      </c>
      <c r="B344" s="35" t="s">
        <v>66</v>
      </c>
      <c r="C344" s="35" t="s">
        <v>631</v>
      </c>
      <c r="D344" s="45">
        <v>287.0</v>
      </c>
      <c r="E344" s="45">
        <v>2.0</v>
      </c>
      <c r="F344" s="35"/>
      <c r="G344" s="35"/>
    </row>
    <row r="345">
      <c r="A345" s="35" t="s">
        <v>586</v>
      </c>
      <c r="B345" s="35" t="s">
        <v>66</v>
      </c>
      <c r="C345" s="35" t="s">
        <v>632</v>
      </c>
      <c r="D345" s="45">
        <v>287.0</v>
      </c>
      <c r="E345" s="45">
        <v>3.0</v>
      </c>
      <c r="F345" s="35"/>
      <c r="G345" s="35"/>
    </row>
    <row r="346">
      <c r="A346" s="35" t="s">
        <v>586</v>
      </c>
      <c r="B346" s="35" t="s">
        <v>66</v>
      </c>
      <c r="C346" s="35" t="s">
        <v>633</v>
      </c>
      <c r="D346" s="45">
        <v>287.0</v>
      </c>
      <c r="E346" s="45">
        <v>4.0</v>
      </c>
      <c r="F346" s="35"/>
      <c r="G346" s="35"/>
    </row>
    <row r="347">
      <c r="A347" s="35" t="s">
        <v>586</v>
      </c>
      <c r="B347" s="35" t="s">
        <v>66</v>
      </c>
      <c r="C347" s="35" t="s">
        <v>634</v>
      </c>
      <c r="D347" s="45">
        <v>287.0</v>
      </c>
      <c r="E347" s="45">
        <v>7.0</v>
      </c>
      <c r="F347" s="35" t="s">
        <v>635</v>
      </c>
      <c r="G347" s="35"/>
    </row>
    <row r="348">
      <c r="A348" s="35" t="s">
        <v>586</v>
      </c>
      <c r="B348" s="35" t="s">
        <v>66</v>
      </c>
      <c r="C348" s="35" t="s">
        <v>636</v>
      </c>
      <c r="D348" s="45">
        <v>287.0</v>
      </c>
      <c r="E348" s="45">
        <v>8.0</v>
      </c>
      <c r="F348" s="35" t="s">
        <v>637</v>
      </c>
      <c r="G348" s="35"/>
    </row>
    <row r="349">
      <c r="A349" s="35" t="s">
        <v>586</v>
      </c>
      <c r="B349" s="35" t="s">
        <v>203</v>
      </c>
      <c r="C349" s="35" t="s">
        <v>638</v>
      </c>
      <c r="D349" s="45">
        <v>11.0</v>
      </c>
      <c r="E349" s="45">
        <v>96.0</v>
      </c>
      <c r="F349" s="35"/>
      <c r="G349" s="35"/>
    </row>
    <row r="350">
      <c r="A350" s="35" t="s">
        <v>586</v>
      </c>
      <c r="B350" s="35" t="s">
        <v>203</v>
      </c>
      <c r="C350" s="35" t="s">
        <v>639</v>
      </c>
      <c r="D350" s="45">
        <v>11.0</v>
      </c>
      <c r="E350" s="45">
        <v>97.0</v>
      </c>
      <c r="F350" s="35"/>
      <c r="G350" s="35"/>
    </row>
    <row r="351">
      <c r="A351" s="35" t="s">
        <v>586</v>
      </c>
      <c r="B351" s="35" t="s">
        <v>203</v>
      </c>
      <c r="C351" s="35" t="s">
        <v>640</v>
      </c>
      <c r="D351" s="45">
        <v>11.0</v>
      </c>
      <c r="E351" s="45">
        <v>98.0</v>
      </c>
      <c r="F351" s="35"/>
      <c r="G351" s="35"/>
    </row>
    <row r="352">
      <c r="A352" s="35" t="s">
        <v>586</v>
      </c>
      <c r="B352" s="35" t="s">
        <v>203</v>
      </c>
      <c r="C352" s="35" t="s">
        <v>641</v>
      </c>
      <c r="D352" s="45">
        <v>11.0</v>
      </c>
      <c r="E352" s="45">
        <v>76.0</v>
      </c>
      <c r="F352" s="35" t="s">
        <v>642</v>
      </c>
      <c r="G352" s="35"/>
    </row>
    <row r="353">
      <c r="A353" s="35" t="s">
        <v>586</v>
      </c>
      <c r="B353" s="35" t="s">
        <v>203</v>
      </c>
      <c r="C353" s="35" t="s">
        <v>643</v>
      </c>
      <c r="D353" s="45">
        <v>11.0</v>
      </c>
      <c r="E353" s="45">
        <v>78.0</v>
      </c>
      <c r="F353" s="35" t="s">
        <v>644</v>
      </c>
      <c r="G353" s="35"/>
    </row>
    <row r="354">
      <c r="A354" s="35" t="s">
        <v>586</v>
      </c>
      <c r="B354" s="35" t="s">
        <v>203</v>
      </c>
      <c r="C354" s="35" t="s">
        <v>645</v>
      </c>
      <c r="D354" s="45">
        <v>11.0</v>
      </c>
      <c r="E354" s="45">
        <v>80.0</v>
      </c>
      <c r="F354" s="35" t="s">
        <v>646</v>
      </c>
      <c r="G354" s="35"/>
    </row>
    <row r="355">
      <c r="A355" s="35" t="s">
        <v>586</v>
      </c>
      <c r="B355" s="35" t="s">
        <v>203</v>
      </c>
      <c r="C355" s="35" t="s">
        <v>647</v>
      </c>
      <c r="D355" s="45">
        <v>11.0</v>
      </c>
      <c r="E355" s="45">
        <v>95.0</v>
      </c>
      <c r="F355" s="35"/>
      <c r="G355" s="35"/>
    </row>
    <row r="356">
      <c r="A356" s="35" t="s">
        <v>648</v>
      </c>
      <c r="B356" s="35" t="s">
        <v>149</v>
      </c>
      <c r="C356" s="35" t="s">
        <v>649</v>
      </c>
      <c r="D356" s="45">
        <v>17.0</v>
      </c>
      <c r="E356" s="45">
        <v>95.0</v>
      </c>
      <c r="F356" s="35"/>
      <c r="G356" s="35"/>
    </row>
    <row r="357">
      <c r="A357" s="35" t="s">
        <v>648</v>
      </c>
      <c r="B357" s="35" t="s">
        <v>149</v>
      </c>
      <c r="C357" s="35" t="s">
        <v>650</v>
      </c>
      <c r="D357" s="45">
        <v>17.0</v>
      </c>
      <c r="E357" s="45">
        <v>96.0</v>
      </c>
      <c r="F357" s="35"/>
      <c r="G357" s="35"/>
    </row>
    <row r="358">
      <c r="A358" s="35" t="s">
        <v>648</v>
      </c>
      <c r="B358" s="35" t="s">
        <v>149</v>
      </c>
      <c r="C358" s="35" t="s">
        <v>651</v>
      </c>
      <c r="D358" s="45">
        <v>17.0</v>
      </c>
      <c r="E358" s="45">
        <v>97.0</v>
      </c>
      <c r="F358" s="35"/>
      <c r="G358" s="35"/>
    </row>
    <row r="359">
      <c r="A359" s="35" t="s">
        <v>648</v>
      </c>
      <c r="B359" s="35" t="s">
        <v>149</v>
      </c>
      <c r="C359" s="35" t="s">
        <v>652</v>
      </c>
      <c r="D359" s="45">
        <v>17.0</v>
      </c>
      <c r="E359" s="45">
        <v>98.0</v>
      </c>
      <c r="F359" s="35"/>
      <c r="G359" s="35"/>
    </row>
    <row r="360">
      <c r="A360" s="35" t="s">
        <v>648</v>
      </c>
      <c r="B360" s="35" t="s">
        <v>149</v>
      </c>
      <c r="C360" s="35" t="s">
        <v>653</v>
      </c>
      <c r="D360" s="45">
        <v>17.0</v>
      </c>
      <c r="E360" s="45">
        <v>1.0</v>
      </c>
      <c r="F360" s="35" t="s">
        <v>654</v>
      </c>
      <c r="G360" s="35"/>
    </row>
    <row r="361">
      <c r="A361" s="35" t="s">
        <v>648</v>
      </c>
      <c r="B361" s="35" t="s">
        <v>149</v>
      </c>
      <c r="C361" s="35" t="s">
        <v>655</v>
      </c>
      <c r="D361" s="45">
        <v>17.0</v>
      </c>
      <c r="E361" s="45">
        <v>56.0</v>
      </c>
      <c r="F361" s="35" t="s">
        <v>656</v>
      </c>
      <c r="G361" s="35"/>
    </row>
    <row r="362">
      <c r="A362" s="35" t="s">
        <v>648</v>
      </c>
      <c r="B362" s="35" t="s">
        <v>149</v>
      </c>
      <c r="C362" s="35" t="s">
        <v>657</v>
      </c>
      <c r="D362" s="45">
        <v>17.0</v>
      </c>
      <c r="E362" s="45">
        <v>78.0</v>
      </c>
      <c r="F362" s="35" t="s">
        <v>658</v>
      </c>
      <c r="G362" s="35"/>
    </row>
    <row r="363">
      <c r="A363" s="35" t="s">
        <v>648</v>
      </c>
      <c r="B363" s="35" t="s">
        <v>149</v>
      </c>
      <c r="C363" s="35" t="s">
        <v>659</v>
      </c>
      <c r="D363" s="45">
        <v>17.0</v>
      </c>
      <c r="E363" s="45">
        <v>53.0</v>
      </c>
      <c r="F363" s="35"/>
      <c r="G363" s="35"/>
    </row>
    <row r="364">
      <c r="A364" s="35" t="s">
        <v>648</v>
      </c>
      <c r="B364" s="35" t="s">
        <v>136</v>
      </c>
      <c r="C364" s="35" t="s">
        <v>660</v>
      </c>
      <c r="D364" s="45">
        <v>303.0</v>
      </c>
      <c r="E364" s="45">
        <v>4.0</v>
      </c>
      <c r="F364" s="35"/>
      <c r="G364" s="35"/>
    </row>
    <row r="365">
      <c r="A365" s="35" t="s">
        <v>648</v>
      </c>
      <c r="B365" s="35" t="s">
        <v>136</v>
      </c>
      <c r="C365" s="35" t="s">
        <v>661</v>
      </c>
      <c r="D365" s="45">
        <v>303.0</v>
      </c>
      <c r="E365" s="45">
        <v>5.0</v>
      </c>
      <c r="F365" s="35"/>
      <c r="G365" s="35"/>
    </row>
    <row r="366">
      <c r="A366" s="35" t="s">
        <v>648</v>
      </c>
      <c r="B366" s="35" t="s">
        <v>136</v>
      </c>
      <c r="C366" s="35" t="s">
        <v>662</v>
      </c>
      <c r="D366" s="45">
        <v>303.0</v>
      </c>
      <c r="E366" s="45">
        <v>6.0</v>
      </c>
      <c r="F366" s="35"/>
      <c r="G366" s="35"/>
    </row>
    <row r="367">
      <c r="A367" s="35" t="s">
        <v>648</v>
      </c>
      <c r="B367" s="35" t="s">
        <v>136</v>
      </c>
      <c r="C367" s="35" t="s">
        <v>663</v>
      </c>
      <c r="D367" s="45">
        <v>303.0</v>
      </c>
      <c r="E367" s="45">
        <v>7.0</v>
      </c>
      <c r="F367" s="35"/>
      <c r="G367" s="35"/>
    </row>
    <row r="368">
      <c r="A368" s="35" t="s">
        <v>648</v>
      </c>
      <c r="B368" s="35" t="s">
        <v>136</v>
      </c>
      <c r="C368" s="35" t="s">
        <v>664</v>
      </c>
      <c r="D368" s="45">
        <v>303.0</v>
      </c>
      <c r="E368" s="45">
        <v>8.0</v>
      </c>
      <c r="F368" s="35"/>
      <c r="G368" s="35"/>
    </row>
    <row r="369">
      <c r="A369" s="35" t="s">
        <v>648</v>
      </c>
      <c r="B369" s="35" t="s">
        <v>168</v>
      </c>
      <c r="C369" s="35" t="s">
        <v>665</v>
      </c>
      <c r="D369" s="45">
        <v>298.0</v>
      </c>
      <c r="E369" s="45">
        <v>1.0</v>
      </c>
      <c r="F369" s="35"/>
      <c r="G369" s="35"/>
    </row>
    <row r="370">
      <c r="A370" s="35" t="s">
        <v>648</v>
      </c>
      <c r="B370" s="35" t="s">
        <v>168</v>
      </c>
      <c r="C370" s="35" t="s">
        <v>666</v>
      </c>
      <c r="D370" s="45">
        <v>298.0</v>
      </c>
      <c r="E370" s="45">
        <v>2.0</v>
      </c>
      <c r="F370" s="35"/>
      <c r="G370" s="35"/>
    </row>
    <row r="371">
      <c r="A371" s="35" t="s">
        <v>648</v>
      </c>
      <c r="B371" s="35" t="s">
        <v>168</v>
      </c>
      <c r="C371" s="35" t="s">
        <v>667</v>
      </c>
      <c r="D371" s="45">
        <v>298.0</v>
      </c>
      <c r="E371" s="45">
        <v>3.0</v>
      </c>
      <c r="F371" s="35"/>
      <c r="G371" s="35"/>
    </row>
    <row r="372">
      <c r="A372" s="35" t="s">
        <v>648</v>
      </c>
      <c r="B372" s="35" t="s">
        <v>168</v>
      </c>
      <c r="C372" s="35" t="s">
        <v>668</v>
      </c>
      <c r="D372" s="45">
        <v>298.0</v>
      </c>
      <c r="E372" s="45">
        <v>4.0</v>
      </c>
      <c r="F372" s="35"/>
      <c r="G372" s="35"/>
    </row>
    <row r="373">
      <c r="A373" s="35" t="s">
        <v>648</v>
      </c>
      <c r="B373" s="35" t="s">
        <v>168</v>
      </c>
      <c r="C373" s="35" t="s">
        <v>669</v>
      </c>
      <c r="D373" s="45">
        <v>298.0</v>
      </c>
      <c r="E373" s="45">
        <v>7.0</v>
      </c>
      <c r="F373" s="35" t="s">
        <v>670</v>
      </c>
      <c r="G373" s="35"/>
    </row>
    <row r="374">
      <c r="A374" s="35" t="s">
        <v>648</v>
      </c>
      <c r="B374" s="35" t="s">
        <v>168</v>
      </c>
      <c r="C374" s="35" t="s">
        <v>671</v>
      </c>
      <c r="D374" s="45">
        <v>298.0</v>
      </c>
      <c r="E374" s="45">
        <v>9.0</v>
      </c>
      <c r="F374" s="35" t="s">
        <v>672</v>
      </c>
      <c r="G374" s="35"/>
    </row>
    <row r="375">
      <c r="A375" s="35" t="s">
        <v>648</v>
      </c>
      <c r="B375" s="35" t="s">
        <v>321</v>
      </c>
      <c r="C375" s="35" t="s">
        <v>673</v>
      </c>
      <c r="D375" s="45">
        <v>273.0</v>
      </c>
      <c r="E375" s="45">
        <v>30.0</v>
      </c>
      <c r="F375" s="35"/>
      <c r="G375" s="35"/>
    </row>
    <row r="376">
      <c r="A376" s="35" t="s">
        <v>648</v>
      </c>
      <c r="B376" s="35" t="s">
        <v>321</v>
      </c>
      <c r="C376" s="35" t="s">
        <v>674</v>
      </c>
      <c r="D376" s="45">
        <v>273.0</v>
      </c>
      <c r="E376" s="45">
        <v>31.0</v>
      </c>
      <c r="F376" s="35"/>
      <c r="G376" s="35"/>
    </row>
    <row r="377">
      <c r="A377" s="35" t="s">
        <v>648</v>
      </c>
      <c r="B377" s="35" t="s">
        <v>321</v>
      </c>
      <c r="C377" s="35" t="s">
        <v>675</v>
      </c>
      <c r="D377" s="45">
        <v>273.0</v>
      </c>
      <c r="E377" s="45">
        <v>39.0</v>
      </c>
      <c r="F377" s="35"/>
      <c r="G377" s="35"/>
    </row>
    <row r="378">
      <c r="A378" s="35" t="s">
        <v>648</v>
      </c>
      <c r="B378" s="35" t="s">
        <v>321</v>
      </c>
      <c r="C378" s="35" t="s">
        <v>676</v>
      </c>
      <c r="D378" s="45">
        <v>273.0</v>
      </c>
      <c r="E378" s="45">
        <v>32.0</v>
      </c>
      <c r="F378" s="35"/>
      <c r="G378" s="35"/>
    </row>
    <row r="379">
      <c r="A379" s="35" t="s">
        <v>648</v>
      </c>
      <c r="B379" s="35" t="s">
        <v>321</v>
      </c>
      <c r="C379" s="35" t="s">
        <v>677</v>
      </c>
      <c r="D379" s="45">
        <v>273.0</v>
      </c>
      <c r="E379" s="45">
        <v>33.0</v>
      </c>
      <c r="F379" s="35"/>
      <c r="G379" s="35"/>
    </row>
    <row r="380">
      <c r="A380" s="35" t="s">
        <v>648</v>
      </c>
      <c r="B380" s="35" t="s">
        <v>321</v>
      </c>
      <c r="C380" s="35" t="s">
        <v>678</v>
      </c>
      <c r="D380" s="45">
        <v>273.0</v>
      </c>
      <c r="E380" s="45">
        <v>34.0</v>
      </c>
      <c r="F380" s="35" t="s">
        <v>679</v>
      </c>
      <c r="G380" s="35"/>
    </row>
    <row r="381">
      <c r="A381" s="35" t="s">
        <v>648</v>
      </c>
      <c r="B381" s="35" t="s">
        <v>321</v>
      </c>
      <c r="C381" s="35" t="s">
        <v>680</v>
      </c>
      <c r="D381" s="45">
        <v>273.0</v>
      </c>
      <c r="E381" s="45">
        <v>36.0</v>
      </c>
      <c r="F381" s="35" t="s">
        <v>681</v>
      </c>
      <c r="G381" s="35"/>
    </row>
    <row r="382">
      <c r="A382" s="35" t="s">
        <v>648</v>
      </c>
      <c r="B382" s="35" t="s">
        <v>321</v>
      </c>
      <c r="C382" s="35" t="s">
        <v>682</v>
      </c>
      <c r="D382" s="45">
        <v>273.0</v>
      </c>
      <c r="E382" s="45">
        <v>38.0</v>
      </c>
      <c r="F382" s="35" t="s">
        <v>683</v>
      </c>
      <c r="G382" s="35" t="s">
        <v>156</v>
      </c>
    </row>
    <row r="383">
      <c r="A383" s="35" t="s">
        <v>648</v>
      </c>
      <c r="B383" s="35" t="s">
        <v>177</v>
      </c>
      <c r="C383" s="35" t="s">
        <v>684</v>
      </c>
      <c r="D383" s="45">
        <v>6.0</v>
      </c>
      <c r="E383" s="45">
        <v>95.0</v>
      </c>
      <c r="F383" s="35"/>
      <c r="G383" s="35"/>
    </row>
    <row r="384">
      <c r="A384" s="35" t="s">
        <v>648</v>
      </c>
      <c r="B384" s="35" t="s">
        <v>177</v>
      </c>
      <c r="C384" s="35" t="s">
        <v>685</v>
      </c>
      <c r="D384" s="45">
        <v>6.0</v>
      </c>
      <c r="E384" s="45">
        <v>96.0</v>
      </c>
      <c r="F384" s="35"/>
      <c r="G384" s="35"/>
    </row>
    <row r="385">
      <c r="A385" s="35" t="s">
        <v>648</v>
      </c>
      <c r="B385" s="35" t="s">
        <v>177</v>
      </c>
      <c r="C385" s="35" t="s">
        <v>686</v>
      </c>
      <c r="D385" s="45">
        <v>6.0</v>
      </c>
      <c r="E385" s="45">
        <v>97.0</v>
      </c>
      <c r="F385" s="35"/>
      <c r="G385" s="35"/>
    </row>
    <row r="386">
      <c r="A386" s="35" t="s">
        <v>648</v>
      </c>
      <c r="B386" s="35" t="s">
        <v>177</v>
      </c>
      <c r="C386" s="35" t="s">
        <v>687</v>
      </c>
      <c r="D386" s="45">
        <v>6.0</v>
      </c>
      <c r="E386" s="45">
        <v>98.0</v>
      </c>
      <c r="F386" s="35"/>
      <c r="G386" s="35"/>
    </row>
    <row r="387">
      <c r="A387" s="35" t="s">
        <v>648</v>
      </c>
      <c r="B387" s="35" t="s">
        <v>177</v>
      </c>
      <c r="C387" s="35" t="s">
        <v>688</v>
      </c>
      <c r="D387" s="45">
        <v>6.0</v>
      </c>
      <c r="E387" s="45">
        <v>53.0</v>
      </c>
      <c r="F387" s="35" t="s">
        <v>689</v>
      </c>
      <c r="G387" s="35"/>
    </row>
    <row r="388">
      <c r="A388" s="35" t="s">
        <v>648</v>
      </c>
      <c r="B388" s="35" t="s">
        <v>177</v>
      </c>
      <c r="C388" s="38" t="s">
        <v>690</v>
      </c>
      <c r="D388" s="46">
        <v>6.0</v>
      </c>
      <c r="E388" s="46">
        <v>59.0</v>
      </c>
      <c r="F388" s="38" t="s">
        <v>691</v>
      </c>
      <c r="G388" s="38"/>
    </row>
    <row r="389">
      <c r="A389" s="35" t="s">
        <v>648</v>
      </c>
      <c r="B389" s="35" t="s">
        <v>177</v>
      </c>
      <c r="C389" s="35" t="s">
        <v>692</v>
      </c>
      <c r="D389" s="45">
        <v>6.0</v>
      </c>
      <c r="E389" s="45">
        <v>1.0</v>
      </c>
      <c r="F389" s="35" t="s">
        <v>693</v>
      </c>
      <c r="G389" s="35"/>
    </row>
    <row r="390">
      <c r="A390" s="35" t="s">
        <v>648</v>
      </c>
      <c r="B390" s="35" t="s">
        <v>186</v>
      </c>
      <c r="C390" s="35" t="s">
        <v>694</v>
      </c>
      <c r="D390" s="45">
        <v>261.0</v>
      </c>
      <c r="E390" s="45">
        <v>1.0</v>
      </c>
      <c r="F390" s="35"/>
      <c r="G390" s="35"/>
    </row>
    <row r="391">
      <c r="A391" s="35" t="s">
        <v>648</v>
      </c>
      <c r="B391" s="35" t="s">
        <v>186</v>
      </c>
      <c r="C391" s="35" t="s">
        <v>695</v>
      </c>
      <c r="D391" s="45">
        <v>261.0</v>
      </c>
      <c r="E391" s="45">
        <v>2.0</v>
      </c>
      <c r="F391" s="35"/>
      <c r="G391" s="35"/>
    </row>
    <row r="392">
      <c r="A392" s="35" t="s">
        <v>648</v>
      </c>
      <c r="B392" s="35" t="s">
        <v>186</v>
      </c>
      <c r="C392" s="35" t="s">
        <v>696</v>
      </c>
      <c r="D392" s="45">
        <v>261.0</v>
      </c>
      <c r="E392" s="45">
        <v>3.0</v>
      </c>
      <c r="F392" s="35"/>
      <c r="G392" s="35"/>
    </row>
    <row r="393">
      <c r="A393" s="35" t="s">
        <v>648</v>
      </c>
      <c r="B393" s="35" t="s">
        <v>186</v>
      </c>
      <c r="C393" s="35" t="s">
        <v>697</v>
      </c>
      <c r="D393" s="45">
        <v>261.0</v>
      </c>
      <c r="E393" s="45">
        <v>4.0</v>
      </c>
      <c r="F393" s="35"/>
      <c r="G393" s="35"/>
    </row>
    <row r="394">
      <c r="A394" s="35" t="s">
        <v>648</v>
      </c>
      <c r="B394" s="35" t="s">
        <v>186</v>
      </c>
      <c r="C394" s="35" t="s">
        <v>698</v>
      </c>
      <c r="D394" s="45">
        <v>261.0</v>
      </c>
      <c r="E394" s="45">
        <v>5.0</v>
      </c>
      <c r="F394" s="35" t="s">
        <v>699</v>
      </c>
      <c r="G394" s="35"/>
    </row>
    <row r="395">
      <c r="A395" s="35" t="s">
        <v>648</v>
      </c>
      <c r="B395" s="35" t="s">
        <v>66</v>
      </c>
      <c r="C395" s="35" t="s">
        <v>700</v>
      </c>
      <c r="D395" s="45">
        <v>321.0</v>
      </c>
      <c r="E395" s="45">
        <v>1.0</v>
      </c>
      <c r="F395" s="35"/>
      <c r="G395" s="35"/>
    </row>
    <row r="396">
      <c r="A396" s="35" t="s">
        <v>648</v>
      </c>
      <c r="B396" s="35" t="s">
        <v>66</v>
      </c>
      <c r="C396" s="35" t="s">
        <v>701</v>
      </c>
      <c r="D396" s="45">
        <v>321.0</v>
      </c>
      <c r="E396" s="45">
        <v>2.0</v>
      </c>
      <c r="F396" s="35"/>
      <c r="G396" s="35"/>
    </row>
    <row r="397">
      <c r="A397" s="35" t="s">
        <v>648</v>
      </c>
      <c r="B397" s="35" t="s">
        <v>66</v>
      </c>
      <c r="C397" s="35" t="s">
        <v>702</v>
      </c>
      <c r="D397" s="45">
        <v>321.0</v>
      </c>
      <c r="E397" s="45">
        <v>3.0</v>
      </c>
      <c r="F397" s="35"/>
      <c r="G397" s="35"/>
    </row>
    <row r="398">
      <c r="A398" s="35" t="s">
        <v>648</v>
      </c>
      <c r="B398" s="35" t="s">
        <v>66</v>
      </c>
      <c r="C398" s="35" t="s">
        <v>703</v>
      </c>
      <c r="D398" s="45">
        <v>321.0</v>
      </c>
      <c r="E398" s="45">
        <v>4.0</v>
      </c>
      <c r="F398" s="35"/>
      <c r="G398" s="35"/>
    </row>
    <row r="399">
      <c r="A399" s="35" t="s">
        <v>648</v>
      </c>
      <c r="B399" s="35" t="s">
        <v>66</v>
      </c>
      <c r="C399" s="35" t="s">
        <v>704</v>
      </c>
      <c r="D399" s="45">
        <v>321.0</v>
      </c>
      <c r="E399" s="45">
        <v>8.0</v>
      </c>
      <c r="F399" s="35" t="s">
        <v>705</v>
      </c>
      <c r="G399" s="35"/>
    </row>
    <row r="400">
      <c r="A400" s="35" t="s">
        <v>648</v>
      </c>
      <c r="B400" s="35" t="s">
        <v>66</v>
      </c>
      <c r="C400" s="35" t="s">
        <v>706</v>
      </c>
      <c r="D400" s="45">
        <v>321.0</v>
      </c>
      <c r="E400" s="45">
        <v>7.0</v>
      </c>
      <c r="F400" s="35" t="s">
        <v>707</v>
      </c>
      <c r="G400" s="35"/>
    </row>
    <row r="401">
      <c r="A401" s="35" t="s">
        <v>648</v>
      </c>
      <c r="B401" s="35" t="s">
        <v>203</v>
      </c>
      <c r="C401" s="35" t="s">
        <v>708</v>
      </c>
      <c r="D401" s="45">
        <v>12.0</v>
      </c>
      <c r="E401" s="45">
        <v>96.0</v>
      </c>
      <c r="F401" s="35"/>
      <c r="G401" s="35"/>
    </row>
    <row r="402">
      <c r="A402" s="35" t="s">
        <v>648</v>
      </c>
      <c r="B402" s="35" t="s">
        <v>203</v>
      </c>
      <c r="C402" s="35" t="s">
        <v>709</v>
      </c>
      <c r="D402" s="45">
        <v>12.0</v>
      </c>
      <c r="E402" s="45">
        <v>97.0</v>
      </c>
      <c r="F402" s="35"/>
      <c r="G402" s="35"/>
    </row>
    <row r="403">
      <c r="A403" s="35" t="s">
        <v>648</v>
      </c>
      <c r="B403" s="35" t="s">
        <v>203</v>
      </c>
      <c r="C403" s="35" t="s">
        <v>710</v>
      </c>
      <c r="D403" s="45">
        <v>12.0</v>
      </c>
      <c r="E403" s="45">
        <v>98.0</v>
      </c>
      <c r="F403" s="35"/>
      <c r="G403" s="35"/>
    </row>
    <row r="404">
      <c r="A404" s="35" t="s">
        <v>648</v>
      </c>
      <c r="B404" s="35" t="s">
        <v>203</v>
      </c>
      <c r="C404" s="35" t="s">
        <v>711</v>
      </c>
      <c r="D404" s="45">
        <v>12.0</v>
      </c>
      <c r="E404" s="45">
        <v>57.0</v>
      </c>
      <c r="F404" s="35" t="s">
        <v>712</v>
      </c>
      <c r="G404" s="35"/>
    </row>
    <row r="405">
      <c r="A405" s="35" t="s">
        <v>648</v>
      </c>
      <c r="B405" s="35" t="s">
        <v>203</v>
      </c>
      <c r="C405" s="35" t="s">
        <v>713</v>
      </c>
      <c r="D405" s="45">
        <v>12.0</v>
      </c>
      <c r="E405" s="45">
        <v>1.0</v>
      </c>
      <c r="F405" s="35" t="s">
        <v>714</v>
      </c>
      <c r="G405" s="35"/>
    </row>
    <row r="406">
      <c r="A406" s="35" t="s">
        <v>648</v>
      </c>
      <c r="B406" s="35" t="s">
        <v>203</v>
      </c>
      <c r="C406" s="35" t="s">
        <v>715</v>
      </c>
      <c r="D406" s="45">
        <v>12.0</v>
      </c>
      <c r="E406" s="45">
        <v>95.0</v>
      </c>
      <c r="F406" s="35"/>
      <c r="G406" s="35"/>
    </row>
    <row r="407">
      <c r="A407" s="35" t="s">
        <v>716</v>
      </c>
      <c r="B407" s="35" t="s">
        <v>149</v>
      </c>
      <c r="C407" s="35" t="s">
        <v>717</v>
      </c>
      <c r="D407" s="45">
        <v>18.0</v>
      </c>
      <c r="E407" s="45">
        <v>95.0</v>
      </c>
      <c r="F407" s="35"/>
      <c r="G407" s="35"/>
    </row>
    <row r="408">
      <c r="A408" s="35" t="s">
        <v>716</v>
      </c>
      <c r="B408" s="35" t="s">
        <v>149</v>
      </c>
      <c r="C408" s="35" t="s">
        <v>718</v>
      </c>
      <c r="D408" s="45">
        <v>18.0</v>
      </c>
      <c r="E408" s="45">
        <v>96.0</v>
      </c>
      <c r="F408" s="35"/>
      <c r="G408" s="35"/>
    </row>
    <row r="409">
      <c r="A409" s="35" t="s">
        <v>716</v>
      </c>
      <c r="B409" s="35" t="s">
        <v>149</v>
      </c>
      <c r="C409" s="35" t="s">
        <v>719</v>
      </c>
      <c r="D409" s="45">
        <v>18.0</v>
      </c>
      <c r="E409" s="45">
        <v>97.0</v>
      </c>
      <c r="F409" s="35"/>
      <c r="G409" s="35"/>
    </row>
    <row r="410">
      <c r="A410" s="35" t="s">
        <v>716</v>
      </c>
      <c r="B410" s="35" t="s">
        <v>149</v>
      </c>
      <c r="C410" s="35" t="s">
        <v>720</v>
      </c>
      <c r="D410" s="45">
        <v>18.0</v>
      </c>
      <c r="E410" s="45">
        <v>98.0</v>
      </c>
      <c r="F410" s="35"/>
      <c r="G410" s="35"/>
    </row>
    <row r="411">
      <c r="A411" s="35" t="s">
        <v>716</v>
      </c>
      <c r="B411" s="35" t="s">
        <v>149</v>
      </c>
      <c r="C411" s="35" t="s">
        <v>721</v>
      </c>
      <c r="D411" s="45">
        <v>18.0</v>
      </c>
      <c r="E411" s="45">
        <v>88.0</v>
      </c>
      <c r="F411" s="35" t="s">
        <v>722</v>
      </c>
      <c r="G411" s="35"/>
    </row>
    <row r="412">
      <c r="A412" s="35" t="s">
        <v>716</v>
      </c>
      <c r="B412" s="35" t="s">
        <v>149</v>
      </c>
      <c r="C412" s="35" t="s">
        <v>723</v>
      </c>
      <c r="D412" s="45">
        <v>18.0</v>
      </c>
      <c r="E412" s="45">
        <v>63.0</v>
      </c>
      <c r="F412" s="35" t="s">
        <v>724</v>
      </c>
      <c r="G412" s="35"/>
    </row>
    <row r="413">
      <c r="A413" s="35" t="s">
        <v>716</v>
      </c>
      <c r="B413" s="35" t="s">
        <v>149</v>
      </c>
      <c r="C413" s="35" t="s">
        <v>725</v>
      </c>
      <c r="D413" s="45">
        <v>18.0</v>
      </c>
      <c r="E413" s="45">
        <v>93.0</v>
      </c>
      <c r="F413" s="35" t="s">
        <v>726</v>
      </c>
      <c r="G413" s="35"/>
    </row>
    <row r="414">
      <c r="A414" s="35" t="s">
        <v>716</v>
      </c>
      <c r="B414" s="35" t="s">
        <v>149</v>
      </c>
      <c r="C414" s="35" t="s">
        <v>727</v>
      </c>
      <c r="D414" s="45">
        <v>18.0</v>
      </c>
      <c r="E414" s="45">
        <v>65.0</v>
      </c>
      <c r="F414" s="35" t="s">
        <v>728</v>
      </c>
      <c r="G414" s="35"/>
    </row>
    <row r="415">
      <c r="A415" s="35" t="s">
        <v>716</v>
      </c>
      <c r="B415" s="35" t="s">
        <v>136</v>
      </c>
      <c r="C415" s="35" t="s">
        <v>729</v>
      </c>
      <c r="D415" s="45">
        <v>310.0</v>
      </c>
      <c r="E415" s="45">
        <v>8.0</v>
      </c>
      <c r="F415" s="35"/>
      <c r="G415" s="35"/>
    </row>
    <row r="416">
      <c r="A416" s="35" t="s">
        <v>716</v>
      </c>
      <c r="B416" s="35" t="s">
        <v>136</v>
      </c>
      <c r="C416" s="35" t="s">
        <v>730</v>
      </c>
      <c r="D416" s="45">
        <v>310.0</v>
      </c>
      <c r="E416" s="45">
        <v>7.0</v>
      </c>
      <c r="F416" s="35"/>
      <c r="G416" s="35"/>
    </row>
    <row r="417">
      <c r="A417" s="35" t="s">
        <v>716</v>
      </c>
      <c r="B417" s="35" t="s">
        <v>136</v>
      </c>
      <c r="C417" s="35" t="s">
        <v>731</v>
      </c>
      <c r="D417" s="45">
        <v>310.0</v>
      </c>
      <c r="E417" s="45">
        <v>6.0</v>
      </c>
      <c r="F417" s="35"/>
      <c r="G417" s="35"/>
    </row>
    <row r="418">
      <c r="A418" s="35" t="s">
        <v>716</v>
      </c>
      <c r="B418" s="35" t="s">
        <v>136</v>
      </c>
      <c r="C418" s="35" t="s">
        <v>732</v>
      </c>
      <c r="D418" s="45">
        <v>310.0</v>
      </c>
      <c r="E418" s="45">
        <v>5.0</v>
      </c>
      <c r="F418" s="35"/>
      <c r="G418" s="35"/>
    </row>
    <row r="419">
      <c r="A419" s="35" t="s">
        <v>716</v>
      </c>
      <c r="B419" s="35" t="s">
        <v>136</v>
      </c>
      <c r="C419" s="35" t="s">
        <v>733</v>
      </c>
      <c r="D419" s="45">
        <v>310.0</v>
      </c>
      <c r="E419" s="45">
        <v>4.0</v>
      </c>
      <c r="F419" s="35"/>
      <c r="G419" s="35"/>
    </row>
    <row r="420">
      <c r="A420" s="35" t="s">
        <v>716</v>
      </c>
      <c r="B420" s="35" t="s">
        <v>168</v>
      </c>
      <c r="C420" s="35" t="s">
        <v>734</v>
      </c>
      <c r="D420" s="45">
        <v>291.0</v>
      </c>
      <c r="E420" s="45">
        <v>1.0</v>
      </c>
      <c r="F420" s="35"/>
      <c r="G420" s="35"/>
    </row>
    <row r="421">
      <c r="A421" s="35" t="s">
        <v>716</v>
      </c>
      <c r="B421" s="35" t="s">
        <v>168</v>
      </c>
      <c r="C421" s="35" t="s">
        <v>735</v>
      </c>
      <c r="D421" s="45">
        <v>291.0</v>
      </c>
      <c r="E421" s="45">
        <v>2.0</v>
      </c>
      <c r="F421" s="35"/>
      <c r="G421" s="35"/>
    </row>
    <row r="422">
      <c r="A422" s="35" t="s">
        <v>716</v>
      </c>
      <c r="B422" s="35" t="s">
        <v>168</v>
      </c>
      <c r="C422" s="35" t="s">
        <v>736</v>
      </c>
      <c r="D422" s="45">
        <v>291.0</v>
      </c>
      <c r="E422" s="45">
        <v>3.0</v>
      </c>
      <c r="F422" s="35"/>
      <c r="G422" s="35"/>
    </row>
    <row r="423">
      <c r="A423" s="35" t="s">
        <v>716</v>
      </c>
      <c r="B423" s="35" t="s">
        <v>168</v>
      </c>
      <c r="C423" s="35" t="s">
        <v>737</v>
      </c>
      <c r="D423" s="45">
        <v>291.0</v>
      </c>
      <c r="E423" s="45">
        <v>4.0</v>
      </c>
      <c r="F423" s="35"/>
      <c r="G423" s="35"/>
    </row>
    <row r="424">
      <c r="A424" s="35" t="s">
        <v>716</v>
      </c>
      <c r="B424" s="35" t="s">
        <v>168</v>
      </c>
      <c r="C424" s="35" t="s">
        <v>738</v>
      </c>
      <c r="D424" s="45">
        <v>291.0</v>
      </c>
      <c r="E424" s="45">
        <v>7.0</v>
      </c>
      <c r="F424" s="35" t="s">
        <v>739</v>
      </c>
      <c r="G424" s="35"/>
    </row>
    <row r="425">
      <c r="A425" s="35" t="s">
        <v>716</v>
      </c>
      <c r="B425" s="35" t="s">
        <v>168</v>
      </c>
      <c r="C425" s="35" t="s">
        <v>740</v>
      </c>
      <c r="D425" s="45">
        <v>291.0</v>
      </c>
      <c r="E425" s="45">
        <v>9.0</v>
      </c>
      <c r="F425" s="35" t="s">
        <v>741</v>
      </c>
      <c r="G425" s="35"/>
    </row>
    <row r="426">
      <c r="A426" s="35" t="s">
        <v>716</v>
      </c>
      <c r="B426" s="35" t="s">
        <v>321</v>
      </c>
      <c r="C426" s="35" t="s">
        <v>742</v>
      </c>
      <c r="D426" s="45">
        <v>282.0</v>
      </c>
      <c r="E426" s="45">
        <v>21.0</v>
      </c>
      <c r="F426" s="35"/>
      <c r="G426" s="35"/>
    </row>
    <row r="427">
      <c r="A427" s="35" t="s">
        <v>716</v>
      </c>
      <c r="B427" s="35" t="s">
        <v>321</v>
      </c>
      <c r="C427" s="35" t="s">
        <v>743</v>
      </c>
      <c r="D427" s="45">
        <v>282.0</v>
      </c>
      <c r="E427" s="45">
        <v>22.0</v>
      </c>
      <c r="F427" s="35"/>
      <c r="G427" s="35"/>
    </row>
    <row r="428">
      <c r="A428" s="35" t="s">
        <v>716</v>
      </c>
      <c r="B428" s="35" t="s">
        <v>321</v>
      </c>
      <c r="C428" s="35" t="s">
        <v>744</v>
      </c>
      <c r="D428" s="45">
        <v>282.0</v>
      </c>
      <c r="E428" s="45">
        <v>23.0</v>
      </c>
      <c r="F428" s="35"/>
      <c r="G428" s="35"/>
    </row>
    <row r="429">
      <c r="A429" s="35" t="s">
        <v>716</v>
      </c>
      <c r="B429" s="35" t="s">
        <v>321</v>
      </c>
      <c r="C429" s="35" t="s">
        <v>745</v>
      </c>
      <c r="D429" s="45">
        <v>282.0</v>
      </c>
      <c r="E429" s="45">
        <v>24.0</v>
      </c>
      <c r="F429" s="35"/>
      <c r="G429" s="35"/>
    </row>
    <row r="430">
      <c r="A430" s="35" t="s">
        <v>716</v>
      </c>
      <c r="B430" s="35" t="s">
        <v>321</v>
      </c>
      <c r="C430" s="35" t="s">
        <v>746</v>
      </c>
      <c r="D430" s="45">
        <v>282.0</v>
      </c>
      <c r="E430" s="45">
        <v>26.0</v>
      </c>
      <c r="F430" s="35" t="s">
        <v>747</v>
      </c>
      <c r="G430" s="35"/>
    </row>
    <row r="431">
      <c r="A431" s="35" t="s">
        <v>716</v>
      </c>
      <c r="B431" s="35" t="s">
        <v>321</v>
      </c>
      <c r="C431" s="35" t="s">
        <v>748</v>
      </c>
      <c r="D431" s="45">
        <v>282.0</v>
      </c>
      <c r="E431" s="45">
        <v>1.0</v>
      </c>
      <c r="F431" s="35" t="s">
        <v>749</v>
      </c>
      <c r="G431" s="35"/>
    </row>
    <row r="432">
      <c r="A432" s="35" t="s">
        <v>716</v>
      </c>
      <c r="B432" s="35" t="s">
        <v>186</v>
      </c>
      <c r="C432" s="35" t="s">
        <v>750</v>
      </c>
      <c r="D432" s="45">
        <v>269.0</v>
      </c>
      <c r="E432" s="45">
        <v>1.0</v>
      </c>
      <c r="F432" s="35"/>
      <c r="G432" s="35"/>
    </row>
    <row r="433">
      <c r="A433" s="35" t="s">
        <v>716</v>
      </c>
      <c r="B433" s="35" t="s">
        <v>186</v>
      </c>
      <c r="C433" s="35" t="s">
        <v>751</v>
      </c>
      <c r="D433" s="45">
        <v>269.0</v>
      </c>
      <c r="E433" s="45">
        <v>2.0</v>
      </c>
      <c r="F433" s="35"/>
      <c r="G433" s="35"/>
    </row>
    <row r="434">
      <c r="A434" s="35" t="s">
        <v>716</v>
      </c>
      <c r="B434" s="35" t="s">
        <v>186</v>
      </c>
      <c r="C434" s="35" t="s">
        <v>752</v>
      </c>
      <c r="D434" s="45">
        <v>269.0</v>
      </c>
      <c r="E434" s="45">
        <v>3.0</v>
      </c>
      <c r="F434" s="35"/>
      <c r="G434" s="35"/>
    </row>
    <row r="435">
      <c r="A435" s="35" t="s">
        <v>716</v>
      </c>
      <c r="B435" s="35" t="s">
        <v>186</v>
      </c>
      <c r="C435" s="35" t="s">
        <v>753</v>
      </c>
      <c r="D435" s="45">
        <v>269.0</v>
      </c>
      <c r="E435" s="45">
        <v>4.0</v>
      </c>
      <c r="F435" s="35"/>
      <c r="G435" s="35"/>
    </row>
    <row r="436">
      <c r="A436" s="35" t="s">
        <v>716</v>
      </c>
      <c r="B436" s="35" t="s">
        <v>186</v>
      </c>
      <c r="C436" s="35" t="s">
        <v>754</v>
      </c>
      <c r="D436" s="45">
        <v>269.0</v>
      </c>
      <c r="E436" s="45">
        <v>5.0</v>
      </c>
      <c r="F436" s="35" t="s">
        <v>755</v>
      </c>
      <c r="G436" s="35"/>
    </row>
    <row r="437">
      <c r="A437" s="35" t="s">
        <v>716</v>
      </c>
      <c r="B437" s="35" t="s">
        <v>66</v>
      </c>
      <c r="C437" s="35" t="s">
        <v>756</v>
      </c>
      <c r="D437" s="45">
        <v>283.0</v>
      </c>
      <c r="E437" s="45">
        <v>1.0</v>
      </c>
      <c r="F437" s="35"/>
      <c r="G437" s="35"/>
    </row>
    <row r="438">
      <c r="A438" s="35" t="s">
        <v>716</v>
      </c>
      <c r="B438" s="35" t="s">
        <v>66</v>
      </c>
      <c r="C438" s="35" t="s">
        <v>757</v>
      </c>
      <c r="D438" s="45">
        <v>283.0</v>
      </c>
      <c r="E438" s="45">
        <v>2.0</v>
      </c>
      <c r="F438" s="35"/>
      <c r="G438" s="35"/>
    </row>
    <row r="439">
      <c r="A439" s="35" t="s">
        <v>716</v>
      </c>
      <c r="B439" s="35" t="s">
        <v>66</v>
      </c>
      <c r="C439" s="35" t="s">
        <v>758</v>
      </c>
      <c r="D439" s="45">
        <v>283.0</v>
      </c>
      <c r="E439" s="45">
        <v>3.0</v>
      </c>
      <c r="F439" s="35"/>
      <c r="G439" s="35"/>
    </row>
    <row r="440">
      <c r="A440" s="35" t="s">
        <v>716</v>
      </c>
      <c r="B440" s="35" t="s">
        <v>66</v>
      </c>
      <c r="C440" s="35" t="s">
        <v>759</v>
      </c>
      <c r="D440" s="45">
        <v>283.0</v>
      </c>
      <c r="E440" s="45">
        <v>4.0</v>
      </c>
      <c r="F440" s="35"/>
      <c r="G440" s="35"/>
    </row>
    <row r="441">
      <c r="A441" s="35" t="s">
        <v>716</v>
      </c>
      <c r="B441" s="35" t="s">
        <v>66</v>
      </c>
      <c r="C441" s="35" t="s">
        <v>760</v>
      </c>
      <c r="D441" s="45">
        <v>283.0</v>
      </c>
      <c r="E441" s="45">
        <v>9.0</v>
      </c>
      <c r="F441" s="35" t="s">
        <v>761</v>
      </c>
      <c r="G441" s="35"/>
    </row>
    <row r="442">
      <c r="A442" s="35" t="s">
        <v>716</v>
      </c>
      <c r="B442" s="35" t="s">
        <v>66</v>
      </c>
      <c r="C442" s="35" t="s">
        <v>762</v>
      </c>
      <c r="D442" s="45">
        <v>283.0</v>
      </c>
      <c r="E442" s="45">
        <v>7.0</v>
      </c>
      <c r="F442" s="35" t="s">
        <v>763</v>
      </c>
      <c r="G442" s="35"/>
    </row>
    <row r="443">
      <c r="A443" s="50" t="s">
        <v>716</v>
      </c>
      <c r="B443" s="50" t="s">
        <v>66</v>
      </c>
      <c r="C443" s="51" t="s">
        <v>764</v>
      </c>
      <c r="D443" s="52">
        <v>283.0</v>
      </c>
      <c r="E443" s="53">
        <v>12.0</v>
      </c>
      <c r="F443" s="51" t="s">
        <v>765</v>
      </c>
      <c r="G443" s="51" t="s">
        <v>356</v>
      </c>
    </row>
    <row r="444">
      <c r="A444" s="35" t="s">
        <v>716</v>
      </c>
      <c r="B444" s="35" t="s">
        <v>214</v>
      </c>
      <c r="C444" s="35" t="s">
        <v>766</v>
      </c>
      <c r="D444" s="45">
        <v>22.0</v>
      </c>
      <c r="E444" s="45">
        <v>95.0</v>
      </c>
      <c r="F444" s="35"/>
      <c r="G444" s="35"/>
    </row>
    <row r="445">
      <c r="A445" s="35" t="s">
        <v>716</v>
      </c>
      <c r="B445" s="35" t="s">
        <v>214</v>
      </c>
      <c r="C445" s="35" t="s">
        <v>767</v>
      </c>
      <c r="D445" s="45">
        <v>22.0</v>
      </c>
      <c r="E445" s="45">
        <v>96.0</v>
      </c>
      <c r="F445" s="35"/>
      <c r="G445" s="35"/>
    </row>
    <row r="446">
      <c r="A446" s="35" t="s">
        <v>716</v>
      </c>
      <c r="B446" s="35" t="s">
        <v>214</v>
      </c>
      <c r="C446" s="35" t="s">
        <v>768</v>
      </c>
      <c r="D446" s="45">
        <v>22.0</v>
      </c>
      <c r="E446" s="45">
        <v>97.0</v>
      </c>
      <c r="F446" s="35"/>
      <c r="G446" s="35"/>
    </row>
    <row r="447">
      <c r="A447" s="35" t="s">
        <v>716</v>
      </c>
      <c r="B447" s="35" t="s">
        <v>214</v>
      </c>
      <c r="C447" s="35" t="s">
        <v>769</v>
      </c>
      <c r="D447" s="45">
        <v>22.0</v>
      </c>
      <c r="E447" s="45">
        <v>98.0</v>
      </c>
      <c r="F447" s="35"/>
      <c r="G447" s="35"/>
    </row>
    <row r="448">
      <c r="A448" s="35" t="s">
        <v>716</v>
      </c>
      <c r="B448" s="35" t="s">
        <v>214</v>
      </c>
      <c r="C448" s="35" t="s">
        <v>770</v>
      </c>
      <c r="D448" s="45">
        <v>22.0</v>
      </c>
      <c r="E448" s="45">
        <v>88.0</v>
      </c>
      <c r="F448" s="35" t="s">
        <v>771</v>
      </c>
      <c r="G448" s="35"/>
    </row>
    <row r="449">
      <c r="A449" s="35" t="s">
        <v>716</v>
      </c>
      <c r="B449" s="35" t="s">
        <v>214</v>
      </c>
      <c r="C449" s="35" t="s">
        <v>772</v>
      </c>
      <c r="D449" s="45">
        <v>22.0</v>
      </c>
      <c r="E449" s="45">
        <v>67.0</v>
      </c>
      <c r="F449" s="35" t="s">
        <v>773</v>
      </c>
      <c r="G449" s="35"/>
    </row>
    <row r="450">
      <c r="A450" s="35" t="s">
        <v>716</v>
      </c>
      <c r="B450" s="35" t="s">
        <v>214</v>
      </c>
      <c r="C450" s="35" t="s">
        <v>774</v>
      </c>
      <c r="D450" s="45">
        <v>22.0</v>
      </c>
      <c r="E450" s="45">
        <v>1.0</v>
      </c>
      <c r="F450" s="35" t="s">
        <v>775</v>
      </c>
      <c r="G450" s="35"/>
    </row>
    <row r="451">
      <c r="A451" s="35" t="s">
        <v>716</v>
      </c>
      <c r="B451" s="35" t="s">
        <v>296</v>
      </c>
      <c r="C451" s="35" t="s">
        <v>776</v>
      </c>
      <c r="D451" s="45">
        <v>16.0</v>
      </c>
      <c r="E451" s="45">
        <v>95.0</v>
      </c>
      <c r="F451" s="35"/>
      <c r="G451" s="35"/>
    </row>
    <row r="452">
      <c r="A452" s="35" t="s">
        <v>716</v>
      </c>
      <c r="B452" s="35" t="s">
        <v>296</v>
      </c>
      <c r="C452" s="35" t="s">
        <v>777</v>
      </c>
      <c r="D452" s="45">
        <v>16.0</v>
      </c>
      <c r="E452" s="45">
        <v>96.0</v>
      </c>
      <c r="F452" s="35"/>
      <c r="G452" s="35"/>
    </row>
    <row r="453">
      <c r="A453" s="35" t="s">
        <v>716</v>
      </c>
      <c r="B453" s="35" t="s">
        <v>296</v>
      </c>
      <c r="C453" s="35" t="s">
        <v>778</v>
      </c>
      <c r="D453" s="45">
        <v>16.0</v>
      </c>
      <c r="E453" s="45">
        <v>97.0</v>
      </c>
      <c r="F453" s="35"/>
      <c r="G453" s="35"/>
    </row>
    <row r="454">
      <c r="A454" s="35" t="s">
        <v>716</v>
      </c>
      <c r="B454" s="35" t="s">
        <v>296</v>
      </c>
      <c r="C454" s="35" t="s">
        <v>779</v>
      </c>
      <c r="D454" s="45">
        <v>16.0</v>
      </c>
      <c r="E454" s="45">
        <v>98.0</v>
      </c>
      <c r="F454" s="35"/>
      <c r="G454" s="35"/>
    </row>
    <row r="455">
      <c r="A455" s="35" t="s">
        <v>716</v>
      </c>
      <c r="B455" s="35" t="s">
        <v>296</v>
      </c>
      <c r="C455" s="35" t="s">
        <v>780</v>
      </c>
      <c r="D455" s="45">
        <v>16.0</v>
      </c>
      <c r="E455" s="45">
        <v>69.0</v>
      </c>
      <c r="F455" s="35" t="s">
        <v>781</v>
      </c>
      <c r="G455" s="35" t="s">
        <v>782</v>
      </c>
    </row>
    <row r="456">
      <c r="A456" s="35" t="s">
        <v>716</v>
      </c>
      <c r="B456" s="35" t="s">
        <v>296</v>
      </c>
      <c r="C456" s="35" t="s">
        <v>783</v>
      </c>
      <c r="D456" s="45">
        <v>16.0</v>
      </c>
      <c r="E456" s="45">
        <v>66.0</v>
      </c>
      <c r="F456" s="35" t="s">
        <v>784</v>
      </c>
      <c r="G456" s="35"/>
    </row>
    <row r="457">
      <c r="A457" s="35" t="s">
        <v>716</v>
      </c>
      <c r="B457" s="35" t="s">
        <v>296</v>
      </c>
      <c r="C457" s="35" t="s">
        <v>785</v>
      </c>
      <c r="D457" s="45">
        <v>16.0</v>
      </c>
      <c r="E457" s="45">
        <v>67.0</v>
      </c>
      <c r="F457" s="35" t="s">
        <v>786</v>
      </c>
      <c r="G457" s="35"/>
    </row>
  </sheetData>
  <autoFilter ref="$A$1:$G$45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4.75"/>
    <col customWidth="1" min="3" max="3" width="8.5"/>
    <col customWidth="1" min="4" max="4" width="21.13"/>
    <col customWidth="1" min="5" max="5" width="41.88"/>
    <col customWidth="1" hidden="1" min="6" max="6" width="26.5"/>
    <col customWidth="1" min="7" max="7" width="66.38"/>
    <col customWidth="1" min="8" max="8" width="109.13"/>
    <col customWidth="1" min="9" max="9" width="39.25"/>
    <col customWidth="1" min="10" max="10" width="12.5"/>
  </cols>
  <sheetData>
    <row r="1">
      <c r="A1" s="54" t="s">
        <v>78</v>
      </c>
      <c r="B1" s="54" t="s">
        <v>787</v>
      </c>
      <c r="C1" s="54" t="s">
        <v>788</v>
      </c>
      <c r="D1" s="54" t="s">
        <v>789</v>
      </c>
      <c r="E1" s="54" t="s">
        <v>790</v>
      </c>
      <c r="F1" s="54" t="s">
        <v>791</v>
      </c>
      <c r="G1" s="54" t="s">
        <v>792</v>
      </c>
      <c r="H1" s="54" t="s">
        <v>793</v>
      </c>
      <c r="I1" s="54" t="s">
        <v>794</v>
      </c>
      <c r="J1" s="55"/>
      <c r="K1" s="55"/>
    </row>
    <row r="2">
      <c r="A2" s="39" t="s">
        <v>148</v>
      </c>
      <c r="B2" s="39" t="s">
        <v>149</v>
      </c>
      <c r="C2" s="39">
        <v>1.0</v>
      </c>
      <c r="D2" s="39" t="s">
        <v>81</v>
      </c>
      <c r="E2" s="39" t="s">
        <v>795</v>
      </c>
      <c r="F2" s="39" t="s">
        <v>796</v>
      </c>
      <c r="G2" s="39" t="s">
        <v>797</v>
      </c>
      <c r="H2" s="39"/>
      <c r="I2" s="39"/>
    </row>
    <row r="3">
      <c r="A3" s="39" t="s">
        <v>148</v>
      </c>
      <c r="B3" s="39" t="s">
        <v>149</v>
      </c>
      <c r="C3" s="39">
        <v>2.0</v>
      </c>
      <c r="D3" s="39" t="s">
        <v>798</v>
      </c>
      <c r="E3" s="39" t="s">
        <v>799</v>
      </c>
      <c r="F3" s="39" t="s">
        <v>800</v>
      </c>
      <c r="G3" s="56" t="s">
        <v>801</v>
      </c>
      <c r="H3" s="39"/>
      <c r="I3" s="39"/>
    </row>
    <row r="4">
      <c r="A4" s="39" t="s">
        <v>148</v>
      </c>
      <c r="B4" s="39" t="s">
        <v>149</v>
      </c>
      <c r="C4" s="39">
        <v>3.0</v>
      </c>
      <c r="D4" s="39" t="s">
        <v>798</v>
      </c>
      <c r="E4" s="39" t="s">
        <v>802</v>
      </c>
      <c r="F4" s="39" t="s">
        <v>803</v>
      </c>
      <c r="G4" s="56" t="s">
        <v>801</v>
      </c>
      <c r="H4" s="39"/>
      <c r="I4" s="39"/>
    </row>
    <row r="5">
      <c r="A5" s="39" t="s">
        <v>148</v>
      </c>
      <c r="B5" s="39" t="s">
        <v>149</v>
      </c>
      <c r="C5" s="39">
        <v>4.0</v>
      </c>
      <c r="D5" s="39" t="s">
        <v>798</v>
      </c>
      <c r="E5" s="39" t="s">
        <v>804</v>
      </c>
      <c r="F5" s="39" t="s">
        <v>805</v>
      </c>
      <c r="G5" s="56" t="s">
        <v>806</v>
      </c>
      <c r="H5" s="39"/>
      <c r="I5" s="39"/>
    </row>
    <row r="6">
      <c r="A6" s="39" t="s">
        <v>148</v>
      </c>
      <c r="B6" s="39" t="s">
        <v>149</v>
      </c>
      <c r="C6" s="39">
        <v>5.0</v>
      </c>
      <c r="D6" s="39" t="s">
        <v>798</v>
      </c>
      <c r="E6" s="39" t="s">
        <v>807</v>
      </c>
      <c r="F6" s="39" t="s">
        <v>808</v>
      </c>
      <c r="G6" s="39" t="s">
        <v>809</v>
      </c>
      <c r="H6" s="39"/>
      <c r="I6" s="39"/>
    </row>
    <row r="7">
      <c r="A7" s="39" t="s">
        <v>148</v>
      </c>
      <c r="B7" s="39" t="s">
        <v>149</v>
      </c>
      <c r="C7" s="39">
        <v>6.0</v>
      </c>
      <c r="D7" s="39" t="s">
        <v>84</v>
      </c>
      <c r="E7" s="39" t="s">
        <v>810</v>
      </c>
      <c r="F7" s="39" t="s">
        <v>811</v>
      </c>
      <c r="G7" s="39" t="s">
        <v>812</v>
      </c>
      <c r="H7" s="39"/>
      <c r="I7" s="39"/>
    </row>
    <row r="8">
      <c r="A8" s="39" t="s">
        <v>148</v>
      </c>
      <c r="B8" s="39" t="s">
        <v>149</v>
      </c>
      <c r="C8" s="39">
        <v>7.0</v>
      </c>
      <c r="D8" s="39" t="s">
        <v>84</v>
      </c>
      <c r="E8" s="39" t="s">
        <v>813</v>
      </c>
      <c r="F8" s="39" t="s">
        <v>814</v>
      </c>
      <c r="G8" s="39" t="s">
        <v>815</v>
      </c>
      <c r="H8" s="39"/>
      <c r="I8" s="39"/>
    </row>
    <row r="9">
      <c r="A9" s="39" t="s">
        <v>148</v>
      </c>
      <c r="B9" s="39" t="s">
        <v>149</v>
      </c>
      <c r="C9" s="39">
        <v>8.0</v>
      </c>
      <c r="D9" s="39" t="s">
        <v>84</v>
      </c>
      <c r="E9" s="39" t="s">
        <v>816</v>
      </c>
      <c r="F9" s="39" t="s">
        <v>811</v>
      </c>
      <c r="G9" s="39" t="s">
        <v>817</v>
      </c>
      <c r="H9" s="39" t="s">
        <v>818</v>
      </c>
      <c r="I9" s="39"/>
    </row>
    <row r="10">
      <c r="A10" s="39" t="s">
        <v>148</v>
      </c>
      <c r="B10" s="39" t="s">
        <v>149</v>
      </c>
      <c r="C10" s="39">
        <v>9.0</v>
      </c>
      <c r="D10" s="39" t="s">
        <v>819</v>
      </c>
      <c r="E10" s="39" t="s">
        <v>820</v>
      </c>
      <c r="F10" s="39" t="s">
        <v>821</v>
      </c>
      <c r="G10" s="56" t="s">
        <v>822</v>
      </c>
      <c r="H10" s="39"/>
      <c r="I10" s="39"/>
    </row>
    <row r="11">
      <c r="A11" s="39" t="s">
        <v>148</v>
      </c>
      <c r="B11" s="39" t="s">
        <v>149</v>
      </c>
      <c r="C11" s="39">
        <v>10.0</v>
      </c>
      <c r="D11" s="39" t="s">
        <v>819</v>
      </c>
      <c r="E11" s="39" t="s">
        <v>823</v>
      </c>
      <c r="F11" s="39" t="s">
        <v>824</v>
      </c>
      <c r="G11" s="56" t="s">
        <v>825</v>
      </c>
      <c r="H11" s="39"/>
      <c r="I11" s="39"/>
    </row>
    <row r="12">
      <c r="A12" s="39" t="s">
        <v>148</v>
      </c>
      <c r="B12" s="39" t="s">
        <v>149</v>
      </c>
      <c r="C12" s="39">
        <v>11.0</v>
      </c>
      <c r="D12" s="39" t="s">
        <v>819</v>
      </c>
      <c r="E12" s="39" t="s">
        <v>826</v>
      </c>
      <c r="F12" s="39" t="s">
        <v>827</v>
      </c>
      <c r="G12" s="56" t="s">
        <v>806</v>
      </c>
      <c r="H12" s="39"/>
      <c r="I12" s="39"/>
    </row>
    <row r="13">
      <c r="A13" s="39" t="s">
        <v>148</v>
      </c>
      <c r="B13" s="39" t="s">
        <v>149</v>
      </c>
      <c r="C13" s="39">
        <v>12.0</v>
      </c>
      <c r="D13" s="39" t="s">
        <v>819</v>
      </c>
      <c r="E13" s="39" t="s">
        <v>828</v>
      </c>
      <c r="F13" s="39" t="s">
        <v>829</v>
      </c>
      <c r="G13" s="56" t="s">
        <v>806</v>
      </c>
      <c r="H13" s="39"/>
      <c r="I13" s="39"/>
    </row>
    <row r="14">
      <c r="A14" s="39" t="s">
        <v>148</v>
      </c>
      <c r="B14" s="39" t="s">
        <v>149</v>
      </c>
      <c r="C14" s="39">
        <v>13.0</v>
      </c>
      <c r="D14" s="39" t="s">
        <v>819</v>
      </c>
      <c r="E14" s="39" t="s">
        <v>830</v>
      </c>
      <c r="F14" s="39" t="s">
        <v>831</v>
      </c>
      <c r="G14" s="56" t="s">
        <v>822</v>
      </c>
      <c r="H14" s="39"/>
      <c r="I14" s="39"/>
    </row>
    <row r="15">
      <c r="A15" s="39" t="s">
        <v>148</v>
      </c>
      <c r="B15" s="39" t="s">
        <v>149</v>
      </c>
      <c r="C15" s="39">
        <v>14.0</v>
      </c>
      <c r="D15" s="39" t="s">
        <v>819</v>
      </c>
      <c r="E15" s="39" t="s">
        <v>832</v>
      </c>
      <c r="F15" s="39" t="s">
        <v>833</v>
      </c>
      <c r="G15" s="56" t="s">
        <v>806</v>
      </c>
      <c r="H15" s="39"/>
      <c r="I15" s="39"/>
    </row>
    <row r="16">
      <c r="A16" s="39" t="s">
        <v>148</v>
      </c>
      <c r="B16" s="39" t="s">
        <v>149</v>
      </c>
      <c r="C16" s="39">
        <v>15.0</v>
      </c>
      <c r="D16" s="39" t="s">
        <v>819</v>
      </c>
      <c r="E16" s="39" t="s">
        <v>834</v>
      </c>
      <c r="F16" s="39" t="s">
        <v>835</v>
      </c>
      <c r="G16" s="56" t="s">
        <v>836</v>
      </c>
      <c r="H16" s="39"/>
      <c r="I16" s="39"/>
    </row>
    <row r="17">
      <c r="A17" s="39" t="s">
        <v>148</v>
      </c>
      <c r="B17" s="39" t="s">
        <v>149</v>
      </c>
      <c r="C17" s="39">
        <v>16.0</v>
      </c>
      <c r="D17" s="39" t="s">
        <v>819</v>
      </c>
      <c r="E17" s="39" t="s">
        <v>837</v>
      </c>
      <c r="F17" s="39" t="s">
        <v>838</v>
      </c>
      <c r="G17" s="56" t="s">
        <v>836</v>
      </c>
      <c r="H17" s="39"/>
      <c r="I17" s="39"/>
    </row>
    <row r="18">
      <c r="A18" s="39" t="s">
        <v>148</v>
      </c>
      <c r="B18" s="39" t="s">
        <v>149</v>
      </c>
      <c r="C18" s="39">
        <v>17.0</v>
      </c>
      <c r="D18" s="39" t="s">
        <v>839</v>
      </c>
      <c r="E18" s="39" t="s">
        <v>840</v>
      </c>
      <c r="F18" s="39" t="s">
        <v>841</v>
      </c>
      <c r="G18" s="56" t="s">
        <v>825</v>
      </c>
      <c r="H18" s="39" t="s">
        <v>842</v>
      </c>
      <c r="I18" s="39"/>
    </row>
    <row r="19">
      <c r="A19" s="39" t="s">
        <v>148</v>
      </c>
      <c r="B19" s="39" t="s">
        <v>149</v>
      </c>
      <c r="C19" s="39">
        <v>18.0</v>
      </c>
      <c r="D19" s="39" t="s">
        <v>839</v>
      </c>
      <c r="E19" s="39" t="s">
        <v>843</v>
      </c>
      <c r="F19" s="39" t="s">
        <v>844</v>
      </c>
      <c r="G19" s="39" t="s">
        <v>845</v>
      </c>
      <c r="H19" s="39"/>
      <c r="I19" s="39"/>
    </row>
    <row r="20">
      <c r="A20" s="39" t="s">
        <v>148</v>
      </c>
      <c r="B20" s="39" t="s">
        <v>149</v>
      </c>
      <c r="C20" s="39">
        <v>20.0</v>
      </c>
      <c r="D20" s="39" t="s">
        <v>839</v>
      </c>
      <c r="E20" s="39" t="s">
        <v>846</v>
      </c>
      <c r="F20" s="39" t="s">
        <v>844</v>
      </c>
      <c r="G20" s="39" t="s">
        <v>847</v>
      </c>
      <c r="H20" s="39"/>
      <c r="I20" s="39"/>
    </row>
    <row r="21">
      <c r="A21" s="39" t="s">
        <v>148</v>
      </c>
      <c r="B21" s="39" t="s">
        <v>149</v>
      </c>
      <c r="C21" s="39">
        <v>21.0</v>
      </c>
      <c r="D21" s="39" t="s">
        <v>839</v>
      </c>
      <c r="E21" s="39" t="s">
        <v>848</v>
      </c>
      <c r="F21" s="39" t="s">
        <v>849</v>
      </c>
      <c r="G21" s="39" t="s">
        <v>850</v>
      </c>
      <c r="H21" s="39"/>
      <c r="I21" s="39"/>
    </row>
    <row r="22">
      <c r="A22" s="39" t="s">
        <v>148</v>
      </c>
      <c r="B22" s="39" t="s">
        <v>149</v>
      </c>
      <c r="C22" s="39">
        <v>22.0</v>
      </c>
      <c r="D22" s="39" t="s">
        <v>839</v>
      </c>
      <c r="E22" s="39" t="s">
        <v>851</v>
      </c>
      <c r="F22" s="39" t="s">
        <v>852</v>
      </c>
      <c r="G22" s="39" t="s">
        <v>853</v>
      </c>
      <c r="H22" s="39"/>
      <c r="I22" s="39"/>
    </row>
    <row r="23">
      <c r="A23" s="39" t="s">
        <v>148</v>
      </c>
      <c r="B23" s="39" t="s">
        <v>149</v>
      </c>
      <c r="C23" s="39">
        <v>23.0</v>
      </c>
      <c r="D23" s="39" t="s">
        <v>839</v>
      </c>
      <c r="E23" s="39" t="s">
        <v>854</v>
      </c>
      <c r="F23" s="39" t="s">
        <v>855</v>
      </c>
      <c r="G23" s="39" t="s">
        <v>856</v>
      </c>
      <c r="H23" s="39"/>
      <c r="I23" s="39"/>
    </row>
    <row r="24">
      <c r="A24" s="39" t="s">
        <v>148</v>
      </c>
      <c r="B24" s="39" t="s">
        <v>149</v>
      </c>
      <c r="C24" s="39">
        <v>24.0</v>
      </c>
      <c r="D24" s="39" t="s">
        <v>87</v>
      </c>
      <c r="E24" s="39" t="s">
        <v>857</v>
      </c>
      <c r="F24" s="39" t="s">
        <v>858</v>
      </c>
      <c r="G24" s="39" t="s">
        <v>859</v>
      </c>
      <c r="H24" s="39"/>
      <c r="I24" s="39"/>
    </row>
    <row r="25">
      <c r="A25" s="39" t="s">
        <v>148</v>
      </c>
      <c r="B25" s="39" t="s">
        <v>149</v>
      </c>
      <c r="C25" s="39">
        <v>25.0</v>
      </c>
      <c r="D25" s="39" t="s">
        <v>87</v>
      </c>
      <c r="E25" s="39" t="s">
        <v>860</v>
      </c>
      <c r="F25" s="39" t="s">
        <v>861</v>
      </c>
      <c r="G25" s="39" t="s">
        <v>862</v>
      </c>
      <c r="H25" s="39"/>
      <c r="I25" s="39"/>
    </row>
    <row r="26">
      <c r="A26" s="39" t="s">
        <v>148</v>
      </c>
      <c r="B26" s="39" t="s">
        <v>149</v>
      </c>
      <c r="C26" s="39">
        <v>26.0</v>
      </c>
      <c r="D26" s="39" t="s">
        <v>87</v>
      </c>
      <c r="E26" s="39" t="s">
        <v>863</v>
      </c>
      <c r="F26" s="39" t="s">
        <v>864</v>
      </c>
      <c r="G26" s="39" t="s">
        <v>865</v>
      </c>
      <c r="H26" s="39"/>
      <c r="I26" s="39"/>
    </row>
    <row r="27">
      <c r="A27" s="39" t="s">
        <v>148</v>
      </c>
      <c r="B27" s="39" t="s">
        <v>149</v>
      </c>
      <c r="C27" s="39">
        <v>27.0</v>
      </c>
      <c r="D27" s="39" t="s">
        <v>87</v>
      </c>
      <c r="E27" s="39" t="s">
        <v>866</v>
      </c>
      <c r="F27" s="39" t="s">
        <v>867</v>
      </c>
      <c r="G27" s="39" t="s">
        <v>868</v>
      </c>
      <c r="H27" s="39"/>
      <c r="I27" s="39"/>
    </row>
    <row r="28">
      <c r="A28" s="39" t="s">
        <v>148</v>
      </c>
      <c r="B28" s="39" t="s">
        <v>149</v>
      </c>
      <c r="C28" s="39">
        <v>28.0</v>
      </c>
      <c r="D28" s="39" t="s">
        <v>87</v>
      </c>
      <c r="E28" s="39" t="s">
        <v>869</v>
      </c>
      <c r="F28" s="39" t="s">
        <v>870</v>
      </c>
      <c r="G28" s="39" t="s">
        <v>871</v>
      </c>
      <c r="H28" s="39"/>
      <c r="I28" s="39"/>
    </row>
    <row r="29">
      <c r="A29" s="39" t="s">
        <v>148</v>
      </c>
      <c r="B29" s="39" t="s">
        <v>149</v>
      </c>
      <c r="C29" s="39">
        <v>29.0</v>
      </c>
      <c r="D29" s="39" t="s">
        <v>839</v>
      </c>
      <c r="E29" s="39" t="s">
        <v>872</v>
      </c>
      <c r="F29" s="39" t="s">
        <v>873</v>
      </c>
      <c r="G29" s="39" t="s">
        <v>874</v>
      </c>
      <c r="H29" s="39"/>
      <c r="I29" s="39"/>
    </row>
    <row r="30">
      <c r="A30" s="39" t="s">
        <v>148</v>
      </c>
      <c r="B30" s="39" t="s">
        <v>149</v>
      </c>
      <c r="C30" s="39">
        <v>30.0</v>
      </c>
      <c r="D30" s="39" t="s">
        <v>875</v>
      </c>
      <c r="E30" s="39" t="s">
        <v>876</v>
      </c>
      <c r="F30" s="39" t="s">
        <v>873</v>
      </c>
      <c r="G30" s="39" t="s">
        <v>877</v>
      </c>
      <c r="H30" s="39"/>
      <c r="I30" s="39"/>
    </row>
    <row r="31">
      <c r="A31" s="39" t="s">
        <v>148</v>
      </c>
      <c r="B31" s="39" t="s">
        <v>149</v>
      </c>
      <c r="C31" s="39">
        <v>31.0</v>
      </c>
      <c r="D31" s="39" t="s">
        <v>875</v>
      </c>
      <c r="E31" s="39" t="s">
        <v>878</v>
      </c>
      <c r="F31" s="39" t="s">
        <v>873</v>
      </c>
      <c r="G31" s="39" t="s">
        <v>877</v>
      </c>
      <c r="H31" s="39"/>
      <c r="I31" s="39"/>
    </row>
    <row r="32">
      <c r="A32" s="39" t="s">
        <v>148</v>
      </c>
      <c r="B32" s="39" t="s">
        <v>149</v>
      </c>
      <c r="C32" s="39">
        <v>32.0</v>
      </c>
      <c r="D32" s="39" t="s">
        <v>839</v>
      </c>
      <c r="E32" s="39" t="s">
        <v>879</v>
      </c>
      <c r="F32" s="39" t="s">
        <v>873</v>
      </c>
      <c r="G32" s="39" t="s">
        <v>880</v>
      </c>
      <c r="H32" s="39"/>
      <c r="I32" s="39"/>
    </row>
    <row r="33">
      <c r="A33" s="39" t="s">
        <v>148</v>
      </c>
      <c r="B33" s="39" t="s">
        <v>149</v>
      </c>
      <c r="C33" s="39">
        <v>33.0</v>
      </c>
      <c r="D33" s="39" t="s">
        <v>875</v>
      </c>
      <c r="E33" s="39" t="s">
        <v>881</v>
      </c>
      <c r="F33" s="39" t="s">
        <v>873</v>
      </c>
      <c r="G33" s="39" t="s">
        <v>877</v>
      </c>
      <c r="H33" s="39"/>
      <c r="I33" s="39"/>
    </row>
    <row r="34">
      <c r="A34" s="39" t="s">
        <v>148</v>
      </c>
      <c r="B34" s="39" t="s">
        <v>149</v>
      </c>
      <c r="C34" s="39">
        <v>34.0</v>
      </c>
      <c r="D34" s="39" t="s">
        <v>875</v>
      </c>
      <c r="E34" s="39" t="s">
        <v>882</v>
      </c>
      <c r="F34" s="39" t="s">
        <v>873</v>
      </c>
      <c r="G34" s="39" t="s">
        <v>883</v>
      </c>
      <c r="H34" s="39"/>
      <c r="I34" s="39"/>
    </row>
    <row r="35">
      <c r="A35" s="39" t="s">
        <v>148</v>
      </c>
      <c r="B35" s="39" t="s">
        <v>149</v>
      </c>
      <c r="C35" s="39">
        <v>35.0</v>
      </c>
      <c r="D35" s="39" t="s">
        <v>875</v>
      </c>
      <c r="E35" s="39" t="s">
        <v>884</v>
      </c>
      <c r="F35" s="39" t="s">
        <v>873</v>
      </c>
      <c r="G35" s="39" t="s">
        <v>883</v>
      </c>
      <c r="H35" s="39"/>
      <c r="I35" s="39"/>
    </row>
    <row r="36">
      <c r="A36" s="39" t="s">
        <v>148</v>
      </c>
      <c r="B36" s="39" t="s">
        <v>149</v>
      </c>
      <c r="C36" s="39">
        <v>36.0</v>
      </c>
      <c r="D36" s="39" t="s">
        <v>81</v>
      </c>
      <c r="E36" s="39" t="s">
        <v>885</v>
      </c>
      <c r="F36" s="39" t="s">
        <v>886</v>
      </c>
      <c r="G36" s="39" t="s">
        <v>797</v>
      </c>
      <c r="H36" s="39"/>
      <c r="I36" s="39"/>
    </row>
    <row r="37">
      <c r="A37" s="39" t="s">
        <v>148</v>
      </c>
      <c r="B37" s="39" t="s">
        <v>149</v>
      </c>
      <c r="C37" s="39">
        <v>37.0</v>
      </c>
      <c r="D37" s="39" t="s">
        <v>88</v>
      </c>
      <c r="E37" s="39" t="s">
        <v>887</v>
      </c>
      <c r="F37" s="39" t="s">
        <v>888</v>
      </c>
      <c r="G37" s="39" t="s">
        <v>889</v>
      </c>
      <c r="H37" s="39"/>
      <c r="I37" s="39"/>
    </row>
    <row r="38">
      <c r="A38" s="39" t="s">
        <v>148</v>
      </c>
      <c r="B38" s="39" t="s">
        <v>149</v>
      </c>
      <c r="C38" s="39">
        <v>38.0</v>
      </c>
      <c r="D38" s="39" t="s">
        <v>88</v>
      </c>
      <c r="E38" s="39" t="s">
        <v>890</v>
      </c>
      <c r="F38" s="39" t="s">
        <v>891</v>
      </c>
      <c r="G38" s="39" t="s">
        <v>892</v>
      </c>
      <c r="H38" s="39"/>
      <c r="I38" s="39"/>
    </row>
    <row r="39">
      <c r="A39" s="39" t="s">
        <v>148</v>
      </c>
      <c r="B39" s="39" t="s">
        <v>149</v>
      </c>
      <c r="C39" s="39">
        <v>39.0</v>
      </c>
      <c r="D39" s="39" t="s">
        <v>88</v>
      </c>
      <c r="E39" s="39" t="s">
        <v>893</v>
      </c>
      <c r="F39" s="39" t="s">
        <v>894</v>
      </c>
      <c r="G39" s="39" t="s">
        <v>895</v>
      </c>
      <c r="H39" s="39"/>
      <c r="I39" s="39"/>
    </row>
    <row r="40">
      <c r="A40" s="39" t="s">
        <v>148</v>
      </c>
      <c r="B40" s="39" t="s">
        <v>149</v>
      </c>
      <c r="C40" s="39">
        <v>40.0</v>
      </c>
      <c r="D40" s="39" t="s">
        <v>88</v>
      </c>
      <c r="E40" s="39" t="s">
        <v>896</v>
      </c>
      <c r="F40" s="39" t="s">
        <v>897</v>
      </c>
      <c r="G40" s="39" t="s">
        <v>898</v>
      </c>
      <c r="H40" s="39"/>
      <c r="I40" s="39"/>
    </row>
    <row r="41">
      <c r="A41" s="39" t="s">
        <v>148</v>
      </c>
      <c r="B41" s="39" t="s">
        <v>149</v>
      </c>
      <c r="C41" s="39">
        <v>41.0</v>
      </c>
      <c r="D41" s="39" t="s">
        <v>88</v>
      </c>
      <c r="E41" s="39" t="s">
        <v>899</v>
      </c>
      <c r="F41" s="39" t="s">
        <v>900</v>
      </c>
      <c r="G41" s="39" t="s">
        <v>901</v>
      </c>
      <c r="H41" s="39"/>
      <c r="I41" s="39"/>
    </row>
    <row r="42">
      <c r="A42" s="39" t="s">
        <v>148</v>
      </c>
      <c r="B42" s="39" t="s">
        <v>149</v>
      </c>
      <c r="C42" s="39">
        <v>42.0</v>
      </c>
      <c r="D42" s="39" t="s">
        <v>902</v>
      </c>
      <c r="E42" s="39" t="s">
        <v>903</v>
      </c>
      <c r="F42" s="39" t="s">
        <v>904</v>
      </c>
      <c r="G42" s="56" t="s">
        <v>836</v>
      </c>
      <c r="H42" s="39" t="s">
        <v>905</v>
      </c>
      <c r="I42" s="39"/>
    </row>
    <row r="43">
      <c r="A43" s="39" t="s">
        <v>148</v>
      </c>
      <c r="B43" s="39" t="s">
        <v>149</v>
      </c>
      <c r="C43" s="39">
        <v>43.0</v>
      </c>
      <c r="D43" s="39" t="s">
        <v>902</v>
      </c>
      <c r="E43" s="39" t="s">
        <v>906</v>
      </c>
      <c r="F43" s="39" t="s">
        <v>907</v>
      </c>
      <c r="G43" s="56" t="s">
        <v>822</v>
      </c>
      <c r="H43" s="39" t="s">
        <v>908</v>
      </c>
      <c r="I43" s="39"/>
    </row>
    <row r="44">
      <c r="A44" s="39" t="s">
        <v>148</v>
      </c>
      <c r="B44" s="39" t="s">
        <v>149</v>
      </c>
      <c r="C44" s="39">
        <v>44.0</v>
      </c>
      <c r="D44" s="39" t="s">
        <v>902</v>
      </c>
      <c r="E44" s="39" t="s">
        <v>909</v>
      </c>
      <c r="F44" s="39" t="s">
        <v>904</v>
      </c>
      <c r="G44" s="56" t="s">
        <v>836</v>
      </c>
      <c r="H44" s="39" t="s">
        <v>910</v>
      </c>
      <c r="I44" s="39"/>
    </row>
    <row r="45">
      <c r="A45" s="39" t="s">
        <v>148</v>
      </c>
      <c r="B45" s="39" t="s">
        <v>149</v>
      </c>
      <c r="C45" s="39">
        <v>45.0</v>
      </c>
      <c r="D45" s="39" t="s">
        <v>902</v>
      </c>
      <c r="E45" s="39" t="s">
        <v>911</v>
      </c>
      <c r="F45" s="39" t="s">
        <v>907</v>
      </c>
      <c r="G45" s="56" t="s">
        <v>822</v>
      </c>
      <c r="H45" s="39" t="s">
        <v>912</v>
      </c>
      <c r="I45" s="39"/>
    </row>
    <row r="46">
      <c r="A46" s="39" t="s">
        <v>148</v>
      </c>
      <c r="B46" s="39" t="s">
        <v>149</v>
      </c>
      <c r="C46" s="39">
        <v>46.0</v>
      </c>
      <c r="D46" s="39" t="s">
        <v>902</v>
      </c>
      <c r="E46" s="39" t="s">
        <v>913</v>
      </c>
      <c r="F46" s="39" t="s">
        <v>914</v>
      </c>
      <c r="G46" s="39" t="s">
        <v>809</v>
      </c>
      <c r="H46" s="39" t="s">
        <v>915</v>
      </c>
      <c r="I46" s="39"/>
    </row>
    <row r="47">
      <c r="A47" s="39" t="s">
        <v>148</v>
      </c>
      <c r="B47" s="39" t="s">
        <v>149</v>
      </c>
      <c r="C47" s="39">
        <v>47.0</v>
      </c>
      <c r="D47" s="39" t="s">
        <v>902</v>
      </c>
      <c r="E47" s="39" t="s">
        <v>916</v>
      </c>
      <c r="F47" s="39" t="s">
        <v>917</v>
      </c>
      <c r="G47" s="56" t="s">
        <v>825</v>
      </c>
      <c r="H47" s="39" t="s">
        <v>918</v>
      </c>
      <c r="I47" s="39"/>
    </row>
    <row r="48">
      <c r="A48" s="39" t="s">
        <v>148</v>
      </c>
      <c r="B48" s="39" t="s">
        <v>149</v>
      </c>
      <c r="C48" s="39">
        <v>48.0</v>
      </c>
      <c r="D48" s="39" t="s">
        <v>902</v>
      </c>
      <c r="E48" s="39" t="s">
        <v>919</v>
      </c>
      <c r="F48" s="39" t="s">
        <v>914</v>
      </c>
      <c r="G48" s="39" t="s">
        <v>809</v>
      </c>
      <c r="H48" s="39" t="s">
        <v>920</v>
      </c>
      <c r="I48" s="39"/>
    </row>
    <row r="49">
      <c r="A49" s="39" t="s">
        <v>148</v>
      </c>
      <c r="B49" s="39" t="s">
        <v>149</v>
      </c>
      <c r="C49" s="39">
        <v>49.0</v>
      </c>
      <c r="D49" s="39" t="s">
        <v>902</v>
      </c>
      <c r="E49" s="39" t="s">
        <v>921</v>
      </c>
      <c r="F49" s="39" t="s">
        <v>917</v>
      </c>
      <c r="G49" s="56" t="s">
        <v>825</v>
      </c>
      <c r="H49" s="39" t="s">
        <v>908</v>
      </c>
      <c r="I49" s="39"/>
    </row>
    <row r="50">
      <c r="A50" s="39" t="s">
        <v>148</v>
      </c>
      <c r="B50" s="39" t="s">
        <v>149</v>
      </c>
      <c r="C50" s="39">
        <v>50.0</v>
      </c>
      <c r="D50" s="39" t="s">
        <v>90</v>
      </c>
      <c r="E50" s="39" t="s">
        <v>922</v>
      </c>
      <c r="F50" s="39" t="s">
        <v>923</v>
      </c>
      <c r="G50" s="39" t="s">
        <v>924</v>
      </c>
      <c r="H50" s="39"/>
      <c r="I50" s="39"/>
    </row>
    <row r="51">
      <c r="A51" s="39" t="s">
        <v>148</v>
      </c>
      <c r="B51" s="39" t="s">
        <v>149</v>
      </c>
      <c r="C51" s="39">
        <v>51.0</v>
      </c>
      <c r="D51" s="39" t="s">
        <v>90</v>
      </c>
      <c r="E51" s="39" t="s">
        <v>925</v>
      </c>
      <c r="F51" s="39" t="s">
        <v>926</v>
      </c>
      <c r="G51" s="39" t="s">
        <v>927</v>
      </c>
      <c r="H51" s="39"/>
      <c r="I51" s="39"/>
    </row>
    <row r="52">
      <c r="A52" s="39" t="s">
        <v>148</v>
      </c>
      <c r="B52" s="39" t="s">
        <v>149</v>
      </c>
      <c r="C52" s="39">
        <v>52.0</v>
      </c>
      <c r="D52" s="39" t="s">
        <v>90</v>
      </c>
      <c r="E52" s="39" t="s">
        <v>928</v>
      </c>
      <c r="F52" s="39" t="s">
        <v>929</v>
      </c>
      <c r="G52" s="39" t="s">
        <v>930</v>
      </c>
      <c r="H52" s="39"/>
      <c r="I52" s="39"/>
    </row>
    <row r="53">
      <c r="A53" s="39" t="s">
        <v>148</v>
      </c>
      <c r="B53" s="39" t="s">
        <v>149</v>
      </c>
      <c r="C53" s="39">
        <v>53.0</v>
      </c>
      <c r="D53" s="39" t="s">
        <v>90</v>
      </c>
      <c r="E53" s="39" t="s">
        <v>931</v>
      </c>
      <c r="F53" s="39" t="s">
        <v>932</v>
      </c>
      <c r="G53" s="56" t="s">
        <v>822</v>
      </c>
      <c r="H53" s="39"/>
      <c r="I53" s="39"/>
    </row>
    <row r="54">
      <c r="A54" s="39" t="s">
        <v>148</v>
      </c>
      <c r="B54" s="39" t="s">
        <v>149</v>
      </c>
      <c r="C54" s="39">
        <v>54.0</v>
      </c>
      <c r="D54" s="39" t="s">
        <v>90</v>
      </c>
      <c r="E54" s="39" t="s">
        <v>933</v>
      </c>
      <c r="F54" s="39" t="s">
        <v>934</v>
      </c>
      <c r="G54" s="56" t="s">
        <v>836</v>
      </c>
      <c r="H54" s="39"/>
      <c r="I54" s="39"/>
    </row>
    <row r="55">
      <c r="A55" s="39" t="s">
        <v>148</v>
      </c>
      <c r="B55" s="39" t="s">
        <v>149</v>
      </c>
      <c r="C55" s="39">
        <v>55.0</v>
      </c>
      <c r="D55" s="39" t="s">
        <v>90</v>
      </c>
      <c r="E55" s="39" t="s">
        <v>935</v>
      </c>
      <c r="F55" s="39" t="s">
        <v>936</v>
      </c>
      <c r="G55" s="56" t="s">
        <v>801</v>
      </c>
      <c r="H55" s="39"/>
      <c r="I55" s="39"/>
    </row>
    <row r="56">
      <c r="A56" s="39" t="s">
        <v>148</v>
      </c>
      <c r="B56" s="39" t="s">
        <v>149</v>
      </c>
      <c r="C56" s="39">
        <v>56.0</v>
      </c>
      <c r="D56" s="39" t="s">
        <v>90</v>
      </c>
      <c r="E56" s="39" t="s">
        <v>937</v>
      </c>
      <c r="F56" s="39" t="s">
        <v>938</v>
      </c>
      <c r="G56" s="39" t="s">
        <v>939</v>
      </c>
      <c r="H56" s="39"/>
      <c r="I56" s="39"/>
    </row>
    <row r="57">
      <c r="A57" s="39" t="s">
        <v>148</v>
      </c>
      <c r="B57" s="39" t="s">
        <v>149</v>
      </c>
      <c r="C57" s="39">
        <v>57.0</v>
      </c>
      <c r="D57" s="39" t="s">
        <v>84</v>
      </c>
      <c r="E57" s="39" t="s">
        <v>940</v>
      </c>
      <c r="F57" s="39" t="s">
        <v>814</v>
      </c>
      <c r="G57" s="39" t="s">
        <v>941</v>
      </c>
      <c r="H57" s="39" t="s">
        <v>942</v>
      </c>
      <c r="I57" s="39"/>
    </row>
    <row r="58">
      <c r="A58" s="39" t="s">
        <v>148</v>
      </c>
      <c r="B58" s="39" t="s">
        <v>149</v>
      </c>
      <c r="C58" s="39">
        <v>58.0</v>
      </c>
      <c r="D58" s="39" t="s">
        <v>92</v>
      </c>
      <c r="E58" s="39" t="s">
        <v>943</v>
      </c>
      <c r="F58" s="39" t="s">
        <v>944</v>
      </c>
      <c r="G58" s="39" t="s">
        <v>945</v>
      </c>
      <c r="H58" s="39"/>
      <c r="I58" s="39"/>
    </row>
    <row r="59">
      <c r="A59" s="39" t="s">
        <v>148</v>
      </c>
      <c r="B59" s="39" t="s">
        <v>149</v>
      </c>
      <c r="C59" s="39">
        <v>59.0</v>
      </c>
      <c r="D59" s="39" t="s">
        <v>92</v>
      </c>
      <c r="E59" s="39" t="s">
        <v>946</v>
      </c>
      <c r="F59" s="39" t="s">
        <v>944</v>
      </c>
      <c r="G59" s="39" t="s">
        <v>947</v>
      </c>
      <c r="H59" s="39"/>
      <c r="I59" s="39"/>
    </row>
    <row r="60">
      <c r="A60" s="39" t="s">
        <v>148</v>
      </c>
      <c r="B60" s="39" t="s">
        <v>149</v>
      </c>
      <c r="C60" s="39">
        <v>60.0</v>
      </c>
      <c r="D60" s="39" t="s">
        <v>92</v>
      </c>
      <c r="E60" s="39" t="s">
        <v>948</v>
      </c>
      <c r="F60" s="39" t="s">
        <v>949</v>
      </c>
      <c r="G60" s="39" t="s">
        <v>950</v>
      </c>
      <c r="H60" s="39" t="s">
        <v>951</v>
      </c>
      <c r="I60" s="39"/>
    </row>
    <row r="61">
      <c r="A61" s="39" t="s">
        <v>148</v>
      </c>
      <c r="B61" s="39" t="s">
        <v>149</v>
      </c>
      <c r="C61" s="39">
        <v>61.0</v>
      </c>
      <c r="D61" s="39" t="s">
        <v>92</v>
      </c>
      <c r="E61" s="39" t="s">
        <v>952</v>
      </c>
      <c r="F61" s="39" t="s">
        <v>953</v>
      </c>
      <c r="G61" s="39" t="s">
        <v>954</v>
      </c>
      <c r="H61" s="39"/>
      <c r="I61" s="39"/>
    </row>
    <row r="62">
      <c r="A62" s="39" t="s">
        <v>148</v>
      </c>
      <c r="B62" s="39" t="s">
        <v>149</v>
      </c>
      <c r="C62" s="39">
        <v>62.0</v>
      </c>
      <c r="D62" s="39" t="s">
        <v>92</v>
      </c>
      <c r="E62" s="39" t="s">
        <v>955</v>
      </c>
      <c r="F62" s="39" t="s">
        <v>956</v>
      </c>
      <c r="G62" s="39" t="s">
        <v>957</v>
      </c>
      <c r="H62" s="39"/>
      <c r="I62" s="39"/>
    </row>
    <row r="63">
      <c r="A63" s="39" t="s">
        <v>148</v>
      </c>
      <c r="B63" s="39" t="s">
        <v>149</v>
      </c>
      <c r="C63" s="39">
        <v>63.0</v>
      </c>
      <c r="D63" s="39" t="s">
        <v>92</v>
      </c>
      <c r="E63" s="39" t="s">
        <v>958</v>
      </c>
      <c r="F63" s="39" t="s">
        <v>959</v>
      </c>
      <c r="G63" s="39" t="s">
        <v>960</v>
      </c>
      <c r="H63" s="39"/>
      <c r="I63" s="39"/>
    </row>
    <row r="64">
      <c r="A64" s="39" t="s">
        <v>148</v>
      </c>
      <c r="B64" s="39" t="s">
        <v>149</v>
      </c>
      <c r="C64" s="39">
        <v>64.0</v>
      </c>
      <c r="D64" s="39" t="s">
        <v>91</v>
      </c>
      <c r="E64" s="39" t="s">
        <v>961</v>
      </c>
      <c r="F64" s="39" t="s">
        <v>962</v>
      </c>
      <c r="G64" s="56" t="s">
        <v>822</v>
      </c>
      <c r="H64" s="39"/>
      <c r="I64" s="39"/>
    </row>
    <row r="65">
      <c r="A65" s="39" t="s">
        <v>148</v>
      </c>
      <c r="B65" s="39" t="s">
        <v>149</v>
      </c>
      <c r="C65" s="39">
        <v>65.0</v>
      </c>
      <c r="D65" s="39" t="s">
        <v>91</v>
      </c>
      <c r="E65" s="39" t="s">
        <v>963</v>
      </c>
      <c r="F65" s="39" t="s">
        <v>964</v>
      </c>
      <c r="G65" s="56" t="s">
        <v>836</v>
      </c>
      <c r="H65" s="39"/>
      <c r="I65" s="39"/>
    </row>
    <row r="66">
      <c r="A66" s="39" t="s">
        <v>148</v>
      </c>
      <c r="B66" s="39" t="s">
        <v>149</v>
      </c>
      <c r="C66" s="39">
        <v>66.0</v>
      </c>
      <c r="D66" s="39" t="s">
        <v>91</v>
      </c>
      <c r="E66" s="39" t="s">
        <v>965</v>
      </c>
      <c r="F66" s="39" t="s">
        <v>966</v>
      </c>
      <c r="G66" s="56" t="s">
        <v>806</v>
      </c>
      <c r="H66" s="39"/>
      <c r="I66" s="39"/>
    </row>
    <row r="67">
      <c r="A67" s="39" t="s">
        <v>148</v>
      </c>
      <c r="B67" s="39" t="s">
        <v>149</v>
      </c>
      <c r="C67" s="39">
        <v>67.0</v>
      </c>
      <c r="D67" s="39" t="s">
        <v>92</v>
      </c>
      <c r="E67" s="39" t="s">
        <v>967</v>
      </c>
      <c r="F67" s="39" t="s">
        <v>959</v>
      </c>
      <c r="G67" s="39" t="s">
        <v>968</v>
      </c>
      <c r="H67" s="39" t="s">
        <v>969</v>
      </c>
      <c r="I67" s="39"/>
    </row>
    <row r="68">
      <c r="A68" s="39" t="s">
        <v>148</v>
      </c>
      <c r="B68" s="39" t="s">
        <v>149</v>
      </c>
      <c r="C68" s="39">
        <v>68.0</v>
      </c>
      <c r="D68" s="39" t="s">
        <v>839</v>
      </c>
      <c r="E68" s="39" t="s">
        <v>970</v>
      </c>
      <c r="F68" s="39" t="s">
        <v>873</v>
      </c>
      <c r="G68" s="39" t="s">
        <v>971</v>
      </c>
      <c r="H68" s="39"/>
      <c r="I68" s="39"/>
    </row>
    <row r="69">
      <c r="A69" s="39" t="s">
        <v>148</v>
      </c>
      <c r="B69" s="39" t="s">
        <v>149</v>
      </c>
      <c r="C69" s="39">
        <v>69.0</v>
      </c>
      <c r="D69" s="39" t="s">
        <v>839</v>
      </c>
      <c r="E69" s="39" t="s">
        <v>972</v>
      </c>
      <c r="F69" s="39" t="s">
        <v>873</v>
      </c>
      <c r="G69" s="39" t="s">
        <v>973</v>
      </c>
      <c r="H69" s="39"/>
      <c r="I69" s="39"/>
    </row>
    <row r="70">
      <c r="A70" s="39" t="s">
        <v>148</v>
      </c>
      <c r="B70" s="39" t="s">
        <v>149</v>
      </c>
      <c r="C70" s="39">
        <v>70.0</v>
      </c>
      <c r="D70" s="39" t="s">
        <v>839</v>
      </c>
      <c r="E70" s="39" t="s">
        <v>974</v>
      </c>
      <c r="F70" s="39" t="s">
        <v>873</v>
      </c>
      <c r="G70" s="39" t="s">
        <v>975</v>
      </c>
      <c r="H70" s="39"/>
      <c r="I70" s="39"/>
    </row>
    <row r="71">
      <c r="A71" s="39" t="s">
        <v>148</v>
      </c>
      <c r="B71" s="39" t="s">
        <v>149</v>
      </c>
      <c r="C71" s="39">
        <v>71.0</v>
      </c>
      <c r="D71" s="39" t="s">
        <v>839</v>
      </c>
      <c r="E71" s="39" t="s">
        <v>976</v>
      </c>
      <c r="F71" s="39" t="s">
        <v>873</v>
      </c>
      <c r="G71" s="39" t="s">
        <v>977</v>
      </c>
      <c r="H71" s="39"/>
      <c r="I71" s="39"/>
    </row>
    <row r="72">
      <c r="A72" s="39" t="s">
        <v>148</v>
      </c>
      <c r="B72" s="39" t="s">
        <v>149</v>
      </c>
      <c r="C72" s="39">
        <v>75.0</v>
      </c>
      <c r="D72" s="39" t="s">
        <v>92</v>
      </c>
      <c r="E72" s="39" t="s">
        <v>978</v>
      </c>
      <c r="F72" s="39" t="s">
        <v>959</v>
      </c>
      <c r="G72" s="39" t="s">
        <v>979</v>
      </c>
      <c r="H72" s="39" t="s">
        <v>980</v>
      </c>
      <c r="I72" s="39"/>
    </row>
    <row r="73">
      <c r="A73" s="39" t="s">
        <v>148</v>
      </c>
      <c r="B73" s="39" t="s">
        <v>149</v>
      </c>
      <c r="C73" s="39">
        <v>76.0</v>
      </c>
      <c r="D73" s="39" t="s">
        <v>92</v>
      </c>
      <c r="E73" s="39" t="s">
        <v>981</v>
      </c>
      <c r="F73" s="39" t="s">
        <v>949</v>
      </c>
      <c r="G73" s="39" t="s">
        <v>982</v>
      </c>
      <c r="H73" s="39" t="s">
        <v>983</v>
      </c>
      <c r="I73" s="39"/>
    </row>
    <row r="74">
      <c r="A74" s="39" t="s">
        <v>148</v>
      </c>
      <c r="B74" s="39" t="s">
        <v>149</v>
      </c>
      <c r="C74" s="39">
        <v>77.0</v>
      </c>
      <c r="D74" s="39" t="s">
        <v>84</v>
      </c>
      <c r="E74" s="39" t="s">
        <v>984</v>
      </c>
      <c r="F74" s="39" t="s">
        <v>814</v>
      </c>
      <c r="G74" s="39" t="s">
        <v>985</v>
      </c>
      <c r="H74" s="39" t="s">
        <v>986</v>
      </c>
      <c r="I74" s="39" t="s">
        <v>987</v>
      </c>
    </row>
    <row r="75">
      <c r="A75" s="39" t="s">
        <v>148</v>
      </c>
      <c r="B75" s="39" t="s">
        <v>149</v>
      </c>
      <c r="C75" s="39">
        <v>78.0</v>
      </c>
      <c r="D75" s="39" t="s">
        <v>839</v>
      </c>
      <c r="E75" s="39" t="s">
        <v>988</v>
      </c>
      <c r="F75" s="39" t="s">
        <v>873</v>
      </c>
      <c r="G75" s="39" t="s">
        <v>989</v>
      </c>
      <c r="H75" s="39"/>
      <c r="I75" s="39"/>
    </row>
    <row r="76">
      <c r="A76" s="39" t="s">
        <v>148</v>
      </c>
      <c r="B76" s="39" t="s">
        <v>149</v>
      </c>
      <c r="C76" s="39">
        <v>79.0</v>
      </c>
      <c r="D76" s="39" t="s">
        <v>839</v>
      </c>
      <c r="E76" s="39" t="s">
        <v>990</v>
      </c>
      <c r="F76" s="39" t="s">
        <v>873</v>
      </c>
      <c r="G76" s="39" t="s">
        <v>991</v>
      </c>
      <c r="I76" s="39"/>
    </row>
    <row r="77">
      <c r="A77" s="39" t="s">
        <v>148</v>
      </c>
      <c r="B77" s="39" t="s">
        <v>149</v>
      </c>
      <c r="C77" s="39">
        <v>80.0</v>
      </c>
      <c r="D77" s="39" t="s">
        <v>839</v>
      </c>
      <c r="E77" s="39" t="s">
        <v>992</v>
      </c>
      <c r="F77" s="39" t="s">
        <v>873</v>
      </c>
      <c r="G77" s="39" t="s">
        <v>993</v>
      </c>
      <c r="H77" s="39"/>
      <c r="I77" s="39"/>
    </row>
    <row r="78">
      <c r="A78" s="39" t="s">
        <v>148</v>
      </c>
      <c r="B78" s="39" t="s">
        <v>149</v>
      </c>
      <c r="C78" s="39">
        <v>81.0</v>
      </c>
      <c r="D78" s="39" t="s">
        <v>839</v>
      </c>
      <c r="E78" s="39" t="s">
        <v>994</v>
      </c>
      <c r="F78" s="39" t="s">
        <v>873</v>
      </c>
      <c r="G78" s="39" t="s">
        <v>995</v>
      </c>
      <c r="H78" s="39"/>
      <c r="I78" s="39"/>
    </row>
    <row r="79">
      <c r="A79" s="39" t="s">
        <v>148</v>
      </c>
      <c r="B79" s="39" t="s">
        <v>177</v>
      </c>
      <c r="C79" s="39">
        <v>1.0</v>
      </c>
      <c r="D79" s="39" t="s">
        <v>84</v>
      </c>
      <c r="E79" s="39" t="s">
        <v>996</v>
      </c>
      <c r="F79" s="39"/>
      <c r="G79" s="57" t="s">
        <v>997</v>
      </c>
      <c r="H79" s="57" t="s">
        <v>998</v>
      </c>
      <c r="I79" s="39"/>
    </row>
    <row r="80">
      <c r="A80" s="39" t="s">
        <v>148</v>
      </c>
      <c r="B80" s="39" t="s">
        <v>177</v>
      </c>
      <c r="C80" s="39">
        <v>2.0</v>
      </c>
      <c r="D80" s="39" t="s">
        <v>81</v>
      </c>
      <c r="E80" s="39" t="s">
        <v>999</v>
      </c>
      <c r="F80" s="39"/>
      <c r="G80" s="39" t="s">
        <v>797</v>
      </c>
      <c r="H80" s="57"/>
      <c r="I80" s="39"/>
    </row>
    <row r="81">
      <c r="A81" s="39" t="s">
        <v>148</v>
      </c>
      <c r="B81" s="39" t="s">
        <v>177</v>
      </c>
      <c r="C81" s="39">
        <v>3.0</v>
      </c>
      <c r="D81" s="39" t="s">
        <v>798</v>
      </c>
      <c r="E81" s="39" t="s">
        <v>1000</v>
      </c>
      <c r="F81" s="39"/>
      <c r="G81" s="58" t="s">
        <v>801</v>
      </c>
      <c r="H81" s="35"/>
      <c r="I81" s="39"/>
    </row>
    <row r="82">
      <c r="A82" s="39" t="s">
        <v>148</v>
      </c>
      <c r="B82" s="39" t="s">
        <v>177</v>
      </c>
      <c r="C82" s="39">
        <v>4.0</v>
      </c>
      <c r="D82" s="39" t="s">
        <v>798</v>
      </c>
      <c r="E82" s="39" t="s">
        <v>1001</v>
      </c>
      <c r="F82" s="39"/>
      <c r="G82" s="58" t="s">
        <v>801</v>
      </c>
      <c r="H82" s="35"/>
      <c r="I82" s="39"/>
    </row>
    <row r="83">
      <c r="A83" s="39" t="s">
        <v>148</v>
      </c>
      <c r="B83" s="39" t="s">
        <v>177</v>
      </c>
      <c r="C83" s="39">
        <v>5.0</v>
      </c>
      <c r="D83" s="39" t="s">
        <v>798</v>
      </c>
      <c r="E83" s="39" t="s">
        <v>1002</v>
      </c>
      <c r="F83" s="39"/>
      <c r="G83" s="58" t="s">
        <v>806</v>
      </c>
      <c r="H83" s="35"/>
      <c r="I83" s="39"/>
    </row>
    <row r="84">
      <c r="A84" s="39" t="s">
        <v>148</v>
      </c>
      <c r="B84" s="39" t="s">
        <v>177</v>
      </c>
      <c r="C84" s="39">
        <v>6.0</v>
      </c>
      <c r="D84" s="39" t="s">
        <v>798</v>
      </c>
      <c r="E84" s="39" t="s">
        <v>1003</v>
      </c>
      <c r="F84" s="39"/>
      <c r="G84" s="57" t="s">
        <v>809</v>
      </c>
      <c r="H84" s="57" t="s">
        <v>1004</v>
      </c>
      <c r="I84" s="39"/>
    </row>
    <row r="85">
      <c r="A85" s="39" t="s">
        <v>148</v>
      </c>
      <c r="B85" s="39" t="s">
        <v>177</v>
      </c>
      <c r="C85" s="39">
        <v>7.0</v>
      </c>
      <c r="D85" s="39" t="s">
        <v>84</v>
      </c>
      <c r="E85" s="39" t="s">
        <v>1005</v>
      </c>
      <c r="F85" s="39"/>
      <c r="G85" s="57" t="s">
        <v>1006</v>
      </c>
      <c r="H85" s="57"/>
      <c r="I85" s="39"/>
    </row>
    <row r="86">
      <c r="A86" s="39" t="s">
        <v>148</v>
      </c>
      <c r="B86" s="39" t="s">
        <v>177</v>
      </c>
      <c r="C86" s="39">
        <v>8.0</v>
      </c>
      <c r="D86" s="39" t="s">
        <v>84</v>
      </c>
      <c r="E86" s="39" t="s">
        <v>1007</v>
      </c>
      <c r="F86" s="39"/>
      <c r="G86" s="57" t="s">
        <v>1008</v>
      </c>
      <c r="H86" s="57"/>
      <c r="I86" s="39"/>
    </row>
    <row r="87">
      <c r="A87" s="39" t="s">
        <v>148</v>
      </c>
      <c r="B87" s="39" t="s">
        <v>177</v>
      </c>
      <c r="C87" s="39">
        <v>9.0</v>
      </c>
      <c r="D87" s="39" t="s">
        <v>839</v>
      </c>
      <c r="E87" s="39" t="s">
        <v>1009</v>
      </c>
      <c r="F87" s="39"/>
      <c r="G87" s="57" t="s">
        <v>989</v>
      </c>
      <c r="H87" s="57"/>
      <c r="I87" s="39"/>
    </row>
    <row r="88">
      <c r="A88" s="39" t="s">
        <v>148</v>
      </c>
      <c r="B88" s="39" t="s">
        <v>177</v>
      </c>
      <c r="C88" s="39">
        <v>10.0</v>
      </c>
      <c r="D88" s="39" t="s">
        <v>839</v>
      </c>
      <c r="E88" s="39" t="s">
        <v>1010</v>
      </c>
      <c r="F88" s="39"/>
      <c r="G88" s="57" t="s">
        <v>991</v>
      </c>
      <c r="H88" s="57"/>
      <c r="I88" s="39"/>
    </row>
    <row r="89">
      <c r="A89" s="39" t="s">
        <v>148</v>
      </c>
      <c r="B89" s="39" t="s">
        <v>177</v>
      </c>
      <c r="C89" s="39">
        <v>11.0</v>
      </c>
      <c r="D89" s="39" t="s">
        <v>839</v>
      </c>
      <c r="E89" s="39" t="s">
        <v>1011</v>
      </c>
      <c r="F89" s="39"/>
      <c r="G89" s="57" t="s">
        <v>993</v>
      </c>
      <c r="H89" s="57"/>
      <c r="I89" s="39"/>
    </row>
    <row r="90">
      <c r="A90" s="39" t="s">
        <v>148</v>
      </c>
      <c r="B90" s="39" t="s">
        <v>177</v>
      </c>
      <c r="C90" s="39">
        <v>12.0</v>
      </c>
      <c r="D90" s="39" t="s">
        <v>839</v>
      </c>
      <c r="E90" s="39" t="s">
        <v>1012</v>
      </c>
      <c r="F90" s="39"/>
      <c r="G90" s="57" t="s">
        <v>995</v>
      </c>
      <c r="H90" s="57"/>
      <c r="I90" s="39"/>
    </row>
    <row r="91">
      <c r="A91" s="39" t="s">
        <v>148</v>
      </c>
      <c r="B91" s="39" t="s">
        <v>177</v>
      </c>
      <c r="C91" s="39">
        <v>13.0</v>
      </c>
      <c r="D91" s="39" t="s">
        <v>87</v>
      </c>
      <c r="E91" s="39" t="s">
        <v>1013</v>
      </c>
      <c r="F91" s="39"/>
      <c r="G91" s="57" t="s">
        <v>1014</v>
      </c>
      <c r="H91" s="57"/>
      <c r="I91" s="39"/>
    </row>
    <row r="92">
      <c r="A92" s="39" t="s">
        <v>148</v>
      </c>
      <c r="B92" s="39" t="s">
        <v>177</v>
      </c>
      <c r="C92" s="39">
        <v>14.0</v>
      </c>
      <c r="D92" s="39" t="s">
        <v>87</v>
      </c>
      <c r="E92" s="39" t="s">
        <v>1015</v>
      </c>
      <c r="F92" s="39"/>
      <c r="G92" s="57" t="s">
        <v>1016</v>
      </c>
      <c r="H92" s="57"/>
      <c r="I92" s="39"/>
    </row>
    <row r="93">
      <c r="A93" s="39" t="s">
        <v>148</v>
      </c>
      <c r="B93" s="39" t="s">
        <v>177</v>
      </c>
      <c r="C93" s="39">
        <v>15.0</v>
      </c>
      <c r="D93" s="39" t="s">
        <v>87</v>
      </c>
      <c r="E93" s="39" t="s">
        <v>1017</v>
      </c>
      <c r="F93" s="39"/>
      <c r="G93" s="57" t="s">
        <v>1018</v>
      </c>
      <c r="H93" s="57"/>
      <c r="I93" s="39"/>
    </row>
    <row r="94">
      <c r="A94" s="39" t="s">
        <v>148</v>
      </c>
      <c r="B94" s="39" t="s">
        <v>177</v>
      </c>
      <c r="C94" s="39">
        <v>16.0</v>
      </c>
      <c r="D94" s="39" t="s">
        <v>87</v>
      </c>
      <c r="E94" s="39" t="s">
        <v>1019</v>
      </c>
      <c r="F94" s="39"/>
      <c r="G94" s="57" t="s">
        <v>1020</v>
      </c>
      <c r="H94" s="57"/>
      <c r="I94" s="39"/>
    </row>
    <row r="95">
      <c r="A95" s="39" t="s">
        <v>148</v>
      </c>
      <c r="B95" s="39" t="s">
        <v>177</v>
      </c>
      <c r="C95" s="39">
        <v>17.0</v>
      </c>
      <c r="D95" s="39" t="s">
        <v>87</v>
      </c>
      <c r="E95" s="39" t="s">
        <v>1021</v>
      </c>
      <c r="F95" s="39"/>
      <c r="G95" s="57" t="s">
        <v>1022</v>
      </c>
      <c r="H95" s="57"/>
      <c r="I95" s="39"/>
    </row>
    <row r="96">
      <c r="A96" s="39" t="s">
        <v>148</v>
      </c>
      <c r="B96" s="39" t="s">
        <v>177</v>
      </c>
      <c r="C96" s="39">
        <v>18.0</v>
      </c>
      <c r="D96" s="39" t="s">
        <v>839</v>
      </c>
      <c r="E96" s="39" t="s">
        <v>1023</v>
      </c>
      <c r="F96" s="39"/>
      <c r="G96" s="57" t="s">
        <v>874</v>
      </c>
      <c r="H96" s="57"/>
      <c r="I96" s="39"/>
    </row>
    <row r="97">
      <c r="A97" s="39" t="s">
        <v>148</v>
      </c>
      <c r="B97" s="39" t="s">
        <v>177</v>
      </c>
      <c r="C97" s="39">
        <v>19.0</v>
      </c>
      <c r="D97" s="39" t="s">
        <v>839</v>
      </c>
      <c r="E97" s="39" t="s">
        <v>1024</v>
      </c>
      <c r="F97" s="39"/>
      <c r="G97" s="57" t="s">
        <v>880</v>
      </c>
      <c r="H97" s="57"/>
      <c r="I97" s="39"/>
    </row>
    <row r="98">
      <c r="A98" s="39" t="s">
        <v>148</v>
      </c>
      <c r="B98" s="39" t="s">
        <v>177</v>
      </c>
      <c r="C98" s="39">
        <v>20.0</v>
      </c>
      <c r="D98" s="39" t="s">
        <v>875</v>
      </c>
      <c r="E98" s="39" t="s">
        <v>1025</v>
      </c>
      <c r="F98" s="39"/>
      <c r="G98" s="35" t="s">
        <v>877</v>
      </c>
      <c r="H98" s="57"/>
      <c r="I98" s="39"/>
    </row>
    <row r="99">
      <c r="A99" s="39" t="s">
        <v>148</v>
      </c>
      <c r="B99" s="39" t="s">
        <v>177</v>
      </c>
      <c r="C99" s="39">
        <v>21.0</v>
      </c>
      <c r="D99" s="39" t="s">
        <v>875</v>
      </c>
      <c r="E99" s="39" t="s">
        <v>1026</v>
      </c>
      <c r="F99" s="39"/>
      <c r="G99" s="35" t="s">
        <v>877</v>
      </c>
      <c r="H99" s="57"/>
      <c r="I99" s="39"/>
    </row>
    <row r="100">
      <c r="A100" s="39" t="s">
        <v>148</v>
      </c>
      <c r="B100" s="39" t="s">
        <v>177</v>
      </c>
      <c r="C100" s="39">
        <v>22.0</v>
      </c>
      <c r="D100" s="39" t="s">
        <v>875</v>
      </c>
      <c r="E100" s="39" t="s">
        <v>1027</v>
      </c>
      <c r="F100" s="39"/>
      <c r="G100" s="35" t="s">
        <v>877</v>
      </c>
      <c r="H100" s="57"/>
      <c r="I100" s="39"/>
    </row>
    <row r="101">
      <c r="A101" s="39" t="s">
        <v>148</v>
      </c>
      <c r="B101" s="39" t="s">
        <v>177</v>
      </c>
      <c r="C101" s="39">
        <v>23.0</v>
      </c>
      <c r="D101" s="39" t="s">
        <v>875</v>
      </c>
      <c r="E101" s="39" t="s">
        <v>1028</v>
      </c>
      <c r="F101" s="39"/>
      <c r="G101" s="35" t="s">
        <v>883</v>
      </c>
      <c r="H101" s="57"/>
      <c r="I101" s="39"/>
    </row>
    <row r="102">
      <c r="A102" s="39" t="s">
        <v>148</v>
      </c>
      <c r="B102" s="39" t="s">
        <v>177</v>
      </c>
      <c r="C102" s="39">
        <v>24.0</v>
      </c>
      <c r="D102" s="39" t="s">
        <v>875</v>
      </c>
      <c r="E102" s="39" t="s">
        <v>1029</v>
      </c>
      <c r="F102" s="39"/>
      <c r="G102" s="35" t="s">
        <v>883</v>
      </c>
      <c r="H102" s="57"/>
      <c r="I102" s="39"/>
    </row>
    <row r="103">
      <c r="A103" s="39" t="s">
        <v>148</v>
      </c>
      <c r="B103" s="39" t="s">
        <v>177</v>
      </c>
      <c r="C103" s="39">
        <v>25.0</v>
      </c>
      <c r="D103" s="39" t="s">
        <v>88</v>
      </c>
      <c r="E103" s="39" t="s">
        <v>1030</v>
      </c>
      <c r="F103" s="39"/>
      <c r="G103" s="57" t="s">
        <v>901</v>
      </c>
      <c r="H103" s="35"/>
      <c r="I103" s="39"/>
    </row>
    <row r="104">
      <c r="A104" s="39" t="s">
        <v>148</v>
      </c>
      <c r="B104" s="39" t="s">
        <v>177</v>
      </c>
      <c r="C104" s="39">
        <v>26.0</v>
      </c>
      <c r="D104" s="39" t="s">
        <v>88</v>
      </c>
      <c r="E104" s="39" t="s">
        <v>1031</v>
      </c>
      <c r="F104" s="39"/>
      <c r="G104" s="57" t="s">
        <v>901</v>
      </c>
      <c r="H104" s="35"/>
      <c r="I104" s="39"/>
    </row>
    <row r="105">
      <c r="A105" s="39" t="s">
        <v>148</v>
      </c>
      <c r="B105" s="39" t="s">
        <v>177</v>
      </c>
      <c r="C105" s="39">
        <v>27.0</v>
      </c>
      <c r="D105" s="39" t="s">
        <v>88</v>
      </c>
      <c r="E105" s="39" t="s">
        <v>1032</v>
      </c>
      <c r="F105" s="39"/>
      <c r="G105" s="57" t="s">
        <v>898</v>
      </c>
      <c r="H105" s="35"/>
      <c r="I105" s="39"/>
    </row>
    <row r="106">
      <c r="A106" s="39" t="s">
        <v>148</v>
      </c>
      <c r="B106" s="39" t="s">
        <v>177</v>
      </c>
      <c r="C106" s="39">
        <v>28.0</v>
      </c>
      <c r="D106" s="39" t="s">
        <v>88</v>
      </c>
      <c r="E106" s="39" t="s">
        <v>1033</v>
      </c>
      <c r="F106" s="39"/>
      <c r="G106" s="57" t="s">
        <v>895</v>
      </c>
      <c r="H106" s="35"/>
      <c r="I106" s="39"/>
    </row>
    <row r="107">
      <c r="A107" s="39" t="s">
        <v>148</v>
      </c>
      <c r="B107" s="39" t="s">
        <v>177</v>
      </c>
      <c r="C107" s="39">
        <v>29.0</v>
      </c>
      <c r="D107" s="39" t="s">
        <v>88</v>
      </c>
      <c r="E107" s="39" t="s">
        <v>1034</v>
      </c>
      <c r="F107" s="39"/>
      <c r="G107" s="57" t="s">
        <v>895</v>
      </c>
      <c r="H107" s="35"/>
      <c r="I107" s="39"/>
    </row>
    <row r="108">
      <c r="A108" s="39" t="s">
        <v>148</v>
      </c>
      <c r="B108" s="39" t="s">
        <v>177</v>
      </c>
      <c r="C108" s="39">
        <v>30.0</v>
      </c>
      <c r="D108" s="39" t="s">
        <v>902</v>
      </c>
      <c r="E108" s="39" t="s">
        <v>1035</v>
      </c>
      <c r="F108" s="39"/>
      <c r="G108" s="58" t="s">
        <v>822</v>
      </c>
      <c r="H108" s="57" t="s">
        <v>1036</v>
      </c>
      <c r="I108" s="39"/>
    </row>
    <row r="109">
      <c r="A109" s="39" t="s">
        <v>148</v>
      </c>
      <c r="B109" s="39" t="s">
        <v>177</v>
      </c>
      <c r="C109" s="39">
        <v>31.0</v>
      </c>
      <c r="D109" s="39" t="s">
        <v>902</v>
      </c>
      <c r="E109" s="39" t="s">
        <v>1037</v>
      </c>
      <c r="F109" s="39"/>
      <c r="G109" s="58" t="s">
        <v>801</v>
      </c>
      <c r="H109" s="57" t="s">
        <v>1038</v>
      </c>
      <c r="I109" s="39"/>
    </row>
    <row r="110">
      <c r="A110" s="39" t="s">
        <v>148</v>
      </c>
      <c r="B110" s="39" t="s">
        <v>177</v>
      </c>
      <c r="C110" s="39">
        <v>32.0</v>
      </c>
      <c r="D110" s="39" t="s">
        <v>902</v>
      </c>
      <c r="E110" s="39" t="s">
        <v>1039</v>
      </c>
      <c r="F110" s="39"/>
      <c r="G110" s="57" t="s">
        <v>809</v>
      </c>
      <c r="H110" s="57" t="s">
        <v>1040</v>
      </c>
      <c r="I110" s="39"/>
    </row>
    <row r="111">
      <c r="A111" s="39" t="s">
        <v>148</v>
      </c>
      <c r="B111" s="39" t="s">
        <v>177</v>
      </c>
      <c r="C111" s="39">
        <v>33.0</v>
      </c>
      <c r="D111" s="39" t="s">
        <v>902</v>
      </c>
      <c r="E111" s="39" t="s">
        <v>1041</v>
      </c>
      <c r="F111" s="39"/>
      <c r="G111" s="58" t="s">
        <v>825</v>
      </c>
      <c r="H111" s="57" t="s">
        <v>1042</v>
      </c>
      <c r="I111" s="39"/>
    </row>
    <row r="112">
      <c r="A112" s="39" t="s">
        <v>148</v>
      </c>
      <c r="B112" s="39" t="s">
        <v>177</v>
      </c>
      <c r="C112" s="39">
        <v>34.0</v>
      </c>
      <c r="D112" s="39" t="s">
        <v>902</v>
      </c>
      <c r="E112" s="39" t="s">
        <v>1043</v>
      </c>
      <c r="F112" s="39"/>
      <c r="G112" s="58" t="s">
        <v>822</v>
      </c>
      <c r="H112" s="57" t="s">
        <v>1044</v>
      </c>
      <c r="I112" s="39"/>
    </row>
    <row r="113">
      <c r="A113" s="39" t="s">
        <v>148</v>
      </c>
      <c r="B113" s="39" t="s">
        <v>177</v>
      </c>
      <c r="C113" s="39">
        <v>35.0</v>
      </c>
      <c r="D113" s="39" t="s">
        <v>902</v>
      </c>
      <c r="E113" s="39" t="s">
        <v>1045</v>
      </c>
      <c r="F113" s="39"/>
      <c r="G113" s="58" t="s">
        <v>801</v>
      </c>
      <c r="H113" s="57" t="s">
        <v>1036</v>
      </c>
      <c r="I113" s="39"/>
    </row>
    <row r="114">
      <c r="A114" s="39" t="s">
        <v>148</v>
      </c>
      <c r="B114" s="39" t="s">
        <v>177</v>
      </c>
      <c r="C114" s="39">
        <v>36.0</v>
      </c>
      <c r="D114" s="39" t="s">
        <v>902</v>
      </c>
      <c r="E114" s="39" t="s">
        <v>1046</v>
      </c>
      <c r="F114" s="39"/>
      <c r="G114" s="57" t="s">
        <v>809</v>
      </c>
      <c r="H114" s="57" t="s">
        <v>1036</v>
      </c>
      <c r="I114" s="39"/>
    </row>
    <row r="115">
      <c r="A115" s="39" t="s">
        <v>148</v>
      </c>
      <c r="B115" s="39" t="s">
        <v>177</v>
      </c>
      <c r="C115" s="39">
        <v>37.0</v>
      </c>
      <c r="D115" s="39" t="s">
        <v>902</v>
      </c>
      <c r="E115" s="39" t="s">
        <v>1047</v>
      </c>
      <c r="F115" s="39"/>
      <c r="G115" s="58" t="s">
        <v>825</v>
      </c>
      <c r="H115" s="57" t="s">
        <v>1044</v>
      </c>
      <c r="I115" s="39"/>
    </row>
    <row r="116">
      <c r="A116" s="39" t="s">
        <v>148</v>
      </c>
      <c r="B116" s="39" t="s">
        <v>177</v>
      </c>
      <c r="C116" s="39">
        <v>38.0</v>
      </c>
      <c r="D116" s="39" t="s">
        <v>90</v>
      </c>
      <c r="E116" s="39" t="s">
        <v>1048</v>
      </c>
      <c r="F116" s="39"/>
      <c r="G116" s="57" t="s">
        <v>924</v>
      </c>
      <c r="H116" s="57"/>
      <c r="I116" s="39"/>
    </row>
    <row r="117">
      <c r="A117" s="39" t="s">
        <v>148</v>
      </c>
      <c r="B117" s="39" t="s">
        <v>177</v>
      </c>
      <c r="C117" s="39">
        <v>39.0</v>
      </c>
      <c r="D117" s="39" t="s">
        <v>90</v>
      </c>
      <c r="E117" s="39" t="s">
        <v>1049</v>
      </c>
      <c r="F117" s="39"/>
      <c r="G117" s="57" t="s">
        <v>927</v>
      </c>
      <c r="H117" s="57"/>
      <c r="I117" s="39"/>
    </row>
    <row r="118">
      <c r="A118" s="39" t="s">
        <v>148</v>
      </c>
      <c r="B118" s="39" t="s">
        <v>177</v>
      </c>
      <c r="C118" s="39">
        <v>40.0</v>
      </c>
      <c r="D118" s="39" t="s">
        <v>90</v>
      </c>
      <c r="E118" s="39" t="s">
        <v>1050</v>
      </c>
      <c r="F118" s="39"/>
      <c r="G118" s="57" t="s">
        <v>930</v>
      </c>
      <c r="H118" s="57"/>
      <c r="I118" s="39"/>
    </row>
    <row r="119">
      <c r="A119" s="39" t="s">
        <v>148</v>
      </c>
      <c r="B119" s="39" t="s">
        <v>177</v>
      </c>
      <c r="C119" s="39">
        <v>41.0</v>
      </c>
      <c r="D119" s="39" t="s">
        <v>90</v>
      </c>
      <c r="E119" s="39" t="s">
        <v>1051</v>
      </c>
      <c r="F119" s="39"/>
      <c r="G119" s="57" t="s">
        <v>939</v>
      </c>
      <c r="H119" s="57"/>
      <c r="I119" s="39"/>
    </row>
    <row r="120">
      <c r="A120" s="39" t="s">
        <v>148</v>
      </c>
      <c r="B120" s="39" t="s">
        <v>177</v>
      </c>
      <c r="C120" s="39">
        <v>42.0</v>
      </c>
      <c r="D120" s="39" t="s">
        <v>90</v>
      </c>
      <c r="E120" s="39" t="s">
        <v>1052</v>
      </c>
      <c r="F120" s="39"/>
      <c r="G120" s="58" t="s">
        <v>822</v>
      </c>
      <c r="H120" s="57"/>
      <c r="I120" s="39"/>
    </row>
    <row r="121">
      <c r="A121" s="39" t="s">
        <v>148</v>
      </c>
      <c r="B121" s="39" t="s">
        <v>177</v>
      </c>
      <c r="C121" s="39">
        <v>43.0</v>
      </c>
      <c r="D121" s="39" t="s">
        <v>90</v>
      </c>
      <c r="E121" s="39" t="s">
        <v>1053</v>
      </c>
      <c r="F121" s="39"/>
      <c r="G121" s="58" t="s">
        <v>836</v>
      </c>
      <c r="H121" s="57"/>
      <c r="I121" s="39"/>
    </row>
    <row r="122">
      <c r="A122" s="39" t="s">
        <v>148</v>
      </c>
      <c r="B122" s="39" t="s">
        <v>177</v>
      </c>
      <c r="C122" s="39">
        <v>44.0</v>
      </c>
      <c r="D122" s="39" t="s">
        <v>90</v>
      </c>
      <c r="E122" s="39" t="s">
        <v>1054</v>
      </c>
      <c r="F122" s="39"/>
      <c r="G122" s="58" t="s">
        <v>801</v>
      </c>
      <c r="H122" s="57"/>
      <c r="I122" s="39"/>
    </row>
    <row r="123">
      <c r="A123" s="39" t="s">
        <v>148</v>
      </c>
      <c r="B123" s="39" t="s">
        <v>177</v>
      </c>
      <c r="C123" s="39">
        <v>45.0</v>
      </c>
      <c r="D123" s="39" t="s">
        <v>92</v>
      </c>
      <c r="E123" s="39" t="s">
        <v>1055</v>
      </c>
      <c r="F123" s="39"/>
      <c r="G123" s="39" t="s">
        <v>950</v>
      </c>
      <c r="H123" s="57" t="s">
        <v>951</v>
      </c>
      <c r="I123" s="39"/>
    </row>
    <row r="124">
      <c r="A124" s="39" t="s">
        <v>148</v>
      </c>
      <c r="B124" s="39" t="s">
        <v>177</v>
      </c>
      <c r="C124" s="39">
        <v>46.0</v>
      </c>
      <c r="D124" s="39" t="s">
        <v>92</v>
      </c>
      <c r="E124" s="39" t="s">
        <v>1056</v>
      </c>
      <c r="F124" s="39"/>
      <c r="G124" s="57" t="s">
        <v>945</v>
      </c>
      <c r="H124" s="57"/>
      <c r="I124" s="39"/>
    </row>
    <row r="125">
      <c r="A125" s="39" t="s">
        <v>148</v>
      </c>
      <c r="B125" s="39" t="s">
        <v>177</v>
      </c>
      <c r="C125" s="39">
        <v>47.0</v>
      </c>
      <c r="D125" s="39" t="s">
        <v>92</v>
      </c>
      <c r="E125" s="39" t="s">
        <v>1057</v>
      </c>
      <c r="F125" s="39"/>
      <c r="G125" s="57" t="s">
        <v>1058</v>
      </c>
      <c r="H125" s="57" t="s">
        <v>1059</v>
      </c>
      <c r="I125" s="39"/>
    </row>
    <row r="126">
      <c r="A126" s="39" t="s">
        <v>148</v>
      </c>
      <c r="B126" s="39" t="s">
        <v>177</v>
      </c>
      <c r="C126" s="39">
        <v>48.0</v>
      </c>
      <c r="D126" s="39" t="s">
        <v>92</v>
      </c>
      <c r="E126" s="39" t="s">
        <v>1060</v>
      </c>
      <c r="F126" s="39"/>
      <c r="G126" s="57" t="s">
        <v>1061</v>
      </c>
      <c r="H126" s="57"/>
      <c r="I126" s="39"/>
    </row>
    <row r="127">
      <c r="A127" s="39" t="s">
        <v>148</v>
      </c>
      <c r="B127" s="39" t="s">
        <v>177</v>
      </c>
      <c r="C127" s="39">
        <v>49.0</v>
      </c>
      <c r="D127" s="39" t="s">
        <v>91</v>
      </c>
      <c r="E127" s="39" t="s">
        <v>1062</v>
      </c>
      <c r="F127" s="39"/>
      <c r="G127" s="58" t="s">
        <v>836</v>
      </c>
      <c r="H127" s="57"/>
      <c r="I127" s="39"/>
    </row>
    <row r="128">
      <c r="A128" s="39" t="s">
        <v>148</v>
      </c>
      <c r="B128" s="39" t="s">
        <v>177</v>
      </c>
      <c r="C128" s="39">
        <v>50.0</v>
      </c>
      <c r="D128" s="39" t="s">
        <v>91</v>
      </c>
      <c r="E128" s="39" t="s">
        <v>1063</v>
      </c>
      <c r="F128" s="39"/>
      <c r="G128" s="58" t="s">
        <v>806</v>
      </c>
      <c r="H128" s="57"/>
      <c r="I128" s="39"/>
    </row>
    <row r="129">
      <c r="A129" s="39" t="s">
        <v>148</v>
      </c>
      <c r="B129" s="39" t="s">
        <v>177</v>
      </c>
      <c r="C129" s="39">
        <v>51.0</v>
      </c>
      <c r="D129" s="39" t="s">
        <v>839</v>
      </c>
      <c r="E129" s="39" t="s">
        <v>1064</v>
      </c>
      <c r="F129" s="39"/>
      <c r="G129" s="57" t="s">
        <v>973</v>
      </c>
      <c r="H129" s="57"/>
      <c r="I129" s="39"/>
    </row>
    <row r="130">
      <c r="A130" s="39" t="s">
        <v>148</v>
      </c>
      <c r="B130" s="39" t="s">
        <v>177</v>
      </c>
      <c r="C130" s="39">
        <v>52.0</v>
      </c>
      <c r="D130" s="39" t="s">
        <v>839</v>
      </c>
      <c r="E130" s="39" t="s">
        <v>1065</v>
      </c>
      <c r="F130" s="39"/>
      <c r="G130" s="57" t="s">
        <v>1066</v>
      </c>
      <c r="H130" s="57"/>
      <c r="I130" s="39"/>
    </row>
    <row r="131">
      <c r="A131" s="39" t="s">
        <v>148</v>
      </c>
      <c r="B131" s="39" t="s">
        <v>177</v>
      </c>
      <c r="C131" s="39">
        <v>53.0</v>
      </c>
      <c r="D131" s="39" t="s">
        <v>839</v>
      </c>
      <c r="E131" s="39" t="s">
        <v>1067</v>
      </c>
      <c r="F131" s="39"/>
      <c r="G131" s="57" t="s">
        <v>977</v>
      </c>
      <c r="H131" s="57"/>
      <c r="I131" s="39"/>
    </row>
    <row r="132">
      <c r="A132" s="39" t="s">
        <v>148</v>
      </c>
      <c r="B132" s="39" t="s">
        <v>177</v>
      </c>
      <c r="C132" s="39">
        <v>57.0</v>
      </c>
      <c r="D132" s="39" t="s">
        <v>875</v>
      </c>
      <c r="E132" s="39" t="s">
        <v>1068</v>
      </c>
      <c r="F132" s="39"/>
      <c r="G132" s="57" t="s">
        <v>1069</v>
      </c>
      <c r="H132" s="57" t="s">
        <v>1070</v>
      </c>
      <c r="I132" s="39"/>
    </row>
    <row r="133">
      <c r="A133" s="39" t="s">
        <v>148</v>
      </c>
      <c r="B133" s="39" t="s">
        <v>177</v>
      </c>
      <c r="C133" s="39">
        <v>58.0</v>
      </c>
      <c r="D133" s="39" t="s">
        <v>875</v>
      </c>
      <c r="E133" s="39" t="s">
        <v>1071</v>
      </c>
      <c r="F133" s="39"/>
      <c r="G133" s="57" t="s">
        <v>1069</v>
      </c>
      <c r="H133" s="57" t="s">
        <v>1072</v>
      </c>
      <c r="I133" s="39"/>
    </row>
    <row r="134">
      <c r="A134" s="39" t="s">
        <v>148</v>
      </c>
      <c r="B134" s="39" t="s">
        <v>177</v>
      </c>
      <c r="C134" s="39">
        <v>60.0</v>
      </c>
      <c r="D134" s="39" t="s">
        <v>819</v>
      </c>
      <c r="E134" s="39" t="s">
        <v>1073</v>
      </c>
      <c r="F134" s="39"/>
      <c r="G134" s="58" t="s">
        <v>822</v>
      </c>
      <c r="H134" s="35"/>
      <c r="I134" s="39"/>
    </row>
    <row r="135">
      <c r="A135" s="39" t="s">
        <v>148</v>
      </c>
      <c r="B135" s="39" t="s">
        <v>177</v>
      </c>
      <c r="C135" s="39">
        <v>61.0</v>
      </c>
      <c r="D135" s="39" t="s">
        <v>819</v>
      </c>
      <c r="E135" s="39" t="s">
        <v>1074</v>
      </c>
      <c r="F135" s="39"/>
      <c r="G135" s="58" t="s">
        <v>806</v>
      </c>
      <c r="H135" s="35"/>
      <c r="I135" s="39"/>
    </row>
    <row r="136">
      <c r="A136" s="39" t="s">
        <v>148</v>
      </c>
      <c r="B136" s="39" t="s">
        <v>177</v>
      </c>
      <c r="C136" s="39">
        <v>62.0</v>
      </c>
      <c r="D136" s="39" t="s">
        <v>819</v>
      </c>
      <c r="E136" s="39" t="s">
        <v>1075</v>
      </c>
      <c r="F136" s="39"/>
      <c r="G136" s="58" t="s">
        <v>836</v>
      </c>
      <c r="H136" s="35"/>
      <c r="I136" s="39"/>
    </row>
    <row r="137">
      <c r="A137" s="39" t="s">
        <v>148</v>
      </c>
      <c r="B137" s="39" t="s">
        <v>177</v>
      </c>
      <c r="C137" s="39">
        <v>63.0</v>
      </c>
      <c r="D137" s="39" t="s">
        <v>819</v>
      </c>
      <c r="E137" s="39" t="s">
        <v>1076</v>
      </c>
      <c r="F137" s="39"/>
      <c r="G137" s="58" t="s">
        <v>836</v>
      </c>
      <c r="H137" s="35"/>
      <c r="I137" s="39"/>
    </row>
    <row r="138">
      <c r="A138" s="39" t="s">
        <v>148</v>
      </c>
      <c r="B138" s="39" t="s">
        <v>177</v>
      </c>
      <c r="C138" s="39">
        <v>64.0</v>
      </c>
      <c r="D138" s="39" t="s">
        <v>819</v>
      </c>
      <c r="E138" s="39" t="s">
        <v>1077</v>
      </c>
      <c r="F138" s="39"/>
      <c r="G138" s="58" t="s">
        <v>822</v>
      </c>
      <c r="H138" s="35"/>
      <c r="I138" s="39"/>
    </row>
    <row r="139">
      <c r="A139" s="39" t="s">
        <v>148</v>
      </c>
      <c r="B139" s="39" t="s">
        <v>177</v>
      </c>
      <c r="C139" s="39">
        <v>65.0</v>
      </c>
      <c r="D139" s="39" t="s">
        <v>819</v>
      </c>
      <c r="E139" s="39" t="s">
        <v>1078</v>
      </c>
      <c r="F139" s="39"/>
      <c r="G139" s="58" t="s">
        <v>825</v>
      </c>
      <c r="H139" s="35"/>
      <c r="I139" s="39"/>
    </row>
    <row r="140">
      <c r="A140" s="39" t="s">
        <v>148</v>
      </c>
      <c r="B140" s="39" t="s">
        <v>177</v>
      </c>
      <c r="C140" s="39">
        <v>66.0</v>
      </c>
      <c r="D140" s="39" t="s">
        <v>819</v>
      </c>
      <c r="E140" s="39" t="s">
        <v>1079</v>
      </c>
      <c r="F140" s="39"/>
      <c r="G140" s="58" t="s">
        <v>806</v>
      </c>
      <c r="H140" s="35"/>
      <c r="I140" s="39"/>
    </row>
    <row r="141">
      <c r="A141" s="39" t="s">
        <v>148</v>
      </c>
      <c r="B141" s="39" t="s">
        <v>177</v>
      </c>
      <c r="C141" s="39">
        <v>67.0</v>
      </c>
      <c r="D141" s="39" t="s">
        <v>819</v>
      </c>
      <c r="E141" s="39" t="s">
        <v>1080</v>
      </c>
      <c r="F141" s="39"/>
      <c r="G141" s="58" t="s">
        <v>806</v>
      </c>
      <c r="H141" s="35"/>
      <c r="I141" s="39"/>
    </row>
    <row r="142">
      <c r="A142" s="39" t="s">
        <v>148</v>
      </c>
      <c r="B142" s="39" t="s">
        <v>177</v>
      </c>
      <c r="C142" s="39">
        <v>68.0</v>
      </c>
      <c r="D142" s="39" t="s">
        <v>839</v>
      </c>
      <c r="E142" s="39" t="s">
        <v>1081</v>
      </c>
      <c r="F142" s="39"/>
      <c r="G142" s="57" t="s">
        <v>842</v>
      </c>
      <c r="H142" s="57"/>
      <c r="I142" s="39"/>
    </row>
    <row r="143">
      <c r="A143" s="39" t="s">
        <v>148</v>
      </c>
      <c r="B143" s="39" t="s">
        <v>177</v>
      </c>
      <c r="C143" s="39">
        <v>69.0</v>
      </c>
      <c r="D143" s="39" t="s">
        <v>839</v>
      </c>
      <c r="E143" s="39" t="s">
        <v>1082</v>
      </c>
      <c r="F143" s="39"/>
      <c r="G143" s="57" t="s">
        <v>845</v>
      </c>
      <c r="H143" s="57"/>
      <c r="I143" s="39"/>
    </row>
    <row r="144">
      <c r="A144" s="39" t="s">
        <v>148</v>
      </c>
      <c r="B144" s="39" t="s">
        <v>177</v>
      </c>
      <c r="C144" s="39">
        <v>70.0</v>
      </c>
      <c r="D144" s="39" t="s">
        <v>839</v>
      </c>
      <c r="E144" s="39" t="s">
        <v>1083</v>
      </c>
      <c r="F144" s="39"/>
      <c r="G144" s="57" t="s">
        <v>847</v>
      </c>
      <c r="H144" s="57"/>
      <c r="I144" s="39"/>
    </row>
    <row r="145">
      <c r="A145" s="39" t="s">
        <v>148</v>
      </c>
      <c r="B145" s="39" t="s">
        <v>177</v>
      </c>
      <c r="C145" s="39">
        <v>71.0</v>
      </c>
      <c r="D145" s="39" t="s">
        <v>839</v>
      </c>
      <c r="E145" s="39" t="s">
        <v>1084</v>
      </c>
      <c r="F145" s="39"/>
      <c r="G145" s="57" t="s">
        <v>850</v>
      </c>
      <c r="H145" s="57"/>
      <c r="I145" s="39"/>
    </row>
    <row r="146">
      <c r="A146" s="39" t="s">
        <v>148</v>
      </c>
      <c r="B146" s="39" t="s">
        <v>177</v>
      </c>
      <c r="C146" s="39">
        <v>72.0</v>
      </c>
      <c r="D146" s="39" t="s">
        <v>839</v>
      </c>
      <c r="E146" s="39" t="s">
        <v>1085</v>
      </c>
      <c r="F146" s="39"/>
      <c r="G146" s="57" t="s">
        <v>853</v>
      </c>
      <c r="H146" s="57"/>
      <c r="I146" s="39"/>
    </row>
    <row r="147">
      <c r="A147" s="39" t="s">
        <v>148</v>
      </c>
      <c r="B147" s="39" t="s">
        <v>177</v>
      </c>
      <c r="C147" s="39">
        <v>73.0</v>
      </c>
      <c r="D147" s="39" t="s">
        <v>839</v>
      </c>
      <c r="E147" s="39" t="s">
        <v>1086</v>
      </c>
      <c r="F147" s="39"/>
      <c r="G147" s="57" t="s">
        <v>856</v>
      </c>
      <c r="H147" s="57"/>
      <c r="I147" s="39"/>
    </row>
    <row r="148">
      <c r="A148" s="39" t="s">
        <v>148</v>
      </c>
      <c r="B148" s="39" t="s">
        <v>177</v>
      </c>
      <c r="C148" s="39">
        <v>74.0</v>
      </c>
      <c r="D148" s="39" t="s">
        <v>92</v>
      </c>
      <c r="E148" s="39" t="s">
        <v>1087</v>
      </c>
      <c r="F148" s="39"/>
      <c r="G148" s="57" t="s">
        <v>947</v>
      </c>
      <c r="H148" s="57"/>
      <c r="I148" s="39"/>
    </row>
    <row r="149">
      <c r="A149" s="39" t="s">
        <v>148</v>
      </c>
      <c r="B149" s="39" t="s">
        <v>177</v>
      </c>
      <c r="C149" s="39">
        <v>75.0</v>
      </c>
      <c r="D149" s="39" t="s">
        <v>92</v>
      </c>
      <c r="E149" s="39" t="s">
        <v>1088</v>
      </c>
      <c r="F149" s="39"/>
      <c r="G149" s="57" t="s">
        <v>1089</v>
      </c>
      <c r="H149" s="57" t="s">
        <v>1090</v>
      </c>
      <c r="I149" s="39"/>
    </row>
    <row r="150">
      <c r="A150" s="39" t="s">
        <v>148</v>
      </c>
      <c r="B150" s="39" t="s">
        <v>177</v>
      </c>
      <c r="C150" s="39">
        <v>76.0</v>
      </c>
      <c r="D150" s="39" t="s">
        <v>91</v>
      </c>
      <c r="E150" s="39" t="s">
        <v>1091</v>
      </c>
      <c r="F150" s="39"/>
      <c r="G150" s="58" t="s">
        <v>822</v>
      </c>
      <c r="H150" s="57"/>
      <c r="I150" s="39"/>
    </row>
    <row r="151">
      <c r="A151" s="39" t="s">
        <v>148</v>
      </c>
      <c r="B151" s="39" t="s">
        <v>177</v>
      </c>
      <c r="C151" s="39">
        <v>77.0</v>
      </c>
      <c r="D151" s="39" t="s">
        <v>839</v>
      </c>
      <c r="E151" s="39" t="s">
        <v>1092</v>
      </c>
      <c r="F151" s="39"/>
      <c r="G151" s="57" t="s">
        <v>975</v>
      </c>
      <c r="H151" s="57"/>
      <c r="I151" s="39"/>
    </row>
    <row r="152">
      <c r="A152" s="39" t="s">
        <v>148</v>
      </c>
      <c r="B152" s="39" t="s">
        <v>177</v>
      </c>
      <c r="C152" s="39">
        <v>78.0</v>
      </c>
      <c r="D152" s="39" t="s">
        <v>84</v>
      </c>
      <c r="E152" s="39" t="s">
        <v>1093</v>
      </c>
      <c r="F152" s="39"/>
      <c r="G152" s="57" t="s">
        <v>1094</v>
      </c>
      <c r="H152" s="57" t="s">
        <v>1095</v>
      </c>
      <c r="I152" s="39"/>
    </row>
    <row r="153">
      <c r="A153" s="39" t="s">
        <v>148</v>
      </c>
      <c r="B153" s="39" t="s">
        <v>203</v>
      </c>
      <c r="C153" s="39">
        <v>2.0</v>
      </c>
      <c r="D153" s="39" t="s">
        <v>81</v>
      </c>
      <c r="E153" s="39" t="s">
        <v>1096</v>
      </c>
      <c r="F153" s="39"/>
      <c r="G153" s="39" t="s">
        <v>797</v>
      </c>
      <c r="H153" s="57"/>
      <c r="I153" s="39"/>
    </row>
    <row r="154">
      <c r="A154" s="39" t="s">
        <v>148</v>
      </c>
      <c r="B154" s="39" t="s">
        <v>203</v>
      </c>
      <c r="C154" s="39">
        <v>3.0</v>
      </c>
      <c r="D154" s="39" t="s">
        <v>798</v>
      </c>
      <c r="E154" s="39" t="s">
        <v>1097</v>
      </c>
      <c r="F154" s="39"/>
      <c r="G154" s="58" t="s">
        <v>801</v>
      </c>
      <c r="H154" s="57"/>
      <c r="I154" s="39"/>
    </row>
    <row r="155">
      <c r="A155" s="39" t="s">
        <v>148</v>
      </c>
      <c r="B155" s="39" t="s">
        <v>203</v>
      </c>
      <c r="C155" s="39">
        <v>4.0</v>
      </c>
      <c r="D155" s="39" t="s">
        <v>798</v>
      </c>
      <c r="E155" s="39" t="s">
        <v>1098</v>
      </c>
      <c r="F155" s="39"/>
      <c r="G155" s="58" t="s">
        <v>801</v>
      </c>
      <c r="H155" s="57"/>
      <c r="I155" s="39"/>
    </row>
    <row r="156">
      <c r="A156" s="39" t="s">
        <v>148</v>
      </c>
      <c r="B156" s="39" t="s">
        <v>203</v>
      </c>
      <c r="C156" s="39">
        <v>5.0</v>
      </c>
      <c r="D156" s="39" t="s">
        <v>798</v>
      </c>
      <c r="E156" s="39" t="s">
        <v>1099</v>
      </c>
      <c r="F156" s="39"/>
      <c r="G156" s="58" t="s">
        <v>806</v>
      </c>
      <c r="H156" s="57"/>
      <c r="I156" s="39"/>
    </row>
    <row r="157">
      <c r="A157" s="39" t="s">
        <v>148</v>
      </c>
      <c r="B157" s="39" t="s">
        <v>203</v>
      </c>
      <c r="C157" s="39">
        <v>6.0</v>
      </c>
      <c r="D157" s="39" t="s">
        <v>798</v>
      </c>
      <c r="E157" s="39" t="s">
        <v>1100</v>
      </c>
      <c r="F157" s="39"/>
      <c r="G157" s="57" t="s">
        <v>809</v>
      </c>
      <c r="H157" s="57"/>
      <c r="I157" s="39"/>
    </row>
    <row r="158">
      <c r="A158" s="39" t="s">
        <v>148</v>
      </c>
      <c r="B158" s="39" t="s">
        <v>203</v>
      </c>
      <c r="C158" s="39">
        <v>7.0</v>
      </c>
      <c r="D158" s="39" t="s">
        <v>84</v>
      </c>
      <c r="E158" s="39" t="s">
        <v>1101</v>
      </c>
      <c r="F158" s="39"/>
      <c r="G158" s="57" t="s">
        <v>1102</v>
      </c>
      <c r="H158" s="57"/>
      <c r="I158" s="39"/>
    </row>
    <row r="159">
      <c r="A159" s="39" t="s">
        <v>148</v>
      </c>
      <c r="B159" s="39" t="s">
        <v>203</v>
      </c>
      <c r="C159" s="39">
        <v>8.0</v>
      </c>
      <c r="D159" s="39" t="s">
        <v>84</v>
      </c>
      <c r="E159" s="39" t="s">
        <v>1103</v>
      </c>
      <c r="F159" s="39"/>
      <c r="G159" s="57" t="s">
        <v>1104</v>
      </c>
      <c r="H159" s="57"/>
      <c r="I159" s="39"/>
    </row>
    <row r="160">
      <c r="A160" s="39" t="s">
        <v>148</v>
      </c>
      <c r="B160" s="39" t="s">
        <v>203</v>
      </c>
      <c r="C160" s="39">
        <v>9.0</v>
      </c>
      <c r="D160" s="39" t="s">
        <v>839</v>
      </c>
      <c r="E160" s="39" t="s">
        <v>1105</v>
      </c>
      <c r="F160" s="39"/>
      <c r="G160" s="57" t="s">
        <v>989</v>
      </c>
      <c r="H160" s="57"/>
      <c r="I160" s="39"/>
    </row>
    <row r="161">
      <c r="A161" s="39" t="s">
        <v>148</v>
      </c>
      <c r="B161" s="39" t="s">
        <v>203</v>
      </c>
      <c r="C161" s="39">
        <v>10.0</v>
      </c>
      <c r="D161" s="39" t="s">
        <v>839</v>
      </c>
      <c r="E161" s="39" t="s">
        <v>1106</v>
      </c>
      <c r="F161" s="39"/>
      <c r="G161" s="57" t="s">
        <v>991</v>
      </c>
      <c r="H161" s="57"/>
      <c r="I161" s="39"/>
    </row>
    <row r="162">
      <c r="A162" s="39" t="s">
        <v>148</v>
      </c>
      <c r="B162" s="39" t="s">
        <v>203</v>
      </c>
      <c r="C162" s="39">
        <v>11.0</v>
      </c>
      <c r="D162" s="39" t="s">
        <v>839</v>
      </c>
      <c r="E162" s="39" t="s">
        <v>1107</v>
      </c>
      <c r="F162" s="39"/>
      <c r="G162" s="57" t="s">
        <v>993</v>
      </c>
      <c r="H162" s="57"/>
      <c r="I162" s="39"/>
    </row>
    <row r="163">
      <c r="A163" s="39" t="s">
        <v>148</v>
      </c>
      <c r="B163" s="39" t="s">
        <v>203</v>
      </c>
      <c r="C163" s="39">
        <v>12.0</v>
      </c>
      <c r="D163" s="39" t="s">
        <v>839</v>
      </c>
      <c r="E163" s="39" t="s">
        <v>1108</v>
      </c>
      <c r="F163" s="39"/>
      <c r="G163" s="57" t="s">
        <v>995</v>
      </c>
      <c r="H163" s="57"/>
      <c r="I163" s="39"/>
    </row>
    <row r="164">
      <c r="A164" s="39" t="s">
        <v>148</v>
      </c>
      <c r="B164" s="39" t="s">
        <v>203</v>
      </c>
      <c r="C164" s="39">
        <v>13.0</v>
      </c>
      <c r="D164" s="39" t="s">
        <v>87</v>
      </c>
      <c r="E164" s="39" t="s">
        <v>1109</v>
      </c>
      <c r="F164" s="39"/>
      <c r="G164" s="57" t="s">
        <v>1110</v>
      </c>
      <c r="H164" s="57"/>
      <c r="I164" s="39"/>
    </row>
    <row r="165">
      <c r="A165" s="39" t="s">
        <v>148</v>
      </c>
      <c r="B165" s="39" t="s">
        <v>203</v>
      </c>
      <c r="C165" s="39">
        <v>14.0</v>
      </c>
      <c r="D165" s="39" t="s">
        <v>87</v>
      </c>
      <c r="E165" s="39" t="s">
        <v>1111</v>
      </c>
      <c r="F165" s="39"/>
      <c r="G165" s="57" t="s">
        <v>1112</v>
      </c>
      <c r="H165" s="57"/>
      <c r="I165" s="39"/>
    </row>
    <row r="166">
      <c r="A166" s="39" t="s">
        <v>148</v>
      </c>
      <c r="B166" s="39" t="s">
        <v>203</v>
      </c>
      <c r="C166" s="39">
        <v>15.0</v>
      </c>
      <c r="D166" s="39" t="s">
        <v>87</v>
      </c>
      <c r="E166" s="39" t="s">
        <v>1113</v>
      </c>
      <c r="F166" s="39"/>
      <c r="G166" s="38" t="s">
        <v>1114</v>
      </c>
      <c r="H166" s="57"/>
      <c r="I166" s="39"/>
    </row>
    <row r="167">
      <c r="A167" s="39" t="s">
        <v>148</v>
      </c>
      <c r="B167" s="39" t="s">
        <v>203</v>
      </c>
      <c r="C167" s="39">
        <v>16.0</v>
      </c>
      <c r="D167" s="39" t="s">
        <v>87</v>
      </c>
      <c r="E167" s="39" t="s">
        <v>1115</v>
      </c>
      <c r="F167" s="39"/>
      <c r="G167" s="57" t="s">
        <v>1116</v>
      </c>
      <c r="H167" s="57"/>
      <c r="I167" s="39"/>
    </row>
    <row r="168">
      <c r="A168" s="39" t="s">
        <v>148</v>
      </c>
      <c r="B168" s="39" t="s">
        <v>203</v>
      </c>
      <c r="C168" s="39">
        <v>17.0</v>
      </c>
      <c r="D168" s="39" t="s">
        <v>87</v>
      </c>
      <c r="E168" s="39" t="s">
        <v>1117</v>
      </c>
      <c r="F168" s="39"/>
      <c r="G168" s="57" t="s">
        <v>1118</v>
      </c>
      <c r="H168" s="57"/>
      <c r="I168" s="39"/>
    </row>
    <row r="169">
      <c r="A169" s="39" t="s">
        <v>148</v>
      </c>
      <c r="B169" s="39" t="s">
        <v>203</v>
      </c>
      <c r="C169" s="39">
        <v>18.0</v>
      </c>
      <c r="D169" s="39" t="s">
        <v>875</v>
      </c>
      <c r="E169" s="39" t="s">
        <v>1119</v>
      </c>
      <c r="F169" s="39"/>
      <c r="G169" s="57" t="s">
        <v>877</v>
      </c>
      <c r="H169" s="57"/>
      <c r="I169" s="39"/>
    </row>
    <row r="170">
      <c r="A170" s="39" t="s">
        <v>148</v>
      </c>
      <c r="B170" s="39" t="s">
        <v>203</v>
      </c>
      <c r="C170" s="39">
        <v>19.0</v>
      </c>
      <c r="D170" s="39" t="s">
        <v>875</v>
      </c>
      <c r="E170" s="39" t="s">
        <v>1120</v>
      </c>
      <c r="F170" s="39"/>
      <c r="G170" s="57" t="s">
        <v>877</v>
      </c>
      <c r="H170" s="57"/>
      <c r="I170" s="39"/>
    </row>
    <row r="171">
      <c r="A171" s="39" t="s">
        <v>148</v>
      </c>
      <c r="B171" s="39" t="s">
        <v>203</v>
      </c>
      <c r="C171" s="39">
        <v>20.0</v>
      </c>
      <c r="D171" s="39" t="s">
        <v>875</v>
      </c>
      <c r="E171" s="39" t="s">
        <v>1121</v>
      </c>
      <c r="F171" s="39"/>
      <c r="G171" s="57" t="s">
        <v>877</v>
      </c>
      <c r="H171" s="57"/>
      <c r="I171" s="39"/>
    </row>
    <row r="172">
      <c r="A172" s="39" t="s">
        <v>148</v>
      </c>
      <c r="B172" s="39" t="s">
        <v>203</v>
      </c>
      <c r="C172" s="39">
        <v>21.0</v>
      </c>
      <c r="D172" s="39" t="s">
        <v>875</v>
      </c>
      <c r="E172" s="39" t="s">
        <v>1122</v>
      </c>
      <c r="F172" s="39"/>
      <c r="G172" s="57" t="s">
        <v>883</v>
      </c>
      <c r="H172" s="57"/>
      <c r="I172" s="39"/>
    </row>
    <row r="173">
      <c r="A173" s="39" t="s">
        <v>148</v>
      </c>
      <c r="B173" s="39" t="s">
        <v>203</v>
      </c>
      <c r="C173" s="39">
        <v>22.0</v>
      </c>
      <c r="D173" s="39" t="s">
        <v>875</v>
      </c>
      <c r="E173" s="39" t="s">
        <v>1123</v>
      </c>
      <c r="F173" s="39"/>
      <c r="G173" s="57" t="s">
        <v>883</v>
      </c>
      <c r="H173" s="57"/>
      <c r="I173" s="39"/>
    </row>
    <row r="174">
      <c r="A174" s="39" t="s">
        <v>148</v>
      </c>
      <c r="B174" s="39" t="s">
        <v>203</v>
      </c>
      <c r="C174" s="39">
        <v>23.0</v>
      </c>
      <c r="D174" s="39" t="s">
        <v>88</v>
      </c>
      <c r="E174" s="39" t="s">
        <v>1124</v>
      </c>
      <c r="F174" s="39"/>
      <c r="G174" s="57" t="s">
        <v>901</v>
      </c>
      <c r="H174" s="57"/>
      <c r="I174" s="39"/>
    </row>
    <row r="175">
      <c r="A175" s="39" t="s">
        <v>148</v>
      </c>
      <c r="B175" s="39" t="s">
        <v>203</v>
      </c>
      <c r="C175" s="39">
        <v>24.0</v>
      </c>
      <c r="D175" s="39" t="s">
        <v>88</v>
      </c>
      <c r="E175" s="39" t="s">
        <v>1125</v>
      </c>
      <c r="F175" s="39"/>
      <c r="G175" s="57" t="s">
        <v>898</v>
      </c>
      <c r="H175" s="57"/>
      <c r="I175" s="39"/>
    </row>
    <row r="176">
      <c r="A176" s="39" t="s">
        <v>148</v>
      </c>
      <c r="B176" s="39" t="s">
        <v>203</v>
      </c>
      <c r="C176" s="39">
        <v>25.0</v>
      </c>
      <c r="D176" s="39" t="s">
        <v>88</v>
      </c>
      <c r="E176" s="39" t="s">
        <v>1126</v>
      </c>
      <c r="F176" s="39"/>
      <c r="G176" s="57" t="s">
        <v>898</v>
      </c>
      <c r="H176" s="57"/>
      <c r="I176" s="39"/>
    </row>
    <row r="177">
      <c r="A177" s="39" t="s">
        <v>148</v>
      </c>
      <c r="B177" s="39" t="s">
        <v>203</v>
      </c>
      <c r="C177" s="39">
        <v>26.0</v>
      </c>
      <c r="D177" s="39" t="s">
        <v>88</v>
      </c>
      <c r="E177" s="39" t="s">
        <v>1127</v>
      </c>
      <c r="F177" s="39"/>
      <c r="G177" s="57" t="s">
        <v>895</v>
      </c>
      <c r="H177" s="57"/>
      <c r="I177" s="39"/>
    </row>
    <row r="178">
      <c r="A178" s="39" t="s">
        <v>148</v>
      </c>
      <c r="B178" s="39" t="s">
        <v>203</v>
      </c>
      <c r="C178" s="39">
        <v>27.0</v>
      </c>
      <c r="D178" s="39" t="s">
        <v>88</v>
      </c>
      <c r="E178" s="39" t="s">
        <v>1128</v>
      </c>
      <c r="F178" s="39"/>
      <c r="G178" s="57" t="s">
        <v>892</v>
      </c>
      <c r="H178" s="57"/>
      <c r="I178" s="39"/>
    </row>
    <row r="179">
      <c r="A179" s="39" t="s">
        <v>148</v>
      </c>
      <c r="B179" s="39" t="s">
        <v>203</v>
      </c>
      <c r="C179" s="39">
        <v>28.0</v>
      </c>
      <c r="D179" s="39" t="s">
        <v>902</v>
      </c>
      <c r="E179" s="39" t="s">
        <v>1129</v>
      </c>
      <c r="F179" s="39"/>
      <c r="G179" s="58" t="s">
        <v>822</v>
      </c>
      <c r="H179" s="57" t="s">
        <v>1036</v>
      </c>
      <c r="I179" s="39"/>
    </row>
    <row r="180">
      <c r="A180" s="39" t="s">
        <v>148</v>
      </c>
      <c r="B180" s="39" t="s">
        <v>203</v>
      </c>
      <c r="C180" s="39">
        <v>29.0</v>
      </c>
      <c r="D180" s="39" t="s">
        <v>902</v>
      </c>
      <c r="E180" s="39" t="s">
        <v>1130</v>
      </c>
      <c r="F180" s="39"/>
      <c r="G180" s="58" t="s">
        <v>801</v>
      </c>
      <c r="H180" s="57" t="s">
        <v>1040</v>
      </c>
      <c r="I180" s="39"/>
    </row>
    <row r="181">
      <c r="A181" s="39" t="s">
        <v>148</v>
      </c>
      <c r="B181" s="39" t="s">
        <v>203</v>
      </c>
      <c r="C181" s="39">
        <v>30.0</v>
      </c>
      <c r="D181" s="39" t="s">
        <v>902</v>
      </c>
      <c r="E181" s="39" t="s">
        <v>1131</v>
      </c>
      <c r="F181" s="39"/>
      <c r="G181" s="57" t="s">
        <v>809</v>
      </c>
      <c r="H181" s="57" t="s">
        <v>1036</v>
      </c>
      <c r="I181" s="39"/>
    </row>
    <row r="182">
      <c r="A182" s="39" t="s">
        <v>148</v>
      </c>
      <c r="B182" s="39" t="s">
        <v>203</v>
      </c>
      <c r="C182" s="39">
        <v>31.0</v>
      </c>
      <c r="D182" s="39" t="s">
        <v>902</v>
      </c>
      <c r="E182" s="39" t="s">
        <v>1132</v>
      </c>
      <c r="F182" s="39"/>
      <c r="G182" s="58" t="s">
        <v>825</v>
      </c>
      <c r="H182" s="57" t="s">
        <v>1133</v>
      </c>
      <c r="I182" s="39"/>
    </row>
    <row r="183">
      <c r="A183" s="39" t="s">
        <v>148</v>
      </c>
      <c r="B183" s="39" t="s">
        <v>203</v>
      </c>
      <c r="C183" s="39">
        <v>32.0</v>
      </c>
      <c r="D183" s="39" t="s">
        <v>902</v>
      </c>
      <c r="E183" s="39" t="s">
        <v>1134</v>
      </c>
      <c r="F183" s="39"/>
      <c r="G183" s="58" t="s">
        <v>822</v>
      </c>
      <c r="H183" s="57" t="s">
        <v>1044</v>
      </c>
      <c r="I183" s="39"/>
    </row>
    <row r="184">
      <c r="A184" s="39" t="s">
        <v>148</v>
      </c>
      <c r="B184" s="39" t="s">
        <v>203</v>
      </c>
      <c r="C184" s="39">
        <v>33.0</v>
      </c>
      <c r="D184" s="39" t="s">
        <v>902</v>
      </c>
      <c r="E184" s="39" t="s">
        <v>1135</v>
      </c>
      <c r="F184" s="39"/>
      <c r="G184" s="58" t="s">
        <v>801</v>
      </c>
      <c r="H184" s="57" t="s">
        <v>1136</v>
      </c>
      <c r="I184" s="39"/>
    </row>
    <row r="185">
      <c r="A185" s="39" t="s">
        <v>148</v>
      </c>
      <c r="B185" s="39" t="s">
        <v>203</v>
      </c>
      <c r="C185" s="39">
        <v>34.0</v>
      </c>
      <c r="D185" s="39" t="s">
        <v>902</v>
      </c>
      <c r="E185" s="39" t="s">
        <v>1137</v>
      </c>
      <c r="F185" s="39"/>
      <c r="G185" s="57" t="s">
        <v>809</v>
      </c>
      <c r="H185" s="57" t="s">
        <v>1036</v>
      </c>
      <c r="I185" s="39"/>
    </row>
    <row r="186">
      <c r="A186" s="39" t="s">
        <v>148</v>
      </c>
      <c r="B186" s="39" t="s">
        <v>203</v>
      </c>
      <c r="C186" s="39">
        <v>35.0</v>
      </c>
      <c r="D186" s="39" t="s">
        <v>902</v>
      </c>
      <c r="E186" s="39" t="s">
        <v>1138</v>
      </c>
      <c r="F186" s="39"/>
      <c r="G186" s="58" t="s">
        <v>825</v>
      </c>
      <c r="H186" s="57" t="s">
        <v>1139</v>
      </c>
      <c r="I186" s="39"/>
    </row>
    <row r="187">
      <c r="A187" s="39" t="s">
        <v>148</v>
      </c>
      <c r="B187" s="39" t="s">
        <v>203</v>
      </c>
      <c r="C187" s="39">
        <v>36.0</v>
      </c>
      <c r="D187" s="39" t="s">
        <v>90</v>
      </c>
      <c r="E187" s="39" t="s">
        <v>1140</v>
      </c>
      <c r="F187" s="39"/>
      <c r="G187" s="57" t="s">
        <v>927</v>
      </c>
      <c r="H187" s="57"/>
      <c r="I187" s="39"/>
    </row>
    <row r="188">
      <c r="A188" s="39" t="s">
        <v>148</v>
      </c>
      <c r="B188" s="39" t="s">
        <v>203</v>
      </c>
      <c r="C188" s="39">
        <v>37.0</v>
      </c>
      <c r="D188" s="39" t="s">
        <v>90</v>
      </c>
      <c r="E188" s="39" t="s">
        <v>1141</v>
      </c>
      <c r="F188" s="39"/>
      <c r="G188" s="57" t="s">
        <v>924</v>
      </c>
      <c r="H188" s="57"/>
      <c r="I188" s="39"/>
    </row>
    <row r="189">
      <c r="A189" s="39" t="s">
        <v>148</v>
      </c>
      <c r="B189" s="39" t="s">
        <v>203</v>
      </c>
      <c r="C189" s="39">
        <v>38.0</v>
      </c>
      <c r="D189" s="39" t="s">
        <v>90</v>
      </c>
      <c r="E189" s="39" t="s">
        <v>1142</v>
      </c>
      <c r="F189" s="39"/>
      <c r="G189" s="57" t="s">
        <v>930</v>
      </c>
      <c r="H189" s="57"/>
      <c r="I189" s="39"/>
    </row>
    <row r="190">
      <c r="A190" s="39" t="s">
        <v>148</v>
      </c>
      <c r="B190" s="39" t="s">
        <v>203</v>
      </c>
      <c r="C190" s="39">
        <v>39.0</v>
      </c>
      <c r="D190" s="39" t="s">
        <v>90</v>
      </c>
      <c r="E190" s="39" t="s">
        <v>1143</v>
      </c>
      <c r="F190" s="39"/>
      <c r="G190" s="58" t="s">
        <v>822</v>
      </c>
      <c r="H190" s="57"/>
      <c r="I190" s="39"/>
    </row>
    <row r="191">
      <c r="A191" s="39" t="s">
        <v>148</v>
      </c>
      <c r="B191" s="39" t="s">
        <v>203</v>
      </c>
      <c r="C191" s="39">
        <v>40.0</v>
      </c>
      <c r="D191" s="39" t="s">
        <v>90</v>
      </c>
      <c r="E191" s="39" t="s">
        <v>1144</v>
      </c>
      <c r="F191" s="39"/>
      <c r="G191" s="58" t="s">
        <v>836</v>
      </c>
      <c r="H191" s="57"/>
      <c r="I191" s="39"/>
    </row>
    <row r="192">
      <c r="A192" s="39" t="s">
        <v>148</v>
      </c>
      <c r="B192" s="39" t="s">
        <v>203</v>
      </c>
      <c r="C192" s="39">
        <v>41.0</v>
      </c>
      <c r="D192" s="39" t="s">
        <v>90</v>
      </c>
      <c r="E192" s="39" t="s">
        <v>1145</v>
      </c>
      <c r="F192" s="39"/>
      <c r="G192" s="58" t="s">
        <v>801</v>
      </c>
      <c r="H192" s="57"/>
      <c r="I192" s="39"/>
    </row>
    <row r="193">
      <c r="A193" s="39" t="s">
        <v>148</v>
      </c>
      <c r="B193" s="39" t="s">
        <v>203</v>
      </c>
      <c r="C193" s="39">
        <v>42.0</v>
      </c>
      <c r="D193" s="39" t="s">
        <v>90</v>
      </c>
      <c r="E193" s="39" t="s">
        <v>1146</v>
      </c>
      <c r="F193" s="39"/>
      <c r="G193" s="57" t="s">
        <v>939</v>
      </c>
      <c r="H193" s="57"/>
      <c r="I193" s="39"/>
    </row>
    <row r="194">
      <c r="A194" s="39" t="s">
        <v>148</v>
      </c>
      <c r="B194" s="39" t="s">
        <v>203</v>
      </c>
      <c r="C194" s="39">
        <v>43.0</v>
      </c>
      <c r="D194" s="39" t="s">
        <v>92</v>
      </c>
      <c r="E194" s="39" t="s">
        <v>1147</v>
      </c>
      <c r="F194" s="39"/>
      <c r="G194" s="57" t="s">
        <v>1148</v>
      </c>
      <c r="H194" s="57" t="s">
        <v>1149</v>
      </c>
      <c r="I194" s="39"/>
    </row>
    <row r="195">
      <c r="A195" s="39" t="s">
        <v>148</v>
      </c>
      <c r="B195" s="39" t="s">
        <v>203</v>
      </c>
      <c r="C195" s="39">
        <v>44.0</v>
      </c>
      <c r="D195" s="39" t="s">
        <v>92</v>
      </c>
      <c r="E195" s="39" t="s">
        <v>1150</v>
      </c>
      <c r="F195" s="39"/>
      <c r="G195" s="39" t="s">
        <v>950</v>
      </c>
      <c r="H195" s="57" t="s">
        <v>951</v>
      </c>
      <c r="I195" s="39"/>
    </row>
    <row r="196">
      <c r="A196" s="39" t="s">
        <v>148</v>
      </c>
      <c r="B196" s="39" t="s">
        <v>203</v>
      </c>
      <c r="C196" s="39">
        <v>45.0</v>
      </c>
      <c r="D196" s="39" t="s">
        <v>92</v>
      </c>
      <c r="E196" s="39" t="s">
        <v>1151</v>
      </c>
      <c r="F196" s="39"/>
      <c r="G196" s="57" t="s">
        <v>957</v>
      </c>
      <c r="H196" s="57"/>
      <c r="I196" s="39"/>
    </row>
    <row r="197">
      <c r="A197" s="39" t="s">
        <v>148</v>
      </c>
      <c r="B197" s="39" t="s">
        <v>203</v>
      </c>
      <c r="C197" s="39">
        <v>46.0</v>
      </c>
      <c r="D197" s="39" t="s">
        <v>92</v>
      </c>
      <c r="E197" s="39" t="s">
        <v>1152</v>
      </c>
      <c r="F197" s="39"/>
      <c r="G197" s="57" t="s">
        <v>947</v>
      </c>
      <c r="H197" s="57"/>
      <c r="I197" s="39"/>
    </row>
    <row r="198">
      <c r="A198" s="39" t="s">
        <v>148</v>
      </c>
      <c r="B198" s="39" t="s">
        <v>203</v>
      </c>
      <c r="C198" s="39">
        <v>47.0</v>
      </c>
      <c r="D198" s="39" t="s">
        <v>91</v>
      </c>
      <c r="E198" s="39" t="s">
        <v>1153</v>
      </c>
      <c r="F198" s="39"/>
      <c r="G198" s="58" t="s">
        <v>822</v>
      </c>
      <c r="H198" s="57"/>
      <c r="I198" s="39"/>
    </row>
    <row r="199">
      <c r="A199" s="39" t="s">
        <v>148</v>
      </c>
      <c r="B199" s="39" t="s">
        <v>203</v>
      </c>
      <c r="C199" s="39">
        <v>48.0</v>
      </c>
      <c r="D199" s="39" t="s">
        <v>91</v>
      </c>
      <c r="E199" s="39" t="s">
        <v>1154</v>
      </c>
      <c r="F199" s="39"/>
      <c r="G199" s="58" t="s">
        <v>806</v>
      </c>
      <c r="H199" s="57"/>
      <c r="I199" s="39"/>
    </row>
    <row r="200">
      <c r="A200" s="39" t="s">
        <v>148</v>
      </c>
      <c r="B200" s="39" t="s">
        <v>203</v>
      </c>
      <c r="C200" s="39">
        <v>49.0</v>
      </c>
      <c r="D200" s="39" t="s">
        <v>91</v>
      </c>
      <c r="E200" s="39" t="s">
        <v>1155</v>
      </c>
      <c r="F200" s="39"/>
      <c r="G200" s="58" t="s">
        <v>836</v>
      </c>
      <c r="H200" s="57"/>
      <c r="I200" s="39"/>
    </row>
    <row r="201">
      <c r="A201" s="39" t="s">
        <v>148</v>
      </c>
      <c r="B201" s="39" t="s">
        <v>203</v>
      </c>
      <c r="C201" s="39">
        <v>50.0</v>
      </c>
      <c r="D201" s="39" t="s">
        <v>92</v>
      </c>
      <c r="E201" s="39" t="s">
        <v>1156</v>
      </c>
      <c r="F201" s="39"/>
      <c r="G201" s="57" t="s">
        <v>1157</v>
      </c>
      <c r="H201" s="57" t="s">
        <v>1158</v>
      </c>
      <c r="I201" s="39"/>
    </row>
    <row r="202">
      <c r="A202" s="39" t="s">
        <v>148</v>
      </c>
      <c r="B202" s="39" t="s">
        <v>203</v>
      </c>
      <c r="C202" s="39">
        <v>51.0</v>
      </c>
      <c r="D202" s="39" t="s">
        <v>92</v>
      </c>
      <c r="E202" s="39" t="s">
        <v>1159</v>
      </c>
      <c r="F202" s="39"/>
      <c r="G202" s="57" t="s">
        <v>945</v>
      </c>
      <c r="H202" s="57"/>
      <c r="I202" s="39"/>
    </row>
    <row r="203">
      <c r="A203" s="39" t="s">
        <v>148</v>
      </c>
      <c r="B203" s="39" t="s">
        <v>203</v>
      </c>
      <c r="C203" s="39">
        <v>52.0</v>
      </c>
      <c r="D203" s="39" t="s">
        <v>84</v>
      </c>
      <c r="E203" s="39" t="s">
        <v>1160</v>
      </c>
      <c r="F203" s="39"/>
      <c r="G203" s="57" t="s">
        <v>1161</v>
      </c>
      <c r="H203" s="57" t="s">
        <v>1162</v>
      </c>
      <c r="I203" s="39"/>
    </row>
    <row r="204">
      <c r="A204" s="39" t="s">
        <v>148</v>
      </c>
      <c r="B204" s="39" t="s">
        <v>203</v>
      </c>
      <c r="C204" s="39">
        <v>54.0</v>
      </c>
      <c r="D204" s="39" t="s">
        <v>84</v>
      </c>
      <c r="E204" s="39" t="s">
        <v>1163</v>
      </c>
      <c r="F204" s="39"/>
      <c r="G204" s="57" t="s">
        <v>1164</v>
      </c>
      <c r="H204" s="57" t="s">
        <v>1165</v>
      </c>
      <c r="I204" s="39"/>
    </row>
    <row r="205">
      <c r="A205" s="39" t="s">
        <v>148</v>
      </c>
      <c r="B205" s="39" t="s">
        <v>203</v>
      </c>
      <c r="C205" s="39">
        <v>56.0</v>
      </c>
      <c r="D205" s="39" t="s">
        <v>92</v>
      </c>
      <c r="E205" s="59" t="s">
        <v>1166</v>
      </c>
      <c r="F205" s="59"/>
      <c r="G205" s="51" t="s">
        <v>1167</v>
      </c>
      <c r="I205" s="39"/>
    </row>
    <row r="206">
      <c r="A206" s="39" t="s">
        <v>148</v>
      </c>
      <c r="B206" s="39" t="s">
        <v>203</v>
      </c>
      <c r="C206" s="39">
        <v>57.0</v>
      </c>
      <c r="D206" s="39" t="s">
        <v>84</v>
      </c>
      <c r="E206" s="59" t="s">
        <v>1168</v>
      </c>
      <c r="F206" s="59"/>
      <c r="G206" s="51" t="s">
        <v>1169</v>
      </c>
      <c r="H206" s="38" t="s">
        <v>1170</v>
      </c>
      <c r="I206" s="39"/>
    </row>
    <row r="207">
      <c r="A207" s="39" t="s">
        <v>148</v>
      </c>
      <c r="B207" s="39" t="s">
        <v>203</v>
      </c>
      <c r="C207" s="39">
        <v>61.0</v>
      </c>
      <c r="D207" s="39" t="s">
        <v>819</v>
      </c>
      <c r="E207" s="39" t="s">
        <v>1171</v>
      </c>
      <c r="F207" s="39"/>
      <c r="G207" s="58" t="s">
        <v>822</v>
      </c>
      <c r="H207" s="57"/>
      <c r="I207" s="39"/>
    </row>
    <row r="208">
      <c r="A208" s="39" t="s">
        <v>148</v>
      </c>
      <c r="B208" s="39" t="s">
        <v>203</v>
      </c>
      <c r="C208" s="39">
        <v>62.0</v>
      </c>
      <c r="D208" s="39" t="s">
        <v>819</v>
      </c>
      <c r="E208" s="39" t="s">
        <v>1172</v>
      </c>
      <c r="F208" s="39"/>
      <c r="G208" s="58" t="s">
        <v>806</v>
      </c>
      <c r="H208" s="57"/>
      <c r="I208" s="39"/>
    </row>
    <row r="209">
      <c r="A209" s="39" t="s">
        <v>148</v>
      </c>
      <c r="B209" s="39" t="s">
        <v>203</v>
      </c>
      <c r="C209" s="39">
        <v>63.0</v>
      </c>
      <c r="D209" s="39" t="s">
        <v>819</v>
      </c>
      <c r="E209" s="39" t="s">
        <v>1173</v>
      </c>
      <c r="F209" s="39"/>
      <c r="G209" s="58" t="s">
        <v>836</v>
      </c>
      <c r="H209" s="57"/>
      <c r="I209" s="39"/>
    </row>
    <row r="210">
      <c r="A210" s="39" t="s">
        <v>148</v>
      </c>
      <c r="B210" s="39" t="s">
        <v>203</v>
      </c>
      <c r="C210" s="39">
        <v>64.0</v>
      </c>
      <c r="D210" s="39" t="s">
        <v>819</v>
      </c>
      <c r="E210" s="39" t="s">
        <v>1174</v>
      </c>
      <c r="F210" s="39"/>
      <c r="G210" s="58" t="s">
        <v>836</v>
      </c>
      <c r="H210" s="57"/>
      <c r="I210" s="39"/>
    </row>
    <row r="211">
      <c r="A211" s="39" t="s">
        <v>148</v>
      </c>
      <c r="B211" s="39" t="s">
        <v>203</v>
      </c>
      <c r="C211" s="39">
        <v>65.0</v>
      </c>
      <c r="D211" s="39" t="s">
        <v>819</v>
      </c>
      <c r="E211" s="39" t="s">
        <v>1175</v>
      </c>
      <c r="F211" s="39"/>
      <c r="G211" s="58" t="s">
        <v>822</v>
      </c>
      <c r="H211" s="57"/>
      <c r="I211" s="39"/>
    </row>
    <row r="212">
      <c r="A212" s="39" t="s">
        <v>148</v>
      </c>
      <c r="B212" s="39" t="s">
        <v>203</v>
      </c>
      <c r="C212" s="39">
        <v>66.0</v>
      </c>
      <c r="D212" s="39" t="s">
        <v>819</v>
      </c>
      <c r="E212" s="39" t="s">
        <v>1176</v>
      </c>
      <c r="F212" s="39"/>
      <c r="G212" s="58" t="s">
        <v>801</v>
      </c>
      <c r="H212" s="57"/>
      <c r="I212" s="39"/>
    </row>
    <row r="213">
      <c r="A213" s="39" t="s">
        <v>148</v>
      </c>
      <c r="B213" s="39" t="s">
        <v>203</v>
      </c>
      <c r="C213" s="39">
        <v>67.0</v>
      </c>
      <c r="D213" s="39" t="s">
        <v>819</v>
      </c>
      <c r="E213" s="39" t="s">
        <v>1177</v>
      </c>
      <c r="F213" s="39"/>
      <c r="G213" s="58" t="s">
        <v>806</v>
      </c>
      <c r="H213" s="57"/>
      <c r="I213" s="39"/>
    </row>
    <row r="214">
      <c r="A214" s="39" t="s">
        <v>148</v>
      </c>
      <c r="B214" s="39" t="s">
        <v>203</v>
      </c>
      <c r="C214" s="39">
        <v>68.0</v>
      </c>
      <c r="D214" s="39" t="s">
        <v>819</v>
      </c>
      <c r="E214" s="39" t="s">
        <v>1178</v>
      </c>
      <c r="F214" s="39"/>
      <c r="G214" s="58" t="s">
        <v>806</v>
      </c>
      <c r="H214" s="57"/>
      <c r="I214" s="39"/>
    </row>
    <row r="215">
      <c r="A215" s="39" t="s">
        <v>148</v>
      </c>
      <c r="B215" s="39" t="s">
        <v>203</v>
      </c>
      <c r="C215" s="39">
        <v>69.0</v>
      </c>
      <c r="D215" s="39" t="s">
        <v>839</v>
      </c>
      <c r="E215" s="39" t="s">
        <v>1179</v>
      </c>
      <c r="F215" s="39"/>
      <c r="G215" s="57" t="s">
        <v>842</v>
      </c>
      <c r="H215" s="57"/>
      <c r="I215" s="39"/>
    </row>
    <row r="216">
      <c r="A216" s="39" t="s">
        <v>148</v>
      </c>
      <c r="B216" s="39" t="s">
        <v>203</v>
      </c>
      <c r="C216" s="39">
        <v>70.0</v>
      </c>
      <c r="D216" s="39" t="s">
        <v>839</v>
      </c>
      <c r="E216" s="39" t="s">
        <v>1180</v>
      </c>
      <c r="F216" s="39"/>
      <c r="G216" s="57" t="s">
        <v>845</v>
      </c>
      <c r="H216" s="57"/>
      <c r="I216" s="39"/>
    </row>
    <row r="217">
      <c r="A217" s="39" t="s">
        <v>148</v>
      </c>
      <c r="B217" s="39" t="s">
        <v>203</v>
      </c>
      <c r="C217" s="39">
        <v>71.0</v>
      </c>
      <c r="D217" s="39" t="s">
        <v>839</v>
      </c>
      <c r="E217" s="39" t="s">
        <v>1181</v>
      </c>
      <c r="F217" s="39"/>
      <c r="G217" s="57" t="s">
        <v>847</v>
      </c>
      <c r="H217" s="57"/>
      <c r="I217" s="39"/>
    </row>
    <row r="218">
      <c r="A218" s="39" t="s">
        <v>148</v>
      </c>
      <c r="B218" s="39" t="s">
        <v>203</v>
      </c>
      <c r="C218" s="39">
        <v>72.0</v>
      </c>
      <c r="D218" s="39" t="s">
        <v>839</v>
      </c>
      <c r="E218" s="39" t="s">
        <v>1182</v>
      </c>
      <c r="F218" s="39"/>
      <c r="G218" s="57" t="s">
        <v>850</v>
      </c>
      <c r="H218" s="57"/>
      <c r="I218" s="39"/>
    </row>
    <row r="219">
      <c r="A219" s="39" t="s">
        <v>148</v>
      </c>
      <c r="B219" s="39" t="s">
        <v>203</v>
      </c>
      <c r="C219" s="39">
        <v>73.0</v>
      </c>
      <c r="D219" s="39" t="s">
        <v>839</v>
      </c>
      <c r="E219" s="39" t="s">
        <v>1183</v>
      </c>
      <c r="F219" s="39"/>
      <c r="G219" s="57" t="s">
        <v>853</v>
      </c>
      <c r="H219" s="57"/>
      <c r="I219" s="39"/>
    </row>
    <row r="220">
      <c r="A220" s="39" t="s">
        <v>148</v>
      </c>
      <c r="B220" s="39" t="s">
        <v>203</v>
      </c>
      <c r="C220" s="39">
        <v>74.0</v>
      </c>
      <c r="D220" s="39" t="s">
        <v>839</v>
      </c>
      <c r="E220" s="39" t="s">
        <v>1184</v>
      </c>
      <c r="F220" s="39"/>
      <c r="G220" s="57" t="s">
        <v>856</v>
      </c>
      <c r="H220" s="57"/>
      <c r="I220" s="39"/>
    </row>
    <row r="221">
      <c r="A221" s="39" t="s">
        <v>148</v>
      </c>
      <c r="B221" s="39" t="s">
        <v>203</v>
      </c>
      <c r="C221" s="39">
        <v>75.0</v>
      </c>
      <c r="D221" s="39" t="s">
        <v>839</v>
      </c>
      <c r="E221" s="39" t="s">
        <v>1185</v>
      </c>
      <c r="F221" s="39"/>
      <c r="G221" s="57" t="s">
        <v>874</v>
      </c>
      <c r="H221" s="57"/>
      <c r="I221" s="39"/>
    </row>
    <row r="222">
      <c r="A222" s="39" t="s">
        <v>148</v>
      </c>
      <c r="B222" s="39" t="s">
        <v>203</v>
      </c>
      <c r="C222" s="39">
        <v>76.0</v>
      </c>
      <c r="D222" s="39" t="s">
        <v>839</v>
      </c>
      <c r="E222" s="39" t="s">
        <v>1186</v>
      </c>
      <c r="F222" s="39"/>
      <c r="G222" s="57" t="s">
        <v>880</v>
      </c>
      <c r="H222" s="57"/>
      <c r="I222" s="39"/>
    </row>
    <row r="223">
      <c r="A223" s="39" t="s">
        <v>148</v>
      </c>
      <c r="B223" s="39" t="s">
        <v>203</v>
      </c>
      <c r="C223" s="39">
        <v>77.0</v>
      </c>
      <c r="D223" s="39" t="s">
        <v>839</v>
      </c>
      <c r="E223" s="39" t="s">
        <v>1187</v>
      </c>
      <c r="F223" s="39"/>
      <c r="G223" s="57" t="s">
        <v>971</v>
      </c>
      <c r="H223" s="57"/>
      <c r="I223" s="39"/>
    </row>
    <row r="224">
      <c r="A224" s="39" t="s">
        <v>148</v>
      </c>
      <c r="B224" s="39" t="s">
        <v>203</v>
      </c>
      <c r="C224" s="39">
        <v>78.0</v>
      </c>
      <c r="D224" s="39" t="s">
        <v>839</v>
      </c>
      <c r="E224" s="39" t="s">
        <v>1188</v>
      </c>
      <c r="F224" s="39"/>
      <c r="G224" s="57" t="s">
        <v>973</v>
      </c>
      <c r="H224" s="57"/>
      <c r="I224" s="39"/>
    </row>
    <row r="225">
      <c r="A225" s="39" t="s">
        <v>148</v>
      </c>
      <c r="B225" s="39" t="s">
        <v>203</v>
      </c>
      <c r="C225" s="39">
        <v>79.0</v>
      </c>
      <c r="D225" s="39" t="s">
        <v>839</v>
      </c>
      <c r="E225" s="39" t="s">
        <v>1189</v>
      </c>
      <c r="F225" s="39"/>
      <c r="G225" s="57" t="s">
        <v>1066</v>
      </c>
      <c r="H225" s="57"/>
      <c r="I225" s="39"/>
    </row>
    <row r="226">
      <c r="A226" s="39" t="s">
        <v>148</v>
      </c>
      <c r="B226" s="39" t="s">
        <v>203</v>
      </c>
      <c r="C226" s="39">
        <v>80.0</v>
      </c>
      <c r="D226" s="39" t="s">
        <v>839</v>
      </c>
      <c r="E226" s="39" t="s">
        <v>1190</v>
      </c>
      <c r="F226" s="39"/>
      <c r="G226" s="57" t="s">
        <v>977</v>
      </c>
      <c r="H226" s="57"/>
      <c r="I226" s="39"/>
    </row>
    <row r="227">
      <c r="A227" s="39" t="s">
        <v>148</v>
      </c>
      <c r="B227" s="39" t="s">
        <v>214</v>
      </c>
      <c r="C227" s="39">
        <v>3.0</v>
      </c>
      <c r="D227" s="39" t="s">
        <v>798</v>
      </c>
      <c r="E227" s="39" t="s">
        <v>1191</v>
      </c>
      <c r="F227" s="39"/>
      <c r="G227" s="56" t="s">
        <v>801</v>
      </c>
      <c r="H227" s="39"/>
      <c r="I227" s="39"/>
    </row>
    <row r="228">
      <c r="A228" s="39" t="s">
        <v>148</v>
      </c>
      <c r="B228" s="39" t="s">
        <v>214</v>
      </c>
      <c r="C228" s="39">
        <v>4.0</v>
      </c>
      <c r="D228" s="39" t="s">
        <v>798</v>
      </c>
      <c r="E228" s="39" t="s">
        <v>1192</v>
      </c>
      <c r="F228" s="39"/>
      <c r="G228" s="56" t="s">
        <v>801</v>
      </c>
      <c r="H228" s="39"/>
      <c r="I228" s="39"/>
    </row>
    <row r="229">
      <c r="A229" s="39" t="s">
        <v>148</v>
      </c>
      <c r="B229" s="39" t="s">
        <v>214</v>
      </c>
      <c r="C229" s="39">
        <v>5.0</v>
      </c>
      <c r="D229" s="39" t="s">
        <v>798</v>
      </c>
      <c r="E229" s="39" t="s">
        <v>1193</v>
      </c>
      <c r="F229" s="39"/>
      <c r="G229" s="56" t="s">
        <v>806</v>
      </c>
      <c r="H229" s="39"/>
      <c r="I229" s="39"/>
    </row>
    <row r="230">
      <c r="A230" s="39" t="s">
        <v>148</v>
      </c>
      <c r="B230" s="39" t="s">
        <v>214</v>
      </c>
      <c r="C230" s="39">
        <v>6.0</v>
      </c>
      <c r="D230" s="39" t="s">
        <v>798</v>
      </c>
      <c r="E230" s="39" t="s">
        <v>1194</v>
      </c>
      <c r="F230" s="39"/>
      <c r="G230" s="39" t="s">
        <v>809</v>
      </c>
      <c r="H230" s="39"/>
      <c r="I230" s="39"/>
    </row>
    <row r="231">
      <c r="A231" s="39" t="s">
        <v>148</v>
      </c>
      <c r="B231" s="39" t="s">
        <v>214</v>
      </c>
      <c r="C231" s="39">
        <v>7.0</v>
      </c>
      <c r="D231" s="39" t="s">
        <v>84</v>
      </c>
      <c r="E231" s="39" t="s">
        <v>1195</v>
      </c>
      <c r="F231" s="39"/>
      <c r="G231" s="39" t="s">
        <v>1196</v>
      </c>
      <c r="H231" s="39"/>
      <c r="I231" s="39"/>
    </row>
    <row r="232">
      <c r="A232" s="39" t="s">
        <v>148</v>
      </c>
      <c r="B232" s="39" t="s">
        <v>214</v>
      </c>
      <c r="C232" s="39">
        <v>8.0</v>
      </c>
      <c r="D232" s="39" t="s">
        <v>84</v>
      </c>
      <c r="E232" s="39" t="s">
        <v>1197</v>
      </c>
      <c r="F232" s="39"/>
      <c r="G232" s="39" t="s">
        <v>1198</v>
      </c>
      <c r="H232" s="39"/>
      <c r="I232" s="39"/>
    </row>
    <row r="233">
      <c r="A233" s="39" t="s">
        <v>148</v>
      </c>
      <c r="B233" s="39" t="s">
        <v>214</v>
      </c>
      <c r="C233" s="39">
        <v>9.0</v>
      </c>
      <c r="D233" s="39" t="s">
        <v>839</v>
      </c>
      <c r="E233" s="39" t="s">
        <v>1199</v>
      </c>
      <c r="F233" s="39"/>
      <c r="G233" s="39" t="s">
        <v>989</v>
      </c>
      <c r="H233" s="39"/>
      <c r="I233" s="39"/>
    </row>
    <row r="234">
      <c r="A234" s="39" t="s">
        <v>148</v>
      </c>
      <c r="B234" s="39" t="s">
        <v>214</v>
      </c>
      <c r="C234" s="39">
        <v>10.0</v>
      </c>
      <c r="D234" s="39" t="s">
        <v>839</v>
      </c>
      <c r="E234" s="39" t="s">
        <v>1200</v>
      </c>
      <c r="F234" s="39"/>
      <c r="G234" s="39" t="s">
        <v>991</v>
      </c>
      <c r="H234" s="39"/>
      <c r="I234" s="39"/>
    </row>
    <row r="235">
      <c r="A235" s="39" t="s">
        <v>148</v>
      </c>
      <c r="B235" s="39" t="s">
        <v>214</v>
      </c>
      <c r="C235" s="39">
        <v>11.0</v>
      </c>
      <c r="D235" s="39" t="s">
        <v>839</v>
      </c>
      <c r="E235" s="39" t="s">
        <v>1201</v>
      </c>
      <c r="F235" s="39"/>
      <c r="G235" s="39" t="s">
        <v>993</v>
      </c>
      <c r="H235" s="39"/>
      <c r="I235" s="39"/>
    </row>
    <row r="236">
      <c r="A236" s="39" t="s">
        <v>148</v>
      </c>
      <c r="B236" s="39" t="s">
        <v>214</v>
      </c>
      <c r="C236" s="39">
        <v>12.0</v>
      </c>
      <c r="D236" s="39" t="s">
        <v>839</v>
      </c>
      <c r="E236" s="39" t="s">
        <v>1202</v>
      </c>
      <c r="F236" s="39"/>
      <c r="G236" s="39" t="s">
        <v>995</v>
      </c>
      <c r="H236" s="39"/>
      <c r="I236" s="39"/>
    </row>
    <row r="237">
      <c r="A237" s="39" t="s">
        <v>148</v>
      </c>
      <c r="B237" s="39" t="s">
        <v>214</v>
      </c>
      <c r="C237" s="39">
        <v>13.0</v>
      </c>
      <c r="D237" s="39" t="s">
        <v>87</v>
      </c>
      <c r="E237" s="39" t="s">
        <v>1203</v>
      </c>
      <c r="F237" s="39"/>
      <c r="G237" s="39" t="s">
        <v>1204</v>
      </c>
      <c r="H237" s="39"/>
      <c r="I237" s="39"/>
    </row>
    <row r="238">
      <c r="A238" s="39" t="s">
        <v>148</v>
      </c>
      <c r="B238" s="39" t="s">
        <v>214</v>
      </c>
      <c r="C238" s="39">
        <v>14.0</v>
      </c>
      <c r="D238" s="39" t="s">
        <v>87</v>
      </c>
      <c r="E238" s="39" t="s">
        <v>1205</v>
      </c>
      <c r="F238" s="39"/>
      <c r="G238" s="39" t="s">
        <v>1206</v>
      </c>
      <c r="H238" s="39"/>
      <c r="I238" s="39"/>
    </row>
    <row r="239">
      <c r="A239" s="39" t="s">
        <v>148</v>
      </c>
      <c r="B239" s="39" t="s">
        <v>214</v>
      </c>
      <c r="C239" s="39">
        <v>15.0</v>
      </c>
      <c r="D239" s="39" t="s">
        <v>87</v>
      </c>
      <c r="E239" s="39" t="s">
        <v>1207</v>
      </c>
      <c r="F239" s="39"/>
      <c r="G239" s="39" t="s">
        <v>1208</v>
      </c>
      <c r="H239" s="39"/>
      <c r="I239" s="39"/>
    </row>
    <row r="240">
      <c r="A240" s="39" t="s">
        <v>148</v>
      </c>
      <c r="B240" s="39" t="s">
        <v>214</v>
      </c>
      <c r="C240" s="39">
        <v>16.0</v>
      </c>
      <c r="D240" s="39" t="s">
        <v>87</v>
      </c>
      <c r="E240" s="39" t="s">
        <v>1209</v>
      </c>
      <c r="F240" s="39"/>
      <c r="G240" s="39" t="s">
        <v>1210</v>
      </c>
      <c r="I240" s="39"/>
    </row>
    <row r="241">
      <c r="A241" s="39" t="s">
        <v>148</v>
      </c>
      <c r="B241" s="39" t="s">
        <v>214</v>
      </c>
      <c r="C241" s="39">
        <v>17.0</v>
      </c>
      <c r="D241" s="39" t="s">
        <v>87</v>
      </c>
      <c r="E241" s="39" t="s">
        <v>1211</v>
      </c>
      <c r="F241" s="39"/>
      <c r="G241" s="39" t="s">
        <v>1212</v>
      </c>
      <c r="I241" s="39"/>
    </row>
    <row r="242">
      <c r="A242" s="39" t="s">
        <v>148</v>
      </c>
      <c r="B242" s="39" t="s">
        <v>214</v>
      </c>
      <c r="C242" s="39">
        <v>18.0</v>
      </c>
      <c r="D242" s="39" t="s">
        <v>839</v>
      </c>
      <c r="E242" s="39" t="s">
        <v>1213</v>
      </c>
      <c r="F242" s="39"/>
      <c r="G242" s="39" t="s">
        <v>874</v>
      </c>
      <c r="H242" s="39"/>
      <c r="I242" s="39"/>
    </row>
    <row r="243">
      <c r="A243" s="39" t="s">
        <v>148</v>
      </c>
      <c r="B243" s="39" t="s">
        <v>214</v>
      </c>
      <c r="C243" s="39">
        <v>19.0</v>
      </c>
      <c r="D243" s="39" t="s">
        <v>839</v>
      </c>
      <c r="E243" s="39" t="s">
        <v>1214</v>
      </c>
      <c r="F243" s="39"/>
      <c r="G243" s="39" t="s">
        <v>880</v>
      </c>
      <c r="H243" s="39"/>
      <c r="I243" s="39"/>
    </row>
    <row r="244">
      <c r="A244" s="39" t="s">
        <v>148</v>
      </c>
      <c r="B244" s="39" t="s">
        <v>214</v>
      </c>
      <c r="C244" s="39">
        <v>20.0</v>
      </c>
      <c r="D244" s="39" t="s">
        <v>875</v>
      </c>
      <c r="E244" s="39" t="s">
        <v>1215</v>
      </c>
      <c r="F244" s="39"/>
      <c r="G244" s="39" t="s">
        <v>1216</v>
      </c>
      <c r="H244" s="39"/>
      <c r="I244" s="39"/>
    </row>
    <row r="245">
      <c r="A245" s="39" t="s">
        <v>148</v>
      </c>
      <c r="B245" s="39" t="s">
        <v>214</v>
      </c>
      <c r="C245" s="39">
        <v>21.0</v>
      </c>
      <c r="D245" s="39" t="s">
        <v>875</v>
      </c>
      <c r="E245" s="39" t="s">
        <v>1217</v>
      </c>
      <c r="F245" s="39"/>
      <c r="G245" s="39" t="s">
        <v>1216</v>
      </c>
      <c r="H245" s="39"/>
      <c r="I245" s="39"/>
    </row>
    <row r="246">
      <c r="A246" s="39" t="s">
        <v>148</v>
      </c>
      <c r="B246" s="39" t="s">
        <v>214</v>
      </c>
      <c r="C246" s="39">
        <v>22.0</v>
      </c>
      <c r="D246" s="39" t="s">
        <v>875</v>
      </c>
      <c r="E246" s="39" t="s">
        <v>1218</v>
      </c>
      <c r="F246" s="39"/>
      <c r="G246" s="39" t="s">
        <v>1216</v>
      </c>
      <c r="H246" s="39"/>
      <c r="I246" s="39"/>
    </row>
    <row r="247">
      <c r="A247" s="39" t="s">
        <v>148</v>
      </c>
      <c r="B247" s="39" t="s">
        <v>214</v>
      </c>
      <c r="C247" s="39">
        <v>23.0</v>
      </c>
      <c r="D247" s="39" t="s">
        <v>875</v>
      </c>
      <c r="E247" s="39" t="s">
        <v>1219</v>
      </c>
      <c r="F247" s="39"/>
      <c r="G247" s="39" t="s">
        <v>883</v>
      </c>
      <c r="H247" s="39"/>
      <c r="I247" s="39"/>
    </row>
    <row r="248">
      <c r="A248" s="39" t="s">
        <v>148</v>
      </c>
      <c r="B248" s="39" t="s">
        <v>214</v>
      </c>
      <c r="C248" s="39">
        <v>24.0</v>
      </c>
      <c r="D248" s="39" t="s">
        <v>875</v>
      </c>
      <c r="E248" s="39" t="s">
        <v>1220</v>
      </c>
      <c r="F248" s="39"/>
      <c r="G248" s="39" t="s">
        <v>883</v>
      </c>
      <c r="H248" s="39"/>
      <c r="I248" s="39"/>
    </row>
    <row r="249">
      <c r="A249" s="39" t="s">
        <v>148</v>
      </c>
      <c r="B249" s="39" t="s">
        <v>214</v>
      </c>
      <c r="C249" s="39">
        <v>25.0</v>
      </c>
      <c r="D249" s="39" t="s">
        <v>88</v>
      </c>
      <c r="E249" s="39" t="s">
        <v>1221</v>
      </c>
      <c r="F249" s="39"/>
      <c r="G249" s="39" t="s">
        <v>895</v>
      </c>
      <c r="H249" s="39" t="s">
        <v>1038</v>
      </c>
      <c r="I249" s="39"/>
    </row>
    <row r="250">
      <c r="A250" s="39" t="s">
        <v>148</v>
      </c>
      <c r="B250" s="39" t="s">
        <v>214</v>
      </c>
      <c r="C250" s="39">
        <v>26.0</v>
      </c>
      <c r="D250" s="39" t="s">
        <v>88</v>
      </c>
      <c r="E250" s="39" t="s">
        <v>1222</v>
      </c>
      <c r="F250" s="39"/>
      <c r="G250" s="39" t="s">
        <v>895</v>
      </c>
      <c r="I250" s="39"/>
    </row>
    <row r="251">
      <c r="A251" s="39" t="s">
        <v>148</v>
      </c>
      <c r="B251" s="39" t="s">
        <v>214</v>
      </c>
      <c r="C251" s="39">
        <v>27.0</v>
      </c>
      <c r="D251" s="39" t="s">
        <v>88</v>
      </c>
      <c r="E251" s="39" t="s">
        <v>1223</v>
      </c>
      <c r="F251" s="39"/>
      <c r="G251" s="39" t="s">
        <v>898</v>
      </c>
      <c r="H251" s="39"/>
      <c r="I251" s="39"/>
    </row>
    <row r="252">
      <c r="A252" s="39" t="s">
        <v>148</v>
      </c>
      <c r="B252" s="39" t="s">
        <v>214</v>
      </c>
      <c r="C252" s="39">
        <v>28.0</v>
      </c>
      <c r="D252" s="39" t="s">
        <v>88</v>
      </c>
      <c r="E252" s="39" t="s">
        <v>1224</v>
      </c>
      <c r="F252" s="39"/>
      <c r="G252" s="39" t="s">
        <v>898</v>
      </c>
      <c r="H252" s="39"/>
      <c r="I252" s="39"/>
    </row>
    <row r="253">
      <c r="A253" s="39" t="s">
        <v>148</v>
      </c>
      <c r="B253" s="39" t="s">
        <v>214</v>
      </c>
      <c r="C253" s="39">
        <v>29.0</v>
      </c>
      <c r="D253" s="39" t="s">
        <v>88</v>
      </c>
      <c r="E253" s="39" t="s">
        <v>1225</v>
      </c>
      <c r="F253" s="39"/>
      <c r="G253" s="39" t="s">
        <v>901</v>
      </c>
      <c r="H253" s="39"/>
      <c r="I253" s="39"/>
    </row>
    <row r="254">
      <c r="A254" s="39" t="s">
        <v>148</v>
      </c>
      <c r="B254" s="39" t="s">
        <v>214</v>
      </c>
      <c r="C254" s="39">
        <v>30.0</v>
      </c>
      <c r="D254" s="39" t="s">
        <v>902</v>
      </c>
      <c r="E254" s="39" t="s">
        <v>1226</v>
      </c>
      <c r="F254" s="39"/>
      <c r="G254" s="56" t="s">
        <v>822</v>
      </c>
      <c r="H254" s="39"/>
      <c r="I254" s="39"/>
    </row>
    <row r="255">
      <c r="A255" s="39" t="s">
        <v>148</v>
      </c>
      <c r="B255" s="39" t="s">
        <v>214</v>
      </c>
      <c r="C255" s="39">
        <v>31.0</v>
      </c>
      <c r="D255" s="39" t="s">
        <v>902</v>
      </c>
      <c r="E255" s="39" t="s">
        <v>1227</v>
      </c>
      <c r="F255" s="39"/>
      <c r="G255" s="56" t="s">
        <v>822</v>
      </c>
      <c r="H255" s="39" t="s">
        <v>1228</v>
      </c>
      <c r="I255" s="39"/>
    </row>
    <row r="256">
      <c r="A256" s="39" t="s">
        <v>148</v>
      </c>
      <c r="B256" s="39" t="s">
        <v>214</v>
      </c>
      <c r="C256" s="39">
        <v>32.0</v>
      </c>
      <c r="D256" s="39" t="s">
        <v>902</v>
      </c>
      <c r="E256" s="39" t="s">
        <v>1229</v>
      </c>
      <c r="F256" s="39"/>
      <c r="G256" s="56" t="s">
        <v>822</v>
      </c>
      <c r="H256" s="39"/>
      <c r="I256" s="39"/>
    </row>
    <row r="257">
      <c r="A257" s="39" t="s">
        <v>148</v>
      </c>
      <c r="B257" s="39" t="s">
        <v>214</v>
      </c>
      <c r="C257" s="39">
        <v>33.0</v>
      </c>
      <c r="D257" s="39" t="s">
        <v>902</v>
      </c>
      <c r="E257" s="39" t="s">
        <v>1230</v>
      </c>
      <c r="F257" s="39"/>
      <c r="G257" s="56" t="s">
        <v>801</v>
      </c>
      <c r="H257" s="39"/>
      <c r="I257" s="39"/>
    </row>
    <row r="258">
      <c r="A258" s="39" t="s">
        <v>148</v>
      </c>
      <c r="B258" s="39" t="s">
        <v>214</v>
      </c>
      <c r="C258" s="39">
        <v>34.0</v>
      </c>
      <c r="D258" s="39" t="s">
        <v>902</v>
      </c>
      <c r="E258" s="39" t="s">
        <v>1231</v>
      </c>
      <c r="F258" s="39"/>
      <c r="G258" s="56" t="s">
        <v>822</v>
      </c>
      <c r="H258" s="39"/>
      <c r="I258" s="39"/>
    </row>
    <row r="259">
      <c r="A259" s="39" t="s">
        <v>148</v>
      </c>
      <c r="B259" s="39" t="s">
        <v>214</v>
      </c>
      <c r="C259" s="39">
        <v>35.0</v>
      </c>
      <c r="D259" s="39" t="s">
        <v>902</v>
      </c>
      <c r="E259" s="39" t="s">
        <v>1232</v>
      </c>
      <c r="F259" s="39"/>
      <c r="G259" s="56" t="s">
        <v>801</v>
      </c>
      <c r="H259" s="39"/>
      <c r="I259" s="39"/>
    </row>
    <row r="260">
      <c r="A260" s="39" t="s">
        <v>148</v>
      </c>
      <c r="B260" s="39" t="s">
        <v>214</v>
      </c>
      <c r="C260" s="39">
        <v>36.0</v>
      </c>
      <c r="D260" s="39" t="s">
        <v>902</v>
      </c>
      <c r="E260" s="39" t="s">
        <v>1233</v>
      </c>
      <c r="F260" s="39"/>
      <c r="G260" s="39" t="s">
        <v>809</v>
      </c>
      <c r="H260" s="39" t="s">
        <v>1038</v>
      </c>
      <c r="I260" s="39"/>
    </row>
    <row r="261">
      <c r="A261" s="39" t="s">
        <v>148</v>
      </c>
      <c r="B261" s="39" t="s">
        <v>214</v>
      </c>
      <c r="C261" s="39">
        <v>37.0</v>
      </c>
      <c r="D261" s="39" t="s">
        <v>902</v>
      </c>
      <c r="E261" s="39" t="s">
        <v>1234</v>
      </c>
      <c r="F261" s="39"/>
      <c r="G261" s="56" t="s">
        <v>825</v>
      </c>
      <c r="H261" s="39" t="s">
        <v>1038</v>
      </c>
      <c r="I261" s="39"/>
    </row>
    <row r="262">
      <c r="A262" s="39" t="s">
        <v>148</v>
      </c>
      <c r="B262" s="39" t="s">
        <v>214</v>
      </c>
      <c r="C262" s="39">
        <v>38.0</v>
      </c>
      <c r="D262" s="39" t="s">
        <v>902</v>
      </c>
      <c r="E262" s="39" t="s">
        <v>1235</v>
      </c>
      <c r="F262" s="39"/>
      <c r="G262" s="39" t="s">
        <v>809</v>
      </c>
      <c r="I262" s="39"/>
    </row>
    <row r="263">
      <c r="A263" s="39" t="s">
        <v>148</v>
      </c>
      <c r="B263" s="39" t="s">
        <v>214</v>
      </c>
      <c r="C263" s="39">
        <v>39.0</v>
      </c>
      <c r="D263" s="39" t="s">
        <v>902</v>
      </c>
      <c r="E263" s="39" t="s">
        <v>1236</v>
      </c>
      <c r="F263" s="39"/>
      <c r="G263" s="56" t="s">
        <v>825</v>
      </c>
      <c r="H263" s="39"/>
      <c r="I263" s="39"/>
    </row>
    <row r="264">
      <c r="A264" s="39" t="s">
        <v>148</v>
      </c>
      <c r="B264" s="39" t="s">
        <v>214</v>
      </c>
      <c r="C264" s="39">
        <v>40.0</v>
      </c>
      <c r="D264" s="39" t="s">
        <v>90</v>
      </c>
      <c r="E264" s="39" t="s">
        <v>1237</v>
      </c>
      <c r="F264" s="39"/>
      <c r="G264" s="39" t="s">
        <v>927</v>
      </c>
      <c r="H264" s="39"/>
      <c r="I264" s="39"/>
    </row>
    <row r="265">
      <c r="A265" s="39" t="s">
        <v>148</v>
      </c>
      <c r="B265" s="39" t="s">
        <v>214</v>
      </c>
      <c r="C265" s="39">
        <v>41.0</v>
      </c>
      <c r="D265" s="39" t="s">
        <v>90</v>
      </c>
      <c r="E265" s="39" t="s">
        <v>1238</v>
      </c>
      <c r="F265" s="39"/>
      <c r="G265" s="39" t="s">
        <v>924</v>
      </c>
      <c r="H265" s="39"/>
      <c r="I265" s="39"/>
    </row>
    <row r="266">
      <c r="A266" s="39" t="s">
        <v>148</v>
      </c>
      <c r="B266" s="39" t="s">
        <v>214</v>
      </c>
      <c r="C266" s="39">
        <v>42.0</v>
      </c>
      <c r="D266" s="39" t="s">
        <v>90</v>
      </c>
      <c r="E266" s="39" t="s">
        <v>1239</v>
      </c>
      <c r="F266" s="39"/>
      <c r="G266" s="39" t="s">
        <v>930</v>
      </c>
      <c r="H266" s="39"/>
      <c r="I266" s="39"/>
    </row>
    <row r="267">
      <c r="A267" s="39" t="s">
        <v>148</v>
      </c>
      <c r="B267" s="39" t="s">
        <v>214</v>
      </c>
      <c r="C267" s="39">
        <v>43.0</v>
      </c>
      <c r="D267" s="39" t="s">
        <v>90</v>
      </c>
      <c r="E267" s="39" t="s">
        <v>1240</v>
      </c>
      <c r="F267" s="39"/>
      <c r="G267" s="39" t="s">
        <v>939</v>
      </c>
      <c r="H267" s="39"/>
      <c r="I267" s="39"/>
    </row>
    <row r="268">
      <c r="A268" s="39" t="s">
        <v>148</v>
      </c>
      <c r="B268" s="39" t="s">
        <v>214</v>
      </c>
      <c r="C268" s="39">
        <v>44.0</v>
      </c>
      <c r="D268" s="39" t="s">
        <v>90</v>
      </c>
      <c r="E268" s="39" t="s">
        <v>1241</v>
      </c>
      <c r="F268" s="39"/>
      <c r="G268" s="56" t="s">
        <v>822</v>
      </c>
      <c r="H268" s="39"/>
      <c r="I268" s="39"/>
    </row>
    <row r="269">
      <c r="A269" s="39" t="s">
        <v>148</v>
      </c>
      <c r="B269" s="39" t="s">
        <v>214</v>
      </c>
      <c r="C269" s="39">
        <v>45.0</v>
      </c>
      <c r="D269" s="39" t="s">
        <v>90</v>
      </c>
      <c r="E269" s="39" t="s">
        <v>1242</v>
      </c>
      <c r="F269" s="39"/>
      <c r="G269" s="56" t="s">
        <v>836</v>
      </c>
      <c r="H269" s="39"/>
      <c r="I269" s="39"/>
    </row>
    <row r="270">
      <c r="A270" s="39" t="s">
        <v>148</v>
      </c>
      <c r="B270" s="39" t="s">
        <v>214</v>
      </c>
      <c r="C270" s="39">
        <v>46.0</v>
      </c>
      <c r="D270" s="39" t="s">
        <v>90</v>
      </c>
      <c r="E270" s="39" t="s">
        <v>1243</v>
      </c>
      <c r="F270" s="39"/>
      <c r="G270" s="56" t="s">
        <v>801</v>
      </c>
      <c r="H270" s="39"/>
      <c r="I270" s="39"/>
    </row>
    <row r="271">
      <c r="A271" s="39" t="s">
        <v>148</v>
      </c>
      <c r="B271" s="39" t="s">
        <v>214</v>
      </c>
      <c r="C271" s="39">
        <v>47.0</v>
      </c>
      <c r="D271" s="39" t="s">
        <v>92</v>
      </c>
      <c r="E271" s="39" t="s">
        <v>1244</v>
      </c>
      <c r="F271" s="39"/>
      <c r="G271" s="39" t="s">
        <v>950</v>
      </c>
      <c r="H271" s="39" t="s">
        <v>951</v>
      </c>
      <c r="I271" s="39"/>
    </row>
    <row r="272">
      <c r="A272" s="39" t="s">
        <v>148</v>
      </c>
      <c r="B272" s="39" t="s">
        <v>214</v>
      </c>
      <c r="C272" s="39">
        <v>48.0</v>
      </c>
      <c r="D272" s="39" t="s">
        <v>92</v>
      </c>
      <c r="E272" s="39" t="s">
        <v>1245</v>
      </c>
      <c r="F272" s="39"/>
      <c r="G272" s="39" t="s">
        <v>954</v>
      </c>
      <c r="H272" s="39"/>
      <c r="I272" s="39"/>
    </row>
    <row r="273">
      <c r="A273" s="39" t="s">
        <v>148</v>
      </c>
      <c r="B273" s="39" t="s">
        <v>214</v>
      </c>
      <c r="C273" s="39">
        <v>49.0</v>
      </c>
      <c r="D273" s="39" t="s">
        <v>92</v>
      </c>
      <c r="E273" s="39" t="s">
        <v>1246</v>
      </c>
      <c r="F273" s="39"/>
      <c r="G273" s="39" t="s">
        <v>1247</v>
      </c>
      <c r="H273" s="39" t="s">
        <v>1248</v>
      </c>
      <c r="I273" s="39"/>
    </row>
    <row r="274">
      <c r="A274" s="39" t="s">
        <v>148</v>
      </c>
      <c r="B274" s="39" t="s">
        <v>214</v>
      </c>
      <c r="C274" s="39">
        <v>50.0</v>
      </c>
      <c r="D274" s="39" t="s">
        <v>92</v>
      </c>
      <c r="E274" s="39" t="s">
        <v>1249</v>
      </c>
      <c r="F274" s="39"/>
      <c r="G274" s="39" t="s">
        <v>947</v>
      </c>
      <c r="H274" s="39"/>
      <c r="I274" s="39"/>
    </row>
    <row r="275">
      <c r="A275" s="39" t="s">
        <v>148</v>
      </c>
      <c r="B275" s="39" t="s">
        <v>214</v>
      </c>
      <c r="C275" s="39">
        <v>51.0</v>
      </c>
      <c r="D275" s="39" t="s">
        <v>91</v>
      </c>
      <c r="E275" s="39" t="s">
        <v>1250</v>
      </c>
      <c r="F275" s="39"/>
      <c r="G275" s="56" t="s">
        <v>836</v>
      </c>
      <c r="H275" s="39"/>
      <c r="I275" s="39"/>
    </row>
    <row r="276">
      <c r="A276" s="39" t="s">
        <v>148</v>
      </c>
      <c r="B276" s="39" t="s">
        <v>214</v>
      </c>
      <c r="C276" s="39">
        <v>52.0</v>
      </c>
      <c r="D276" s="39" t="s">
        <v>91</v>
      </c>
      <c r="E276" s="39" t="s">
        <v>1251</v>
      </c>
      <c r="F276" s="39"/>
      <c r="G276" s="56" t="s">
        <v>822</v>
      </c>
      <c r="H276" s="39"/>
      <c r="I276" s="39"/>
    </row>
    <row r="277">
      <c r="A277" s="39" t="s">
        <v>148</v>
      </c>
      <c r="B277" s="39" t="s">
        <v>214</v>
      </c>
      <c r="C277" s="39">
        <v>53.0</v>
      </c>
      <c r="D277" s="39" t="s">
        <v>91</v>
      </c>
      <c r="E277" s="39" t="s">
        <v>1252</v>
      </c>
      <c r="F277" s="39"/>
      <c r="G277" s="56" t="s">
        <v>806</v>
      </c>
      <c r="H277" s="39"/>
      <c r="I277" s="39"/>
    </row>
    <row r="278">
      <c r="A278" s="39" t="s">
        <v>148</v>
      </c>
      <c r="B278" s="39" t="s">
        <v>214</v>
      </c>
      <c r="C278" s="39">
        <v>54.0</v>
      </c>
      <c r="D278" s="39" t="s">
        <v>92</v>
      </c>
      <c r="E278" s="39" t="s">
        <v>1253</v>
      </c>
      <c r="F278" s="39"/>
      <c r="G278" s="39" t="s">
        <v>945</v>
      </c>
      <c r="H278" s="39"/>
      <c r="I278" s="39"/>
    </row>
    <row r="279">
      <c r="A279" s="39" t="s">
        <v>148</v>
      </c>
      <c r="B279" s="39" t="s">
        <v>214</v>
      </c>
      <c r="C279" s="39">
        <v>55.0</v>
      </c>
      <c r="D279" s="39" t="s">
        <v>839</v>
      </c>
      <c r="E279" s="39" t="s">
        <v>1254</v>
      </c>
      <c r="F279" s="39"/>
      <c r="G279" s="39" t="s">
        <v>971</v>
      </c>
      <c r="H279" s="39"/>
      <c r="I279" s="39"/>
    </row>
    <row r="280">
      <c r="A280" s="39" t="s">
        <v>148</v>
      </c>
      <c r="B280" s="39" t="s">
        <v>214</v>
      </c>
      <c r="C280" s="39">
        <v>56.0</v>
      </c>
      <c r="D280" s="39" t="s">
        <v>839</v>
      </c>
      <c r="E280" s="39" t="s">
        <v>1255</v>
      </c>
      <c r="F280" s="39"/>
      <c r="G280" s="39" t="s">
        <v>1066</v>
      </c>
      <c r="H280" s="39"/>
      <c r="I280" s="39"/>
    </row>
    <row r="281">
      <c r="A281" s="39" t="s">
        <v>148</v>
      </c>
      <c r="B281" s="39" t="s">
        <v>214</v>
      </c>
      <c r="C281" s="39">
        <v>57.0</v>
      </c>
      <c r="D281" s="39" t="s">
        <v>839</v>
      </c>
      <c r="E281" s="39" t="s">
        <v>1256</v>
      </c>
      <c r="F281" s="39"/>
      <c r="G281" s="39" t="s">
        <v>977</v>
      </c>
      <c r="H281" s="39"/>
      <c r="I281" s="39"/>
    </row>
    <row r="282">
      <c r="A282" s="39" t="s">
        <v>148</v>
      </c>
      <c r="B282" s="39" t="s">
        <v>214</v>
      </c>
      <c r="C282" s="39">
        <v>58.0</v>
      </c>
      <c r="D282" s="39" t="s">
        <v>839</v>
      </c>
      <c r="E282" s="39" t="s">
        <v>1257</v>
      </c>
      <c r="F282" s="39"/>
      <c r="G282" s="39" t="s">
        <v>975</v>
      </c>
      <c r="H282" s="39"/>
      <c r="I282" s="39"/>
    </row>
    <row r="283">
      <c r="A283" s="39" t="s">
        <v>148</v>
      </c>
      <c r="B283" s="39" t="s">
        <v>214</v>
      </c>
      <c r="C283" s="39">
        <v>60.0</v>
      </c>
      <c r="D283" s="39" t="s">
        <v>84</v>
      </c>
      <c r="E283" s="39" t="s">
        <v>1258</v>
      </c>
      <c r="F283" s="39"/>
      <c r="G283" s="39" t="s">
        <v>1259</v>
      </c>
      <c r="H283" s="39" t="s">
        <v>1260</v>
      </c>
      <c r="I283" s="39"/>
    </row>
    <row r="284">
      <c r="A284" s="39" t="s">
        <v>148</v>
      </c>
      <c r="B284" s="39" t="s">
        <v>214</v>
      </c>
      <c r="C284" s="39">
        <v>62.0</v>
      </c>
      <c r="D284" s="39" t="s">
        <v>81</v>
      </c>
      <c r="E284" s="39" t="s">
        <v>1261</v>
      </c>
      <c r="F284" s="39"/>
      <c r="G284" s="39" t="s">
        <v>797</v>
      </c>
      <c r="H284" s="39"/>
      <c r="I284" s="39"/>
    </row>
    <row r="285">
      <c r="A285" s="39" t="s">
        <v>148</v>
      </c>
      <c r="B285" s="39" t="s">
        <v>214</v>
      </c>
      <c r="C285" s="39">
        <v>64.0</v>
      </c>
      <c r="D285" s="39" t="s">
        <v>84</v>
      </c>
      <c r="E285" s="39" t="s">
        <v>1262</v>
      </c>
      <c r="F285" s="39"/>
      <c r="G285" s="39" t="s">
        <v>1263</v>
      </c>
      <c r="H285" s="39" t="s">
        <v>1264</v>
      </c>
      <c r="I285" s="39"/>
    </row>
    <row r="286">
      <c r="A286" s="39" t="s">
        <v>148</v>
      </c>
      <c r="B286" s="39" t="s">
        <v>214</v>
      </c>
      <c r="C286" s="39">
        <v>66.0</v>
      </c>
      <c r="D286" s="39" t="s">
        <v>875</v>
      </c>
      <c r="E286" s="39" t="s">
        <v>1265</v>
      </c>
      <c r="F286" s="39"/>
      <c r="G286" s="39" t="s">
        <v>1266</v>
      </c>
      <c r="H286" s="39"/>
      <c r="I286" s="39"/>
    </row>
    <row r="287">
      <c r="A287" s="39" t="s">
        <v>148</v>
      </c>
      <c r="B287" s="39" t="s">
        <v>214</v>
      </c>
      <c r="C287" s="39">
        <v>67.0</v>
      </c>
      <c r="D287" s="39" t="s">
        <v>875</v>
      </c>
      <c r="E287" s="39" t="s">
        <v>1267</v>
      </c>
      <c r="F287" s="39"/>
      <c r="G287" s="39" t="s">
        <v>1266</v>
      </c>
      <c r="H287" s="39"/>
      <c r="I287" s="39"/>
    </row>
    <row r="288">
      <c r="A288" s="39" t="s">
        <v>148</v>
      </c>
      <c r="B288" s="39" t="s">
        <v>214</v>
      </c>
      <c r="C288" s="39">
        <v>69.0</v>
      </c>
      <c r="D288" s="39" t="s">
        <v>84</v>
      </c>
      <c r="E288" s="39" t="s">
        <v>1268</v>
      </c>
      <c r="F288" s="39"/>
      <c r="G288" s="39" t="s">
        <v>1269</v>
      </c>
      <c r="H288" s="39"/>
      <c r="I288" s="39"/>
    </row>
    <row r="289">
      <c r="A289" s="39" t="s">
        <v>148</v>
      </c>
      <c r="B289" s="39" t="s">
        <v>214</v>
      </c>
      <c r="C289" s="39">
        <v>79.0</v>
      </c>
      <c r="D289" s="39" t="s">
        <v>92</v>
      </c>
      <c r="E289" s="39" t="s">
        <v>1270</v>
      </c>
      <c r="F289" s="39"/>
      <c r="G289" s="39" t="s">
        <v>960</v>
      </c>
      <c r="H289" s="39"/>
      <c r="I289" s="39"/>
    </row>
    <row r="290">
      <c r="A290" s="39" t="s">
        <v>148</v>
      </c>
      <c r="B290" s="39" t="s">
        <v>214</v>
      </c>
      <c r="C290" s="39">
        <v>80.0</v>
      </c>
      <c r="D290" s="39" t="s">
        <v>819</v>
      </c>
      <c r="E290" s="39" t="s">
        <v>1271</v>
      </c>
      <c r="F290" s="39"/>
      <c r="G290" s="56" t="s">
        <v>822</v>
      </c>
      <c r="H290" s="39"/>
      <c r="I290" s="39"/>
    </row>
    <row r="291">
      <c r="A291" s="39" t="s">
        <v>148</v>
      </c>
      <c r="B291" s="39" t="s">
        <v>214</v>
      </c>
      <c r="C291" s="39">
        <v>81.0</v>
      </c>
      <c r="D291" s="39" t="s">
        <v>819</v>
      </c>
      <c r="E291" s="39" t="s">
        <v>1272</v>
      </c>
      <c r="F291" s="39"/>
      <c r="G291" s="56" t="s">
        <v>825</v>
      </c>
      <c r="H291" s="39"/>
      <c r="I291" s="39"/>
    </row>
    <row r="292">
      <c r="A292" s="39" t="s">
        <v>148</v>
      </c>
      <c r="B292" s="39" t="s">
        <v>214</v>
      </c>
      <c r="C292" s="39">
        <v>82.0</v>
      </c>
      <c r="D292" s="39" t="s">
        <v>819</v>
      </c>
      <c r="E292" s="39" t="s">
        <v>1273</v>
      </c>
      <c r="F292" s="39"/>
      <c r="G292" s="56" t="s">
        <v>806</v>
      </c>
      <c r="H292" s="39"/>
      <c r="I292" s="39"/>
    </row>
    <row r="293">
      <c r="A293" s="39" t="s">
        <v>148</v>
      </c>
      <c r="B293" s="39" t="s">
        <v>214</v>
      </c>
      <c r="C293" s="39">
        <v>83.0</v>
      </c>
      <c r="D293" s="39" t="s">
        <v>819</v>
      </c>
      <c r="E293" s="39" t="s">
        <v>1274</v>
      </c>
      <c r="F293" s="39"/>
      <c r="G293" s="56" t="s">
        <v>806</v>
      </c>
      <c r="H293" s="39"/>
      <c r="I293" s="39"/>
    </row>
    <row r="294">
      <c r="A294" s="39" t="s">
        <v>148</v>
      </c>
      <c r="B294" s="39" t="s">
        <v>214</v>
      </c>
      <c r="C294" s="39">
        <v>84.0</v>
      </c>
      <c r="D294" s="39" t="s">
        <v>819</v>
      </c>
      <c r="E294" s="39" t="s">
        <v>1275</v>
      </c>
      <c r="F294" s="39"/>
      <c r="G294" s="56" t="s">
        <v>822</v>
      </c>
      <c r="H294" s="39"/>
      <c r="I294" s="39"/>
    </row>
    <row r="295">
      <c r="A295" s="39" t="s">
        <v>148</v>
      </c>
      <c r="B295" s="39" t="s">
        <v>214</v>
      </c>
      <c r="C295" s="39">
        <v>85.0</v>
      </c>
      <c r="D295" s="39" t="s">
        <v>819</v>
      </c>
      <c r="E295" s="39" t="s">
        <v>1276</v>
      </c>
      <c r="F295" s="39"/>
      <c r="G295" s="56" t="s">
        <v>806</v>
      </c>
      <c r="H295" s="39"/>
      <c r="I295" s="39"/>
    </row>
    <row r="296">
      <c r="A296" s="39" t="s">
        <v>148</v>
      </c>
      <c r="B296" s="39" t="s">
        <v>214</v>
      </c>
      <c r="C296" s="39">
        <v>86.0</v>
      </c>
      <c r="D296" s="39" t="s">
        <v>819</v>
      </c>
      <c r="E296" s="39" t="s">
        <v>1277</v>
      </c>
      <c r="F296" s="39"/>
      <c r="G296" s="56" t="s">
        <v>836</v>
      </c>
      <c r="H296" s="39"/>
      <c r="I296" s="39"/>
    </row>
    <row r="297">
      <c r="A297" s="39" t="s">
        <v>148</v>
      </c>
      <c r="B297" s="39" t="s">
        <v>214</v>
      </c>
      <c r="C297" s="39">
        <v>87.0</v>
      </c>
      <c r="D297" s="39" t="s">
        <v>819</v>
      </c>
      <c r="E297" s="39" t="s">
        <v>1278</v>
      </c>
      <c r="F297" s="39"/>
      <c r="G297" s="56" t="s">
        <v>836</v>
      </c>
      <c r="H297" s="39"/>
      <c r="I297" s="39"/>
    </row>
    <row r="298">
      <c r="A298" s="39" t="s">
        <v>148</v>
      </c>
      <c r="B298" s="39" t="s">
        <v>214</v>
      </c>
      <c r="C298" s="39">
        <v>88.0</v>
      </c>
      <c r="D298" s="39" t="s">
        <v>839</v>
      </c>
      <c r="E298" s="39" t="s">
        <v>1279</v>
      </c>
      <c r="F298" s="39"/>
      <c r="G298" s="39" t="s">
        <v>842</v>
      </c>
      <c r="H298" s="39"/>
      <c r="I298" s="39"/>
    </row>
    <row r="299">
      <c r="A299" s="39" t="s">
        <v>148</v>
      </c>
      <c r="B299" s="39" t="s">
        <v>214</v>
      </c>
      <c r="C299" s="39">
        <v>89.0</v>
      </c>
      <c r="D299" s="39" t="s">
        <v>839</v>
      </c>
      <c r="E299" s="39" t="s">
        <v>1280</v>
      </c>
      <c r="F299" s="39"/>
      <c r="G299" s="39" t="s">
        <v>845</v>
      </c>
      <c r="H299" s="39"/>
      <c r="I299" s="39"/>
    </row>
    <row r="300">
      <c r="A300" s="39" t="s">
        <v>148</v>
      </c>
      <c r="B300" s="39" t="s">
        <v>214</v>
      </c>
      <c r="C300" s="39">
        <v>90.0</v>
      </c>
      <c r="D300" s="39" t="s">
        <v>839</v>
      </c>
      <c r="E300" s="39" t="s">
        <v>1281</v>
      </c>
      <c r="F300" s="39"/>
      <c r="G300" s="39" t="s">
        <v>847</v>
      </c>
      <c r="H300" s="39"/>
      <c r="I300" s="39"/>
    </row>
    <row r="301">
      <c r="A301" s="39" t="s">
        <v>148</v>
      </c>
      <c r="B301" s="39" t="s">
        <v>214</v>
      </c>
      <c r="C301" s="39">
        <v>91.0</v>
      </c>
      <c r="D301" s="39" t="s">
        <v>839</v>
      </c>
      <c r="E301" s="39" t="s">
        <v>1282</v>
      </c>
      <c r="F301" s="39"/>
      <c r="G301" s="39" t="s">
        <v>850</v>
      </c>
      <c r="H301" s="39"/>
      <c r="I301" s="39"/>
    </row>
    <row r="302">
      <c r="A302" s="39" t="s">
        <v>148</v>
      </c>
      <c r="B302" s="39" t="s">
        <v>214</v>
      </c>
      <c r="C302" s="39">
        <v>92.0</v>
      </c>
      <c r="D302" s="39" t="s">
        <v>839</v>
      </c>
      <c r="E302" s="39" t="s">
        <v>1283</v>
      </c>
      <c r="F302" s="39"/>
      <c r="G302" s="39" t="s">
        <v>853</v>
      </c>
      <c r="H302" s="39"/>
      <c r="I302" s="39"/>
    </row>
    <row r="303">
      <c r="A303" s="39" t="s">
        <v>148</v>
      </c>
      <c r="B303" s="39" t="s">
        <v>214</v>
      </c>
      <c r="C303" s="39">
        <v>93.0</v>
      </c>
      <c r="D303" s="39" t="s">
        <v>839</v>
      </c>
      <c r="E303" s="39" t="s">
        <v>1284</v>
      </c>
      <c r="F303" s="39"/>
      <c r="G303" s="39" t="s">
        <v>856</v>
      </c>
      <c r="H303" s="39"/>
      <c r="I303" s="39"/>
    </row>
    <row r="304">
      <c r="A304" s="39" t="s">
        <v>232</v>
      </c>
      <c r="B304" s="39" t="s">
        <v>149</v>
      </c>
      <c r="C304" s="39">
        <v>2.0</v>
      </c>
      <c r="D304" s="39" t="s">
        <v>81</v>
      </c>
      <c r="E304" s="39" t="s">
        <v>1285</v>
      </c>
      <c r="F304" s="39"/>
      <c r="G304" s="39" t="s">
        <v>797</v>
      </c>
      <c r="H304" s="39"/>
      <c r="I304" s="39"/>
    </row>
    <row r="305">
      <c r="A305" s="39" t="s">
        <v>232</v>
      </c>
      <c r="B305" s="39" t="s">
        <v>149</v>
      </c>
      <c r="C305" s="39">
        <v>3.0</v>
      </c>
      <c r="D305" s="39" t="s">
        <v>798</v>
      </c>
      <c r="E305" s="39" t="s">
        <v>1286</v>
      </c>
      <c r="F305" s="39"/>
      <c r="G305" s="56" t="s">
        <v>801</v>
      </c>
      <c r="H305" s="39"/>
      <c r="I305" s="39"/>
    </row>
    <row r="306">
      <c r="A306" s="39" t="s">
        <v>232</v>
      </c>
      <c r="B306" s="39" t="s">
        <v>149</v>
      </c>
      <c r="C306" s="39">
        <v>4.0</v>
      </c>
      <c r="D306" s="39" t="s">
        <v>798</v>
      </c>
      <c r="E306" s="39" t="s">
        <v>1287</v>
      </c>
      <c r="F306" s="39"/>
      <c r="G306" s="56" t="s">
        <v>836</v>
      </c>
      <c r="H306" s="39"/>
      <c r="I306" s="39"/>
    </row>
    <row r="307">
      <c r="A307" s="39" t="s">
        <v>232</v>
      </c>
      <c r="B307" s="39" t="s">
        <v>149</v>
      </c>
      <c r="C307" s="39">
        <v>5.0</v>
      </c>
      <c r="D307" s="39" t="s">
        <v>798</v>
      </c>
      <c r="E307" s="39" t="s">
        <v>1288</v>
      </c>
      <c r="F307" s="39"/>
      <c r="G307" s="56" t="s">
        <v>806</v>
      </c>
      <c r="H307" s="39"/>
      <c r="I307" s="39"/>
    </row>
    <row r="308">
      <c r="A308" s="39" t="s">
        <v>232</v>
      </c>
      <c r="B308" s="39" t="s">
        <v>149</v>
      </c>
      <c r="C308" s="39">
        <v>6.0</v>
      </c>
      <c r="D308" s="39" t="s">
        <v>798</v>
      </c>
      <c r="E308" s="39" t="s">
        <v>1289</v>
      </c>
      <c r="F308" s="39"/>
      <c r="G308" s="56" t="s">
        <v>825</v>
      </c>
      <c r="H308" s="39"/>
      <c r="I308" s="39"/>
    </row>
    <row r="309">
      <c r="A309" s="39" t="s">
        <v>232</v>
      </c>
      <c r="B309" s="39" t="s">
        <v>149</v>
      </c>
      <c r="C309" s="39">
        <v>7.0</v>
      </c>
      <c r="D309" s="39" t="s">
        <v>84</v>
      </c>
      <c r="E309" s="39" t="s">
        <v>1290</v>
      </c>
      <c r="F309" s="39"/>
      <c r="G309" s="39" t="s">
        <v>1291</v>
      </c>
      <c r="H309" s="39"/>
      <c r="I309" s="39"/>
    </row>
    <row r="310">
      <c r="A310" s="39" t="s">
        <v>232</v>
      </c>
      <c r="B310" s="39" t="s">
        <v>149</v>
      </c>
      <c r="C310" s="39">
        <v>8.0</v>
      </c>
      <c r="D310" s="39" t="s">
        <v>84</v>
      </c>
      <c r="E310" s="39" t="s">
        <v>1292</v>
      </c>
      <c r="F310" s="39"/>
      <c r="G310" s="39" t="s">
        <v>1293</v>
      </c>
      <c r="H310" s="39"/>
      <c r="I310" s="39"/>
    </row>
    <row r="311">
      <c r="A311" s="39" t="s">
        <v>232</v>
      </c>
      <c r="B311" s="39" t="s">
        <v>149</v>
      </c>
      <c r="C311" s="39">
        <v>9.0</v>
      </c>
      <c r="D311" s="39" t="s">
        <v>819</v>
      </c>
      <c r="E311" s="39" t="s">
        <v>1294</v>
      </c>
      <c r="F311" s="39"/>
      <c r="G311" s="56" t="s">
        <v>822</v>
      </c>
      <c r="H311" s="39"/>
      <c r="I311" s="39"/>
    </row>
    <row r="312">
      <c r="A312" s="39" t="s">
        <v>232</v>
      </c>
      <c r="B312" s="39" t="s">
        <v>149</v>
      </c>
      <c r="C312" s="39">
        <v>10.0</v>
      </c>
      <c r="D312" s="39" t="s">
        <v>819</v>
      </c>
      <c r="E312" s="39" t="s">
        <v>1295</v>
      </c>
      <c r="F312" s="39"/>
      <c r="G312" s="56" t="s">
        <v>825</v>
      </c>
      <c r="H312" s="39"/>
      <c r="I312" s="39"/>
    </row>
    <row r="313">
      <c r="A313" s="39" t="s">
        <v>232</v>
      </c>
      <c r="B313" s="39" t="s">
        <v>149</v>
      </c>
      <c r="C313" s="39">
        <v>11.0</v>
      </c>
      <c r="D313" s="39" t="s">
        <v>819</v>
      </c>
      <c r="E313" s="39" t="s">
        <v>1296</v>
      </c>
      <c r="F313" s="39"/>
      <c r="G313" s="56" t="s">
        <v>806</v>
      </c>
      <c r="H313" s="39"/>
      <c r="I313" s="39"/>
    </row>
    <row r="314">
      <c r="A314" s="39" t="s">
        <v>232</v>
      </c>
      <c r="B314" s="39" t="s">
        <v>149</v>
      </c>
      <c r="C314" s="39">
        <v>12.0</v>
      </c>
      <c r="D314" s="39" t="s">
        <v>819</v>
      </c>
      <c r="E314" s="39" t="s">
        <v>1297</v>
      </c>
      <c r="F314" s="39"/>
      <c r="G314" s="56" t="s">
        <v>806</v>
      </c>
      <c r="H314" s="39"/>
      <c r="I314" s="39"/>
    </row>
    <row r="315">
      <c r="A315" s="39" t="s">
        <v>232</v>
      </c>
      <c r="B315" s="39" t="s">
        <v>149</v>
      </c>
      <c r="C315" s="39">
        <v>13.0</v>
      </c>
      <c r="D315" s="39" t="s">
        <v>819</v>
      </c>
      <c r="E315" s="39" t="s">
        <v>1298</v>
      </c>
      <c r="F315" s="39"/>
      <c r="G315" s="56" t="s">
        <v>822</v>
      </c>
      <c r="H315" s="39"/>
      <c r="I315" s="39"/>
    </row>
    <row r="316">
      <c r="A316" s="39" t="s">
        <v>232</v>
      </c>
      <c r="B316" s="39" t="s">
        <v>149</v>
      </c>
      <c r="C316" s="39">
        <v>14.0</v>
      </c>
      <c r="D316" s="39" t="s">
        <v>819</v>
      </c>
      <c r="E316" s="39" t="s">
        <v>1299</v>
      </c>
      <c r="F316" s="39"/>
      <c r="G316" s="56" t="s">
        <v>806</v>
      </c>
      <c r="H316" s="39"/>
      <c r="I316" s="39"/>
    </row>
    <row r="317">
      <c r="A317" s="39" t="s">
        <v>232</v>
      </c>
      <c r="B317" s="39" t="s">
        <v>149</v>
      </c>
      <c r="C317" s="39">
        <v>15.0</v>
      </c>
      <c r="D317" s="39" t="s">
        <v>819</v>
      </c>
      <c r="E317" s="39" t="s">
        <v>1300</v>
      </c>
      <c r="F317" s="39"/>
      <c r="G317" s="56" t="s">
        <v>836</v>
      </c>
      <c r="H317" s="39"/>
      <c r="I317" s="39"/>
    </row>
    <row r="318">
      <c r="A318" s="39" t="s">
        <v>232</v>
      </c>
      <c r="B318" s="39" t="s">
        <v>149</v>
      </c>
      <c r="C318" s="39">
        <v>16.0</v>
      </c>
      <c r="D318" s="39" t="s">
        <v>819</v>
      </c>
      <c r="E318" s="39" t="s">
        <v>1301</v>
      </c>
      <c r="F318" s="39"/>
      <c r="G318" s="56" t="s">
        <v>836</v>
      </c>
      <c r="H318" s="39"/>
      <c r="I318" s="39"/>
    </row>
    <row r="319">
      <c r="A319" s="39" t="s">
        <v>232</v>
      </c>
      <c r="B319" s="39" t="s">
        <v>149</v>
      </c>
      <c r="C319" s="39">
        <v>17.0</v>
      </c>
      <c r="D319" s="39" t="s">
        <v>839</v>
      </c>
      <c r="E319" s="39" t="s">
        <v>1302</v>
      </c>
      <c r="F319" s="39"/>
      <c r="G319" s="39" t="s">
        <v>845</v>
      </c>
      <c r="H319" s="39"/>
      <c r="I319" s="39"/>
    </row>
    <row r="320">
      <c r="A320" s="39" t="s">
        <v>232</v>
      </c>
      <c r="B320" s="39" t="s">
        <v>149</v>
      </c>
      <c r="C320" s="39">
        <v>18.0</v>
      </c>
      <c r="D320" s="39" t="s">
        <v>839</v>
      </c>
      <c r="E320" s="39" t="s">
        <v>1303</v>
      </c>
      <c r="F320" s="39"/>
      <c r="G320" s="39" t="s">
        <v>847</v>
      </c>
      <c r="H320" s="39"/>
      <c r="I320" s="39"/>
    </row>
    <row r="321">
      <c r="A321" s="39" t="s">
        <v>232</v>
      </c>
      <c r="B321" s="39" t="s">
        <v>149</v>
      </c>
      <c r="C321" s="39">
        <v>19.0</v>
      </c>
      <c r="D321" s="39" t="s">
        <v>839</v>
      </c>
      <c r="E321" s="39" t="s">
        <v>1304</v>
      </c>
      <c r="F321" s="39"/>
      <c r="G321" s="39" t="s">
        <v>853</v>
      </c>
      <c r="H321" s="39"/>
      <c r="I321" s="39"/>
    </row>
    <row r="322">
      <c r="A322" s="39" t="s">
        <v>232</v>
      </c>
      <c r="B322" s="39" t="s">
        <v>149</v>
      </c>
      <c r="C322" s="39">
        <v>20.0</v>
      </c>
      <c r="D322" s="39" t="s">
        <v>839</v>
      </c>
      <c r="E322" s="39" t="s">
        <v>1305</v>
      </c>
      <c r="F322" s="39"/>
      <c r="G322" s="39" t="s">
        <v>850</v>
      </c>
      <c r="H322" s="39"/>
      <c r="I322" s="39"/>
    </row>
    <row r="323">
      <c r="A323" s="39" t="s">
        <v>232</v>
      </c>
      <c r="B323" s="39" t="s">
        <v>149</v>
      </c>
      <c r="C323" s="39">
        <v>21.0</v>
      </c>
      <c r="D323" s="39" t="s">
        <v>839</v>
      </c>
      <c r="E323" s="39" t="s">
        <v>1306</v>
      </c>
      <c r="F323" s="39"/>
      <c r="G323" s="39" t="s">
        <v>856</v>
      </c>
      <c r="H323" s="39"/>
      <c r="I323" s="39"/>
    </row>
    <row r="324">
      <c r="A324" s="39" t="s">
        <v>232</v>
      </c>
      <c r="B324" s="39" t="s">
        <v>149</v>
      </c>
      <c r="C324" s="39">
        <v>22.0</v>
      </c>
      <c r="D324" s="39" t="s">
        <v>839</v>
      </c>
      <c r="E324" s="39" t="s">
        <v>1307</v>
      </c>
      <c r="F324" s="39"/>
      <c r="G324" s="39" t="s">
        <v>989</v>
      </c>
      <c r="H324" s="39"/>
      <c r="I324" s="39"/>
    </row>
    <row r="325">
      <c r="A325" s="39" t="s">
        <v>232</v>
      </c>
      <c r="B325" s="39" t="s">
        <v>149</v>
      </c>
      <c r="C325" s="39">
        <v>23.0</v>
      </c>
      <c r="D325" s="39" t="s">
        <v>839</v>
      </c>
      <c r="E325" s="39" t="s">
        <v>1308</v>
      </c>
      <c r="F325" s="39"/>
      <c r="G325" s="39" t="s">
        <v>991</v>
      </c>
      <c r="H325" s="39"/>
      <c r="I325" s="39"/>
    </row>
    <row r="326">
      <c r="A326" s="39" t="s">
        <v>232</v>
      </c>
      <c r="B326" s="39" t="s">
        <v>149</v>
      </c>
      <c r="C326" s="39">
        <v>24.0</v>
      </c>
      <c r="D326" s="39" t="s">
        <v>839</v>
      </c>
      <c r="E326" s="39" t="s">
        <v>1309</v>
      </c>
      <c r="F326" s="39"/>
      <c r="G326" s="39" t="s">
        <v>995</v>
      </c>
      <c r="H326" s="39"/>
      <c r="I326" s="39"/>
    </row>
    <row r="327">
      <c r="A327" s="39" t="s">
        <v>232</v>
      </c>
      <c r="B327" s="39" t="s">
        <v>149</v>
      </c>
      <c r="C327" s="39">
        <v>25.0</v>
      </c>
      <c r="D327" s="39" t="s">
        <v>87</v>
      </c>
      <c r="E327" s="39" t="s">
        <v>1310</v>
      </c>
      <c r="F327" s="39"/>
      <c r="G327" s="39" t="s">
        <v>1311</v>
      </c>
      <c r="H327" s="39"/>
      <c r="I327" s="39"/>
    </row>
    <row r="328">
      <c r="A328" s="39" t="s">
        <v>232</v>
      </c>
      <c r="B328" s="39" t="s">
        <v>149</v>
      </c>
      <c r="C328" s="39">
        <v>26.0</v>
      </c>
      <c r="D328" s="39" t="s">
        <v>87</v>
      </c>
      <c r="E328" s="39" t="s">
        <v>1312</v>
      </c>
      <c r="F328" s="39"/>
      <c r="G328" s="39" t="s">
        <v>1313</v>
      </c>
      <c r="H328" s="39"/>
      <c r="I328" s="39"/>
    </row>
    <row r="329">
      <c r="A329" s="39" t="s">
        <v>232</v>
      </c>
      <c r="B329" s="39" t="s">
        <v>149</v>
      </c>
      <c r="C329" s="39">
        <v>27.0</v>
      </c>
      <c r="D329" s="39" t="s">
        <v>87</v>
      </c>
      <c r="E329" s="39" t="s">
        <v>1314</v>
      </c>
      <c r="F329" s="39"/>
      <c r="G329" s="39" t="s">
        <v>1315</v>
      </c>
      <c r="H329" s="39"/>
      <c r="I329" s="39"/>
    </row>
    <row r="330">
      <c r="A330" s="39" t="s">
        <v>232</v>
      </c>
      <c r="B330" s="39" t="s">
        <v>149</v>
      </c>
      <c r="C330" s="39">
        <v>28.0</v>
      </c>
      <c r="D330" s="39" t="s">
        <v>87</v>
      </c>
      <c r="E330" s="39" t="s">
        <v>1316</v>
      </c>
      <c r="F330" s="39"/>
      <c r="G330" s="39" t="s">
        <v>1317</v>
      </c>
      <c r="I330" s="39"/>
    </row>
    <row r="331">
      <c r="A331" s="39" t="s">
        <v>232</v>
      </c>
      <c r="B331" s="39" t="s">
        <v>149</v>
      </c>
      <c r="C331" s="39">
        <v>29.0</v>
      </c>
      <c r="D331" s="39" t="s">
        <v>87</v>
      </c>
      <c r="E331" s="39" t="s">
        <v>1318</v>
      </c>
      <c r="F331" s="39"/>
      <c r="G331" s="39" t="s">
        <v>1319</v>
      </c>
      <c r="I331" s="39"/>
    </row>
    <row r="332">
      <c r="A332" s="39" t="s">
        <v>232</v>
      </c>
      <c r="B332" s="39" t="s">
        <v>149</v>
      </c>
      <c r="C332" s="39">
        <v>30.0</v>
      </c>
      <c r="D332" s="39" t="s">
        <v>839</v>
      </c>
      <c r="E332" s="39" t="s">
        <v>1320</v>
      </c>
      <c r="F332" s="39"/>
      <c r="G332" s="39" t="s">
        <v>874</v>
      </c>
      <c r="H332" s="39"/>
      <c r="I332" s="39"/>
    </row>
    <row r="333">
      <c r="A333" s="39" t="s">
        <v>232</v>
      </c>
      <c r="B333" s="39" t="s">
        <v>149</v>
      </c>
      <c r="C333" s="39">
        <v>31.0</v>
      </c>
      <c r="D333" s="39" t="s">
        <v>839</v>
      </c>
      <c r="E333" s="39" t="s">
        <v>1321</v>
      </c>
      <c r="F333" s="39"/>
      <c r="G333" s="39" t="s">
        <v>880</v>
      </c>
      <c r="H333" s="39"/>
      <c r="I333" s="39"/>
    </row>
    <row r="334">
      <c r="A334" s="39" t="s">
        <v>232</v>
      </c>
      <c r="B334" s="39" t="s">
        <v>149</v>
      </c>
      <c r="C334" s="39">
        <v>32.0</v>
      </c>
      <c r="D334" s="39" t="s">
        <v>875</v>
      </c>
      <c r="E334" s="39" t="s">
        <v>1322</v>
      </c>
      <c r="F334" s="39"/>
      <c r="G334" s="39" t="s">
        <v>877</v>
      </c>
      <c r="H334" s="39"/>
      <c r="I334" s="39"/>
    </row>
    <row r="335">
      <c r="A335" s="39" t="s">
        <v>232</v>
      </c>
      <c r="B335" s="39" t="s">
        <v>149</v>
      </c>
      <c r="C335" s="39">
        <v>33.0</v>
      </c>
      <c r="D335" s="39" t="s">
        <v>875</v>
      </c>
      <c r="E335" s="39" t="s">
        <v>1323</v>
      </c>
      <c r="F335" s="39"/>
      <c r="G335" s="39" t="s">
        <v>877</v>
      </c>
      <c r="H335" s="39"/>
      <c r="I335" s="39"/>
    </row>
    <row r="336">
      <c r="A336" s="39" t="s">
        <v>232</v>
      </c>
      <c r="B336" s="39" t="s">
        <v>149</v>
      </c>
      <c r="C336" s="39">
        <v>34.0</v>
      </c>
      <c r="D336" s="39" t="s">
        <v>875</v>
      </c>
      <c r="E336" s="39" t="s">
        <v>1324</v>
      </c>
      <c r="F336" s="39"/>
      <c r="G336" s="39" t="s">
        <v>877</v>
      </c>
      <c r="H336" s="39"/>
      <c r="I336" s="39"/>
    </row>
    <row r="337">
      <c r="A337" s="39" t="s">
        <v>232</v>
      </c>
      <c r="B337" s="39" t="s">
        <v>149</v>
      </c>
      <c r="C337" s="39">
        <v>35.0</v>
      </c>
      <c r="D337" s="39" t="s">
        <v>875</v>
      </c>
      <c r="E337" s="39" t="s">
        <v>1325</v>
      </c>
      <c r="F337" s="39"/>
      <c r="G337" s="39" t="s">
        <v>883</v>
      </c>
      <c r="H337" s="39"/>
      <c r="I337" s="39"/>
    </row>
    <row r="338">
      <c r="A338" s="39" t="s">
        <v>232</v>
      </c>
      <c r="B338" s="39" t="s">
        <v>149</v>
      </c>
      <c r="C338" s="39">
        <v>36.0</v>
      </c>
      <c r="D338" s="39" t="s">
        <v>875</v>
      </c>
      <c r="E338" s="39" t="s">
        <v>1326</v>
      </c>
      <c r="F338" s="39"/>
      <c r="G338" s="39" t="s">
        <v>883</v>
      </c>
      <c r="H338" s="39"/>
      <c r="I338" s="39"/>
    </row>
    <row r="339">
      <c r="A339" s="39" t="s">
        <v>232</v>
      </c>
      <c r="B339" s="39" t="s">
        <v>149</v>
      </c>
      <c r="C339" s="39">
        <v>37.0</v>
      </c>
      <c r="D339" s="39" t="s">
        <v>88</v>
      </c>
      <c r="E339" s="39" t="s">
        <v>1327</v>
      </c>
      <c r="F339" s="39"/>
      <c r="G339" s="39" t="s">
        <v>901</v>
      </c>
      <c r="H339" s="39"/>
      <c r="I339" s="39"/>
    </row>
    <row r="340">
      <c r="A340" s="39" t="s">
        <v>232</v>
      </c>
      <c r="B340" s="39" t="s">
        <v>149</v>
      </c>
      <c r="C340" s="39">
        <v>38.0</v>
      </c>
      <c r="D340" s="39" t="s">
        <v>88</v>
      </c>
      <c r="E340" s="39" t="s">
        <v>1328</v>
      </c>
      <c r="F340" s="39"/>
      <c r="G340" s="39" t="s">
        <v>898</v>
      </c>
      <c r="H340" s="39"/>
      <c r="I340" s="39"/>
    </row>
    <row r="341">
      <c r="A341" s="39" t="s">
        <v>232</v>
      </c>
      <c r="B341" s="39" t="s">
        <v>149</v>
      </c>
      <c r="C341" s="39">
        <v>39.0</v>
      </c>
      <c r="D341" s="39" t="s">
        <v>88</v>
      </c>
      <c r="E341" s="39" t="s">
        <v>1329</v>
      </c>
      <c r="F341" s="39"/>
      <c r="G341" s="39" t="s">
        <v>898</v>
      </c>
      <c r="H341" s="39"/>
      <c r="I341" s="39"/>
    </row>
    <row r="342">
      <c r="A342" s="39" t="s">
        <v>232</v>
      </c>
      <c r="B342" s="39" t="s">
        <v>149</v>
      </c>
      <c r="C342" s="39">
        <v>40.0</v>
      </c>
      <c r="D342" s="39" t="s">
        <v>88</v>
      </c>
      <c r="E342" s="39" t="s">
        <v>1330</v>
      </c>
      <c r="F342" s="39"/>
      <c r="G342" s="39" t="s">
        <v>895</v>
      </c>
      <c r="H342" s="39"/>
      <c r="I342" s="39"/>
    </row>
    <row r="343">
      <c r="A343" s="39" t="s">
        <v>232</v>
      </c>
      <c r="B343" s="39" t="s">
        <v>149</v>
      </c>
      <c r="C343" s="39">
        <v>41.0</v>
      </c>
      <c r="D343" s="39" t="s">
        <v>88</v>
      </c>
      <c r="E343" s="39" t="s">
        <v>1331</v>
      </c>
      <c r="F343" s="39"/>
      <c r="G343" s="39" t="s">
        <v>895</v>
      </c>
      <c r="H343" s="39"/>
      <c r="I343" s="39"/>
    </row>
    <row r="344">
      <c r="A344" s="39" t="s">
        <v>232</v>
      </c>
      <c r="B344" s="39" t="s">
        <v>149</v>
      </c>
      <c r="C344" s="39">
        <v>42.0</v>
      </c>
      <c r="D344" s="39" t="s">
        <v>902</v>
      </c>
      <c r="E344" s="39" t="s">
        <v>1332</v>
      </c>
      <c r="F344" s="39"/>
      <c r="G344" s="56" t="s">
        <v>822</v>
      </c>
      <c r="H344" s="39"/>
      <c r="I344" s="39"/>
    </row>
    <row r="345">
      <c r="A345" s="39" t="s">
        <v>232</v>
      </c>
      <c r="B345" s="39" t="s">
        <v>149</v>
      </c>
      <c r="C345" s="39">
        <v>43.0</v>
      </c>
      <c r="D345" s="39" t="s">
        <v>902</v>
      </c>
      <c r="E345" s="39" t="s">
        <v>1333</v>
      </c>
      <c r="F345" s="39"/>
      <c r="G345" s="56" t="s">
        <v>801</v>
      </c>
      <c r="H345" s="39"/>
      <c r="I345" s="39"/>
    </row>
    <row r="346">
      <c r="A346" s="39" t="s">
        <v>232</v>
      </c>
      <c r="B346" s="39" t="s">
        <v>149</v>
      </c>
      <c r="C346" s="39">
        <v>44.0</v>
      </c>
      <c r="D346" s="39" t="s">
        <v>902</v>
      </c>
      <c r="E346" s="39" t="s">
        <v>1334</v>
      </c>
      <c r="F346" s="39"/>
      <c r="G346" s="39" t="s">
        <v>809</v>
      </c>
      <c r="H346" s="39"/>
      <c r="I346" s="39"/>
    </row>
    <row r="347">
      <c r="A347" s="39" t="s">
        <v>232</v>
      </c>
      <c r="B347" s="39" t="s">
        <v>149</v>
      </c>
      <c r="C347" s="39">
        <v>45.0</v>
      </c>
      <c r="D347" s="39" t="s">
        <v>902</v>
      </c>
      <c r="E347" s="39" t="s">
        <v>1335</v>
      </c>
      <c r="F347" s="39"/>
      <c r="G347" s="56" t="s">
        <v>825</v>
      </c>
      <c r="H347" s="39" t="s">
        <v>1038</v>
      </c>
      <c r="I347" s="39"/>
    </row>
    <row r="348">
      <c r="A348" s="39" t="s">
        <v>232</v>
      </c>
      <c r="B348" s="39" t="s">
        <v>149</v>
      </c>
      <c r="C348" s="39">
        <v>46.0</v>
      </c>
      <c r="D348" s="39" t="s">
        <v>902</v>
      </c>
      <c r="E348" s="39" t="s">
        <v>1336</v>
      </c>
      <c r="F348" s="39"/>
      <c r="G348" s="56" t="s">
        <v>822</v>
      </c>
      <c r="H348" s="39"/>
      <c r="I348" s="39"/>
    </row>
    <row r="349">
      <c r="A349" s="39" t="s">
        <v>232</v>
      </c>
      <c r="B349" s="39" t="s">
        <v>149</v>
      </c>
      <c r="C349" s="39">
        <v>47.0</v>
      </c>
      <c r="D349" s="39" t="s">
        <v>902</v>
      </c>
      <c r="E349" s="39" t="s">
        <v>1337</v>
      </c>
      <c r="F349" s="39"/>
      <c r="G349" s="56" t="s">
        <v>801</v>
      </c>
      <c r="H349" s="39" t="s">
        <v>1038</v>
      </c>
      <c r="I349" s="39"/>
    </row>
    <row r="350">
      <c r="A350" s="39" t="s">
        <v>232</v>
      </c>
      <c r="B350" s="39" t="s">
        <v>149</v>
      </c>
      <c r="C350" s="39">
        <v>48.0</v>
      </c>
      <c r="D350" s="39" t="s">
        <v>90</v>
      </c>
      <c r="E350" s="39" t="s">
        <v>1338</v>
      </c>
      <c r="F350" s="39"/>
      <c r="G350" s="39" t="s">
        <v>927</v>
      </c>
      <c r="H350" s="39"/>
      <c r="I350" s="39"/>
    </row>
    <row r="351">
      <c r="A351" s="39" t="s">
        <v>232</v>
      </c>
      <c r="B351" s="39" t="s">
        <v>149</v>
      </c>
      <c r="C351" s="39">
        <v>49.0</v>
      </c>
      <c r="D351" s="39" t="s">
        <v>90</v>
      </c>
      <c r="E351" s="39" t="s">
        <v>1339</v>
      </c>
      <c r="F351" s="39"/>
      <c r="G351" s="39" t="s">
        <v>924</v>
      </c>
      <c r="H351" s="39"/>
      <c r="I351" s="39"/>
    </row>
    <row r="352">
      <c r="A352" s="39" t="s">
        <v>232</v>
      </c>
      <c r="B352" s="39" t="s">
        <v>149</v>
      </c>
      <c r="C352" s="39">
        <v>50.0</v>
      </c>
      <c r="D352" s="39" t="s">
        <v>90</v>
      </c>
      <c r="E352" s="39" t="s">
        <v>1340</v>
      </c>
      <c r="F352" s="39"/>
      <c r="G352" s="39" t="s">
        <v>930</v>
      </c>
      <c r="H352" s="39"/>
      <c r="I352" s="39"/>
    </row>
    <row r="353">
      <c r="A353" s="39" t="s">
        <v>232</v>
      </c>
      <c r="B353" s="39" t="s">
        <v>149</v>
      </c>
      <c r="C353" s="39">
        <v>51.0</v>
      </c>
      <c r="D353" s="39" t="s">
        <v>90</v>
      </c>
      <c r="E353" s="39" t="s">
        <v>1341</v>
      </c>
      <c r="F353" s="39"/>
      <c r="G353" s="39" t="s">
        <v>939</v>
      </c>
      <c r="H353" s="39"/>
      <c r="I353" s="39"/>
    </row>
    <row r="354">
      <c r="A354" s="39" t="s">
        <v>232</v>
      </c>
      <c r="B354" s="39" t="s">
        <v>149</v>
      </c>
      <c r="C354" s="39">
        <v>52.0</v>
      </c>
      <c r="D354" s="39" t="s">
        <v>90</v>
      </c>
      <c r="E354" s="39" t="s">
        <v>1342</v>
      </c>
      <c r="F354" s="39"/>
      <c r="G354" s="56" t="s">
        <v>822</v>
      </c>
      <c r="H354" s="39"/>
      <c r="I354" s="39"/>
    </row>
    <row r="355">
      <c r="A355" s="39" t="s">
        <v>232</v>
      </c>
      <c r="B355" s="39" t="s">
        <v>149</v>
      </c>
      <c r="C355" s="39">
        <v>53.0</v>
      </c>
      <c r="D355" s="39" t="s">
        <v>90</v>
      </c>
      <c r="E355" s="39" t="s">
        <v>1343</v>
      </c>
      <c r="F355" s="39"/>
      <c r="G355" s="56" t="s">
        <v>825</v>
      </c>
      <c r="H355" s="39"/>
      <c r="I355" s="39"/>
    </row>
    <row r="356">
      <c r="A356" s="39" t="s">
        <v>232</v>
      </c>
      <c r="B356" s="39" t="s">
        <v>149</v>
      </c>
      <c r="C356" s="39">
        <v>54.0</v>
      </c>
      <c r="D356" s="39" t="s">
        <v>90</v>
      </c>
      <c r="E356" s="39" t="s">
        <v>1344</v>
      </c>
      <c r="F356" s="39"/>
      <c r="G356" s="56" t="s">
        <v>801</v>
      </c>
      <c r="H356" s="39"/>
      <c r="I356" s="39"/>
    </row>
    <row r="357">
      <c r="A357" s="39" t="s">
        <v>232</v>
      </c>
      <c r="B357" s="39" t="s">
        <v>149</v>
      </c>
      <c r="C357" s="39">
        <v>55.0</v>
      </c>
      <c r="D357" s="39" t="s">
        <v>92</v>
      </c>
      <c r="E357" s="39" t="s">
        <v>1345</v>
      </c>
      <c r="F357" s="39"/>
      <c r="G357" s="39" t="s">
        <v>954</v>
      </c>
      <c r="H357" s="39"/>
      <c r="I357" s="39"/>
    </row>
    <row r="358">
      <c r="A358" s="39" t="s">
        <v>232</v>
      </c>
      <c r="B358" s="39" t="s">
        <v>149</v>
      </c>
      <c r="C358" s="39">
        <v>56.0</v>
      </c>
      <c r="D358" s="39" t="s">
        <v>92</v>
      </c>
      <c r="E358" s="39" t="s">
        <v>1346</v>
      </c>
      <c r="F358" s="39"/>
      <c r="G358" s="39" t="s">
        <v>1347</v>
      </c>
      <c r="H358" s="39" t="s">
        <v>1348</v>
      </c>
      <c r="I358" s="39"/>
    </row>
    <row r="359">
      <c r="A359" s="39" t="s">
        <v>232</v>
      </c>
      <c r="B359" s="39" t="s">
        <v>149</v>
      </c>
      <c r="C359" s="39">
        <v>57.0</v>
      </c>
      <c r="D359" s="39" t="s">
        <v>92</v>
      </c>
      <c r="E359" s="39" t="s">
        <v>1349</v>
      </c>
      <c r="F359" s="39"/>
      <c r="G359" s="39" t="s">
        <v>1350</v>
      </c>
      <c r="H359" s="39" t="s">
        <v>1351</v>
      </c>
      <c r="I359" s="39"/>
    </row>
    <row r="360">
      <c r="A360" s="39" t="s">
        <v>232</v>
      </c>
      <c r="B360" s="39" t="s">
        <v>149</v>
      </c>
      <c r="C360" s="39">
        <v>58.0</v>
      </c>
      <c r="D360" s="39" t="s">
        <v>92</v>
      </c>
      <c r="E360" s="39" t="s">
        <v>1352</v>
      </c>
      <c r="F360" s="39"/>
      <c r="G360" s="39" t="s">
        <v>945</v>
      </c>
      <c r="H360" s="39"/>
      <c r="I360" s="39"/>
    </row>
    <row r="361">
      <c r="A361" s="39" t="s">
        <v>232</v>
      </c>
      <c r="B361" s="39" t="s">
        <v>149</v>
      </c>
      <c r="C361" s="39">
        <v>59.0</v>
      </c>
      <c r="D361" s="39" t="s">
        <v>92</v>
      </c>
      <c r="E361" s="39" t="s">
        <v>1353</v>
      </c>
      <c r="F361" s="39"/>
      <c r="G361" s="39" t="s">
        <v>947</v>
      </c>
      <c r="H361" s="39"/>
      <c r="I361" s="39"/>
    </row>
    <row r="362">
      <c r="A362" s="39" t="s">
        <v>232</v>
      </c>
      <c r="B362" s="39" t="s">
        <v>149</v>
      </c>
      <c r="C362" s="39">
        <v>60.0</v>
      </c>
      <c r="D362" s="39" t="s">
        <v>92</v>
      </c>
      <c r="E362" s="39" t="s">
        <v>1354</v>
      </c>
      <c r="F362" s="39"/>
      <c r="G362" s="39" t="s">
        <v>1355</v>
      </c>
      <c r="H362" s="39" t="s">
        <v>1356</v>
      </c>
      <c r="I362" s="39"/>
    </row>
    <row r="363">
      <c r="A363" s="39" t="s">
        <v>232</v>
      </c>
      <c r="B363" s="39" t="s">
        <v>149</v>
      </c>
      <c r="C363" s="39">
        <v>61.0</v>
      </c>
      <c r="D363" s="39" t="s">
        <v>91</v>
      </c>
      <c r="E363" s="39" t="s">
        <v>1357</v>
      </c>
      <c r="F363" s="39"/>
      <c r="G363" s="56" t="s">
        <v>822</v>
      </c>
      <c r="H363" s="39"/>
      <c r="I363" s="39"/>
    </row>
    <row r="364">
      <c r="A364" s="39" t="s">
        <v>232</v>
      </c>
      <c r="B364" s="39" t="s">
        <v>149</v>
      </c>
      <c r="C364" s="39">
        <v>62.0</v>
      </c>
      <c r="D364" s="39" t="s">
        <v>91</v>
      </c>
      <c r="E364" s="39" t="s">
        <v>1358</v>
      </c>
      <c r="F364" s="39"/>
      <c r="G364" s="56" t="s">
        <v>836</v>
      </c>
      <c r="H364" s="39"/>
      <c r="I364" s="39"/>
    </row>
    <row r="365">
      <c r="A365" s="39" t="s">
        <v>232</v>
      </c>
      <c r="B365" s="39" t="s">
        <v>149</v>
      </c>
      <c r="C365" s="39">
        <v>63.0</v>
      </c>
      <c r="D365" s="39" t="s">
        <v>91</v>
      </c>
      <c r="E365" s="39" t="s">
        <v>1359</v>
      </c>
      <c r="F365" s="39"/>
      <c r="G365" s="56" t="s">
        <v>806</v>
      </c>
      <c r="H365" s="39"/>
      <c r="I365" s="39"/>
    </row>
    <row r="366">
      <c r="A366" s="39" t="s">
        <v>232</v>
      </c>
      <c r="B366" s="39" t="s">
        <v>149</v>
      </c>
      <c r="C366" s="39">
        <v>64.0</v>
      </c>
      <c r="D366" s="39" t="s">
        <v>839</v>
      </c>
      <c r="E366" s="39" t="s">
        <v>1360</v>
      </c>
      <c r="F366" s="39"/>
      <c r="G366" s="39" t="str">
        <f>IFERROR(__xludf.DUMMYFUNCTION("IFS(REGEXMATCH(E366, ""ammo_ar""), ""Daedalus AR Ammo"", REGEXMATCH(E366, ""ammo_ps""), ""Daedalus Pistol Ammo"", REGEXMATCH(E366, ""ammo_sg""), ""Daedalus Shotgun Ammo"", REGEXMATCH(E366, ""ammo_sm""), ""Daedalus SMG Ammo"", REGEXMATCH(E366, ""ammo_sr"")"&amp;", ""Daedalus SR Ammo"")"),"Daedalus SMG Ammo")</f>
        <v>Daedalus SMG Ammo</v>
      </c>
      <c r="H366" s="39"/>
      <c r="I366" s="39"/>
    </row>
    <row r="367">
      <c r="A367" s="39" t="s">
        <v>232</v>
      </c>
      <c r="B367" s="39" t="s">
        <v>149</v>
      </c>
      <c r="C367" s="39">
        <v>65.0</v>
      </c>
      <c r="D367" s="39" t="s">
        <v>839</v>
      </c>
      <c r="E367" s="39" t="s">
        <v>1361</v>
      </c>
      <c r="F367" s="39"/>
      <c r="G367" s="39" t="str">
        <f>IFERROR(__xludf.DUMMYFUNCTION("IFS(REGEXMATCH(E367, ""ammo_ar""), ""Daedalus AR Ammo"", REGEXMATCH(E367, ""ammo_ps""), ""Daedalus Pistol Ammo"", REGEXMATCH(E367, ""ammo_sg""), ""Daedalus Shotgun Ammo"", REGEXMATCH(E367, ""ammo_sm""), ""Daedalus SMG Ammo"", REGEXMATCH(E367, ""ammo_sr"")"&amp;", ""Daedalus SR Ammo"")"),"Daedalus Shotgun Ammo")</f>
        <v>Daedalus Shotgun Ammo</v>
      </c>
      <c r="H367" s="39"/>
      <c r="I367" s="39"/>
    </row>
    <row r="368">
      <c r="A368" s="39" t="s">
        <v>232</v>
      </c>
      <c r="B368" s="39" t="s">
        <v>149</v>
      </c>
      <c r="C368" s="39">
        <v>66.0</v>
      </c>
      <c r="D368" s="39" t="s">
        <v>839</v>
      </c>
      <c r="E368" s="39" t="s">
        <v>1362</v>
      </c>
      <c r="F368" s="39"/>
      <c r="G368" s="39" t="str">
        <f>IFERROR(__xludf.DUMMYFUNCTION("IFS(REGEXMATCH(E368, ""ammo_ar""), ""Daedalus AR Ammo"", REGEXMATCH(E368, ""ammo_ps""), ""Daedalus Pistol Ammo"", REGEXMATCH(E368, ""ammo_sg""), ""Daedalus Shotgun Ammo"", REGEXMATCH(E368, ""ammo_sm""), ""Daedalus SMG Ammo"", REGEXMATCH(E368, ""ammo_sr"")"&amp;", ""Daedalus SR Ammo"")"),"Daedalus SR Ammo")</f>
        <v>Daedalus SR Ammo</v>
      </c>
      <c r="H368" s="39"/>
      <c r="I368" s="39"/>
    </row>
    <row r="369">
      <c r="A369" s="39" t="s">
        <v>232</v>
      </c>
      <c r="B369" s="39" t="s">
        <v>149</v>
      </c>
      <c r="C369" s="39">
        <v>67.0</v>
      </c>
      <c r="D369" s="39" t="s">
        <v>839</v>
      </c>
      <c r="E369" s="39" t="s">
        <v>1363</v>
      </c>
      <c r="F369" s="39"/>
      <c r="G369" s="39" t="str">
        <f>IFERROR(__xludf.DUMMYFUNCTION("IFS(REGEXMATCH(E369, ""ammo_ar""), ""Daedalus AR Ammo"", REGEXMATCH(E369, ""ammo_ps""), ""Daedalus Pistol Ammo"", REGEXMATCH(E369, ""ammo_sg""), ""Daedalus Shotgun Ammo"", REGEXMATCH(E369, ""ammo_sm""), ""Daedalus SMG Ammo"", REGEXMATCH(E369, ""ammo_sr"")"&amp;", ""Daedalus SR Ammo"")"),"Daedalus Pistol Ammo")</f>
        <v>Daedalus Pistol Ammo</v>
      </c>
      <c r="H369" s="39"/>
      <c r="I369" s="39"/>
    </row>
    <row r="370">
      <c r="A370" s="39" t="s">
        <v>232</v>
      </c>
      <c r="B370" s="39" t="s">
        <v>149</v>
      </c>
      <c r="C370" s="39">
        <v>68.0</v>
      </c>
      <c r="D370" s="39" t="s">
        <v>902</v>
      </c>
      <c r="E370" s="39" t="s">
        <v>1364</v>
      </c>
      <c r="F370" s="39"/>
      <c r="G370" s="39" t="s">
        <v>809</v>
      </c>
      <c r="H370" s="39"/>
      <c r="I370" s="39"/>
    </row>
    <row r="371">
      <c r="A371" s="39" t="s">
        <v>232</v>
      </c>
      <c r="B371" s="39" t="s">
        <v>149</v>
      </c>
      <c r="C371" s="39">
        <v>69.0</v>
      </c>
      <c r="D371" s="39" t="s">
        <v>902</v>
      </c>
      <c r="E371" s="39" t="s">
        <v>1365</v>
      </c>
      <c r="F371" s="39"/>
      <c r="G371" s="56" t="s">
        <v>825</v>
      </c>
      <c r="H371" s="39" t="s">
        <v>1038</v>
      </c>
      <c r="I371" s="39"/>
    </row>
    <row r="372">
      <c r="A372" s="39" t="s">
        <v>232</v>
      </c>
      <c r="B372" s="39" t="s">
        <v>149</v>
      </c>
      <c r="C372" s="39">
        <v>71.0</v>
      </c>
      <c r="D372" s="39" t="s">
        <v>88</v>
      </c>
      <c r="E372" s="39" t="s">
        <v>1366</v>
      </c>
      <c r="F372" s="39"/>
      <c r="G372" s="39" t="s">
        <v>895</v>
      </c>
      <c r="H372" s="39"/>
      <c r="I372" s="39"/>
    </row>
    <row r="373">
      <c r="A373" s="39" t="s">
        <v>232</v>
      </c>
      <c r="B373" s="39" t="s">
        <v>149</v>
      </c>
      <c r="C373" s="39">
        <v>73.0</v>
      </c>
      <c r="D373" s="39" t="s">
        <v>84</v>
      </c>
      <c r="E373" s="39" t="s">
        <v>1367</v>
      </c>
      <c r="F373" s="39"/>
      <c r="G373" s="39" t="s">
        <v>1368</v>
      </c>
      <c r="H373" s="39" t="s">
        <v>1369</v>
      </c>
      <c r="I373" s="39"/>
    </row>
    <row r="374">
      <c r="A374" s="39" t="s">
        <v>232</v>
      </c>
      <c r="B374" s="39" t="s">
        <v>149</v>
      </c>
      <c r="C374" s="39">
        <v>75.0</v>
      </c>
      <c r="D374" s="39" t="s">
        <v>84</v>
      </c>
      <c r="E374" s="39" t="s">
        <v>1370</v>
      </c>
      <c r="F374" s="39"/>
      <c r="G374" s="39" t="s">
        <v>1371</v>
      </c>
      <c r="H374" s="39" t="s">
        <v>1372</v>
      </c>
      <c r="I374" s="39"/>
    </row>
    <row r="375">
      <c r="A375" s="39" t="s">
        <v>232</v>
      </c>
      <c r="B375" s="39" t="s">
        <v>149</v>
      </c>
      <c r="C375" s="39">
        <v>76.0</v>
      </c>
      <c r="D375" s="39" t="s">
        <v>84</v>
      </c>
      <c r="E375" s="39" t="s">
        <v>1373</v>
      </c>
      <c r="F375" s="39"/>
      <c r="G375" s="39" t="s">
        <v>1374</v>
      </c>
      <c r="H375" s="39"/>
      <c r="I375" s="39"/>
    </row>
    <row r="376">
      <c r="A376" s="39" t="s">
        <v>232</v>
      </c>
      <c r="B376" s="39" t="s">
        <v>149</v>
      </c>
      <c r="C376" s="39">
        <v>78.0</v>
      </c>
      <c r="D376" s="39" t="s">
        <v>84</v>
      </c>
      <c r="E376" s="59" t="s">
        <v>1375</v>
      </c>
      <c r="F376" s="59"/>
      <c r="G376" s="59" t="s">
        <v>1376</v>
      </c>
      <c r="H376" s="39" t="s">
        <v>1377</v>
      </c>
      <c r="I376" s="39"/>
    </row>
    <row r="377">
      <c r="A377" s="39" t="s">
        <v>232</v>
      </c>
      <c r="B377" s="39" t="s">
        <v>149</v>
      </c>
      <c r="C377" s="39">
        <v>85.0</v>
      </c>
      <c r="D377" s="39" t="s">
        <v>839</v>
      </c>
      <c r="E377" s="39" t="s">
        <v>1378</v>
      </c>
      <c r="F377" s="39"/>
      <c r="G377" s="39" t="s">
        <v>993</v>
      </c>
      <c r="H377" s="39"/>
      <c r="I377" s="39"/>
    </row>
    <row r="378">
      <c r="A378" s="39" t="s">
        <v>232</v>
      </c>
      <c r="B378" s="39" t="s">
        <v>177</v>
      </c>
      <c r="C378" s="39">
        <v>2.0</v>
      </c>
      <c r="D378" s="39" t="s">
        <v>81</v>
      </c>
      <c r="E378" s="39" t="s">
        <v>1379</v>
      </c>
      <c r="F378" s="39"/>
      <c r="G378" s="39" t="s">
        <v>797</v>
      </c>
      <c r="H378" s="39"/>
      <c r="I378" s="39"/>
    </row>
    <row r="379">
      <c r="A379" s="39" t="s">
        <v>232</v>
      </c>
      <c r="B379" s="39" t="s">
        <v>177</v>
      </c>
      <c r="C379" s="39">
        <v>3.0</v>
      </c>
      <c r="D379" s="39" t="s">
        <v>798</v>
      </c>
      <c r="E379" s="39" t="s">
        <v>1380</v>
      </c>
      <c r="F379" s="39"/>
      <c r="G379" s="56" t="s">
        <v>801</v>
      </c>
      <c r="H379" s="39"/>
      <c r="I379" s="39"/>
    </row>
    <row r="380">
      <c r="A380" s="39" t="s">
        <v>232</v>
      </c>
      <c r="B380" s="39" t="s">
        <v>177</v>
      </c>
      <c r="C380" s="39">
        <v>4.0</v>
      </c>
      <c r="D380" s="39" t="s">
        <v>798</v>
      </c>
      <c r="E380" s="39" t="s">
        <v>1381</v>
      </c>
      <c r="F380" s="39"/>
      <c r="G380" s="56" t="s">
        <v>801</v>
      </c>
      <c r="H380" s="39"/>
      <c r="I380" s="39"/>
    </row>
    <row r="381">
      <c r="A381" s="39" t="s">
        <v>232</v>
      </c>
      <c r="B381" s="39" t="s">
        <v>177</v>
      </c>
      <c r="C381" s="39">
        <v>5.0</v>
      </c>
      <c r="D381" s="39" t="s">
        <v>798</v>
      </c>
      <c r="E381" s="39" t="s">
        <v>1382</v>
      </c>
      <c r="F381" s="39"/>
      <c r="G381" s="56" t="s">
        <v>806</v>
      </c>
      <c r="H381" s="39"/>
      <c r="I381" s="39"/>
    </row>
    <row r="382">
      <c r="A382" s="39" t="s">
        <v>232</v>
      </c>
      <c r="B382" s="39" t="s">
        <v>177</v>
      </c>
      <c r="C382" s="39">
        <v>6.0</v>
      </c>
      <c r="D382" s="39" t="s">
        <v>798</v>
      </c>
      <c r="E382" s="39" t="s">
        <v>1383</v>
      </c>
      <c r="F382" s="39"/>
      <c r="G382" s="56" t="s">
        <v>825</v>
      </c>
      <c r="H382" s="39"/>
      <c r="I382" s="39"/>
    </row>
    <row r="383">
      <c r="A383" s="39" t="s">
        <v>232</v>
      </c>
      <c r="B383" s="39" t="s">
        <v>177</v>
      </c>
      <c r="C383" s="39">
        <v>7.0</v>
      </c>
      <c r="D383" s="39" t="s">
        <v>84</v>
      </c>
      <c r="E383" s="39" t="s">
        <v>1384</v>
      </c>
      <c r="F383" s="39"/>
      <c r="G383" s="39" t="s">
        <v>1385</v>
      </c>
      <c r="H383" s="39"/>
      <c r="I383" s="39"/>
    </row>
    <row r="384">
      <c r="A384" s="39" t="s">
        <v>232</v>
      </c>
      <c r="B384" s="39" t="s">
        <v>177</v>
      </c>
      <c r="C384" s="39">
        <v>8.0</v>
      </c>
      <c r="D384" s="39" t="s">
        <v>84</v>
      </c>
      <c r="E384" s="39" t="s">
        <v>1386</v>
      </c>
      <c r="F384" s="39"/>
      <c r="G384" s="39" t="s">
        <v>1387</v>
      </c>
      <c r="H384" s="39"/>
      <c r="I384" s="39"/>
    </row>
    <row r="385">
      <c r="A385" s="39" t="s">
        <v>232</v>
      </c>
      <c r="B385" s="39" t="s">
        <v>177</v>
      </c>
      <c r="C385" s="39">
        <v>9.0</v>
      </c>
      <c r="D385" s="39" t="s">
        <v>839</v>
      </c>
      <c r="E385" s="39" t="s">
        <v>1388</v>
      </c>
      <c r="F385" s="39"/>
      <c r="G385" s="39" t="s">
        <v>989</v>
      </c>
      <c r="H385" s="39"/>
      <c r="I385" s="39"/>
    </row>
    <row r="386">
      <c r="A386" s="39" t="s">
        <v>232</v>
      </c>
      <c r="B386" s="39" t="s">
        <v>177</v>
      </c>
      <c r="C386" s="39">
        <v>10.0</v>
      </c>
      <c r="D386" s="39" t="s">
        <v>839</v>
      </c>
      <c r="E386" s="39" t="s">
        <v>1389</v>
      </c>
      <c r="F386" s="39"/>
      <c r="G386" s="39" t="s">
        <v>991</v>
      </c>
      <c r="H386" s="39"/>
      <c r="I386" s="39"/>
    </row>
    <row r="387">
      <c r="A387" s="39" t="s">
        <v>232</v>
      </c>
      <c r="B387" s="39" t="s">
        <v>177</v>
      </c>
      <c r="C387" s="39">
        <v>11.0</v>
      </c>
      <c r="D387" s="39" t="s">
        <v>839</v>
      </c>
      <c r="E387" s="39" t="s">
        <v>1390</v>
      </c>
      <c r="F387" s="39"/>
      <c r="G387" s="39" t="s">
        <v>993</v>
      </c>
      <c r="H387" s="39"/>
      <c r="I387" s="39"/>
    </row>
    <row r="388">
      <c r="A388" s="39" t="s">
        <v>232</v>
      </c>
      <c r="B388" s="39" t="s">
        <v>177</v>
      </c>
      <c r="C388" s="39">
        <v>12.0</v>
      </c>
      <c r="D388" s="39" t="s">
        <v>839</v>
      </c>
      <c r="E388" s="39" t="s">
        <v>1391</v>
      </c>
      <c r="F388" s="39"/>
      <c r="G388" s="39" t="s">
        <v>995</v>
      </c>
      <c r="H388" s="39"/>
      <c r="I388" s="39"/>
    </row>
    <row r="389">
      <c r="A389" s="39" t="s">
        <v>232</v>
      </c>
      <c r="B389" s="39" t="s">
        <v>177</v>
      </c>
      <c r="C389" s="39">
        <v>13.0</v>
      </c>
      <c r="D389" s="39" t="s">
        <v>87</v>
      </c>
      <c r="E389" s="39" t="s">
        <v>1392</v>
      </c>
      <c r="F389" s="39"/>
      <c r="G389" s="39" t="s">
        <v>1393</v>
      </c>
      <c r="H389" s="39"/>
      <c r="I389" s="39"/>
    </row>
    <row r="390">
      <c r="A390" s="39" t="s">
        <v>232</v>
      </c>
      <c r="B390" s="39" t="s">
        <v>177</v>
      </c>
      <c r="C390" s="39">
        <v>14.0</v>
      </c>
      <c r="D390" s="39" t="s">
        <v>87</v>
      </c>
      <c r="E390" s="39" t="s">
        <v>1394</v>
      </c>
      <c r="F390" s="39"/>
      <c r="G390" s="39" t="s">
        <v>1395</v>
      </c>
      <c r="H390" s="39"/>
      <c r="I390" s="39"/>
    </row>
    <row r="391">
      <c r="A391" s="39" t="s">
        <v>232</v>
      </c>
      <c r="B391" s="39" t="s">
        <v>177</v>
      </c>
      <c r="C391" s="39">
        <v>15.0</v>
      </c>
      <c r="D391" s="39" t="s">
        <v>87</v>
      </c>
      <c r="E391" s="39" t="s">
        <v>1396</v>
      </c>
      <c r="F391" s="39"/>
      <c r="G391" s="39" t="s">
        <v>1397</v>
      </c>
      <c r="H391" s="39"/>
      <c r="I391" s="39"/>
    </row>
    <row r="392">
      <c r="A392" s="39" t="s">
        <v>232</v>
      </c>
      <c r="B392" s="39" t="s">
        <v>177</v>
      </c>
      <c r="C392" s="39">
        <v>16.0</v>
      </c>
      <c r="D392" s="39" t="s">
        <v>87</v>
      </c>
      <c r="E392" s="39" t="s">
        <v>1398</v>
      </c>
      <c r="F392" s="39"/>
      <c r="G392" s="39" t="s">
        <v>1399</v>
      </c>
      <c r="I392" s="39"/>
    </row>
    <row r="393">
      <c r="A393" s="39" t="s">
        <v>232</v>
      </c>
      <c r="B393" s="39" t="s">
        <v>177</v>
      </c>
      <c r="C393" s="39">
        <v>17.0</v>
      </c>
      <c r="D393" s="39" t="s">
        <v>87</v>
      </c>
      <c r="E393" s="39" t="s">
        <v>1400</v>
      </c>
      <c r="F393" s="39"/>
      <c r="G393" s="39" t="s">
        <v>1401</v>
      </c>
      <c r="I393" s="39"/>
    </row>
    <row r="394">
      <c r="A394" s="39" t="s">
        <v>232</v>
      </c>
      <c r="B394" s="39" t="s">
        <v>177</v>
      </c>
      <c r="C394" s="39">
        <v>18.0</v>
      </c>
      <c r="D394" s="39" t="s">
        <v>839</v>
      </c>
      <c r="E394" s="39" t="s">
        <v>1402</v>
      </c>
      <c r="F394" s="39"/>
      <c r="G394" s="39" t="s">
        <v>874</v>
      </c>
      <c r="H394" s="39"/>
      <c r="I394" s="39"/>
    </row>
    <row r="395">
      <c r="A395" s="39" t="s">
        <v>232</v>
      </c>
      <c r="B395" s="39" t="s">
        <v>177</v>
      </c>
      <c r="C395" s="39">
        <v>19.0</v>
      </c>
      <c r="D395" s="39" t="s">
        <v>839</v>
      </c>
      <c r="E395" s="39" t="s">
        <v>1403</v>
      </c>
      <c r="F395" s="39"/>
      <c r="G395" s="39" t="s">
        <v>880</v>
      </c>
      <c r="H395" s="39"/>
      <c r="I395" s="39"/>
    </row>
    <row r="396">
      <c r="A396" s="39" t="s">
        <v>232</v>
      </c>
      <c r="B396" s="39" t="s">
        <v>177</v>
      </c>
      <c r="C396" s="39">
        <v>20.0</v>
      </c>
      <c r="D396" s="39" t="s">
        <v>875</v>
      </c>
      <c r="E396" s="39" t="s">
        <v>1404</v>
      </c>
      <c r="F396" s="39"/>
      <c r="G396" s="39" t="s">
        <v>877</v>
      </c>
      <c r="H396" s="39"/>
      <c r="I396" s="39"/>
    </row>
    <row r="397">
      <c r="A397" s="39" t="s">
        <v>232</v>
      </c>
      <c r="B397" s="39" t="s">
        <v>177</v>
      </c>
      <c r="C397" s="39">
        <v>21.0</v>
      </c>
      <c r="D397" s="39" t="s">
        <v>875</v>
      </c>
      <c r="E397" s="39" t="s">
        <v>1405</v>
      </c>
      <c r="F397" s="39"/>
      <c r="G397" s="39" t="s">
        <v>877</v>
      </c>
      <c r="H397" s="39"/>
      <c r="I397" s="39"/>
    </row>
    <row r="398">
      <c r="A398" s="39" t="s">
        <v>232</v>
      </c>
      <c r="B398" s="39" t="s">
        <v>177</v>
      </c>
      <c r="C398" s="39">
        <v>22.0</v>
      </c>
      <c r="D398" s="39" t="s">
        <v>875</v>
      </c>
      <c r="E398" s="39" t="s">
        <v>1406</v>
      </c>
      <c r="F398" s="39"/>
      <c r="G398" s="39" t="s">
        <v>877</v>
      </c>
      <c r="H398" s="39"/>
      <c r="I398" s="39"/>
    </row>
    <row r="399">
      <c r="A399" s="39" t="s">
        <v>232</v>
      </c>
      <c r="B399" s="39" t="s">
        <v>177</v>
      </c>
      <c r="C399" s="39">
        <v>23.0</v>
      </c>
      <c r="D399" s="39" t="s">
        <v>875</v>
      </c>
      <c r="E399" s="39" t="s">
        <v>1407</v>
      </c>
      <c r="F399" s="39"/>
      <c r="G399" s="39" t="s">
        <v>883</v>
      </c>
      <c r="H399" s="39"/>
      <c r="I399" s="39"/>
    </row>
    <row r="400">
      <c r="A400" s="39" t="s">
        <v>232</v>
      </c>
      <c r="B400" s="39" t="s">
        <v>177</v>
      </c>
      <c r="C400" s="39">
        <v>24.0</v>
      </c>
      <c r="D400" s="39" t="s">
        <v>875</v>
      </c>
      <c r="E400" s="39" t="s">
        <v>1408</v>
      </c>
      <c r="F400" s="39"/>
      <c r="G400" s="39" t="s">
        <v>877</v>
      </c>
      <c r="H400" s="39"/>
      <c r="I400" s="39"/>
    </row>
    <row r="401">
      <c r="A401" s="39" t="s">
        <v>232</v>
      </c>
      <c r="B401" s="39" t="s">
        <v>177</v>
      </c>
      <c r="C401" s="39">
        <v>25.0</v>
      </c>
      <c r="D401" s="39" t="s">
        <v>88</v>
      </c>
      <c r="E401" s="39" t="s">
        <v>1409</v>
      </c>
      <c r="F401" s="39"/>
      <c r="G401" s="39" t="s">
        <v>901</v>
      </c>
      <c r="H401" s="39"/>
      <c r="I401" s="39"/>
    </row>
    <row r="402">
      <c r="A402" s="39" t="s">
        <v>232</v>
      </c>
      <c r="B402" s="39" t="s">
        <v>177</v>
      </c>
      <c r="C402" s="39">
        <v>26.0</v>
      </c>
      <c r="D402" s="39" t="s">
        <v>88</v>
      </c>
      <c r="E402" s="39" t="s">
        <v>1410</v>
      </c>
      <c r="F402" s="39"/>
      <c r="G402" s="39" t="s">
        <v>898</v>
      </c>
      <c r="H402" s="39"/>
      <c r="I402" s="39"/>
    </row>
    <row r="403">
      <c r="A403" s="39" t="s">
        <v>232</v>
      </c>
      <c r="B403" s="39" t="s">
        <v>177</v>
      </c>
      <c r="C403" s="39">
        <v>27.0</v>
      </c>
      <c r="D403" s="39" t="s">
        <v>88</v>
      </c>
      <c r="E403" s="39" t="s">
        <v>1411</v>
      </c>
      <c r="F403" s="39"/>
      <c r="G403" s="39" t="s">
        <v>898</v>
      </c>
      <c r="H403" s="39"/>
      <c r="I403" s="39"/>
    </row>
    <row r="404">
      <c r="A404" s="39" t="s">
        <v>232</v>
      </c>
      <c r="B404" s="39" t="s">
        <v>177</v>
      </c>
      <c r="C404" s="39">
        <v>28.0</v>
      </c>
      <c r="D404" s="39" t="s">
        <v>88</v>
      </c>
      <c r="E404" s="39" t="s">
        <v>1412</v>
      </c>
      <c r="F404" s="39"/>
      <c r="G404" s="39" t="s">
        <v>895</v>
      </c>
      <c r="H404" s="39"/>
      <c r="I404" s="39"/>
    </row>
    <row r="405">
      <c r="A405" s="39" t="s">
        <v>232</v>
      </c>
      <c r="B405" s="39" t="s">
        <v>177</v>
      </c>
      <c r="C405" s="39">
        <v>29.0</v>
      </c>
      <c r="D405" s="39" t="s">
        <v>88</v>
      </c>
      <c r="E405" s="39" t="s">
        <v>1413</v>
      </c>
      <c r="F405" s="39"/>
      <c r="G405" s="39" t="s">
        <v>892</v>
      </c>
      <c r="H405" s="39"/>
      <c r="I405" s="39"/>
    </row>
    <row r="406">
      <c r="A406" s="39" t="s">
        <v>232</v>
      </c>
      <c r="B406" s="39" t="s">
        <v>177</v>
      </c>
      <c r="C406" s="39">
        <v>30.0</v>
      </c>
      <c r="D406" s="39" t="s">
        <v>902</v>
      </c>
      <c r="E406" s="39" t="s">
        <v>1414</v>
      </c>
      <c r="F406" s="39"/>
      <c r="G406" s="56" t="s">
        <v>822</v>
      </c>
      <c r="H406" s="39" t="s">
        <v>1038</v>
      </c>
      <c r="I406" s="39"/>
    </row>
    <row r="407">
      <c r="A407" s="39" t="s">
        <v>232</v>
      </c>
      <c r="B407" s="39" t="s">
        <v>177</v>
      </c>
      <c r="C407" s="39">
        <v>31.0</v>
      </c>
      <c r="D407" s="39" t="s">
        <v>902</v>
      </c>
      <c r="E407" s="39" t="s">
        <v>1415</v>
      </c>
      <c r="F407" s="39"/>
      <c r="G407" s="56" t="s">
        <v>801</v>
      </c>
      <c r="H407" s="39"/>
      <c r="I407" s="39"/>
    </row>
    <row r="408">
      <c r="A408" s="39" t="s">
        <v>232</v>
      </c>
      <c r="B408" s="39" t="s">
        <v>177</v>
      </c>
      <c r="C408" s="39">
        <v>32.0</v>
      </c>
      <c r="D408" s="39" t="s">
        <v>902</v>
      </c>
      <c r="E408" s="39" t="s">
        <v>1416</v>
      </c>
      <c r="F408" s="39"/>
      <c r="G408" s="39" t="s">
        <v>809</v>
      </c>
      <c r="H408" s="39"/>
      <c r="I408" s="39"/>
    </row>
    <row r="409">
      <c r="A409" s="39" t="s">
        <v>232</v>
      </c>
      <c r="B409" s="39" t="s">
        <v>177</v>
      </c>
      <c r="C409" s="39">
        <v>33.0</v>
      </c>
      <c r="D409" s="39" t="s">
        <v>902</v>
      </c>
      <c r="E409" s="39" t="s">
        <v>1417</v>
      </c>
      <c r="F409" s="39"/>
      <c r="G409" s="56" t="s">
        <v>825</v>
      </c>
      <c r="H409" s="39" t="s">
        <v>1038</v>
      </c>
      <c r="I409" s="39"/>
    </row>
    <row r="410">
      <c r="A410" s="39" t="s">
        <v>232</v>
      </c>
      <c r="B410" s="39" t="s">
        <v>177</v>
      </c>
      <c r="C410" s="39">
        <v>34.0</v>
      </c>
      <c r="D410" s="39" t="s">
        <v>902</v>
      </c>
      <c r="E410" s="39" t="s">
        <v>1418</v>
      </c>
      <c r="F410" s="39"/>
      <c r="G410" s="56" t="s">
        <v>822</v>
      </c>
      <c r="H410" s="39"/>
      <c r="I410" s="39"/>
    </row>
    <row r="411">
      <c r="A411" s="39" t="s">
        <v>232</v>
      </c>
      <c r="B411" s="39" t="s">
        <v>177</v>
      </c>
      <c r="C411" s="39">
        <v>35.0</v>
      </c>
      <c r="D411" s="39" t="s">
        <v>902</v>
      </c>
      <c r="E411" s="39" t="s">
        <v>1419</v>
      </c>
      <c r="F411" s="39"/>
      <c r="G411" s="56" t="s">
        <v>801</v>
      </c>
      <c r="H411" s="39" t="s">
        <v>1038</v>
      </c>
      <c r="I411" s="39"/>
    </row>
    <row r="412">
      <c r="A412" s="39" t="s">
        <v>232</v>
      </c>
      <c r="B412" s="39" t="s">
        <v>177</v>
      </c>
      <c r="C412" s="39">
        <v>36.0</v>
      </c>
      <c r="D412" s="39" t="s">
        <v>902</v>
      </c>
      <c r="E412" s="39" t="s">
        <v>1420</v>
      </c>
      <c r="F412" s="39"/>
      <c r="G412" s="39" t="s">
        <v>809</v>
      </c>
      <c r="H412" s="39"/>
      <c r="I412" s="39"/>
    </row>
    <row r="413">
      <c r="A413" s="39" t="s">
        <v>232</v>
      </c>
      <c r="B413" s="39" t="s">
        <v>177</v>
      </c>
      <c r="C413" s="39">
        <v>37.0</v>
      </c>
      <c r="D413" s="39" t="s">
        <v>902</v>
      </c>
      <c r="E413" s="39" t="s">
        <v>1421</v>
      </c>
      <c r="F413" s="39"/>
      <c r="G413" s="56" t="s">
        <v>825</v>
      </c>
      <c r="H413" s="39"/>
      <c r="I413" s="39"/>
    </row>
    <row r="414">
      <c r="A414" s="39" t="s">
        <v>232</v>
      </c>
      <c r="B414" s="39" t="s">
        <v>177</v>
      </c>
      <c r="C414" s="39">
        <v>38.0</v>
      </c>
      <c r="D414" s="39" t="s">
        <v>90</v>
      </c>
      <c r="E414" s="39" t="s">
        <v>1422</v>
      </c>
      <c r="F414" s="39"/>
      <c r="G414" s="39" t="s">
        <v>930</v>
      </c>
      <c r="H414" s="39"/>
      <c r="I414" s="39"/>
    </row>
    <row r="415">
      <c r="A415" s="39" t="s">
        <v>232</v>
      </c>
      <c r="B415" s="39" t="s">
        <v>177</v>
      </c>
      <c r="C415" s="39">
        <v>39.0</v>
      </c>
      <c r="D415" s="39" t="s">
        <v>90</v>
      </c>
      <c r="E415" s="39" t="s">
        <v>1423</v>
      </c>
      <c r="F415" s="39"/>
      <c r="G415" s="39" t="s">
        <v>924</v>
      </c>
      <c r="H415" s="39"/>
      <c r="I415" s="39"/>
    </row>
    <row r="416">
      <c r="A416" s="39" t="s">
        <v>232</v>
      </c>
      <c r="B416" s="39" t="s">
        <v>177</v>
      </c>
      <c r="C416" s="39">
        <v>40.0</v>
      </c>
      <c r="D416" s="39" t="s">
        <v>90</v>
      </c>
      <c r="E416" s="39" t="s">
        <v>1424</v>
      </c>
      <c r="F416" s="39"/>
      <c r="G416" s="39" t="s">
        <v>927</v>
      </c>
      <c r="H416" s="39"/>
      <c r="I416" s="39"/>
    </row>
    <row r="417">
      <c r="A417" s="39" t="s">
        <v>232</v>
      </c>
      <c r="B417" s="39" t="s">
        <v>177</v>
      </c>
      <c r="C417" s="39">
        <v>41.0</v>
      </c>
      <c r="D417" s="39" t="s">
        <v>90</v>
      </c>
      <c r="E417" s="39" t="s">
        <v>1425</v>
      </c>
      <c r="F417" s="39"/>
      <c r="G417" s="56" t="s">
        <v>822</v>
      </c>
      <c r="H417" s="39"/>
      <c r="I417" s="39"/>
    </row>
    <row r="418">
      <c r="A418" s="39" t="s">
        <v>232</v>
      </c>
      <c r="B418" s="39" t="s">
        <v>177</v>
      </c>
      <c r="C418" s="39">
        <v>42.0</v>
      </c>
      <c r="D418" s="39" t="s">
        <v>90</v>
      </c>
      <c r="E418" s="39" t="s">
        <v>1426</v>
      </c>
      <c r="F418" s="39"/>
      <c r="G418" s="56" t="s">
        <v>825</v>
      </c>
      <c r="H418" s="39"/>
      <c r="I418" s="39"/>
    </row>
    <row r="419">
      <c r="A419" s="39" t="s">
        <v>232</v>
      </c>
      <c r="B419" s="39" t="s">
        <v>177</v>
      </c>
      <c r="C419" s="39">
        <v>43.0</v>
      </c>
      <c r="D419" s="39" t="s">
        <v>90</v>
      </c>
      <c r="E419" s="39" t="s">
        <v>1427</v>
      </c>
      <c r="F419" s="39"/>
      <c r="G419" s="56" t="s">
        <v>801</v>
      </c>
      <c r="H419" s="39"/>
      <c r="I419" s="39"/>
    </row>
    <row r="420">
      <c r="A420" s="39" t="s">
        <v>232</v>
      </c>
      <c r="B420" s="39" t="s">
        <v>177</v>
      </c>
      <c r="C420" s="39">
        <v>44.0</v>
      </c>
      <c r="D420" s="39" t="s">
        <v>90</v>
      </c>
      <c r="E420" s="39" t="s">
        <v>1428</v>
      </c>
      <c r="F420" s="39"/>
      <c r="G420" s="39" t="s">
        <v>939</v>
      </c>
      <c r="H420" s="39"/>
      <c r="I420" s="39"/>
    </row>
    <row r="421">
      <c r="A421" s="39" t="s">
        <v>232</v>
      </c>
      <c r="B421" s="39" t="s">
        <v>177</v>
      </c>
      <c r="C421" s="39">
        <v>45.0</v>
      </c>
      <c r="D421" s="39" t="s">
        <v>92</v>
      </c>
      <c r="E421" s="39" t="s">
        <v>1429</v>
      </c>
      <c r="F421" s="39"/>
      <c r="G421" s="39" t="s">
        <v>1430</v>
      </c>
      <c r="H421" s="39"/>
      <c r="I421" s="39"/>
    </row>
    <row r="422">
      <c r="A422" s="39" t="s">
        <v>232</v>
      </c>
      <c r="B422" s="39" t="s">
        <v>177</v>
      </c>
      <c r="C422" s="39">
        <v>46.0</v>
      </c>
      <c r="D422" s="39" t="s">
        <v>92</v>
      </c>
      <c r="E422" s="39" t="s">
        <v>1431</v>
      </c>
      <c r="F422" s="39"/>
      <c r="G422" s="39" t="s">
        <v>1432</v>
      </c>
      <c r="H422" s="39"/>
      <c r="I422" s="39"/>
    </row>
    <row r="423">
      <c r="A423" s="39" t="s">
        <v>232</v>
      </c>
      <c r="B423" s="39" t="s">
        <v>177</v>
      </c>
      <c r="C423" s="39">
        <v>47.0</v>
      </c>
      <c r="D423" s="39" t="s">
        <v>92</v>
      </c>
      <c r="E423" s="39" t="s">
        <v>1433</v>
      </c>
      <c r="F423" s="39"/>
      <c r="G423" s="39" t="s">
        <v>1355</v>
      </c>
      <c r="H423" s="39" t="s">
        <v>1356</v>
      </c>
      <c r="I423" s="39"/>
    </row>
    <row r="424">
      <c r="A424" s="39" t="s">
        <v>232</v>
      </c>
      <c r="B424" s="39" t="s">
        <v>177</v>
      </c>
      <c r="C424" s="39">
        <v>48.0</v>
      </c>
      <c r="D424" s="39" t="s">
        <v>92</v>
      </c>
      <c r="E424" s="39" t="s">
        <v>1434</v>
      </c>
      <c r="F424" s="39"/>
      <c r="G424" s="39" t="s">
        <v>947</v>
      </c>
      <c r="H424" s="39"/>
      <c r="I424" s="39"/>
    </row>
    <row r="425">
      <c r="A425" s="39" t="s">
        <v>232</v>
      </c>
      <c r="B425" s="39" t="s">
        <v>177</v>
      </c>
      <c r="C425" s="39">
        <v>49.0</v>
      </c>
      <c r="D425" s="39" t="s">
        <v>91</v>
      </c>
      <c r="E425" s="39" t="s">
        <v>1435</v>
      </c>
      <c r="F425" s="39"/>
      <c r="G425" s="56" t="s">
        <v>836</v>
      </c>
      <c r="H425" s="39"/>
      <c r="I425" s="39"/>
    </row>
    <row r="426">
      <c r="A426" s="39" t="s">
        <v>232</v>
      </c>
      <c r="B426" s="39" t="s">
        <v>177</v>
      </c>
      <c r="C426" s="39">
        <v>50.0</v>
      </c>
      <c r="D426" s="39" t="s">
        <v>91</v>
      </c>
      <c r="E426" s="39" t="s">
        <v>1436</v>
      </c>
      <c r="F426" s="39"/>
      <c r="G426" s="56" t="s">
        <v>806</v>
      </c>
      <c r="H426" s="39"/>
      <c r="I426" s="39"/>
    </row>
    <row r="427">
      <c r="A427" s="39" t="s">
        <v>232</v>
      </c>
      <c r="B427" s="39" t="s">
        <v>177</v>
      </c>
      <c r="C427" s="39">
        <v>51.0</v>
      </c>
      <c r="D427" s="39" t="s">
        <v>819</v>
      </c>
      <c r="E427" s="39" t="s">
        <v>1437</v>
      </c>
      <c r="F427" s="39"/>
      <c r="G427" s="56" t="s">
        <v>822</v>
      </c>
      <c r="H427" s="39"/>
      <c r="I427" s="39"/>
    </row>
    <row r="428">
      <c r="A428" s="39" t="s">
        <v>232</v>
      </c>
      <c r="B428" s="39" t="s">
        <v>177</v>
      </c>
      <c r="C428" s="39">
        <v>52.0</v>
      </c>
      <c r="D428" s="39" t="s">
        <v>819</v>
      </c>
      <c r="E428" s="39" t="s">
        <v>1438</v>
      </c>
      <c r="F428" s="39"/>
      <c r="G428" s="56" t="s">
        <v>825</v>
      </c>
      <c r="H428" s="39"/>
      <c r="I428" s="39"/>
    </row>
    <row r="429">
      <c r="A429" s="39" t="s">
        <v>232</v>
      </c>
      <c r="B429" s="39" t="s">
        <v>177</v>
      </c>
      <c r="C429" s="39">
        <v>53.0</v>
      </c>
      <c r="D429" s="39" t="s">
        <v>819</v>
      </c>
      <c r="E429" s="39" t="s">
        <v>1439</v>
      </c>
      <c r="F429" s="39"/>
      <c r="G429" s="56" t="s">
        <v>806</v>
      </c>
      <c r="H429" s="39"/>
      <c r="I429" s="39"/>
    </row>
    <row r="430">
      <c r="A430" s="39" t="s">
        <v>232</v>
      </c>
      <c r="B430" s="39" t="s">
        <v>177</v>
      </c>
      <c r="C430" s="39">
        <v>54.0</v>
      </c>
      <c r="D430" s="39" t="s">
        <v>819</v>
      </c>
      <c r="E430" s="39" t="s">
        <v>1440</v>
      </c>
      <c r="F430" s="39"/>
      <c r="G430" s="56" t="s">
        <v>806</v>
      </c>
      <c r="H430" s="39"/>
      <c r="I430" s="39"/>
    </row>
    <row r="431">
      <c r="A431" s="39" t="s">
        <v>232</v>
      </c>
      <c r="B431" s="39" t="s">
        <v>177</v>
      </c>
      <c r="C431" s="39">
        <v>55.0</v>
      </c>
      <c r="D431" s="39" t="s">
        <v>819</v>
      </c>
      <c r="E431" s="39" t="s">
        <v>1441</v>
      </c>
      <c r="F431" s="39"/>
      <c r="G431" s="56" t="s">
        <v>822</v>
      </c>
      <c r="H431" s="39"/>
      <c r="I431" s="39"/>
    </row>
    <row r="432">
      <c r="A432" s="39" t="s">
        <v>232</v>
      </c>
      <c r="B432" s="39" t="s">
        <v>177</v>
      </c>
      <c r="C432" s="39">
        <v>56.0</v>
      </c>
      <c r="D432" s="39" t="s">
        <v>819</v>
      </c>
      <c r="E432" s="39" t="s">
        <v>1442</v>
      </c>
      <c r="F432" s="39"/>
      <c r="G432" s="56" t="s">
        <v>806</v>
      </c>
      <c r="H432" s="39"/>
      <c r="I432" s="39"/>
    </row>
    <row r="433">
      <c r="A433" s="39" t="s">
        <v>232</v>
      </c>
      <c r="B433" s="39" t="s">
        <v>177</v>
      </c>
      <c r="C433" s="39">
        <v>57.0</v>
      </c>
      <c r="D433" s="39" t="s">
        <v>819</v>
      </c>
      <c r="E433" s="39" t="s">
        <v>1443</v>
      </c>
      <c r="F433" s="39"/>
      <c r="G433" s="56" t="s">
        <v>836</v>
      </c>
      <c r="H433" s="39"/>
      <c r="I433" s="39"/>
    </row>
    <row r="434">
      <c r="A434" s="39" t="s">
        <v>232</v>
      </c>
      <c r="B434" s="39" t="s">
        <v>177</v>
      </c>
      <c r="C434" s="39">
        <v>58.0</v>
      </c>
      <c r="D434" s="39" t="s">
        <v>819</v>
      </c>
      <c r="E434" s="39" t="s">
        <v>1444</v>
      </c>
      <c r="F434" s="39"/>
      <c r="G434" s="56" t="s">
        <v>822</v>
      </c>
      <c r="H434" s="39"/>
      <c r="I434" s="39"/>
    </row>
    <row r="435">
      <c r="A435" s="39" t="s">
        <v>232</v>
      </c>
      <c r="B435" s="39" t="s">
        <v>177</v>
      </c>
      <c r="C435" s="39">
        <v>59.0</v>
      </c>
      <c r="D435" s="39" t="s">
        <v>839</v>
      </c>
      <c r="E435" s="39" t="s">
        <v>1445</v>
      </c>
      <c r="F435" s="39"/>
      <c r="G435" s="39" t="s">
        <v>845</v>
      </c>
      <c r="H435" s="39"/>
      <c r="I435" s="39"/>
    </row>
    <row r="436">
      <c r="A436" s="39" t="s">
        <v>232</v>
      </c>
      <c r="B436" s="39" t="s">
        <v>177</v>
      </c>
      <c r="C436" s="39">
        <v>60.0</v>
      </c>
      <c r="D436" s="39" t="s">
        <v>839</v>
      </c>
      <c r="E436" s="39" t="s">
        <v>1446</v>
      </c>
      <c r="F436" s="39"/>
      <c r="G436" s="39" t="s">
        <v>847</v>
      </c>
      <c r="H436" s="39"/>
      <c r="I436" s="39"/>
    </row>
    <row r="437">
      <c r="A437" s="39" t="s">
        <v>232</v>
      </c>
      <c r="B437" s="39" t="s">
        <v>177</v>
      </c>
      <c r="C437" s="39">
        <v>61.0</v>
      </c>
      <c r="D437" s="39" t="s">
        <v>839</v>
      </c>
      <c r="E437" s="39" t="s">
        <v>1447</v>
      </c>
      <c r="F437" s="39"/>
      <c r="G437" s="39" t="s">
        <v>850</v>
      </c>
      <c r="H437" s="39"/>
      <c r="I437" s="39"/>
    </row>
    <row r="438">
      <c r="A438" s="39" t="s">
        <v>232</v>
      </c>
      <c r="B438" s="39" t="s">
        <v>177</v>
      </c>
      <c r="C438" s="39">
        <v>62.0</v>
      </c>
      <c r="D438" s="39" t="s">
        <v>839</v>
      </c>
      <c r="E438" s="39" t="s">
        <v>1448</v>
      </c>
      <c r="F438" s="39"/>
      <c r="G438" s="39" t="s">
        <v>853</v>
      </c>
      <c r="H438" s="39"/>
      <c r="I438" s="39"/>
    </row>
    <row r="439">
      <c r="A439" s="39" t="s">
        <v>232</v>
      </c>
      <c r="B439" s="39" t="s">
        <v>177</v>
      </c>
      <c r="C439" s="39">
        <v>63.0</v>
      </c>
      <c r="D439" s="39" t="s">
        <v>839</v>
      </c>
      <c r="E439" s="39" t="s">
        <v>1449</v>
      </c>
      <c r="F439" s="39"/>
      <c r="G439" s="39" t="s">
        <v>856</v>
      </c>
      <c r="H439" s="39"/>
      <c r="I439" s="39"/>
    </row>
    <row r="440">
      <c r="A440" s="39" t="s">
        <v>232</v>
      </c>
      <c r="B440" s="39" t="s">
        <v>177</v>
      </c>
      <c r="C440" s="39">
        <v>64.0</v>
      </c>
      <c r="D440" s="39" t="s">
        <v>839</v>
      </c>
      <c r="E440" s="39" t="s">
        <v>1450</v>
      </c>
      <c r="F440" s="39"/>
      <c r="G440" s="39" t="str">
        <f>IFERROR(__xludf.DUMMYFUNCTION("IFS(REGEXMATCH(E440, ""ammo_ar""), ""Daedalus AR Ammo"", REGEXMATCH(E440, ""ammo_ps""), ""Daedalus Pistol Ammo"", REGEXMATCH(E440, ""ammo_sg""), ""Daedalus Shotgun Ammo"", REGEXMATCH(E440, ""ammo_sm""), ""Daedalus SMG Ammo"", REGEXMATCH(E440, ""ammo_sr"")"&amp;", ""Daedalus SR Ammo"")"),"Daedalus SMG Ammo")</f>
        <v>Daedalus SMG Ammo</v>
      </c>
      <c r="H440" s="39"/>
      <c r="I440" s="39"/>
    </row>
    <row r="441">
      <c r="A441" s="39" t="s">
        <v>232</v>
      </c>
      <c r="B441" s="39" t="s">
        <v>177</v>
      </c>
      <c r="C441" s="39">
        <v>65.0</v>
      </c>
      <c r="D441" s="39" t="s">
        <v>839</v>
      </c>
      <c r="E441" s="39" t="s">
        <v>1451</v>
      </c>
      <c r="F441" s="39"/>
      <c r="G441" s="39" t="str">
        <f>IFERROR(__xludf.DUMMYFUNCTION("IFS(REGEXMATCH(E441, ""ammo_ar""), ""Daedalus AR Ammo"", REGEXMATCH(E441, ""ammo_ps""), ""Daedalus Pistol Ammo"", REGEXMATCH(E441, ""ammo_sg""), ""Daedalus Shotgun Ammo"", REGEXMATCH(E441, ""ammo_sm""), ""Daedalus SMG Ammo"", REGEXMATCH(E441, ""ammo_sr"")"&amp;", ""Daedalus SR Ammo"")"),"Daedalus Shotgun Ammo")</f>
        <v>Daedalus Shotgun Ammo</v>
      </c>
      <c r="H441" s="39"/>
      <c r="I441" s="39"/>
    </row>
    <row r="442">
      <c r="A442" s="39" t="s">
        <v>232</v>
      </c>
      <c r="B442" s="39" t="s">
        <v>177</v>
      </c>
      <c r="C442" s="39">
        <v>66.0</v>
      </c>
      <c r="D442" s="39" t="s">
        <v>839</v>
      </c>
      <c r="E442" s="39" t="s">
        <v>1452</v>
      </c>
      <c r="F442" s="39"/>
      <c r="G442" s="39" t="str">
        <f>IFERROR(__xludf.DUMMYFUNCTION("IFS(REGEXMATCH(E442, ""ammo_ar""), ""Daedalus AR Ammo"", REGEXMATCH(E442, ""ammo_ps""), ""Daedalus Pistol Ammo"", REGEXMATCH(E442, ""ammo_sg""), ""Daedalus Shotgun Ammo"", REGEXMATCH(E442, ""ammo_sm""), ""Daedalus SMG Ammo"", REGEXMATCH(E442, ""ammo_sr"")"&amp;", ""Daedalus SR Ammo"")"),"Daedalus AR Ammo")</f>
        <v>Daedalus AR Ammo</v>
      </c>
      <c r="H442" s="39"/>
      <c r="I442" s="39"/>
    </row>
    <row r="443">
      <c r="A443" s="39" t="s">
        <v>232</v>
      </c>
      <c r="B443" s="39" t="s">
        <v>177</v>
      </c>
      <c r="C443" s="39">
        <v>67.0</v>
      </c>
      <c r="D443" s="39" t="s">
        <v>839</v>
      </c>
      <c r="E443" s="39" t="s">
        <v>1453</v>
      </c>
      <c r="F443" s="39"/>
      <c r="G443" s="39" t="str">
        <f>IFERROR(__xludf.DUMMYFUNCTION("IFS(REGEXMATCH(E443, ""ammo_ar""), ""Daedalus AR Ammo"", REGEXMATCH(E443, ""ammo_ps""), ""Daedalus Pistol Ammo"", REGEXMATCH(E443, ""ammo_sg""), ""Daedalus Shotgun Ammo"", REGEXMATCH(E443, ""ammo_sm""), ""Daedalus SMG Ammo"", REGEXMATCH(E443, ""ammo_sr"")"&amp;", ""Daedalus SR Ammo"")"),"Daedalus SR Ammo")</f>
        <v>Daedalus SR Ammo</v>
      </c>
      <c r="H443" s="39"/>
      <c r="I443" s="39"/>
    </row>
    <row r="444">
      <c r="A444" s="39" t="s">
        <v>232</v>
      </c>
      <c r="B444" s="39" t="s">
        <v>177</v>
      </c>
      <c r="C444" s="39">
        <v>68.0</v>
      </c>
      <c r="D444" s="39" t="s">
        <v>92</v>
      </c>
      <c r="E444" s="39" t="s">
        <v>1454</v>
      </c>
      <c r="F444" s="39"/>
      <c r="G444" s="39" t="s">
        <v>1455</v>
      </c>
      <c r="H444" s="39" t="s">
        <v>1456</v>
      </c>
      <c r="I444" s="39"/>
    </row>
    <row r="445">
      <c r="A445" s="39" t="s">
        <v>232</v>
      </c>
      <c r="B445" s="39" t="s">
        <v>177</v>
      </c>
      <c r="C445" s="39">
        <v>69.0</v>
      </c>
      <c r="D445" s="39" t="s">
        <v>92</v>
      </c>
      <c r="E445" s="39" t="s">
        <v>1457</v>
      </c>
      <c r="F445" s="39"/>
      <c r="G445" s="39" t="s">
        <v>945</v>
      </c>
      <c r="H445" s="39"/>
      <c r="I445" s="39"/>
    </row>
    <row r="446">
      <c r="A446" s="39" t="s">
        <v>232</v>
      </c>
      <c r="B446" s="39" t="s">
        <v>177</v>
      </c>
      <c r="C446" s="39">
        <v>70.0</v>
      </c>
      <c r="D446" s="39" t="s">
        <v>91</v>
      </c>
      <c r="E446" s="39" t="s">
        <v>1458</v>
      </c>
      <c r="F446" s="39"/>
      <c r="G446" s="56" t="s">
        <v>822</v>
      </c>
      <c r="H446" s="39"/>
      <c r="I446" s="39"/>
    </row>
    <row r="447">
      <c r="A447" s="39" t="s">
        <v>232</v>
      </c>
      <c r="B447" s="39" t="s">
        <v>177</v>
      </c>
      <c r="C447" s="39">
        <v>72.0</v>
      </c>
      <c r="D447" s="39" t="s">
        <v>84</v>
      </c>
      <c r="E447" s="39" t="s">
        <v>1459</v>
      </c>
      <c r="F447" s="39"/>
      <c r="G447" s="39" t="s">
        <v>1460</v>
      </c>
      <c r="H447" s="39" t="s">
        <v>1461</v>
      </c>
      <c r="I447" s="39"/>
    </row>
    <row r="448">
      <c r="A448" s="39" t="s">
        <v>232</v>
      </c>
      <c r="B448" s="39" t="s">
        <v>177</v>
      </c>
      <c r="C448" s="39">
        <v>75.0</v>
      </c>
      <c r="D448" s="39" t="s">
        <v>84</v>
      </c>
      <c r="E448" s="39" t="s">
        <v>1462</v>
      </c>
      <c r="F448" s="39"/>
      <c r="G448" s="39" t="s">
        <v>1463</v>
      </c>
      <c r="H448" s="39" t="s">
        <v>1464</v>
      </c>
      <c r="I448" s="39"/>
    </row>
    <row r="449">
      <c r="A449" s="39" t="s">
        <v>232</v>
      </c>
      <c r="B449" s="39" t="s">
        <v>177</v>
      </c>
      <c r="C449" s="39">
        <v>77.0</v>
      </c>
      <c r="D449" s="39" t="s">
        <v>84</v>
      </c>
      <c r="E449" s="39" t="s">
        <v>1465</v>
      </c>
      <c r="F449" s="39"/>
      <c r="G449" s="39" t="s">
        <v>1466</v>
      </c>
      <c r="H449" s="39" t="s">
        <v>1467</v>
      </c>
      <c r="I449" s="39"/>
    </row>
    <row r="450">
      <c r="A450" s="39" t="s">
        <v>232</v>
      </c>
      <c r="B450" s="39" t="s">
        <v>177</v>
      </c>
      <c r="C450" s="39">
        <v>80.0</v>
      </c>
      <c r="D450" s="39" t="s">
        <v>84</v>
      </c>
      <c r="E450" s="39" t="s">
        <v>1468</v>
      </c>
      <c r="F450" s="39"/>
      <c r="G450" s="39" t="s">
        <v>1469</v>
      </c>
      <c r="H450" s="39" t="s">
        <v>1470</v>
      </c>
      <c r="I450" s="39"/>
    </row>
    <row r="451">
      <c r="A451" s="39" t="s">
        <v>232</v>
      </c>
      <c r="B451" s="39" t="s">
        <v>203</v>
      </c>
      <c r="C451" s="39">
        <v>1.0</v>
      </c>
      <c r="D451" s="39" t="s">
        <v>875</v>
      </c>
      <c r="E451" s="39" t="s">
        <v>1471</v>
      </c>
      <c r="F451" s="39"/>
      <c r="G451" s="39" t="s">
        <v>1472</v>
      </c>
      <c r="H451" s="39"/>
      <c r="I451" s="39"/>
    </row>
    <row r="452">
      <c r="A452" s="39" t="s">
        <v>232</v>
      </c>
      <c r="B452" s="39" t="s">
        <v>203</v>
      </c>
      <c r="C452" s="39">
        <v>2.0</v>
      </c>
      <c r="D452" s="39" t="s">
        <v>81</v>
      </c>
      <c r="E452" s="39" t="s">
        <v>1473</v>
      </c>
      <c r="F452" s="39"/>
      <c r="G452" s="39" t="s">
        <v>797</v>
      </c>
      <c r="H452" s="39"/>
      <c r="I452" s="39"/>
    </row>
    <row r="453">
      <c r="A453" s="39" t="s">
        <v>232</v>
      </c>
      <c r="B453" s="39" t="s">
        <v>203</v>
      </c>
      <c r="C453" s="39">
        <v>3.0</v>
      </c>
      <c r="D453" s="39" t="s">
        <v>798</v>
      </c>
      <c r="E453" s="39" t="s">
        <v>1474</v>
      </c>
      <c r="F453" s="39"/>
      <c r="G453" s="56" t="s">
        <v>801</v>
      </c>
      <c r="H453" s="39"/>
      <c r="I453" s="39"/>
    </row>
    <row r="454">
      <c r="A454" s="39" t="s">
        <v>232</v>
      </c>
      <c r="B454" s="39" t="s">
        <v>203</v>
      </c>
      <c r="C454" s="39">
        <v>4.0</v>
      </c>
      <c r="D454" s="39" t="s">
        <v>798</v>
      </c>
      <c r="E454" s="39" t="s">
        <v>1475</v>
      </c>
      <c r="F454" s="39"/>
      <c r="G454" s="56" t="s">
        <v>801</v>
      </c>
      <c r="H454" s="39"/>
      <c r="I454" s="39"/>
    </row>
    <row r="455">
      <c r="A455" s="39" t="s">
        <v>232</v>
      </c>
      <c r="B455" s="39" t="s">
        <v>203</v>
      </c>
      <c r="C455" s="39">
        <v>5.0</v>
      </c>
      <c r="D455" s="39" t="s">
        <v>798</v>
      </c>
      <c r="E455" s="39" t="s">
        <v>1476</v>
      </c>
      <c r="F455" s="39"/>
      <c r="G455" s="56" t="s">
        <v>806</v>
      </c>
      <c r="H455" s="39"/>
      <c r="I455" s="39"/>
    </row>
    <row r="456">
      <c r="A456" s="39" t="s">
        <v>232</v>
      </c>
      <c r="B456" s="39" t="s">
        <v>203</v>
      </c>
      <c r="C456" s="39">
        <v>6.0</v>
      </c>
      <c r="D456" s="39" t="s">
        <v>798</v>
      </c>
      <c r="E456" s="39" t="s">
        <v>1477</v>
      </c>
      <c r="F456" s="39"/>
      <c r="G456" s="56" t="s">
        <v>825</v>
      </c>
      <c r="H456" s="39"/>
      <c r="I456" s="39"/>
    </row>
    <row r="457">
      <c r="A457" s="39" t="s">
        <v>232</v>
      </c>
      <c r="B457" s="39" t="s">
        <v>203</v>
      </c>
      <c r="C457" s="39">
        <v>7.0</v>
      </c>
      <c r="D457" s="39" t="s">
        <v>84</v>
      </c>
      <c r="E457" s="39" t="s">
        <v>1478</v>
      </c>
      <c r="F457" s="39"/>
      <c r="G457" s="39" t="s">
        <v>1479</v>
      </c>
      <c r="H457" s="39"/>
      <c r="I457" s="39"/>
    </row>
    <row r="458">
      <c r="A458" s="39" t="s">
        <v>232</v>
      </c>
      <c r="B458" s="39" t="s">
        <v>203</v>
      </c>
      <c r="C458" s="39">
        <v>8.0</v>
      </c>
      <c r="D458" s="39" t="s">
        <v>84</v>
      </c>
      <c r="E458" s="39" t="s">
        <v>1480</v>
      </c>
      <c r="F458" s="39"/>
      <c r="G458" s="39" t="s">
        <v>1481</v>
      </c>
      <c r="H458" s="39"/>
      <c r="I458" s="39"/>
    </row>
    <row r="459">
      <c r="A459" s="39" t="s">
        <v>232</v>
      </c>
      <c r="B459" s="39" t="s">
        <v>203</v>
      </c>
      <c r="C459" s="39">
        <v>9.0</v>
      </c>
      <c r="D459" s="39" t="s">
        <v>839</v>
      </c>
      <c r="E459" s="39" t="s">
        <v>1482</v>
      </c>
      <c r="F459" s="39"/>
      <c r="G459" s="39" t="s">
        <v>989</v>
      </c>
      <c r="H459" s="39"/>
      <c r="I459" s="39"/>
    </row>
    <row r="460">
      <c r="A460" s="39" t="s">
        <v>232</v>
      </c>
      <c r="B460" s="39" t="s">
        <v>203</v>
      </c>
      <c r="C460" s="39">
        <v>10.0</v>
      </c>
      <c r="D460" s="39" t="s">
        <v>839</v>
      </c>
      <c r="E460" s="39" t="s">
        <v>1483</v>
      </c>
      <c r="F460" s="39"/>
      <c r="G460" s="39" t="s">
        <v>991</v>
      </c>
      <c r="H460" s="39"/>
      <c r="I460" s="39"/>
    </row>
    <row r="461">
      <c r="A461" s="39" t="s">
        <v>232</v>
      </c>
      <c r="B461" s="39" t="s">
        <v>203</v>
      </c>
      <c r="C461" s="39">
        <v>11.0</v>
      </c>
      <c r="D461" s="39" t="s">
        <v>839</v>
      </c>
      <c r="E461" s="39" t="s">
        <v>1484</v>
      </c>
      <c r="F461" s="39"/>
      <c r="G461" s="39" t="s">
        <v>993</v>
      </c>
      <c r="H461" s="39"/>
      <c r="I461" s="39"/>
    </row>
    <row r="462">
      <c r="A462" s="39" t="s">
        <v>232</v>
      </c>
      <c r="B462" s="39" t="s">
        <v>203</v>
      </c>
      <c r="C462" s="39">
        <v>12.0</v>
      </c>
      <c r="D462" s="39" t="s">
        <v>839</v>
      </c>
      <c r="E462" s="39" t="s">
        <v>1485</v>
      </c>
      <c r="F462" s="39"/>
      <c r="G462" s="39" t="s">
        <v>995</v>
      </c>
      <c r="H462" s="39"/>
      <c r="I462" s="39"/>
    </row>
    <row r="463">
      <c r="A463" s="39" t="s">
        <v>232</v>
      </c>
      <c r="B463" s="39" t="s">
        <v>203</v>
      </c>
      <c r="C463" s="39">
        <v>13.0</v>
      </c>
      <c r="D463" s="39" t="s">
        <v>87</v>
      </c>
      <c r="E463" s="39" t="s">
        <v>1486</v>
      </c>
      <c r="F463" s="39"/>
      <c r="G463" s="39" t="s">
        <v>1487</v>
      </c>
      <c r="I463" s="39"/>
    </row>
    <row r="464">
      <c r="A464" s="39" t="s">
        <v>232</v>
      </c>
      <c r="B464" s="39" t="s">
        <v>203</v>
      </c>
      <c r="C464" s="39">
        <v>14.0</v>
      </c>
      <c r="D464" s="39" t="s">
        <v>87</v>
      </c>
      <c r="E464" s="39" t="s">
        <v>1488</v>
      </c>
      <c r="F464" s="39"/>
      <c r="G464" s="39" t="s">
        <v>1489</v>
      </c>
      <c r="I464" s="39"/>
    </row>
    <row r="465">
      <c r="A465" s="39" t="s">
        <v>232</v>
      </c>
      <c r="B465" s="39" t="s">
        <v>203</v>
      </c>
      <c r="C465" s="39">
        <v>15.0</v>
      </c>
      <c r="D465" s="39" t="s">
        <v>87</v>
      </c>
      <c r="E465" s="39" t="s">
        <v>1490</v>
      </c>
      <c r="F465" s="39"/>
      <c r="G465" s="39" t="s">
        <v>1491</v>
      </c>
      <c r="H465" s="39"/>
      <c r="I465" s="39"/>
    </row>
    <row r="466">
      <c r="A466" s="39" t="s">
        <v>232</v>
      </c>
      <c r="B466" s="39" t="s">
        <v>203</v>
      </c>
      <c r="C466" s="39">
        <v>16.0</v>
      </c>
      <c r="D466" s="39" t="s">
        <v>875</v>
      </c>
      <c r="E466" s="39" t="s">
        <v>1492</v>
      </c>
      <c r="F466" s="39"/>
      <c r="G466" s="39" t="s">
        <v>1493</v>
      </c>
      <c r="H466" s="39"/>
      <c r="I466" s="39"/>
    </row>
    <row r="467">
      <c r="A467" s="39" t="s">
        <v>232</v>
      </c>
      <c r="B467" s="39" t="s">
        <v>203</v>
      </c>
      <c r="C467" s="39">
        <v>17.0</v>
      </c>
      <c r="D467" s="39" t="s">
        <v>87</v>
      </c>
      <c r="E467" s="39" t="s">
        <v>1494</v>
      </c>
      <c r="F467" s="39"/>
      <c r="G467" s="39" t="s">
        <v>1495</v>
      </c>
      <c r="H467" s="39"/>
      <c r="I467" s="39"/>
    </row>
    <row r="468">
      <c r="A468" s="39" t="s">
        <v>232</v>
      </c>
      <c r="B468" s="39" t="s">
        <v>203</v>
      </c>
      <c r="C468" s="39">
        <v>18.0</v>
      </c>
      <c r="D468" s="39" t="s">
        <v>875</v>
      </c>
      <c r="E468" s="39" t="s">
        <v>1496</v>
      </c>
      <c r="F468" s="39"/>
      <c r="G468" s="39" t="s">
        <v>877</v>
      </c>
      <c r="H468" s="39"/>
      <c r="I468" s="39"/>
    </row>
    <row r="469">
      <c r="A469" s="39" t="s">
        <v>232</v>
      </c>
      <c r="B469" s="39" t="s">
        <v>203</v>
      </c>
      <c r="C469" s="39">
        <v>19.0</v>
      </c>
      <c r="D469" s="39" t="s">
        <v>875</v>
      </c>
      <c r="E469" s="39" t="s">
        <v>1497</v>
      </c>
      <c r="F469" s="39"/>
      <c r="G469" s="39" t="s">
        <v>877</v>
      </c>
      <c r="H469" s="39"/>
      <c r="I469" s="39"/>
    </row>
    <row r="470">
      <c r="A470" s="39" t="s">
        <v>232</v>
      </c>
      <c r="B470" s="39" t="s">
        <v>203</v>
      </c>
      <c r="C470" s="39">
        <v>20.0</v>
      </c>
      <c r="D470" s="39" t="s">
        <v>875</v>
      </c>
      <c r="E470" s="39" t="s">
        <v>1498</v>
      </c>
      <c r="F470" s="39"/>
      <c r="G470" s="39" t="s">
        <v>877</v>
      </c>
      <c r="H470" s="39"/>
      <c r="I470" s="39"/>
    </row>
    <row r="471">
      <c r="A471" s="39" t="s">
        <v>232</v>
      </c>
      <c r="B471" s="39" t="s">
        <v>203</v>
      </c>
      <c r="C471" s="39">
        <v>21.0</v>
      </c>
      <c r="D471" s="39" t="s">
        <v>875</v>
      </c>
      <c r="E471" s="39" t="s">
        <v>1499</v>
      </c>
      <c r="F471" s="39"/>
      <c r="G471" s="39" t="s">
        <v>883</v>
      </c>
      <c r="H471" s="39"/>
      <c r="I471" s="39"/>
    </row>
    <row r="472">
      <c r="A472" s="39" t="s">
        <v>232</v>
      </c>
      <c r="B472" s="39" t="s">
        <v>203</v>
      </c>
      <c r="C472" s="39">
        <v>22.0</v>
      </c>
      <c r="D472" s="39" t="s">
        <v>875</v>
      </c>
      <c r="E472" s="39" t="s">
        <v>1500</v>
      </c>
      <c r="F472" s="39"/>
      <c r="G472" s="39" t="s">
        <v>883</v>
      </c>
      <c r="H472" s="39"/>
      <c r="I472" s="39"/>
    </row>
    <row r="473">
      <c r="A473" s="39" t="s">
        <v>232</v>
      </c>
      <c r="B473" s="39" t="s">
        <v>203</v>
      </c>
      <c r="C473" s="39">
        <v>23.0</v>
      </c>
      <c r="D473" s="39" t="s">
        <v>88</v>
      </c>
      <c r="E473" s="39" t="s">
        <v>1501</v>
      </c>
      <c r="F473" s="39"/>
      <c r="G473" s="39" t="s">
        <v>901</v>
      </c>
      <c r="H473" s="39"/>
      <c r="I473" s="39"/>
    </row>
    <row r="474">
      <c r="A474" s="39" t="s">
        <v>232</v>
      </c>
      <c r="B474" s="39" t="s">
        <v>203</v>
      </c>
      <c r="C474" s="39">
        <v>24.0</v>
      </c>
      <c r="D474" s="39" t="s">
        <v>88</v>
      </c>
      <c r="E474" s="39" t="s">
        <v>1502</v>
      </c>
      <c r="F474" s="39"/>
      <c r="G474" s="39" t="s">
        <v>898</v>
      </c>
      <c r="H474" s="39"/>
      <c r="I474" s="39"/>
    </row>
    <row r="475">
      <c r="A475" s="39" t="s">
        <v>232</v>
      </c>
      <c r="B475" s="39" t="s">
        <v>203</v>
      </c>
      <c r="C475" s="39">
        <v>25.0</v>
      </c>
      <c r="D475" s="39" t="s">
        <v>88</v>
      </c>
      <c r="E475" s="39" t="s">
        <v>1503</v>
      </c>
      <c r="F475" s="39"/>
      <c r="G475" s="39" t="s">
        <v>898</v>
      </c>
      <c r="H475" s="39"/>
      <c r="I475" s="39"/>
    </row>
    <row r="476">
      <c r="A476" s="39" t="s">
        <v>232</v>
      </c>
      <c r="B476" s="39" t="s">
        <v>203</v>
      </c>
      <c r="C476" s="39">
        <v>26.0</v>
      </c>
      <c r="D476" s="39" t="s">
        <v>88</v>
      </c>
      <c r="E476" s="39" t="s">
        <v>1504</v>
      </c>
      <c r="F476" s="39"/>
      <c r="G476" s="39" t="s">
        <v>895</v>
      </c>
      <c r="H476" s="39"/>
      <c r="I476" s="39"/>
    </row>
    <row r="477">
      <c r="A477" s="39" t="s">
        <v>232</v>
      </c>
      <c r="B477" s="39" t="s">
        <v>203</v>
      </c>
      <c r="C477" s="39">
        <v>27.0</v>
      </c>
      <c r="D477" s="39" t="s">
        <v>88</v>
      </c>
      <c r="E477" s="39" t="s">
        <v>1505</v>
      </c>
      <c r="F477" s="39"/>
      <c r="G477" s="39" t="s">
        <v>895</v>
      </c>
      <c r="H477" s="39"/>
      <c r="I477" s="39"/>
    </row>
    <row r="478">
      <c r="A478" s="39" t="s">
        <v>232</v>
      </c>
      <c r="B478" s="39" t="s">
        <v>203</v>
      </c>
      <c r="C478" s="39">
        <v>28.0</v>
      </c>
      <c r="D478" s="39" t="s">
        <v>902</v>
      </c>
      <c r="E478" s="39" t="s">
        <v>1506</v>
      </c>
      <c r="F478" s="39"/>
      <c r="G478" s="56" t="s">
        <v>822</v>
      </c>
      <c r="H478" s="39"/>
      <c r="I478" s="39"/>
    </row>
    <row r="479">
      <c r="A479" s="39" t="s">
        <v>232</v>
      </c>
      <c r="B479" s="39" t="s">
        <v>203</v>
      </c>
      <c r="C479" s="39">
        <v>29.0</v>
      </c>
      <c r="D479" s="39" t="s">
        <v>902</v>
      </c>
      <c r="E479" s="39" t="s">
        <v>1507</v>
      </c>
      <c r="F479" s="39"/>
      <c r="G479" s="56" t="s">
        <v>801</v>
      </c>
      <c r="H479" s="39"/>
      <c r="I479" s="39"/>
    </row>
    <row r="480">
      <c r="A480" s="39" t="s">
        <v>232</v>
      </c>
      <c r="B480" s="39" t="s">
        <v>203</v>
      </c>
      <c r="C480" s="39">
        <v>30.0</v>
      </c>
      <c r="D480" s="39" t="s">
        <v>902</v>
      </c>
      <c r="E480" s="39" t="s">
        <v>1508</v>
      </c>
      <c r="F480" s="39"/>
      <c r="G480" s="39" t="s">
        <v>809</v>
      </c>
      <c r="H480" s="39"/>
      <c r="I480" s="39"/>
    </row>
    <row r="481">
      <c r="A481" s="39" t="s">
        <v>232</v>
      </c>
      <c r="B481" s="39" t="s">
        <v>203</v>
      </c>
      <c r="C481" s="39">
        <v>31.0</v>
      </c>
      <c r="D481" s="39" t="s">
        <v>902</v>
      </c>
      <c r="E481" s="39" t="s">
        <v>1509</v>
      </c>
      <c r="F481" s="39"/>
      <c r="G481" s="56" t="s">
        <v>825</v>
      </c>
      <c r="H481" s="39"/>
      <c r="I481" s="39"/>
    </row>
    <row r="482">
      <c r="A482" s="39" t="s">
        <v>232</v>
      </c>
      <c r="B482" s="39" t="s">
        <v>203</v>
      </c>
      <c r="C482" s="39">
        <v>32.0</v>
      </c>
      <c r="D482" s="39" t="s">
        <v>902</v>
      </c>
      <c r="E482" s="39" t="s">
        <v>1510</v>
      </c>
      <c r="F482" s="39"/>
      <c r="G482" s="56" t="s">
        <v>822</v>
      </c>
      <c r="H482" s="39"/>
      <c r="I482" s="39"/>
    </row>
    <row r="483">
      <c r="A483" s="39" t="s">
        <v>232</v>
      </c>
      <c r="B483" s="39" t="s">
        <v>203</v>
      </c>
      <c r="C483" s="39">
        <v>33.0</v>
      </c>
      <c r="D483" s="39" t="s">
        <v>902</v>
      </c>
      <c r="E483" s="39" t="s">
        <v>1511</v>
      </c>
      <c r="F483" s="39"/>
      <c r="G483" s="56" t="s">
        <v>801</v>
      </c>
      <c r="H483" s="39"/>
      <c r="I483" s="39"/>
    </row>
    <row r="484">
      <c r="A484" s="39" t="s">
        <v>232</v>
      </c>
      <c r="B484" s="39" t="s">
        <v>203</v>
      </c>
      <c r="C484" s="39">
        <v>34.0</v>
      </c>
      <c r="D484" s="39" t="s">
        <v>902</v>
      </c>
      <c r="E484" s="39" t="s">
        <v>1512</v>
      </c>
      <c r="F484" s="39"/>
      <c r="G484" s="39" t="s">
        <v>809</v>
      </c>
      <c r="H484" s="39"/>
      <c r="I484" s="39"/>
    </row>
    <row r="485">
      <c r="A485" s="39" t="s">
        <v>232</v>
      </c>
      <c r="B485" s="39" t="s">
        <v>203</v>
      </c>
      <c r="C485" s="39">
        <v>35.0</v>
      </c>
      <c r="D485" s="39" t="s">
        <v>902</v>
      </c>
      <c r="E485" s="39" t="s">
        <v>1513</v>
      </c>
      <c r="F485" s="39"/>
      <c r="G485" s="56" t="s">
        <v>825</v>
      </c>
      <c r="H485" s="39"/>
      <c r="I485" s="39"/>
    </row>
    <row r="486">
      <c r="A486" s="39" t="s">
        <v>232</v>
      </c>
      <c r="B486" s="39" t="s">
        <v>203</v>
      </c>
      <c r="C486" s="39">
        <v>36.0</v>
      </c>
      <c r="D486" s="39" t="s">
        <v>90</v>
      </c>
      <c r="E486" s="39" t="s">
        <v>1514</v>
      </c>
      <c r="F486" s="39"/>
      <c r="G486" s="39" t="s">
        <v>924</v>
      </c>
      <c r="H486" s="39"/>
      <c r="I486" s="39"/>
    </row>
    <row r="487">
      <c r="A487" s="39" t="s">
        <v>232</v>
      </c>
      <c r="B487" s="39" t="s">
        <v>203</v>
      </c>
      <c r="C487" s="39">
        <v>37.0</v>
      </c>
      <c r="D487" s="39" t="s">
        <v>90</v>
      </c>
      <c r="E487" s="39" t="s">
        <v>1515</v>
      </c>
      <c r="F487" s="39"/>
      <c r="G487" s="39" t="s">
        <v>930</v>
      </c>
      <c r="H487" s="39"/>
      <c r="I487" s="39"/>
    </row>
    <row r="488">
      <c r="A488" s="39" t="s">
        <v>232</v>
      </c>
      <c r="B488" s="39" t="s">
        <v>203</v>
      </c>
      <c r="C488" s="39">
        <v>38.0</v>
      </c>
      <c r="D488" s="39" t="s">
        <v>90</v>
      </c>
      <c r="E488" s="39" t="s">
        <v>1516</v>
      </c>
      <c r="F488" s="39"/>
      <c r="G488" s="39" t="s">
        <v>939</v>
      </c>
      <c r="H488" s="39"/>
      <c r="I488" s="39"/>
    </row>
    <row r="489">
      <c r="A489" s="39" t="s">
        <v>232</v>
      </c>
      <c r="B489" s="39" t="s">
        <v>203</v>
      </c>
      <c r="C489" s="39">
        <v>39.0</v>
      </c>
      <c r="D489" s="39" t="s">
        <v>90</v>
      </c>
      <c r="E489" s="39" t="s">
        <v>1517</v>
      </c>
      <c r="F489" s="39"/>
      <c r="G489" s="39" t="s">
        <v>927</v>
      </c>
      <c r="H489" s="39"/>
      <c r="I489" s="39"/>
    </row>
    <row r="490">
      <c r="A490" s="39" t="s">
        <v>232</v>
      </c>
      <c r="B490" s="39" t="s">
        <v>203</v>
      </c>
      <c r="C490" s="39">
        <v>40.0</v>
      </c>
      <c r="D490" s="39" t="s">
        <v>90</v>
      </c>
      <c r="E490" s="39" t="s">
        <v>1518</v>
      </c>
      <c r="F490" s="39"/>
      <c r="G490" s="56" t="s">
        <v>822</v>
      </c>
      <c r="H490" s="39"/>
      <c r="I490" s="39"/>
    </row>
    <row r="491">
      <c r="A491" s="39" t="s">
        <v>232</v>
      </c>
      <c r="B491" s="39" t="s">
        <v>203</v>
      </c>
      <c r="C491" s="39">
        <v>41.0</v>
      </c>
      <c r="D491" s="39" t="s">
        <v>90</v>
      </c>
      <c r="E491" s="39" t="s">
        <v>1519</v>
      </c>
      <c r="F491" s="39"/>
      <c r="G491" s="56" t="s">
        <v>825</v>
      </c>
      <c r="H491" s="39"/>
      <c r="I491" s="39"/>
    </row>
    <row r="492">
      <c r="A492" s="39" t="s">
        <v>232</v>
      </c>
      <c r="B492" s="39" t="s">
        <v>203</v>
      </c>
      <c r="C492" s="39">
        <v>42.0</v>
      </c>
      <c r="D492" s="39" t="s">
        <v>90</v>
      </c>
      <c r="E492" s="39" t="s">
        <v>1520</v>
      </c>
      <c r="F492" s="39"/>
      <c r="G492" s="56" t="s">
        <v>801</v>
      </c>
      <c r="H492" s="39"/>
      <c r="I492" s="39"/>
    </row>
    <row r="493">
      <c r="A493" s="39" t="s">
        <v>232</v>
      </c>
      <c r="B493" s="39" t="s">
        <v>203</v>
      </c>
      <c r="C493" s="39">
        <v>43.0</v>
      </c>
      <c r="D493" s="39" t="s">
        <v>92</v>
      </c>
      <c r="E493" s="39" t="s">
        <v>1521</v>
      </c>
      <c r="F493" s="39"/>
      <c r="G493" s="39" t="s">
        <v>945</v>
      </c>
      <c r="H493" s="39"/>
      <c r="I493" s="39"/>
    </row>
    <row r="494">
      <c r="A494" s="39" t="s">
        <v>232</v>
      </c>
      <c r="B494" s="39" t="s">
        <v>203</v>
      </c>
      <c r="C494" s="39">
        <v>44.0</v>
      </c>
      <c r="D494" s="39" t="s">
        <v>92</v>
      </c>
      <c r="E494" s="39" t="s">
        <v>1522</v>
      </c>
      <c r="F494" s="39"/>
      <c r="G494" s="39" t="s">
        <v>947</v>
      </c>
      <c r="H494" s="39"/>
      <c r="I494" s="39"/>
    </row>
    <row r="495">
      <c r="A495" s="39" t="s">
        <v>232</v>
      </c>
      <c r="B495" s="39" t="s">
        <v>203</v>
      </c>
      <c r="C495" s="39">
        <v>45.0</v>
      </c>
      <c r="D495" s="39" t="s">
        <v>92</v>
      </c>
      <c r="E495" s="39" t="s">
        <v>1523</v>
      </c>
      <c r="F495" s="39"/>
      <c r="G495" s="39" t="s">
        <v>1524</v>
      </c>
      <c r="H495" s="39" t="s">
        <v>1525</v>
      </c>
      <c r="I495" s="39"/>
    </row>
    <row r="496">
      <c r="A496" s="39" t="s">
        <v>232</v>
      </c>
      <c r="B496" s="39" t="s">
        <v>203</v>
      </c>
      <c r="C496" s="39">
        <v>46.0</v>
      </c>
      <c r="D496" s="39" t="s">
        <v>92</v>
      </c>
      <c r="E496" s="39" t="s">
        <v>1526</v>
      </c>
      <c r="F496" s="39"/>
      <c r="G496" s="39" t="s">
        <v>1148</v>
      </c>
      <c r="H496" s="39" t="s">
        <v>1527</v>
      </c>
      <c r="I496" s="39"/>
    </row>
    <row r="497">
      <c r="A497" s="39" t="s">
        <v>232</v>
      </c>
      <c r="B497" s="39" t="s">
        <v>203</v>
      </c>
      <c r="C497" s="39">
        <v>47.0</v>
      </c>
      <c r="D497" s="39" t="s">
        <v>91</v>
      </c>
      <c r="E497" s="39" t="s">
        <v>1528</v>
      </c>
      <c r="F497" s="39"/>
      <c r="G497" s="56" t="s">
        <v>836</v>
      </c>
      <c r="H497" s="39"/>
      <c r="I497" s="39"/>
    </row>
    <row r="498">
      <c r="A498" s="39" t="s">
        <v>232</v>
      </c>
      <c r="B498" s="39" t="s">
        <v>203</v>
      </c>
      <c r="C498" s="39">
        <v>48.0</v>
      </c>
      <c r="D498" s="39" t="s">
        <v>91</v>
      </c>
      <c r="E498" s="39" t="s">
        <v>1529</v>
      </c>
      <c r="F498" s="39"/>
      <c r="G498" s="56" t="s">
        <v>806</v>
      </c>
      <c r="H498" s="39"/>
      <c r="I498" s="39"/>
    </row>
    <row r="499">
      <c r="A499" s="39" t="s">
        <v>232</v>
      </c>
      <c r="B499" s="39" t="s">
        <v>203</v>
      </c>
      <c r="C499" s="39">
        <v>49.0</v>
      </c>
      <c r="D499" s="39" t="s">
        <v>92</v>
      </c>
      <c r="E499" s="39" t="s">
        <v>1530</v>
      </c>
      <c r="F499" s="39"/>
      <c r="G499" s="39" t="s">
        <v>1355</v>
      </c>
      <c r="H499" s="39" t="s">
        <v>1356</v>
      </c>
      <c r="I499" s="39"/>
    </row>
    <row r="500">
      <c r="A500" s="39" t="s">
        <v>232</v>
      </c>
      <c r="B500" s="39" t="s">
        <v>203</v>
      </c>
      <c r="C500" s="39">
        <v>50.0</v>
      </c>
      <c r="D500" s="39" t="s">
        <v>92</v>
      </c>
      <c r="E500" s="39" t="s">
        <v>1531</v>
      </c>
      <c r="F500" s="39"/>
      <c r="G500" s="39" t="s">
        <v>1430</v>
      </c>
      <c r="H500" s="39" t="s">
        <v>1532</v>
      </c>
      <c r="I500" s="39"/>
    </row>
    <row r="501">
      <c r="A501" s="39" t="s">
        <v>232</v>
      </c>
      <c r="B501" s="39" t="s">
        <v>203</v>
      </c>
      <c r="C501" s="39">
        <v>51.0</v>
      </c>
      <c r="D501" s="39" t="s">
        <v>839</v>
      </c>
      <c r="E501" s="39" t="s">
        <v>1533</v>
      </c>
      <c r="F501" s="39"/>
      <c r="G501" s="39" t="str">
        <f>IFERROR(__xludf.DUMMYFUNCTION("IFS(REGEXMATCH(E501, ""ammo_ar""), ""Daedalus AR Ammo"", REGEXMATCH(E501, ""ammo_ps""), ""Daedalus Pistol Ammo"", REGEXMATCH(E501, ""ammo_sg""), ""Daedalus Shotgun Ammo"", REGEXMATCH(E501, ""ammo_sm""), ""Daedalus SMG Ammo"", REGEXMATCH(E501, ""ammo_sr"")"&amp;", ""Daedalus SR Ammo"")"),"Daedalus SMG Ammo")</f>
        <v>Daedalus SMG Ammo</v>
      </c>
      <c r="H501" s="39"/>
      <c r="I501" s="39"/>
    </row>
    <row r="502">
      <c r="A502" s="39" t="s">
        <v>232</v>
      </c>
      <c r="B502" s="39" t="s">
        <v>203</v>
      </c>
      <c r="C502" s="39">
        <v>52.0</v>
      </c>
      <c r="D502" s="39" t="s">
        <v>839</v>
      </c>
      <c r="E502" s="39" t="s">
        <v>1534</v>
      </c>
      <c r="F502" s="39"/>
      <c r="G502" s="39" t="str">
        <f>IFERROR(__xludf.DUMMYFUNCTION("IFS(REGEXMATCH(E502, ""ammo_ar""), ""Daedalus AR Ammo"", REGEXMATCH(E502, ""ammo_ps""), ""Daedalus Pistol Ammo"", REGEXMATCH(E502, ""ammo_sg""), ""Daedalus Shotgun Ammo"", REGEXMATCH(E502, ""ammo_sm""), ""Daedalus SMG Ammo"", REGEXMATCH(E502, ""ammo_sr"")"&amp;", ""Daedalus SR Ammo"")"),"Daedalus Pistol Ammo")</f>
        <v>Daedalus Pistol Ammo</v>
      </c>
      <c r="H502" s="39"/>
      <c r="I502" s="39"/>
    </row>
    <row r="503">
      <c r="A503" s="39" t="s">
        <v>232</v>
      </c>
      <c r="B503" s="39" t="s">
        <v>203</v>
      </c>
      <c r="C503" s="39">
        <v>53.0</v>
      </c>
      <c r="D503" s="39" t="s">
        <v>839</v>
      </c>
      <c r="E503" s="39" t="s">
        <v>1535</v>
      </c>
      <c r="F503" s="39"/>
      <c r="G503" s="39" t="str">
        <f>IFERROR(__xludf.DUMMYFUNCTION("IFS(REGEXMATCH(E503, ""ammo_ar""), ""Daedalus AR Ammo"", REGEXMATCH(E503, ""ammo_ps""), ""Daedalus Pistol Ammo"", REGEXMATCH(E503, ""ammo_sg""), ""Daedalus Shotgun Ammo"", REGEXMATCH(E503, ""ammo_sm""), ""Daedalus SMG Ammo"", REGEXMATCH(E503, ""ammo_sr"")"&amp;", ""Daedalus SR Ammo"", REGEXMATCH(E503, ""ammo_assaultrifle""), ""Daedalus AR Ammo"")"),"Daedalus AR Ammo")</f>
        <v>Daedalus AR Ammo</v>
      </c>
      <c r="H503" s="39"/>
      <c r="I503" s="39"/>
    </row>
    <row r="504">
      <c r="A504" s="39" t="s">
        <v>232</v>
      </c>
      <c r="B504" s="39" t="s">
        <v>203</v>
      </c>
      <c r="C504" s="39">
        <v>54.0</v>
      </c>
      <c r="D504" s="39" t="s">
        <v>839</v>
      </c>
      <c r="E504" s="39" t="s">
        <v>1536</v>
      </c>
      <c r="F504" s="39"/>
      <c r="G504" s="39" t="str">
        <f>IFERROR(__xludf.DUMMYFUNCTION("IFS(REGEXMATCH(E504, ""ammo_ar""), ""Daedalus AR Ammo"", REGEXMATCH(E504, ""ammo_ps""), ""Daedalus Pistol Ammo"", REGEXMATCH(E504, ""ammo_sg""), ""Daedalus Shotgun Ammo"", REGEXMATCH(E504, ""ammo_sm""), ""Daedalus SMG Ammo"", REGEXMATCH(E504, ""ammo_sr"")"&amp;", ""Daedalus SR Ammo"")"),"Daedalus SR Ammo")</f>
        <v>Daedalus SR Ammo</v>
      </c>
      <c r="H504" s="39"/>
      <c r="I504" s="39"/>
    </row>
    <row r="505">
      <c r="A505" s="39" t="s">
        <v>232</v>
      </c>
      <c r="B505" s="39" t="s">
        <v>203</v>
      </c>
      <c r="C505" s="39">
        <v>55.0</v>
      </c>
      <c r="D505" s="39" t="s">
        <v>819</v>
      </c>
      <c r="E505" s="39" t="s">
        <v>1537</v>
      </c>
      <c r="F505" s="39"/>
      <c r="G505" s="56" t="s">
        <v>822</v>
      </c>
      <c r="H505" s="39"/>
      <c r="I505" s="39"/>
    </row>
    <row r="506">
      <c r="A506" s="39" t="s">
        <v>232</v>
      </c>
      <c r="B506" s="39" t="s">
        <v>203</v>
      </c>
      <c r="C506" s="39">
        <v>56.0</v>
      </c>
      <c r="D506" s="39" t="s">
        <v>819</v>
      </c>
      <c r="E506" s="39" t="s">
        <v>1538</v>
      </c>
      <c r="F506" s="39"/>
      <c r="G506" s="56" t="s">
        <v>825</v>
      </c>
      <c r="H506" s="39"/>
      <c r="I506" s="39"/>
    </row>
    <row r="507">
      <c r="A507" s="39" t="s">
        <v>232</v>
      </c>
      <c r="B507" s="39" t="s">
        <v>203</v>
      </c>
      <c r="C507" s="39">
        <v>57.0</v>
      </c>
      <c r="D507" s="39" t="s">
        <v>819</v>
      </c>
      <c r="E507" s="39" t="s">
        <v>1539</v>
      </c>
      <c r="F507" s="39"/>
      <c r="G507" s="56" t="s">
        <v>806</v>
      </c>
      <c r="H507" s="39"/>
      <c r="I507" s="39"/>
    </row>
    <row r="508">
      <c r="A508" s="39" t="s">
        <v>232</v>
      </c>
      <c r="B508" s="39" t="s">
        <v>203</v>
      </c>
      <c r="C508" s="39">
        <v>58.0</v>
      </c>
      <c r="D508" s="39" t="s">
        <v>819</v>
      </c>
      <c r="E508" s="39" t="s">
        <v>1540</v>
      </c>
      <c r="F508" s="39"/>
      <c r="G508" s="56" t="s">
        <v>806</v>
      </c>
      <c r="H508" s="39"/>
      <c r="I508" s="39"/>
    </row>
    <row r="509">
      <c r="A509" s="39" t="s">
        <v>232</v>
      </c>
      <c r="B509" s="39" t="s">
        <v>203</v>
      </c>
      <c r="C509" s="39">
        <v>59.0</v>
      </c>
      <c r="D509" s="39" t="s">
        <v>819</v>
      </c>
      <c r="E509" s="39" t="s">
        <v>1541</v>
      </c>
      <c r="F509" s="39"/>
      <c r="G509" s="56" t="s">
        <v>822</v>
      </c>
      <c r="H509" s="39"/>
      <c r="I509" s="39"/>
    </row>
    <row r="510">
      <c r="A510" s="39" t="s">
        <v>232</v>
      </c>
      <c r="B510" s="39" t="s">
        <v>203</v>
      </c>
      <c r="C510" s="39">
        <v>60.0</v>
      </c>
      <c r="D510" s="39" t="s">
        <v>819</v>
      </c>
      <c r="E510" s="39" t="s">
        <v>1542</v>
      </c>
      <c r="F510" s="39"/>
      <c r="G510" s="56" t="s">
        <v>806</v>
      </c>
      <c r="H510" s="39"/>
      <c r="I510" s="39"/>
    </row>
    <row r="511">
      <c r="A511" s="39" t="s">
        <v>232</v>
      </c>
      <c r="B511" s="39" t="s">
        <v>203</v>
      </c>
      <c r="C511" s="39">
        <v>61.0</v>
      </c>
      <c r="D511" s="39" t="s">
        <v>819</v>
      </c>
      <c r="E511" s="39" t="s">
        <v>1543</v>
      </c>
      <c r="F511" s="39"/>
      <c r="G511" s="56" t="s">
        <v>801</v>
      </c>
      <c r="H511" s="39"/>
      <c r="I511" s="39"/>
    </row>
    <row r="512">
      <c r="A512" s="39" t="s">
        <v>232</v>
      </c>
      <c r="B512" s="39" t="s">
        <v>203</v>
      </c>
      <c r="C512" s="39">
        <v>62.0</v>
      </c>
      <c r="D512" s="39" t="s">
        <v>819</v>
      </c>
      <c r="E512" s="39" t="s">
        <v>1544</v>
      </c>
      <c r="F512" s="39"/>
      <c r="G512" s="56" t="s">
        <v>822</v>
      </c>
      <c r="H512" s="39"/>
      <c r="I512" s="39"/>
    </row>
    <row r="513">
      <c r="A513" s="39" t="s">
        <v>232</v>
      </c>
      <c r="B513" s="39" t="s">
        <v>203</v>
      </c>
      <c r="C513" s="39">
        <v>63.0</v>
      </c>
      <c r="D513" s="39" t="s">
        <v>839</v>
      </c>
      <c r="E513" s="39" t="s">
        <v>1545</v>
      </c>
      <c r="F513" s="39"/>
      <c r="G513" s="39" t="s">
        <v>845</v>
      </c>
      <c r="H513" s="39"/>
      <c r="I513" s="39"/>
    </row>
    <row r="514">
      <c r="A514" s="39" t="s">
        <v>232</v>
      </c>
      <c r="B514" s="39" t="s">
        <v>203</v>
      </c>
      <c r="C514" s="39">
        <v>64.0</v>
      </c>
      <c r="D514" s="39" t="s">
        <v>839</v>
      </c>
      <c r="E514" s="39" t="s">
        <v>1546</v>
      </c>
      <c r="F514" s="39"/>
      <c r="G514" s="39" t="s">
        <v>847</v>
      </c>
      <c r="H514" s="39"/>
      <c r="I514" s="39"/>
    </row>
    <row r="515">
      <c r="A515" s="39" t="s">
        <v>232</v>
      </c>
      <c r="B515" s="39" t="s">
        <v>203</v>
      </c>
      <c r="C515" s="39">
        <v>65.0</v>
      </c>
      <c r="D515" s="39" t="s">
        <v>839</v>
      </c>
      <c r="E515" s="39" t="s">
        <v>1547</v>
      </c>
      <c r="F515" s="39"/>
      <c r="G515" s="39" t="s">
        <v>850</v>
      </c>
      <c r="H515" s="39"/>
      <c r="I515" s="39"/>
    </row>
    <row r="516">
      <c r="A516" s="39" t="s">
        <v>232</v>
      </c>
      <c r="B516" s="39" t="s">
        <v>203</v>
      </c>
      <c r="C516" s="39">
        <v>66.0</v>
      </c>
      <c r="D516" s="39" t="s">
        <v>839</v>
      </c>
      <c r="E516" s="39" t="s">
        <v>1548</v>
      </c>
      <c r="F516" s="39"/>
      <c r="G516" s="39" t="s">
        <v>853</v>
      </c>
      <c r="H516" s="39"/>
      <c r="I516" s="39"/>
    </row>
    <row r="517">
      <c r="A517" s="39" t="s">
        <v>232</v>
      </c>
      <c r="B517" s="39" t="s">
        <v>203</v>
      </c>
      <c r="C517" s="39">
        <v>67.0</v>
      </c>
      <c r="D517" s="39" t="s">
        <v>839</v>
      </c>
      <c r="E517" s="39" t="s">
        <v>1549</v>
      </c>
      <c r="F517" s="39"/>
      <c r="G517" s="39" t="s">
        <v>856</v>
      </c>
      <c r="H517" s="39"/>
      <c r="I517" s="39"/>
    </row>
    <row r="518">
      <c r="A518" s="39" t="s">
        <v>232</v>
      </c>
      <c r="B518" s="39" t="s">
        <v>203</v>
      </c>
      <c r="C518" s="39">
        <v>68.0</v>
      </c>
      <c r="D518" s="39" t="s">
        <v>91</v>
      </c>
      <c r="E518" s="39" t="s">
        <v>1550</v>
      </c>
      <c r="F518" s="39"/>
      <c r="G518" s="56" t="s">
        <v>822</v>
      </c>
      <c r="H518" s="39"/>
      <c r="I518" s="39"/>
    </row>
    <row r="519">
      <c r="A519" s="39" t="s">
        <v>232</v>
      </c>
      <c r="B519" s="39" t="s">
        <v>203</v>
      </c>
      <c r="C519" s="39">
        <v>69.0</v>
      </c>
      <c r="D519" s="39" t="s">
        <v>839</v>
      </c>
      <c r="E519" s="39" t="s">
        <v>1551</v>
      </c>
      <c r="F519" s="39"/>
      <c r="G519" s="39" t="s">
        <v>874</v>
      </c>
      <c r="H519" s="39"/>
      <c r="I519" s="39"/>
    </row>
    <row r="520">
      <c r="A520" s="39" t="s">
        <v>232</v>
      </c>
      <c r="B520" s="39" t="s">
        <v>203</v>
      </c>
      <c r="C520" s="39">
        <v>70.0</v>
      </c>
      <c r="D520" s="39" t="s">
        <v>839</v>
      </c>
      <c r="E520" s="39" t="s">
        <v>1552</v>
      </c>
      <c r="F520" s="39"/>
      <c r="G520" s="39" t="s">
        <v>880</v>
      </c>
      <c r="H520" s="39"/>
      <c r="I520" s="39"/>
    </row>
    <row r="521">
      <c r="A521" s="39" t="s">
        <v>232</v>
      </c>
      <c r="B521" s="39" t="s">
        <v>203</v>
      </c>
      <c r="C521" s="39">
        <v>71.0</v>
      </c>
      <c r="D521" s="39" t="s">
        <v>875</v>
      </c>
      <c r="E521" s="39" t="s">
        <v>1553</v>
      </c>
      <c r="F521" s="39"/>
      <c r="G521" s="39" t="s">
        <v>1554</v>
      </c>
      <c r="H521" s="39"/>
      <c r="I521" s="39"/>
    </row>
    <row r="522">
      <c r="A522" s="39" t="s">
        <v>232</v>
      </c>
      <c r="B522" s="39" t="s">
        <v>203</v>
      </c>
      <c r="C522" s="39">
        <v>72.0</v>
      </c>
      <c r="D522" s="39" t="s">
        <v>875</v>
      </c>
      <c r="E522" s="39" t="s">
        <v>1555</v>
      </c>
      <c r="F522" s="39"/>
      <c r="G522" s="39" t="s">
        <v>1556</v>
      </c>
      <c r="H522" s="39"/>
      <c r="I522" s="39"/>
    </row>
    <row r="523">
      <c r="A523" s="39" t="s">
        <v>232</v>
      </c>
      <c r="B523" s="39" t="s">
        <v>203</v>
      </c>
      <c r="C523" s="39">
        <v>73.0</v>
      </c>
      <c r="D523" s="39" t="s">
        <v>875</v>
      </c>
      <c r="E523" s="39" t="s">
        <v>1557</v>
      </c>
      <c r="F523" s="39"/>
      <c r="G523" s="39" t="s">
        <v>1558</v>
      </c>
      <c r="H523" s="39"/>
      <c r="I523" s="39"/>
    </row>
    <row r="524">
      <c r="A524" s="39" t="s">
        <v>232</v>
      </c>
      <c r="B524" s="39" t="s">
        <v>203</v>
      </c>
      <c r="C524" s="39">
        <v>74.0</v>
      </c>
      <c r="D524" s="39" t="s">
        <v>875</v>
      </c>
      <c r="E524" s="39" t="s">
        <v>1559</v>
      </c>
      <c r="F524" s="39"/>
      <c r="G524" s="39" t="s">
        <v>1560</v>
      </c>
      <c r="H524" s="39"/>
      <c r="I524" s="39"/>
    </row>
    <row r="525">
      <c r="A525" s="39" t="s">
        <v>232</v>
      </c>
      <c r="B525" s="39" t="s">
        <v>203</v>
      </c>
      <c r="C525" s="39">
        <v>75.0</v>
      </c>
      <c r="D525" s="39" t="s">
        <v>875</v>
      </c>
      <c r="E525" s="39" t="s">
        <v>1561</v>
      </c>
      <c r="F525" s="39"/>
      <c r="G525" s="39" t="s">
        <v>1562</v>
      </c>
      <c r="H525" s="39"/>
      <c r="I525" s="39"/>
    </row>
    <row r="526">
      <c r="A526" s="39" t="s">
        <v>232</v>
      </c>
      <c r="B526" s="39" t="s">
        <v>203</v>
      </c>
      <c r="C526" s="39">
        <v>76.0</v>
      </c>
      <c r="D526" s="39" t="s">
        <v>875</v>
      </c>
      <c r="E526" s="39" t="s">
        <v>1563</v>
      </c>
      <c r="F526" s="39"/>
      <c r="G526" s="39" t="s">
        <v>1564</v>
      </c>
      <c r="H526" s="39"/>
      <c r="I526" s="39"/>
    </row>
    <row r="527">
      <c r="A527" s="39" t="s">
        <v>232</v>
      </c>
      <c r="B527" s="39" t="s">
        <v>203</v>
      </c>
      <c r="C527" s="39">
        <v>77.0</v>
      </c>
      <c r="D527" s="39" t="s">
        <v>875</v>
      </c>
      <c r="E527" s="39" t="s">
        <v>1565</v>
      </c>
      <c r="F527" s="39"/>
      <c r="G527" s="39" t="s">
        <v>1566</v>
      </c>
      <c r="H527" s="39"/>
      <c r="I527" s="39"/>
    </row>
    <row r="528">
      <c r="A528" s="39" t="s">
        <v>232</v>
      </c>
      <c r="B528" s="39" t="s">
        <v>203</v>
      </c>
      <c r="C528" s="39">
        <v>78.0</v>
      </c>
      <c r="D528" s="39" t="s">
        <v>87</v>
      </c>
      <c r="E528" s="39" t="s">
        <v>1567</v>
      </c>
      <c r="F528" s="39"/>
      <c r="G528" s="39" t="s">
        <v>1568</v>
      </c>
      <c r="H528" s="39" t="s">
        <v>1569</v>
      </c>
      <c r="I528" s="39"/>
    </row>
    <row r="529">
      <c r="A529" s="39" t="s">
        <v>232</v>
      </c>
      <c r="B529" s="39" t="s">
        <v>203</v>
      </c>
      <c r="C529" s="39">
        <v>79.0</v>
      </c>
      <c r="D529" s="39" t="s">
        <v>84</v>
      </c>
      <c r="E529" s="39" t="s">
        <v>1570</v>
      </c>
      <c r="F529" s="39"/>
      <c r="G529" s="39" t="s">
        <v>1571</v>
      </c>
      <c r="H529" s="39" t="s">
        <v>1572</v>
      </c>
      <c r="I529" s="39"/>
    </row>
    <row r="530">
      <c r="A530" s="39" t="s">
        <v>232</v>
      </c>
      <c r="B530" s="39" t="s">
        <v>203</v>
      </c>
      <c r="C530" s="39">
        <v>82.0</v>
      </c>
      <c r="D530" s="39" t="s">
        <v>84</v>
      </c>
      <c r="E530" s="39" t="s">
        <v>1573</v>
      </c>
      <c r="F530" s="39"/>
      <c r="G530" s="39" t="s">
        <v>1574</v>
      </c>
      <c r="H530" s="39" t="s">
        <v>1575</v>
      </c>
      <c r="I530" s="39"/>
    </row>
    <row r="531">
      <c r="A531" s="39" t="s">
        <v>232</v>
      </c>
      <c r="B531" s="39" t="s">
        <v>203</v>
      </c>
      <c r="C531" s="39">
        <v>84.0</v>
      </c>
      <c r="D531" s="39" t="s">
        <v>875</v>
      </c>
      <c r="E531" s="39" t="s">
        <v>1576</v>
      </c>
      <c r="F531" s="39"/>
      <c r="G531" s="39" t="s">
        <v>1577</v>
      </c>
      <c r="H531" s="39"/>
      <c r="I531" s="39"/>
    </row>
    <row r="532">
      <c r="A532" s="39" t="s">
        <v>232</v>
      </c>
      <c r="B532" s="39" t="s">
        <v>203</v>
      </c>
      <c r="C532" s="39">
        <v>86.0</v>
      </c>
      <c r="D532" s="39" t="s">
        <v>84</v>
      </c>
      <c r="E532" s="39" t="s">
        <v>1578</v>
      </c>
      <c r="F532" s="39"/>
      <c r="G532" s="39" t="s">
        <v>1579</v>
      </c>
      <c r="H532" s="39"/>
      <c r="I532" s="39"/>
    </row>
    <row r="533">
      <c r="A533" s="39" t="s">
        <v>232</v>
      </c>
      <c r="B533" s="39" t="s">
        <v>203</v>
      </c>
      <c r="C533" s="39">
        <v>87.0</v>
      </c>
      <c r="D533" s="39" t="s">
        <v>87</v>
      </c>
      <c r="E533" s="39" t="s">
        <v>1580</v>
      </c>
      <c r="F533" s="39"/>
      <c r="G533" s="39" t="s">
        <v>1581</v>
      </c>
      <c r="H533" s="39" t="s">
        <v>1582</v>
      </c>
      <c r="I533" s="39"/>
    </row>
    <row r="534">
      <c r="A534" s="39" t="s">
        <v>232</v>
      </c>
      <c r="B534" s="39" t="s">
        <v>203</v>
      </c>
      <c r="C534" s="39">
        <v>88.0</v>
      </c>
      <c r="D534" s="39" t="s">
        <v>839</v>
      </c>
      <c r="E534" s="39" t="s">
        <v>1583</v>
      </c>
      <c r="F534" s="39"/>
      <c r="G534" s="39" t="s">
        <v>880</v>
      </c>
      <c r="H534" s="39"/>
      <c r="I534" s="39"/>
    </row>
    <row r="535">
      <c r="A535" s="39" t="s">
        <v>232</v>
      </c>
      <c r="B535" s="39" t="s">
        <v>203</v>
      </c>
      <c r="C535" s="39">
        <v>89.0</v>
      </c>
      <c r="D535" s="39" t="s">
        <v>839</v>
      </c>
      <c r="E535" s="39" t="s">
        <v>1584</v>
      </c>
      <c r="F535" s="39"/>
      <c r="G535" s="39" t="s">
        <v>874</v>
      </c>
      <c r="H535" s="39"/>
      <c r="I535" s="39"/>
    </row>
    <row r="536">
      <c r="A536" s="39" t="s">
        <v>232</v>
      </c>
      <c r="B536" s="39" t="s">
        <v>203</v>
      </c>
      <c r="C536" s="39">
        <v>90.0</v>
      </c>
      <c r="D536" s="39" t="s">
        <v>84</v>
      </c>
      <c r="E536" s="39" t="s">
        <v>1585</v>
      </c>
      <c r="F536" s="39"/>
      <c r="G536" s="39" t="s">
        <v>1586</v>
      </c>
      <c r="H536" s="39" t="s">
        <v>1587</v>
      </c>
      <c r="I536" s="39"/>
    </row>
    <row r="537">
      <c r="A537" s="39" t="s">
        <v>232</v>
      </c>
      <c r="B537" s="39" t="s">
        <v>203</v>
      </c>
      <c r="C537" s="39">
        <v>92.0</v>
      </c>
      <c r="D537" s="39" t="s">
        <v>87</v>
      </c>
      <c r="E537" s="39" t="s">
        <v>1588</v>
      </c>
      <c r="F537" s="39"/>
      <c r="G537" s="39" t="s">
        <v>1589</v>
      </c>
      <c r="H537" s="39" t="s">
        <v>1590</v>
      </c>
      <c r="I537" s="39"/>
    </row>
    <row r="538">
      <c r="A538" s="39" t="s">
        <v>232</v>
      </c>
      <c r="B538" s="39" t="s">
        <v>203</v>
      </c>
      <c r="C538" s="39">
        <v>93.0</v>
      </c>
      <c r="D538" s="39" t="s">
        <v>87</v>
      </c>
      <c r="E538" s="39" t="s">
        <v>1591</v>
      </c>
      <c r="F538" s="39"/>
      <c r="G538" s="39" t="s">
        <v>1592</v>
      </c>
      <c r="H538" s="39" t="s">
        <v>1593</v>
      </c>
      <c r="I538" s="39"/>
    </row>
    <row r="539">
      <c r="A539" s="39" t="s">
        <v>232</v>
      </c>
      <c r="B539" s="39" t="s">
        <v>203</v>
      </c>
      <c r="C539" s="39">
        <v>94.0</v>
      </c>
      <c r="D539" s="39" t="s">
        <v>87</v>
      </c>
      <c r="E539" s="39" t="s">
        <v>1594</v>
      </c>
      <c r="F539" s="39"/>
      <c r="G539" s="39" t="s">
        <v>1595</v>
      </c>
      <c r="H539" s="39" t="s">
        <v>1596</v>
      </c>
      <c r="I539" s="39"/>
    </row>
    <row r="540">
      <c r="A540" s="39" t="s">
        <v>232</v>
      </c>
      <c r="B540" s="39" t="s">
        <v>1597</v>
      </c>
      <c r="C540" s="39">
        <v>2.0</v>
      </c>
      <c r="D540" s="39" t="s">
        <v>81</v>
      </c>
      <c r="E540" s="39" t="s">
        <v>1598</v>
      </c>
      <c r="F540" s="39"/>
      <c r="G540" s="39" t="s">
        <v>797</v>
      </c>
      <c r="H540" s="39"/>
      <c r="I540" s="39"/>
    </row>
    <row r="541">
      <c r="A541" s="39" t="s">
        <v>232</v>
      </c>
      <c r="B541" s="39" t="s">
        <v>1597</v>
      </c>
      <c r="C541" s="39">
        <v>3.0</v>
      </c>
      <c r="D541" s="39" t="s">
        <v>798</v>
      </c>
      <c r="E541" s="39" t="s">
        <v>1599</v>
      </c>
      <c r="F541" s="39"/>
      <c r="G541" s="56" t="s">
        <v>801</v>
      </c>
      <c r="H541" s="39"/>
      <c r="I541" s="39"/>
    </row>
    <row r="542">
      <c r="A542" s="39" t="s">
        <v>232</v>
      </c>
      <c r="B542" s="39" t="s">
        <v>1597</v>
      </c>
      <c r="C542" s="39">
        <v>4.0</v>
      </c>
      <c r="D542" s="39" t="s">
        <v>798</v>
      </c>
      <c r="E542" s="39" t="s">
        <v>1600</v>
      </c>
      <c r="F542" s="39"/>
      <c r="G542" s="56" t="s">
        <v>801</v>
      </c>
      <c r="H542" s="39"/>
      <c r="I542" s="39"/>
    </row>
    <row r="543">
      <c r="A543" s="39" t="s">
        <v>232</v>
      </c>
      <c r="B543" s="39" t="s">
        <v>1597</v>
      </c>
      <c r="C543" s="39">
        <v>5.0</v>
      </c>
      <c r="D543" s="39" t="s">
        <v>798</v>
      </c>
      <c r="E543" s="39" t="s">
        <v>1601</v>
      </c>
      <c r="F543" s="39"/>
      <c r="G543" s="39" t="s">
        <v>809</v>
      </c>
      <c r="H543" s="39"/>
      <c r="I543" s="39"/>
    </row>
    <row r="544">
      <c r="A544" s="39" t="s">
        <v>232</v>
      </c>
      <c r="B544" s="39" t="s">
        <v>1597</v>
      </c>
      <c r="C544" s="39">
        <v>6.0</v>
      </c>
      <c r="D544" s="39" t="s">
        <v>798</v>
      </c>
      <c r="E544" s="39" t="s">
        <v>1602</v>
      </c>
      <c r="F544" s="39"/>
      <c r="G544" s="56" t="s">
        <v>825</v>
      </c>
      <c r="H544" s="39"/>
      <c r="I544" s="39"/>
    </row>
    <row r="545">
      <c r="A545" s="39" t="s">
        <v>232</v>
      </c>
      <c r="B545" s="39" t="s">
        <v>1597</v>
      </c>
      <c r="C545" s="39">
        <v>7.0</v>
      </c>
      <c r="D545" s="39" t="s">
        <v>84</v>
      </c>
      <c r="E545" s="39" t="s">
        <v>1603</v>
      </c>
      <c r="F545" s="39"/>
      <c r="G545" s="39" t="s">
        <v>1604</v>
      </c>
      <c r="H545" s="39"/>
      <c r="I545" s="39"/>
    </row>
    <row r="546">
      <c r="A546" s="39" t="s">
        <v>232</v>
      </c>
      <c r="B546" s="39" t="s">
        <v>1597</v>
      </c>
      <c r="C546" s="39">
        <v>8.0</v>
      </c>
      <c r="D546" s="39" t="s">
        <v>84</v>
      </c>
      <c r="E546" s="39" t="s">
        <v>1605</v>
      </c>
      <c r="F546" s="39"/>
      <c r="G546" s="39" t="s">
        <v>1606</v>
      </c>
      <c r="H546" s="39"/>
      <c r="I546" s="39"/>
    </row>
    <row r="547">
      <c r="A547" s="39" t="s">
        <v>232</v>
      </c>
      <c r="B547" s="39" t="s">
        <v>1597</v>
      </c>
      <c r="C547" s="39">
        <v>9.0</v>
      </c>
      <c r="D547" s="39" t="s">
        <v>839</v>
      </c>
      <c r="E547" s="39" t="s">
        <v>1607</v>
      </c>
      <c r="F547" s="39"/>
      <c r="G547" s="39" t="s">
        <v>989</v>
      </c>
      <c r="H547" s="39"/>
      <c r="I547" s="39"/>
    </row>
    <row r="548">
      <c r="A548" s="39" t="s">
        <v>232</v>
      </c>
      <c r="B548" s="39" t="s">
        <v>1597</v>
      </c>
      <c r="C548" s="39">
        <v>10.0</v>
      </c>
      <c r="D548" s="39" t="s">
        <v>839</v>
      </c>
      <c r="E548" s="39" t="s">
        <v>1608</v>
      </c>
      <c r="F548" s="39"/>
      <c r="G548" s="39" t="s">
        <v>991</v>
      </c>
      <c r="H548" s="39"/>
      <c r="I548" s="39"/>
    </row>
    <row r="549">
      <c r="A549" s="39" t="s">
        <v>232</v>
      </c>
      <c r="B549" s="39" t="s">
        <v>1597</v>
      </c>
      <c r="C549" s="39">
        <v>11.0</v>
      </c>
      <c r="D549" s="39" t="s">
        <v>839</v>
      </c>
      <c r="E549" s="39" t="s">
        <v>1609</v>
      </c>
      <c r="F549" s="39"/>
      <c r="G549" s="39" t="s">
        <v>993</v>
      </c>
      <c r="H549" s="39"/>
      <c r="I549" s="39"/>
    </row>
    <row r="550">
      <c r="A550" s="39" t="s">
        <v>232</v>
      </c>
      <c r="B550" s="39" t="s">
        <v>1597</v>
      </c>
      <c r="C550" s="39">
        <v>12.0</v>
      </c>
      <c r="D550" s="39" t="s">
        <v>839</v>
      </c>
      <c r="E550" s="39" t="s">
        <v>1610</v>
      </c>
      <c r="F550" s="39"/>
      <c r="G550" s="39" t="s">
        <v>995</v>
      </c>
      <c r="H550" s="39"/>
      <c r="I550" s="39"/>
    </row>
    <row r="551">
      <c r="A551" s="39" t="s">
        <v>232</v>
      </c>
      <c r="B551" s="39" t="s">
        <v>1597</v>
      </c>
      <c r="C551" s="39">
        <v>13.0</v>
      </c>
      <c r="D551" s="39" t="s">
        <v>87</v>
      </c>
      <c r="E551" s="39" t="s">
        <v>1611</v>
      </c>
      <c r="F551" s="39"/>
      <c r="G551" s="39" t="s">
        <v>1612</v>
      </c>
      <c r="H551" s="39"/>
      <c r="I551" s="39"/>
    </row>
    <row r="552">
      <c r="A552" s="39" t="s">
        <v>232</v>
      </c>
      <c r="B552" s="39" t="s">
        <v>1597</v>
      </c>
      <c r="C552" s="39">
        <v>14.0</v>
      </c>
      <c r="D552" s="39" t="s">
        <v>87</v>
      </c>
      <c r="E552" s="39" t="s">
        <v>1613</v>
      </c>
      <c r="F552" s="39"/>
      <c r="G552" s="39" t="s">
        <v>1614</v>
      </c>
      <c r="H552" s="39"/>
      <c r="I552" s="39"/>
    </row>
    <row r="553">
      <c r="A553" s="39" t="s">
        <v>232</v>
      </c>
      <c r="B553" s="39" t="s">
        <v>1597</v>
      </c>
      <c r="C553" s="39">
        <v>15.0</v>
      </c>
      <c r="D553" s="39" t="s">
        <v>87</v>
      </c>
      <c r="E553" s="39" t="s">
        <v>1615</v>
      </c>
      <c r="F553" s="39"/>
      <c r="G553" s="39" t="s">
        <v>1616</v>
      </c>
      <c r="H553" s="39"/>
      <c r="I553" s="39"/>
    </row>
    <row r="554">
      <c r="A554" s="39" t="s">
        <v>232</v>
      </c>
      <c r="B554" s="39" t="s">
        <v>1597</v>
      </c>
      <c r="C554" s="39">
        <v>16.0</v>
      </c>
      <c r="D554" s="39" t="s">
        <v>87</v>
      </c>
      <c r="E554" s="39" t="s">
        <v>1617</v>
      </c>
      <c r="F554" s="39"/>
      <c r="G554" s="39" t="s">
        <v>1618</v>
      </c>
      <c r="I554" s="39"/>
    </row>
    <row r="555">
      <c r="A555" s="39" t="s">
        <v>232</v>
      </c>
      <c r="B555" s="39" t="s">
        <v>1597</v>
      </c>
      <c r="C555" s="39">
        <v>17.0</v>
      </c>
      <c r="D555" s="39" t="s">
        <v>87</v>
      </c>
      <c r="E555" s="39" t="s">
        <v>1619</v>
      </c>
      <c r="F555" s="39"/>
      <c r="G555" s="39" t="s">
        <v>1620</v>
      </c>
      <c r="I555" s="39"/>
    </row>
    <row r="556">
      <c r="A556" s="39" t="s">
        <v>232</v>
      </c>
      <c r="B556" s="39" t="s">
        <v>1597</v>
      </c>
      <c r="C556" s="39">
        <v>18.0</v>
      </c>
      <c r="D556" s="39" t="s">
        <v>839</v>
      </c>
      <c r="E556" s="39" t="s">
        <v>1621</v>
      </c>
      <c r="F556" s="39"/>
      <c r="G556" s="39" t="s">
        <v>874</v>
      </c>
      <c r="H556" s="39"/>
      <c r="I556" s="39"/>
    </row>
    <row r="557">
      <c r="A557" s="39" t="s">
        <v>232</v>
      </c>
      <c r="B557" s="39" t="s">
        <v>1597</v>
      </c>
      <c r="C557" s="39">
        <v>19.0</v>
      </c>
      <c r="D557" s="39" t="s">
        <v>839</v>
      </c>
      <c r="E557" s="39" t="s">
        <v>1622</v>
      </c>
      <c r="F557" s="39"/>
      <c r="G557" s="39" t="s">
        <v>880</v>
      </c>
      <c r="H557" s="39"/>
      <c r="I557" s="39"/>
    </row>
    <row r="558">
      <c r="A558" s="39" t="s">
        <v>232</v>
      </c>
      <c r="B558" s="39" t="s">
        <v>1597</v>
      </c>
      <c r="C558" s="39">
        <v>20.0</v>
      </c>
      <c r="D558" s="39" t="s">
        <v>875</v>
      </c>
      <c r="E558" s="39" t="s">
        <v>1623</v>
      </c>
      <c r="F558" s="39"/>
      <c r="G558" s="39" t="s">
        <v>877</v>
      </c>
      <c r="H558" s="39"/>
      <c r="I558" s="39"/>
    </row>
    <row r="559">
      <c r="A559" s="39" t="s">
        <v>232</v>
      </c>
      <c r="B559" s="39" t="s">
        <v>1597</v>
      </c>
      <c r="C559" s="39">
        <v>21.0</v>
      </c>
      <c r="D559" s="39" t="s">
        <v>875</v>
      </c>
      <c r="E559" s="39" t="s">
        <v>1624</v>
      </c>
      <c r="F559" s="39"/>
      <c r="G559" s="39" t="s">
        <v>877</v>
      </c>
      <c r="H559" s="39"/>
      <c r="I559" s="39"/>
    </row>
    <row r="560">
      <c r="A560" s="39" t="s">
        <v>232</v>
      </c>
      <c r="B560" s="39" t="s">
        <v>1597</v>
      </c>
      <c r="C560" s="39">
        <v>22.0</v>
      </c>
      <c r="D560" s="39" t="s">
        <v>875</v>
      </c>
      <c r="E560" s="39" t="s">
        <v>1625</v>
      </c>
      <c r="F560" s="39"/>
      <c r="G560" s="39" t="s">
        <v>877</v>
      </c>
      <c r="H560" s="39"/>
      <c r="I560" s="39"/>
    </row>
    <row r="561">
      <c r="A561" s="39" t="s">
        <v>232</v>
      </c>
      <c r="B561" s="39" t="s">
        <v>1597</v>
      </c>
      <c r="C561" s="39">
        <v>23.0</v>
      </c>
      <c r="D561" s="39" t="s">
        <v>875</v>
      </c>
      <c r="E561" s="39" t="s">
        <v>1626</v>
      </c>
      <c r="F561" s="39"/>
      <c r="G561" s="39" t="s">
        <v>883</v>
      </c>
      <c r="H561" s="39"/>
      <c r="I561" s="39"/>
    </row>
    <row r="562">
      <c r="A562" s="39" t="s">
        <v>232</v>
      </c>
      <c r="B562" s="39" t="s">
        <v>1597</v>
      </c>
      <c r="C562" s="39">
        <v>24.0</v>
      </c>
      <c r="D562" s="39" t="s">
        <v>875</v>
      </c>
      <c r="E562" s="39" t="s">
        <v>1627</v>
      </c>
      <c r="F562" s="39"/>
      <c r="G562" s="39" t="s">
        <v>883</v>
      </c>
      <c r="H562" s="39"/>
      <c r="I562" s="39"/>
    </row>
    <row r="563">
      <c r="A563" s="39" t="s">
        <v>232</v>
      </c>
      <c r="B563" s="39" t="s">
        <v>1597</v>
      </c>
      <c r="C563" s="39">
        <v>25.0</v>
      </c>
      <c r="D563" s="39" t="s">
        <v>88</v>
      </c>
      <c r="E563" s="39" t="s">
        <v>1628</v>
      </c>
      <c r="F563" s="39"/>
      <c r="G563" s="39" t="s">
        <v>901</v>
      </c>
      <c r="H563" s="39"/>
      <c r="I563" s="39"/>
    </row>
    <row r="564">
      <c r="A564" s="39" t="s">
        <v>232</v>
      </c>
      <c r="B564" s="39" t="s">
        <v>1597</v>
      </c>
      <c r="C564" s="39">
        <v>26.0</v>
      </c>
      <c r="D564" s="39" t="s">
        <v>88</v>
      </c>
      <c r="E564" s="39" t="s">
        <v>1629</v>
      </c>
      <c r="F564" s="39"/>
      <c r="G564" s="39" t="s">
        <v>892</v>
      </c>
      <c r="H564" s="39" t="s">
        <v>1630</v>
      </c>
      <c r="I564" s="39"/>
    </row>
    <row r="565">
      <c r="A565" s="39" t="s">
        <v>232</v>
      </c>
      <c r="B565" s="39" t="s">
        <v>1597</v>
      </c>
      <c r="C565" s="39">
        <v>27.0</v>
      </c>
      <c r="D565" s="39" t="s">
        <v>88</v>
      </c>
      <c r="E565" s="39" t="s">
        <v>1631</v>
      </c>
      <c r="F565" s="39"/>
      <c r="G565" s="39" t="s">
        <v>895</v>
      </c>
      <c r="H565" s="39"/>
      <c r="I565" s="39"/>
    </row>
    <row r="566">
      <c r="A566" s="39" t="s">
        <v>232</v>
      </c>
      <c r="B566" s="39" t="s">
        <v>1597</v>
      </c>
      <c r="C566" s="39">
        <v>28.0</v>
      </c>
      <c r="D566" s="39" t="s">
        <v>88</v>
      </c>
      <c r="E566" s="39" t="s">
        <v>1632</v>
      </c>
      <c r="F566" s="39"/>
      <c r="G566" s="39" t="s">
        <v>895</v>
      </c>
      <c r="H566" s="39"/>
      <c r="I566" s="39"/>
    </row>
    <row r="567">
      <c r="A567" s="39" t="s">
        <v>232</v>
      </c>
      <c r="B567" s="39" t="s">
        <v>1597</v>
      </c>
      <c r="C567" s="39">
        <v>29.0</v>
      </c>
      <c r="D567" s="39" t="s">
        <v>88</v>
      </c>
      <c r="E567" s="39" t="s">
        <v>1633</v>
      </c>
      <c r="F567" s="39"/>
      <c r="G567" s="39" t="s">
        <v>892</v>
      </c>
      <c r="H567" s="39" t="s">
        <v>1630</v>
      </c>
      <c r="I567" s="39"/>
    </row>
    <row r="568">
      <c r="A568" s="39" t="s">
        <v>232</v>
      </c>
      <c r="B568" s="39" t="s">
        <v>1597</v>
      </c>
      <c r="C568" s="39">
        <v>30.0</v>
      </c>
      <c r="D568" s="39" t="s">
        <v>902</v>
      </c>
      <c r="E568" s="39" t="s">
        <v>1634</v>
      </c>
      <c r="F568" s="39"/>
      <c r="G568" s="56" t="s">
        <v>822</v>
      </c>
      <c r="H568" s="39"/>
      <c r="I568" s="39"/>
    </row>
    <row r="569">
      <c r="A569" s="39" t="s">
        <v>232</v>
      </c>
      <c r="B569" s="39" t="s">
        <v>1597</v>
      </c>
      <c r="C569" s="39">
        <v>31.0</v>
      </c>
      <c r="D569" s="39" t="s">
        <v>902</v>
      </c>
      <c r="E569" s="39" t="s">
        <v>1635</v>
      </c>
      <c r="F569" s="39"/>
      <c r="G569" s="56" t="s">
        <v>801</v>
      </c>
      <c r="H569" s="39"/>
      <c r="I569" s="39"/>
    </row>
    <row r="570">
      <c r="A570" s="39" t="s">
        <v>232</v>
      </c>
      <c r="B570" s="39" t="s">
        <v>1597</v>
      </c>
      <c r="C570" s="39">
        <v>32.0</v>
      </c>
      <c r="D570" s="39" t="s">
        <v>902</v>
      </c>
      <c r="E570" s="39" t="s">
        <v>1636</v>
      </c>
      <c r="F570" s="39"/>
      <c r="G570" s="39" t="s">
        <v>809</v>
      </c>
      <c r="H570" s="39"/>
      <c r="I570" s="39"/>
    </row>
    <row r="571">
      <c r="A571" s="39" t="s">
        <v>232</v>
      </c>
      <c r="B571" s="39" t="s">
        <v>1597</v>
      </c>
      <c r="C571" s="39">
        <v>33.0</v>
      </c>
      <c r="D571" s="39" t="s">
        <v>902</v>
      </c>
      <c r="E571" s="39" t="s">
        <v>1637</v>
      </c>
      <c r="F571" s="39"/>
      <c r="G571" s="56" t="s">
        <v>825</v>
      </c>
      <c r="H571" s="39"/>
      <c r="I571" s="39"/>
    </row>
    <row r="572">
      <c r="A572" s="39" t="s">
        <v>232</v>
      </c>
      <c r="B572" s="39" t="s">
        <v>1597</v>
      </c>
      <c r="C572" s="39">
        <v>34.0</v>
      </c>
      <c r="D572" s="39" t="s">
        <v>902</v>
      </c>
      <c r="E572" s="39" t="s">
        <v>1638</v>
      </c>
      <c r="F572" s="39"/>
      <c r="G572" s="56" t="s">
        <v>822</v>
      </c>
      <c r="H572" s="39"/>
      <c r="I572" s="39"/>
    </row>
    <row r="573">
      <c r="A573" s="39" t="s">
        <v>232</v>
      </c>
      <c r="B573" s="39" t="s">
        <v>1597</v>
      </c>
      <c r="C573" s="39">
        <v>35.0</v>
      </c>
      <c r="D573" s="39" t="s">
        <v>902</v>
      </c>
      <c r="E573" s="39" t="s">
        <v>1639</v>
      </c>
      <c r="F573" s="39"/>
      <c r="G573" s="56" t="s">
        <v>801</v>
      </c>
      <c r="H573" s="39"/>
      <c r="I573" s="39"/>
    </row>
    <row r="574">
      <c r="A574" s="39" t="s">
        <v>232</v>
      </c>
      <c r="B574" s="39" t="s">
        <v>1597</v>
      </c>
      <c r="C574" s="39">
        <v>36.0</v>
      </c>
      <c r="D574" s="39" t="s">
        <v>902</v>
      </c>
      <c r="E574" s="39" t="s">
        <v>1640</v>
      </c>
      <c r="F574" s="39"/>
      <c r="G574" s="39" t="s">
        <v>809</v>
      </c>
      <c r="H574" s="39"/>
      <c r="I574" s="39"/>
    </row>
    <row r="575">
      <c r="A575" s="39" t="s">
        <v>232</v>
      </c>
      <c r="B575" s="39" t="s">
        <v>1597</v>
      </c>
      <c r="C575" s="39">
        <v>37.0</v>
      </c>
      <c r="D575" s="39" t="s">
        <v>902</v>
      </c>
      <c r="E575" s="39" t="s">
        <v>1641</v>
      </c>
      <c r="F575" s="39"/>
      <c r="G575" s="56" t="s">
        <v>825</v>
      </c>
      <c r="H575" s="39"/>
      <c r="I575" s="39"/>
    </row>
    <row r="576">
      <c r="A576" s="39" t="s">
        <v>232</v>
      </c>
      <c r="B576" s="39" t="s">
        <v>1597</v>
      </c>
      <c r="C576" s="39">
        <v>38.0</v>
      </c>
      <c r="D576" s="39" t="s">
        <v>90</v>
      </c>
      <c r="E576" s="39" t="s">
        <v>1642</v>
      </c>
      <c r="F576" s="39"/>
      <c r="G576" s="39" t="s">
        <v>927</v>
      </c>
      <c r="H576" s="39"/>
      <c r="I576" s="39"/>
    </row>
    <row r="577">
      <c r="A577" s="39" t="s">
        <v>232</v>
      </c>
      <c r="B577" s="39" t="s">
        <v>1597</v>
      </c>
      <c r="C577" s="39">
        <v>39.0</v>
      </c>
      <c r="D577" s="39" t="s">
        <v>90</v>
      </c>
      <c r="E577" s="39" t="s">
        <v>1643</v>
      </c>
      <c r="F577" s="39"/>
      <c r="G577" s="39" t="s">
        <v>924</v>
      </c>
      <c r="H577" s="39"/>
      <c r="I577" s="39"/>
    </row>
    <row r="578">
      <c r="A578" s="39" t="s">
        <v>232</v>
      </c>
      <c r="B578" s="39" t="s">
        <v>1597</v>
      </c>
      <c r="C578" s="39">
        <v>40.0</v>
      </c>
      <c r="D578" s="39" t="s">
        <v>90</v>
      </c>
      <c r="E578" s="39" t="s">
        <v>1644</v>
      </c>
      <c r="F578" s="39"/>
      <c r="G578" s="39" t="s">
        <v>930</v>
      </c>
      <c r="H578" s="39"/>
      <c r="I578" s="39"/>
    </row>
    <row r="579">
      <c r="A579" s="39" t="s">
        <v>232</v>
      </c>
      <c r="B579" s="39" t="s">
        <v>1597</v>
      </c>
      <c r="C579" s="39">
        <v>41.0</v>
      </c>
      <c r="D579" s="39" t="s">
        <v>90</v>
      </c>
      <c r="E579" s="39" t="s">
        <v>1645</v>
      </c>
      <c r="F579" s="39"/>
      <c r="G579" s="39" t="s">
        <v>939</v>
      </c>
      <c r="H579" s="39"/>
      <c r="I579" s="39"/>
    </row>
    <row r="580">
      <c r="A580" s="39" t="s">
        <v>232</v>
      </c>
      <c r="B580" s="39" t="s">
        <v>1597</v>
      </c>
      <c r="C580" s="39">
        <v>42.0</v>
      </c>
      <c r="D580" s="39" t="s">
        <v>90</v>
      </c>
      <c r="E580" s="39" t="s">
        <v>1646</v>
      </c>
      <c r="F580" s="39"/>
      <c r="G580" s="56" t="s">
        <v>822</v>
      </c>
      <c r="H580" s="39"/>
      <c r="I580" s="39"/>
    </row>
    <row r="581">
      <c r="A581" s="39" t="s">
        <v>232</v>
      </c>
      <c r="B581" s="39" t="s">
        <v>1597</v>
      </c>
      <c r="C581" s="39">
        <v>43.0</v>
      </c>
      <c r="D581" s="39" t="s">
        <v>90</v>
      </c>
      <c r="E581" s="39" t="s">
        <v>1647</v>
      </c>
      <c r="F581" s="39"/>
      <c r="G581" s="56" t="s">
        <v>825</v>
      </c>
      <c r="H581" s="39"/>
      <c r="I581" s="39"/>
    </row>
    <row r="582">
      <c r="A582" s="39" t="s">
        <v>232</v>
      </c>
      <c r="B582" s="39" t="s">
        <v>1597</v>
      </c>
      <c r="C582" s="39">
        <v>44.0</v>
      </c>
      <c r="D582" s="39" t="s">
        <v>90</v>
      </c>
      <c r="E582" s="39" t="s">
        <v>1648</v>
      </c>
      <c r="F582" s="39"/>
      <c r="G582" s="56" t="s">
        <v>801</v>
      </c>
      <c r="H582" s="39"/>
      <c r="I582" s="39"/>
    </row>
    <row r="583">
      <c r="A583" s="39" t="s">
        <v>232</v>
      </c>
      <c r="B583" s="39" t="s">
        <v>1597</v>
      </c>
      <c r="C583" s="39">
        <v>45.0</v>
      </c>
      <c r="D583" s="39" t="s">
        <v>92</v>
      </c>
      <c r="E583" s="39" t="s">
        <v>1649</v>
      </c>
      <c r="F583" s="39"/>
      <c r="G583" s="39" t="s">
        <v>954</v>
      </c>
      <c r="H583" s="39"/>
      <c r="I583" s="39"/>
    </row>
    <row r="584">
      <c r="A584" s="39" t="s">
        <v>232</v>
      </c>
      <c r="B584" s="39" t="s">
        <v>1597</v>
      </c>
      <c r="C584" s="39">
        <v>46.0</v>
      </c>
      <c r="D584" s="39" t="s">
        <v>92</v>
      </c>
      <c r="E584" s="39" t="s">
        <v>1650</v>
      </c>
      <c r="F584" s="39"/>
      <c r="G584" s="39" t="s">
        <v>1651</v>
      </c>
      <c r="H584" s="39"/>
      <c r="I584" s="39"/>
    </row>
    <row r="585">
      <c r="A585" s="39" t="s">
        <v>232</v>
      </c>
      <c r="B585" s="39" t="s">
        <v>1597</v>
      </c>
      <c r="C585" s="39">
        <v>47.0</v>
      </c>
      <c r="D585" s="39" t="s">
        <v>92</v>
      </c>
      <c r="E585" s="39" t="s">
        <v>1652</v>
      </c>
      <c r="F585" s="39"/>
      <c r="G585" s="39" t="s">
        <v>945</v>
      </c>
      <c r="H585" s="39"/>
      <c r="I585" s="39"/>
    </row>
    <row r="586">
      <c r="A586" s="39" t="s">
        <v>232</v>
      </c>
      <c r="B586" s="39" t="s">
        <v>1597</v>
      </c>
      <c r="C586" s="39">
        <v>48.0</v>
      </c>
      <c r="D586" s="39" t="s">
        <v>92</v>
      </c>
      <c r="E586" s="39" t="s">
        <v>1653</v>
      </c>
      <c r="F586" s="39"/>
      <c r="G586" s="39" t="s">
        <v>1355</v>
      </c>
      <c r="H586" s="39" t="s">
        <v>1356</v>
      </c>
      <c r="I586" s="39"/>
    </row>
    <row r="587">
      <c r="A587" s="39" t="s">
        <v>232</v>
      </c>
      <c r="B587" s="39" t="s">
        <v>1597</v>
      </c>
      <c r="C587" s="39">
        <v>49.0</v>
      </c>
      <c r="D587" s="39" t="s">
        <v>91</v>
      </c>
      <c r="E587" s="39" t="s">
        <v>1654</v>
      </c>
      <c r="F587" s="39"/>
      <c r="G587" s="56" t="s">
        <v>801</v>
      </c>
      <c r="H587" s="39"/>
      <c r="I587" s="39"/>
    </row>
    <row r="588">
      <c r="A588" s="39" t="s">
        <v>232</v>
      </c>
      <c r="B588" s="39" t="s">
        <v>1597</v>
      </c>
      <c r="C588" s="39">
        <v>50.0</v>
      </c>
      <c r="D588" s="39" t="s">
        <v>91</v>
      </c>
      <c r="E588" s="39" t="s">
        <v>1655</v>
      </c>
      <c r="F588" s="39"/>
      <c r="G588" s="39" t="s">
        <v>809</v>
      </c>
      <c r="H588" s="39"/>
      <c r="I588" s="39"/>
    </row>
    <row r="589">
      <c r="A589" s="39" t="s">
        <v>232</v>
      </c>
      <c r="B589" s="39" t="s">
        <v>1597</v>
      </c>
      <c r="C589" s="39">
        <v>51.0</v>
      </c>
      <c r="D589" s="39" t="s">
        <v>91</v>
      </c>
      <c r="E589" s="39" t="s">
        <v>1656</v>
      </c>
      <c r="F589" s="39"/>
      <c r="G589" s="56" t="s">
        <v>822</v>
      </c>
      <c r="H589" s="39"/>
      <c r="I589" s="39"/>
    </row>
    <row r="590">
      <c r="A590" s="39" t="s">
        <v>232</v>
      </c>
      <c r="B590" s="39" t="s">
        <v>1597</v>
      </c>
      <c r="C590" s="39">
        <v>52.0</v>
      </c>
      <c r="D590" s="39" t="s">
        <v>92</v>
      </c>
      <c r="E590" s="39" t="s">
        <v>1657</v>
      </c>
      <c r="F590" s="39"/>
      <c r="G590" s="39" t="s">
        <v>947</v>
      </c>
      <c r="H590" s="39"/>
      <c r="I590" s="39"/>
    </row>
    <row r="591">
      <c r="A591" s="39" t="s">
        <v>232</v>
      </c>
      <c r="B591" s="39" t="s">
        <v>1597</v>
      </c>
      <c r="C591" s="39">
        <v>53.0</v>
      </c>
      <c r="D591" s="39" t="s">
        <v>92</v>
      </c>
      <c r="E591" s="39" t="s">
        <v>1658</v>
      </c>
      <c r="F591" s="39"/>
      <c r="G591" s="39" t="s">
        <v>1659</v>
      </c>
      <c r="H591" s="39" t="s">
        <v>1660</v>
      </c>
      <c r="I591" s="39"/>
    </row>
    <row r="592">
      <c r="A592" s="39" t="s">
        <v>232</v>
      </c>
      <c r="B592" s="39" t="s">
        <v>1597</v>
      </c>
      <c r="C592" s="39">
        <v>54.0</v>
      </c>
      <c r="D592" s="39" t="s">
        <v>839</v>
      </c>
      <c r="E592" s="39" t="s">
        <v>1661</v>
      </c>
      <c r="F592" s="39"/>
      <c r="G592" s="39" t="str">
        <f>IFERROR(__xludf.DUMMYFUNCTION("IFS(REGEXMATCH(E592, ""ammo_ar""), ""Daedalus AR Ammo"", REGEXMATCH(E592, ""ammo_ps""), ""Daedalus Pistol Ammo"", REGEXMATCH(E592, ""ammo_sg""), ""Daedalus Shotgun Ammo"", REGEXMATCH(E592, ""ammo_sm""), ""Daedalus SMG Ammo"", REGEXMATCH(E592, ""ammo_sr"")"&amp;", ""Daedalus SR Ammo"")"),"Daedalus SMG Ammo")</f>
        <v>Daedalus SMG Ammo</v>
      </c>
      <c r="H592" s="39"/>
      <c r="I592" s="39"/>
    </row>
    <row r="593">
      <c r="A593" s="39" t="s">
        <v>232</v>
      </c>
      <c r="B593" s="39" t="s">
        <v>1597</v>
      </c>
      <c r="C593" s="39">
        <v>55.0</v>
      </c>
      <c r="D593" s="39" t="s">
        <v>839</v>
      </c>
      <c r="E593" s="39" t="s">
        <v>1662</v>
      </c>
      <c r="F593" s="39"/>
      <c r="G593" s="39" t="str">
        <f>IFERROR(__xludf.DUMMYFUNCTION("IFS(REGEXMATCH(E593, ""ammo_ar""), ""Daedalus AR Ammo"", REGEXMATCH(E593, ""ammo_ps""), ""Daedalus Pistol Ammo"", REGEXMATCH(E593, ""ammo_sg""), ""Daedalus Shotgun Ammo"", REGEXMATCH(E593, ""ammo_sm""), ""Daedalus SMG Ammo"", REGEXMATCH(E593, ""ammo_sr"")"&amp;", ""Daedalus SR Ammo"")"),"Daedalus AR Ammo")</f>
        <v>Daedalus AR Ammo</v>
      </c>
      <c r="H593" s="39"/>
      <c r="I593" s="39"/>
    </row>
    <row r="594">
      <c r="A594" s="39" t="s">
        <v>232</v>
      </c>
      <c r="B594" s="39" t="s">
        <v>1597</v>
      </c>
      <c r="C594" s="39">
        <v>56.0</v>
      </c>
      <c r="D594" s="39" t="s">
        <v>839</v>
      </c>
      <c r="E594" s="39" t="s">
        <v>1663</v>
      </c>
      <c r="F594" s="39"/>
      <c r="G594" s="39" t="str">
        <f>IFERROR(__xludf.DUMMYFUNCTION("IFS(REGEXMATCH(E594, ""ammo_ar""), ""Daedalus AR Ammo"", REGEXMATCH(E594, ""ammo_ps""), ""Daedalus Pistol Ammo"", REGEXMATCH(E594, ""ammo_sg""), ""Daedalus Shotgun Ammo"", REGEXMATCH(E594, ""ammo_sm""), ""Daedalus SMG Ammo"", REGEXMATCH(E594, ""ammo_sr"")"&amp;", ""Daedalus SR Ammo"")"),"Daedalus Pistol Ammo")</f>
        <v>Daedalus Pistol Ammo</v>
      </c>
      <c r="H594" s="39"/>
      <c r="I594" s="39"/>
    </row>
    <row r="595">
      <c r="A595" s="39" t="s">
        <v>232</v>
      </c>
      <c r="B595" s="39" t="s">
        <v>1597</v>
      </c>
      <c r="C595" s="39">
        <v>57.0</v>
      </c>
      <c r="D595" s="39" t="s">
        <v>819</v>
      </c>
      <c r="E595" s="39" t="s">
        <v>1664</v>
      </c>
      <c r="F595" s="39"/>
      <c r="G595" s="56" t="s">
        <v>822</v>
      </c>
      <c r="H595" s="39"/>
      <c r="I595" s="39"/>
    </row>
    <row r="596">
      <c r="A596" s="39" t="s">
        <v>232</v>
      </c>
      <c r="B596" s="39" t="s">
        <v>1597</v>
      </c>
      <c r="C596" s="39">
        <v>58.0</v>
      </c>
      <c r="D596" s="39" t="s">
        <v>819</v>
      </c>
      <c r="E596" s="39" t="s">
        <v>1665</v>
      </c>
      <c r="F596" s="39"/>
      <c r="G596" s="56" t="s">
        <v>825</v>
      </c>
      <c r="H596" s="39"/>
      <c r="I596" s="39"/>
    </row>
    <row r="597">
      <c r="A597" s="39" t="s">
        <v>232</v>
      </c>
      <c r="B597" s="39" t="s">
        <v>1597</v>
      </c>
      <c r="C597" s="39">
        <v>59.0</v>
      </c>
      <c r="D597" s="39" t="s">
        <v>819</v>
      </c>
      <c r="E597" s="39" t="s">
        <v>1666</v>
      </c>
      <c r="F597" s="39"/>
      <c r="G597" s="39" t="s">
        <v>809</v>
      </c>
      <c r="H597" s="39"/>
      <c r="I597" s="39"/>
    </row>
    <row r="598">
      <c r="A598" s="39" t="s">
        <v>232</v>
      </c>
      <c r="B598" s="39" t="s">
        <v>1597</v>
      </c>
      <c r="C598" s="39">
        <v>60.0</v>
      </c>
      <c r="D598" s="39" t="s">
        <v>819</v>
      </c>
      <c r="E598" s="39" t="s">
        <v>1667</v>
      </c>
      <c r="F598" s="39"/>
      <c r="G598" s="39" t="s">
        <v>809</v>
      </c>
      <c r="H598" s="39"/>
      <c r="I598" s="39"/>
    </row>
    <row r="599">
      <c r="A599" s="39" t="s">
        <v>232</v>
      </c>
      <c r="B599" s="39" t="s">
        <v>1597</v>
      </c>
      <c r="C599" s="39">
        <v>61.0</v>
      </c>
      <c r="D599" s="39" t="s">
        <v>819</v>
      </c>
      <c r="E599" s="39" t="s">
        <v>1668</v>
      </c>
      <c r="F599" s="39"/>
      <c r="G599" s="56" t="s">
        <v>822</v>
      </c>
      <c r="H599" s="39"/>
      <c r="I599" s="39"/>
    </row>
    <row r="600">
      <c r="A600" s="39" t="s">
        <v>232</v>
      </c>
      <c r="B600" s="39" t="s">
        <v>1597</v>
      </c>
      <c r="C600" s="39">
        <v>62.0</v>
      </c>
      <c r="D600" s="39" t="s">
        <v>819</v>
      </c>
      <c r="E600" s="39" t="s">
        <v>1669</v>
      </c>
      <c r="F600" s="39"/>
      <c r="G600" s="39" t="s">
        <v>809</v>
      </c>
      <c r="H600" s="39"/>
      <c r="I600" s="39"/>
    </row>
    <row r="601">
      <c r="A601" s="39" t="s">
        <v>232</v>
      </c>
      <c r="B601" s="39" t="s">
        <v>1597</v>
      </c>
      <c r="C601" s="39">
        <v>63.0</v>
      </c>
      <c r="D601" s="39" t="s">
        <v>819</v>
      </c>
      <c r="E601" s="39" t="s">
        <v>1670</v>
      </c>
      <c r="F601" s="39"/>
      <c r="G601" s="56" t="s">
        <v>836</v>
      </c>
      <c r="I601" s="39"/>
    </row>
    <row r="602">
      <c r="A602" s="39" t="s">
        <v>232</v>
      </c>
      <c r="B602" s="39" t="s">
        <v>1597</v>
      </c>
      <c r="C602" s="39">
        <v>64.0</v>
      </c>
      <c r="D602" s="39" t="s">
        <v>819</v>
      </c>
      <c r="E602" s="39" t="s">
        <v>1671</v>
      </c>
      <c r="F602" s="39"/>
      <c r="G602" s="56" t="s">
        <v>822</v>
      </c>
      <c r="H602" s="39"/>
      <c r="I602" s="39"/>
    </row>
    <row r="603">
      <c r="A603" s="39" t="s">
        <v>232</v>
      </c>
      <c r="B603" s="39" t="s">
        <v>1597</v>
      </c>
      <c r="C603" s="39">
        <v>65.0</v>
      </c>
      <c r="D603" s="39" t="s">
        <v>839</v>
      </c>
      <c r="E603" s="39" t="s">
        <v>1672</v>
      </c>
      <c r="F603" s="39"/>
      <c r="G603" s="39" t="s">
        <v>845</v>
      </c>
      <c r="H603" s="39"/>
      <c r="I603" s="39"/>
    </row>
    <row r="604">
      <c r="A604" s="39" t="s">
        <v>232</v>
      </c>
      <c r="B604" s="39" t="s">
        <v>1597</v>
      </c>
      <c r="C604" s="39">
        <v>66.0</v>
      </c>
      <c r="D604" s="39" t="s">
        <v>839</v>
      </c>
      <c r="E604" s="39" t="s">
        <v>1673</v>
      </c>
      <c r="F604" s="39"/>
      <c r="G604" s="39" t="s">
        <v>847</v>
      </c>
      <c r="H604" s="39"/>
      <c r="I604" s="39"/>
    </row>
    <row r="605">
      <c r="A605" s="39" t="s">
        <v>232</v>
      </c>
      <c r="B605" s="39" t="s">
        <v>1597</v>
      </c>
      <c r="C605" s="39">
        <v>67.0</v>
      </c>
      <c r="D605" s="39" t="s">
        <v>839</v>
      </c>
      <c r="E605" s="39" t="s">
        <v>1674</v>
      </c>
      <c r="F605" s="39"/>
      <c r="G605" s="39" t="s">
        <v>853</v>
      </c>
      <c r="H605" s="39"/>
      <c r="I605" s="39"/>
    </row>
    <row r="606">
      <c r="A606" s="39" t="s">
        <v>232</v>
      </c>
      <c r="B606" s="39" t="s">
        <v>1597</v>
      </c>
      <c r="C606" s="39">
        <v>68.0</v>
      </c>
      <c r="D606" s="39" t="s">
        <v>839</v>
      </c>
      <c r="E606" s="39" t="s">
        <v>1675</v>
      </c>
      <c r="F606" s="39"/>
      <c r="G606" s="39" t="s">
        <v>850</v>
      </c>
      <c r="H606" s="39"/>
      <c r="I606" s="39"/>
    </row>
    <row r="607">
      <c r="A607" s="39" t="s">
        <v>232</v>
      </c>
      <c r="B607" s="39" t="s">
        <v>1597</v>
      </c>
      <c r="C607" s="39">
        <v>69.0</v>
      </c>
      <c r="D607" s="39" t="s">
        <v>839</v>
      </c>
      <c r="E607" s="39" t="s">
        <v>1676</v>
      </c>
      <c r="F607" s="39"/>
      <c r="G607" s="39" t="s">
        <v>856</v>
      </c>
      <c r="H607" s="39"/>
      <c r="I607" s="39"/>
    </row>
    <row r="608">
      <c r="A608" s="39" t="s">
        <v>232</v>
      </c>
      <c r="B608" s="39" t="s">
        <v>1597</v>
      </c>
      <c r="C608" s="39">
        <v>70.0</v>
      </c>
      <c r="D608" s="39" t="s">
        <v>839</v>
      </c>
      <c r="E608" s="39" t="s">
        <v>1677</v>
      </c>
      <c r="F608" s="39"/>
      <c r="G608" s="39" t="str">
        <f>IFERROR(__xludf.DUMMYFUNCTION("IFS(REGEXMATCH(E608, ""ammo_ar""), ""Daedalus AR Ammo"", REGEXMATCH(E608, ""ammo_ps""), ""Daedalus Pistol Ammo"", REGEXMATCH(E608, ""ammo_sg""), ""Daedalus Shotgun Ammo"", REGEXMATCH(E608, ""ammo_sm""), ""Daedalus SMG Ammo"", REGEXMATCH(E608, ""ammo_sr"")"&amp;", ""Daedalus SR Ammo"")"),"Daedalus Shotgun Ammo")</f>
        <v>Daedalus Shotgun Ammo</v>
      </c>
      <c r="H608" s="39"/>
      <c r="I608" s="39"/>
    </row>
    <row r="609">
      <c r="A609" s="39" t="s">
        <v>232</v>
      </c>
      <c r="B609" s="39" t="s">
        <v>1597</v>
      </c>
      <c r="C609" s="39">
        <v>72.0</v>
      </c>
      <c r="D609" s="39" t="s">
        <v>84</v>
      </c>
      <c r="E609" s="39" t="s">
        <v>1678</v>
      </c>
      <c r="F609" s="39"/>
      <c r="G609" s="39" t="s">
        <v>1679</v>
      </c>
      <c r="H609" s="39" t="s">
        <v>1680</v>
      </c>
      <c r="I609" s="39"/>
    </row>
    <row r="610">
      <c r="A610" s="39" t="s">
        <v>232</v>
      </c>
      <c r="B610" s="39" t="s">
        <v>1597</v>
      </c>
      <c r="C610" s="39">
        <v>74.0</v>
      </c>
      <c r="D610" s="39" t="s">
        <v>84</v>
      </c>
      <c r="E610" s="39" t="s">
        <v>1681</v>
      </c>
      <c r="F610" s="39"/>
      <c r="G610" s="39" t="s">
        <v>1682</v>
      </c>
      <c r="H610" s="39" t="s">
        <v>1683</v>
      </c>
      <c r="I610" s="39"/>
    </row>
    <row r="611">
      <c r="A611" s="39" t="s">
        <v>232</v>
      </c>
      <c r="B611" s="39" t="s">
        <v>1597</v>
      </c>
      <c r="C611" s="39">
        <v>75.0</v>
      </c>
      <c r="D611" s="39" t="s">
        <v>84</v>
      </c>
      <c r="E611" s="39" t="s">
        <v>1684</v>
      </c>
      <c r="F611" s="39"/>
      <c r="G611" s="39" t="s">
        <v>1685</v>
      </c>
      <c r="H611" s="39" t="s">
        <v>1686</v>
      </c>
      <c r="I611" s="39"/>
    </row>
    <row r="612">
      <c r="A612" s="39" t="s">
        <v>307</v>
      </c>
      <c r="B612" s="39" t="s">
        <v>203</v>
      </c>
      <c r="C612" s="39">
        <v>2.0</v>
      </c>
      <c r="D612" s="39" t="s">
        <v>81</v>
      </c>
      <c r="E612" s="39" t="s">
        <v>1687</v>
      </c>
      <c r="F612" s="39"/>
      <c r="G612" s="39" t="s">
        <v>797</v>
      </c>
      <c r="H612" s="39"/>
      <c r="I612" s="39"/>
    </row>
    <row r="613">
      <c r="A613" s="39" t="s">
        <v>307</v>
      </c>
      <c r="B613" s="39" t="s">
        <v>203</v>
      </c>
      <c r="C613" s="39">
        <v>3.0</v>
      </c>
      <c r="D613" s="39" t="s">
        <v>798</v>
      </c>
      <c r="E613" s="39" t="s">
        <v>1688</v>
      </c>
      <c r="F613" s="39"/>
      <c r="G613" s="56" t="s">
        <v>801</v>
      </c>
      <c r="H613" s="39"/>
      <c r="I613" s="39"/>
    </row>
    <row r="614">
      <c r="A614" s="39" t="s">
        <v>307</v>
      </c>
      <c r="B614" s="39" t="s">
        <v>203</v>
      </c>
      <c r="C614" s="39">
        <v>4.0</v>
      </c>
      <c r="D614" s="39" t="s">
        <v>798</v>
      </c>
      <c r="E614" s="39" t="s">
        <v>1689</v>
      </c>
      <c r="F614" s="39"/>
      <c r="G614" s="56" t="s">
        <v>1690</v>
      </c>
      <c r="H614" s="39"/>
      <c r="I614" s="39"/>
    </row>
    <row r="615">
      <c r="A615" s="39" t="s">
        <v>307</v>
      </c>
      <c r="B615" s="39" t="s">
        <v>203</v>
      </c>
      <c r="C615" s="39">
        <v>5.0</v>
      </c>
      <c r="D615" s="39" t="s">
        <v>798</v>
      </c>
      <c r="E615" s="39" t="s">
        <v>1691</v>
      </c>
      <c r="F615" s="39"/>
      <c r="G615" s="56" t="s">
        <v>806</v>
      </c>
      <c r="H615" s="39"/>
      <c r="I615" s="39"/>
    </row>
    <row r="616">
      <c r="A616" s="39" t="s">
        <v>307</v>
      </c>
      <c r="B616" s="39" t="s">
        <v>203</v>
      </c>
      <c r="C616" s="39">
        <v>6.0</v>
      </c>
      <c r="D616" s="39" t="s">
        <v>798</v>
      </c>
      <c r="E616" s="59" t="s">
        <v>1692</v>
      </c>
      <c r="F616" s="39"/>
      <c r="G616" s="56" t="s">
        <v>1693</v>
      </c>
      <c r="H616" s="39"/>
      <c r="I616" s="39"/>
    </row>
    <row r="617">
      <c r="A617" s="39" t="s">
        <v>307</v>
      </c>
      <c r="B617" s="39" t="s">
        <v>203</v>
      </c>
      <c r="C617" s="39">
        <v>7.0</v>
      </c>
      <c r="D617" s="39" t="s">
        <v>84</v>
      </c>
      <c r="E617" s="39" t="s">
        <v>1694</v>
      </c>
      <c r="F617" s="39"/>
      <c r="G617" s="39" t="s">
        <v>1695</v>
      </c>
      <c r="H617" s="39" t="s">
        <v>1696</v>
      </c>
      <c r="I617" s="39"/>
    </row>
    <row r="618">
      <c r="A618" s="39" t="s">
        <v>307</v>
      </c>
      <c r="B618" s="39" t="s">
        <v>203</v>
      </c>
      <c r="C618" s="39">
        <v>8.0</v>
      </c>
      <c r="D618" s="39" t="s">
        <v>84</v>
      </c>
      <c r="E618" s="39" t="s">
        <v>1697</v>
      </c>
      <c r="F618" s="39"/>
      <c r="G618" s="39" t="s">
        <v>1698</v>
      </c>
      <c r="H618" s="39"/>
      <c r="I618" s="39"/>
    </row>
    <row r="619">
      <c r="A619" s="39" t="s">
        <v>307</v>
      </c>
      <c r="B619" s="39" t="s">
        <v>203</v>
      </c>
      <c r="C619" s="39">
        <v>9.0</v>
      </c>
      <c r="D619" s="39" t="s">
        <v>84</v>
      </c>
      <c r="E619" s="39" t="s">
        <v>1699</v>
      </c>
      <c r="F619" s="39"/>
      <c r="G619" s="39" t="s">
        <v>1700</v>
      </c>
      <c r="H619" s="39"/>
      <c r="I619" s="39"/>
    </row>
    <row r="620">
      <c r="A620" s="39" t="s">
        <v>307</v>
      </c>
      <c r="B620" s="39" t="s">
        <v>203</v>
      </c>
      <c r="C620" s="39">
        <v>10.0</v>
      </c>
      <c r="D620" s="39" t="s">
        <v>839</v>
      </c>
      <c r="E620" s="39" t="s">
        <v>1701</v>
      </c>
      <c r="F620" s="39"/>
      <c r="G620" s="39" t="s">
        <v>989</v>
      </c>
      <c r="H620" s="39"/>
      <c r="I620" s="39"/>
    </row>
    <row r="621">
      <c r="A621" s="39" t="s">
        <v>307</v>
      </c>
      <c r="B621" s="39" t="s">
        <v>203</v>
      </c>
      <c r="C621" s="39">
        <v>11.0</v>
      </c>
      <c r="D621" s="39" t="s">
        <v>839</v>
      </c>
      <c r="E621" s="39" t="s">
        <v>1702</v>
      </c>
      <c r="F621" s="39"/>
      <c r="G621" s="39" t="s">
        <v>991</v>
      </c>
      <c r="H621" s="39"/>
      <c r="I621" s="39"/>
    </row>
    <row r="622">
      <c r="A622" s="39" t="s">
        <v>307</v>
      </c>
      <c r="B622" s="39" t="s">
        <v>203</v>
      </c>
      <c r="C622" s="39">
        <v>12.0</v>
      </c>
      <c r="D622" s="39" t="s">
        <v>839</v>
      </c>
      <c r="E622" s="39" t="s">
        <v>1703</v>
      </c>
      <c r="F622" s="39"/>
      <c r="G622" s="39" t="s">
        <v>993</v>
      </c>
      <c r="H622" s="39"/>
      <c r="I622" s="39"/>
    </row>
    <row r="623">
      <c r="A623" s="39" t="s">
        <v>307</v>
      </c>
      <c r="B623" s="39" t="s">
        <v>203</v>
      </c>
      <c r="C623" s="39">
        <v>13.0</v>
      </c>
      <c r="D623" s="39" t="s">
        <v>839</v>
      </c>
      <c r="E623" s="39" t="s">
        <v>1704</v>
      </c>
      <c r="F623" s="39"/>
      <c r="G623" s="39" t="s">
        <v>995</v>
      </c>
      <c r="H623" s="39"/>
      <c r="I623" s="39"/>
    </row>
    <row r="624">
      <c r="A624" s="39" t="s">
        <v>307</v>
      </c>
      <c r="B624" s="39" t="s">
        <v>203</v>
      </c>
      <c r="C624" s="39">
        <v>14.0</v>
      </c>
      <c r="D624" s="39" t="s">
        <v>87</v>
      </c>
      <c r="E624" s="39" t="s">
        <v>1705</v>
      </c>
      <c r="F624" s="39"/>
      <c r="G624" s="39" t="s">
        <v>1706</v>
      </c>
      <c r="I624" s="39"/>
    </row>
    <row r="625">
      <c r="A625" s="39" t="s">
        <v>307</v>
      </c>
      <c r="B625" s="39" t="s">
        <v>203</v>
      </c>
      <c r="C625" s="39">
        <v>15.0</v>
      </c>
      <c r="D625" s="39" t="s">
        <v>87</v>
      </c>
      <c r="E625" s="39" t="s">
        <v>1707</v>
      </c>
      <c r="F625" s="39"/>
      <c r="G625" s="39" t="s">
        <v>1708</v>
      </c>
      <c r="I625" s="39"/>
    </row>
    <row r="626">
      <c r="A626" s="39" t="s">
        <v>307</v>
      </c>
      <c r="B626" s="39" t="s">
        <v>203</v>
      </c>
      <c r="C626" s="39">
        <v>16.0</v>
      </c>
      <c r="D626" s="39" t="s">
        <v>87</v>
      </c>
      <c r="E626" s="39" t="s">
        <v>1709</v>
      </c>
      <c r="F626" s="39"/>
      <c r="G626" s="39" t="s">
        <v>1710</v>
      </c>
      <c r="I626" s="39"/>
    </row>
    <row r="627">
      <c r="A627" s="39" t="s">
        <v>307</v>
      </c>
      <c r="B627" s="39" t="s">
        <v>203</v>
      </c>
      <c r="C627" s="39">
        <v>17.0</v>
      </c>
      <c r="D627" s="39" t="s">
        <v>87</v>
      </c>
      <c r="E627" s="39" t="s">
        <v>1711</v>
      </c>
      <c r="F627" s="39"/>
      <c r="G627" s="39" t="s">
        <v>1712</v>
      </c>
      <c r="I627" s="39"/>
    </row>
    <row r="628">
      <c r="A628" s="39" t="s">
        <v>307</v>
      </c>
      <c r="B628" s="39" t="s">
        <v>203</v>
      </c>
      <c r="C628" s="39">
        <v>18.0</v>
      </c>
      <c r="D628" s="39" t="s">
        <v>875</v>
      </c>
      <c r="E628" s="39" t="s">
        <v>1713</v>
      </c>
      <c r="F628" s="39"/>
      <c r="G628" s="39" t="s">
        <v>1714</v>
      </c>
      <c r="H628" s="39"/>
      <c r="I628" s="39"/>
    </row>
    <row r="629">
      <c r="A629" s="39" t="s">
        <v>307</v>
      </c>
      <c r="B629" s="39" t="s">
        <v>203</v>
      </c>
      <c r="C629" s="39">
        <v>19.0</v>
      </c>
      <c r="D629" s="39" t="s">
        <v>875</v>
      </c>
      <c r="E629" s="39" t="s">
        <v>1715</v>
      </c>
      <c r="F629" s="39"/>
      <c r="G629" s="39" t="s">
        <v>1714</v>
      </c>
      <c r="H629" s="39"/>
      <c r="I629" s="39"/>
    </row>
    <row r="630">
      <c r="A630" s="39" t="s">
        <v>307</v>
      </c>
      <c r="B630" s="39" t="s">
        <v>203</v>
      </c>
      <c r="C630" s="39">
        <v>20.0</v>
      </c>
      <c r="D630" s="39" t="s">
        <v>875</v>
      </c>
      <c r="E630" s="39" t="s">
        <v>1716</v>
      </c>
      <c r="F630" s="39"/>
      <c r="G630" s="39" t="s">
        <v>1714</v>
      </c>
      <c r="H630" s="39"/>
      <c r="I630" s="39"/>
    </row>
    <row r="631">
      <c r="A631" s="39" t="s">
        <v>307</v>
      </c>
      <c r="B631" s="39" t="s">
        <v>203</v>
      </c>
      <c r="C631" s="39">
        <v>21.0</v>
      </c>
      <c r="D631" s="39" t="s">
        <v>875</v>
      </c>
      <c r="E631" s="39" t="s">
        <v>1717</v>
      </c>
      <c r="F631" s="39"/>
      <c r="G631" s="39" t="s">
        <v>883</v>
      </c>
      <c r="H631" s="39"/>
      <c r="I631" s="39"/>
    </row>
    <row r="632">
      <c r="A632" s="39" t="s">
        <v>307</v>
      </c>
      <c r="B632" s="39" t="s">
        <v>203</v>
      </c>
      <c r="C632" s="39">
        <v>22.0</v>
      </c>
      <c r="D632" s="39" t="s">
        <v>875</v>
      </c>
      <c r="E632" s="39" t="s">
        <v>1718</v>
      </c>
      <c r="F632" s="39"/>
      <c r="G632" s="39" t="s">
        <v>1719</v>
      </c>
      <c r="H632" s="39"/>
      <c r="I632" s="39"/>
    </row>
    <row r="633">
      <c r="A633" s="39" t="s">
        <v>307</v>
      </c>
      <c r="B633" s="39" t="s">
        <v>203</v>
      </c>
      <c r="C633" s="39">
        <v>23.0</v>
      </c>
      <c r="D633" s="39" t="s">
        <v>88</v>
      </c>
      <c r="E633" s="39" t="s">
        <v>1720</v>
      </c>
      <c r="F633" s="39"/>
      <c r="G633" s="39" t="s">
        <v>901</v>
      </c>
      <c r="H633" s="39"/>
      <c r="I633" s="39"/>
    </row>
    <row r="634">
      <c r="A634" s="39" t="s">
        <v>307</v>
      </c>
      <c r="B634" s="39" t="s">
        <v>203</v>
      </c>
      <c r="C634" s="39">
        <v>24.0</v>
      </c>
      <c r="D634" s="39" t="s">
        <v>88</v>
      </c>
      <c r="E634" s="39" t="s">
        <v>1721</v>
      </c>
      <c r="F634" s="39"/>
      <c r="G634" s="39" t="s">
        <v>898</v>
      </c>
      <c r="H634" s="39"/>
      <c r="I634" s="39"/>
    </row>
    <row r="635">
      <c r="A635" s="39" t="s">
        <v>307</v>
      </c>
      <c r="B635" s="39" t="s">
        <v>203</v>
      </c>
      <c r="C635" s="39">
        <v>25.0</v>
      </c>
      <c r="D635" s="39" t="s">
        <v>88</v>
      </c>
      <c r="E635" s="39" t="s">
        <v>1722</v>
      </c>
      <c r="F635" s="39"/>
      <c r="G635" s="39" t="s">
        <v>898</v>
      </c>
      <c r="H635" s="39"/>
      <c r="I635" s="39"/>
    </row>
    <row r="636">
      <c r="A636" s="39" t="s">
        <v>307</v>
      </c>
      <c r="B636" s="39" t="s">
        <v>203</v>
      </c>
      <c r="C636" s="39">
        <v>26.0</v>
      </c>
      <c r="D636" s="39" t="s">
        <v>88</v>
      </c>
      <c r="E636" s="39" t="s">
        <v>1723</v>
      </c>
      <c r="F636" s="39"/>
      <c r="G636" s="39" t="s">
        <v>895</v>
      </c>
      <c r="H636" s="39"/>
      <c r="I636" s="39"/>
    </row>
    <row r="637">
      <c r="A637" s="39" t="s">
        <v>307</v>
      </c>
      <c r="B637" s="39" t="s">
        <v>203</v>
      </c>
      <c r="C637" s="39">
        <v>27.0</v>
      </c>
      <c r="D637" s="39" t="s">
        <v>88</v>
      </c>
      <c r="E637" s="39" t="s">
        <v>1724</v>
      </c>
      <c r="F637" s="39"/>
      <c r="G637" s="39" t="s">
        <v>892</v>
      </c>
      <c r="H637" s="39" t="s">
        <v>1630</v>
      </c>
      <c r="I637" s="39"/>
    </row>
    <row r="638">
      <c r="A638" s="39" t="s">
        <v>307</v>
      </c>
      <c r="B638" s="39" t="s">
        <v>203</v>
      </c>
      <c r="C638" s="39">
        <v>28.0</v>
      </c>
      <c r="D638" s="39" t="s">
        <v>902</v>
      </c>
      <c r="E638" s="39" t="s">
        <v>1725</v>
      </c>
      <c r="F638" s="39"/>
      <c r="G638" s="56" t="s">
        <v>822</v>
      </c>
      <c r="H638" s="39" t="s">
        <v>1726</v>
      </c>
      <c r="I638" s="39"/>
    </row>
    <row r="639">
      <c r="A639" s="39" t="s">
        <v>307</v>
      </c>
      <c r="B639" s="39" t="s">
        <v>203</v>
      </c>
      <c r="C639" s="39">
        <v>29.0</v>
      </c>
      <c r="D639" s="39" t="s">
        <v>902</v>
      </c>
      <c r="E639" s="39" t="s">
        <v>1727</v>
      </c>
      <c r="F639" s="39"/>
      <c r="G639" s="56" t="s">
        <v>801</v>
      </c>
      <c r="H639" s="39" t="s">
        <v>1728</v>
      </c>
      <c r="I639" s="39"/>
    </row>
    <row r="640">
      <c r="A640" s="39" t="s">
        <v>307</v>
      </c>
      <c r="B640" s="39" t="s">
        <v>203</v>
      </c>
      <c r="C640" s="39">
        <v>30.0</v>
      </c>
      <c r="D640" s="39" t="s">
        <v>902</v>
      </c>
      <c r="E640" s="59" t="s">
        <v>1729</v>
      </c>
      <c r="F640" s="39"/>
      <c r="G640" s="56" t="s">
        <v>1730</v>
      </c>
      <c r="H640" s="39" t="s">
        <v>1042</v>
      </c>
      <c r="I640" s="39"/>
    </row>
    <row r="641">
      <c r="A641" s="39" t="s">
        <v>307</v>
      </c>
      <c r="B641" s="39" t="s">
        <v>203</v>
      </c>
      <c r="C641" s="39">
        <v>31.0</v>
      </c>
      <c r="D641" s="39" t="s">
        <v>902</v>
      </c>
      <c r="E641" s="59" t="s">
        <v>1731</v>
      </c>
      <c r="F641" s="39"/>
      <c r="G641" s="56" t="s">
        <v>1693</v>
      </c>
      <c r="H641" s="39" t="s">
        <v>1044</v>
      </c>
      <c r="I641" s="39"/>
    </row>
    <row r="642">
      <c r="A642" s="39" t="s">
        <v>307</v>
      </c>
      <c r="B642" s="39" t="s">
        <v>203</v>
      </c>
      <c r="C642" s="39">
        <v>32.0</v>
      </c>
      <c r="D642" s="39" t="s">
        <v>902</v>
      </c>
      <c r="E642" s="39" t="s">
        <v>1732</v>
      </c>
      <c r="F642" s="39"/>
      <c r="G642" s="56" t="s">
        <v>822</v>
      </c>
      <c r="H642" s="39" t="s">
        <v>1726</v>
      </c>
      <c r="I642" s="39"/>
    </row>
    <row r="643">
      <c r="A643" s="39" t="s">
        <v>307</v>
      </c>
      <c r="B643" s="39" t="s">
        <v>203</v>
      </c>
      <c r="C643" s="39">
        <v>33.0</v>
      </c>
      <c r="D643" s="39" t="s">
        <v>902</v>
      </c>
      <c r="E643" s="39" t="s">
        <v>1733</v>
      </c>
      <c r="F643" s="39"/>
      <c r="G643" s="56" t="s">
        <v>801</v>
      </c>
      <c r="H643" s="39" t="s">
        <v>1728</v>
      </c>
      <c r="I643" s="39"/>
    </row>
    <row r="644">
      <c r="A644" s="39" t="s">
        <v>307</v>
      </c>
      <c r="B644" s="39" t="s">
        <v>203</v>
      </c>
      <c r="C644" s="39">
        <v>34.0</v>
      </c>
      <c r="D644" s="39" t="s">
        <v>902</v>
      </c>
      <c r="E644" s="59" t="s">
        <v>1734</v>
      </c>
      <c r="F644" s="39"/>
      <c r="G644" s="56" t="s">
        <v>1730</v>
      </c>
      <c r="H644" s="39" t="s">
        <v>1036</v>
      </c>
      <c r="I644" s="39"/>
    </row>
    <row r="645">
      <c r="A645" s="39" t="s">
        <v>307</v>
      </c>
      <c r="B645" s="39" t="s">
        <v>203</v>
      </c>
      <c r="C645" s="39">
        <v>35.0</v>
      </c>
      <c r="D645" s="39" t="s">
        <v>902</v>
      </c>
      <c r="E645" s="59" t="s">
        <v>1735</v>
      </c>
      <c r="F645" s="39"/>
      <c r="G645" s="56" t="s">
        <v>1693</v>
      </c>
      <c r="H645" s="39" t="s">
        <v>1044</v>
      </c>
      <c r="I645" s="39"/>
    </row>
    <row r="646">
      <c r="A646" s="39" t="s">
        <v>307</v>
      </c>
      <c r="B646" s="39" t="s">
        <v>203</v>
      </c>
      <c r="C646" s="39">
        <v>36.0</v>
      </c>
      <c r="D646" s="39" t="s">
        <v>90</v>
      </c>
      <c r="E646" s="39" t="s">
        <v>1736</v>
      </c>
      <c r="F646" s="39"/>
      <c r="G646" s="39" t="s">
        <v>927</v>
      </c>
      <c r="H646" s="39"/>
      <c r="I646" s="39"/>
    </row>
    <row r="647">
      <c r="A647" s="39" t="s">
        <v>307</v>
      </c>
      <c r="B647" s="39" t="s">
        <v>203</v>
      </c>
      <c r="C647" s="39">
        <v>37.0</v>
      </c>
      <c r="D647" s="39" t="s">
        <v>90</v>
      </c>
      <c r="E647" s="39" t="s">
        <v>1737</v>
      </c>
      <c r="F647" s="39"/>
      <c r="G647" s="39" t="s">
        <v>930</v>
      </c>
      <c r="H647" s="39"/>
      <c r="I647" s="39"/>
    </row>
    <row r="648">
      <c r="A648" s="39" t="s">
        <v>307</v>
      </c>
      <c r="B648" s="39" t="s">
        <v>203</v>
      </c>
      <c r="C648" s="39">
        <v>38.0</v>
      </c>
      <c r="D648" s="39" t="s">
        <v>90</v>
      </c>
      <c r="E648" s="39" t="s">
        <v>1738</v>
      </c>
      <c r="F648" s="39"/>
      <c r="G648" s="39" t="s">
        <v>924</v>
      </c>
      <c r="H648" s="39"/>
      <c r="I648" s="39"/>
    </row>
    <row r="649">
      <c r="A649" s="39" t="s">
        <v>307</v>
      </c>
      <c r="B649" s="39" t="s">
        <v>203</v>
      </c>
      <c r="C649" s="39">
        <v>39.0</v>
      </c>
      <c r="D649" s="39" t="s">
        <v>90</v>
      </c>
      <c r="E649" s="39" t="s">
        <v>1739</v>
      </c>
      <c r="F649" s="39"/>
      <c r="G649" s="39" t="s">
        <v>939</v>
      </c>
      <c r="H649" s="39"/>
      <c r="I649" s="39"/>
    </row>
    <row r="650">
      <c r="A650" s="39" t="s">
        <v>307</v>
      </c>
      <c r="B650" s="39" t="s">
        <v>203</v>
      </c>
      <c r="C650" s="39">
        <v>40.0</v>
      </c>
      <c r="D650" s="39" t="s">
        <v>90</v>
      </c>
      <c r="E650" s="39" t="s">
        <v>1740</v>
      </c>
      <c r="F650" s="39"/>
      <c r="G650" s="56" t="s">
        <v>822</v>
      </c>
      <c r="H650" s="39"/>
      <c r="I650" s="39"/>
    </row>
    <row r="651">
      <c r="A651" s="39" t="s">
        <v>307</v>
      </c>
      <c r="B651" s="39" t="s">
        <v>203</v>
      </c>
      <c r="C651" s="39">
        <v>41.0</v>
      </c>
      <c r="D651" s="39" t="s">
        <v>90</v>
      </c>
      <c r="E651" s="39" t="s">
        <v>1741</v>
      </c>
      <c r="F651" s="39"/>
      <c r="G651" s="56" t="s">
        <v>836</v>
      </c>
      <c r="H651" s="39" t="s">
        <v>1742</v>
      </c>
      <c r="I651" s="39"/>
    </row>
    <row r="652">
      <c r="A652" s="39" t="s">
        <v>307</v>
      </c>
      <c r="B652" s="39" t="s">
        <v>203</v>
      </c>
      <c r="C652" s="39">
        <v>42.0</v>
      </c>
      <c r="D652" s="39" t="s">
        <v>90</v>
      </c>
      <c r="E652" s="39" t="s">
        <v>1743</v>
      </c>
      <c r="F652" s="39"/>
      <c r="G652" s="56" t="s">
        <v>801</v>
      </c>
      <c r="H652" s="39"/>
      <c r="I652" s="39"/>
    </row>
    <row r="653">
      <c r="A653" s="39" t="s">
        <v>307</v>
      </c>
      <c r="B653" s="39" t="s">
        <v>203</v>
      </c>
      <c r="C653" s="39">
        <v>43.0</v>
      </c>
      <c r="D653" s="39" t="s">
        <v>92</v>
      </c>
      <c r="E653" s="39" t="s">
        <v>1744</v>
      </c>
      <c r="F653" s="39"/>
      <c r="G653" s="39" t="s">
        <v>1745</v>
      </c>
      <c r="H653" s="39" t="s">
        <v>1746</v>
      </c>
      <c r="I653" s="39"/>
    </row>
    <row r="654">
      <c r="A654" s="39" t="s">
        <v>307</v>
      </c>
      <c r="B654" s="39" t="s">
        <v>203</v>
      </c>
      <c r="C654" s="39">
        <v>44.0</v>
      </c>
      <c r="D654" s="39" t="s">
        <v>92</v>
      </c>
      <c r="E654" s="39" t="s">
        <v>1747</v>
      </c>
      <c r="F654" s="39"/>
      <c r="G654" s="39" t="s">
        <v>1748</v>
      </c>
      <c r="H654" s="39" t="s">
        <v>1749</v>
      </c>
      <c r="I654" s="39"/>
    </row>
    <row r="655">
      <c r="A655" s="39" t="s">
        <v>307</v>
      </c>
      <c r="B655" s="39" t="s">
        <v>203</v>
      </c>
      <c r="C655" s="39">
        <v>45.0</v>
      </c>
      <c r="D655" s="39" t="s">
        <v>92</v>
      </c>
      <c r="E655" s="39" t="s">
        <v>1750</v>
      </c>
      <c r="F655" s="39"/>
      <c r="G655" s="39" t="s">
        <v>945</v>
      </c>
      <c r="H655" s="39"/>
      <c r="I655" s="39"/>
    </row>
    <row r="656">
      <c r="A656" s="39" t="s">
        <v>307</v>
      </c>
      <c r="B656" s="39" t="s">
        <v>203</v>
      </c>
      <c r="C656" s="39">
        <v>46.0</v>
      </c>
      <c r="D656" s="39" t="s">
        <v>92</v>
      </c>
      <c r="E656" s="39" t="s">
        <v>1751</v>
      </c>
      <c r="F656" s="39"/>
      <c r="G656" s="39" t="s">
        <v>1355</v>
      </c>
      <c r="H656" s="39" t="s">
        <v>1356</v>
      </c>
      <c r="I656" s="39"/>
    </row>
    <row r="657">
      <c r="A657" s="39" t="s">
        <v>307</v>
      </c>
      <c r="B657" s="39" t="s">
        <v>203</v>
      </c>
      <c r="C657" s="39">
        <v>47.0</v>
      </c>
      <c r="D657" s="39" t="s">
        <v>91</v>
      </c>
      <c r="E657" s="39" t="s">
        <v>1752</v>
      </c>
      <c r="F657" s="39"/>
      <c r="G657" s="56" t="s">
        <v>836</v>
      </c>
      <c r="H657" s="39" t="s">
        <v>1742</v>
      </c>
      <c r="I657" s="39"/>
    </row>
    <row r="658">
      <c r="A658" s="39" t="s">
        <v>307</v>
      </c>
      <c r="B658" s="39" t="s">
        <v>203</v>
      </c>
      <c r="C658" s="39">
        <v>48.0</v>
      </c>
      <c r="D658" s="39" t="s">
        <v>91</v>
      </c>
      <c r="E658" s="39" t="s">
        <v>1753</v>
      </c>
      <c r="F658" s="39"/>
      <c r="G658" s="56" t="s">
        <v>806</v>
      </c>
      <c r="H658" s="39"/>
      <c r="I658" s="39"/>
    </row>
    <row r="659">
      <c r="A659" s="39" t="s">
        <v>307</v>
      </c>
      <c r="B659" s="39" t="s">
        <v>203</v>
      </c>
      <c r="C659" s="39">
        <v>49.0</v>
      </c>
      <c r="D659" s="39" t="s">
        <v>92</v>
      </c>
      <c r="E659" s="39" t="s">
        <v>1754</v>
      </c>
      <c r="F659" s="39"/>
      <c r="G659" s="39" t="s">
        <v>1755</v>
      </c>
      <c r="H659" s="39" t="s">
        <v>1756</v>
      </c>
      <c r="I659" s="39"/>
    </row>
    <row r="660">
      <c r="A660" s="39" t="s">
        <v>307</v>
      </c>
      <c r="B660" s="39" t="s">
        <v>203</v>
      </c>
      <c r="C660" s="39">
        <v>50.0</v>
      </c>
      <c r="D660" s="39" t="s">
        <v>92</v>
      </c>
      <c r="E660" s="39" t="s">
        <v>1757</v>
      </c>
      <c r="F660" s="39"/>
      <c r="G660" s="39" t="s">
        <v>947</v>
      </c>
      <c r="H660" s="39"/>
      <c r="I660" s="39"/>
    </row>
    <row r="661">
      <c r="A661" s="39" t="s">
        <v>307</v>
      </c>
      <c r="B661" s="39" t="s">
        <v>203</v>
      </c>
      <c r="C661" s="39">
        <v>51.0</v>
      </c>
      <c r="D661" s="39" t="s">
        <v>91</v>
      </c>
      <c r="E661" s="39" t="s">
        <v>1758</v>
      </c>
      <c r="F661" s="39"/>
      <c r="G661" s="56" t="s">
        <v>822</v>
      </c>
      <c r="H661" s="39"/>
      <c r="I661" s="39"/>
    </row>
    <row r="662">
      <c r="A662" s="39" t="s">
        <v>307</v>
      </c>
      <c r="B662" s="39" t="s">
        <v>203</v>
      </c>
      <c r="C662" s="39">
        <v>52.0</v>
      </c>
      <c r="D662" s="39" t="s">
        <v>839</v>
      </c>
      <c r="E662" s="39" t="s">
        <v>1759</v>
      </c>
      <c r="F662" s="39"/>
      <c r="G662" s="39" t="str">
        <f>IFERROR(__xludf.DUMMYFUNCTION("IFS(REGEXMATCH(E662, ""ammo_ar""), ""Daedalus AR Ammo"", REGEXMATCH(E662, ""ammo_ps""), ""Daedalus Pistol Ammo"", REGEXMATCH(E662, ""ammo_sg""), ""Daedalus Shotgun Ammo"", REGEXMATCH(E662, ""ammo_sm""), ""Daedalus SMG Ammo"", REGEXMATCH(E662, ""ammo_sr"")"&amp;", ""Daedalus SR Ammo"")"),"Daedalus SMG Ammo")</f>
        <v>Daedalus SMG Ammo</v>
      </c>
      <c r="H662" s="39"/>
      <c r="I662" s="39"/>
    </row>
    <row r="663">
      <c r="A663" s="39" t="s">
        <v>307</v>
      </c>
      <c r="B663" s="39" t="s">
        <v>203</v>
      </c>
      <c r="C663" s="39">
        <v>53.0</v>
      </c>
      <c r="D663" s="39" t="s">
        <v>839</v>
      </c>
      <c r="E663" s="39" t="s">
        <v>1760</v>
      </c>
      <c r="F663" s="39"/>
      <c r="G663" s="39" t="str">
        <f>IFERROR(__xludf.DUMMYFUNCTION("IFS(REGEXMATCH(E663, ""ammo_ar""), ""Daedalus AR Ammo"", REGEXMATCH(E663, ""ammo_ps""), ""Daedalus Pistol Ammo"", REGEXMATCH(E663, ""ammo_sg""), ""Daedalus Shotgun Ammo"", REGEXMATCH(E663, ""ammo_sm""), ""Daedalus SMG Ammo"", REGEXMATCH(E663, ""ammo_sr"")"&amp;", ""Daedalus SR Ammo"")"),"Daedalus AR Ammo")</f>
        <v>Daedalus AR Ammo</v>
      </c>
      <c r="H663" s="39"/>
      <c r="I663" s="39"/>
    </row>
    <row r="664">
      <c r="A664" s="39" t="s">
        <v>307</v>
      </c>
      <c r="B664" s="39" t="s">
        <v>203</v>
      </c>
      <c r="C664" s="39">
        <v>54.0</v>
      </c>
      <c r="D664" s="39" t="s">
        <v>839</v>
      </c>
      <c r="E664" s="39" t="s">
        <v>1761</v>
      </c>
      <c r="F664" s="39"/>
      <c r="G664" s="39" t="str">
        <f>IFERROR(__xludf.DUMMYFUNCTION("IFS(REGEXMATCH(E664, ""ammo_ar""), ""Daedalus AR Ammo"", REGEXMATCH(E664, ""ammo_ps""), ""Daedalus Pistol Ammo"", REGEXMATCH(E664, ""ammo_sg""), ""Daedalus Shotgun Ammo"", REGEXMATCH(E664, ""ammo_sm""), ""Daedalus SMG Ammo"", REGEXMATCH(E664, ""ammo_sr"")"&amp;", ""Daedalus SR Ammo"")"),"Daedalus Pistol Ammo")</f>
        <v>Daedalus Pistol Ammo</v>
      </c>
      <c r="H664" s="39"/>
      <c r="I664" s="39"/>
    </row>
    <row r="665">
      <c r="A665" s="39" t="s">
        <v>307</v>
      </c>
      <c r="B665" s="39" t="s">
        <v>203</v>
      </c>
      <c r="C665" s="39">
        <v>55.0</v>
      </c>
      <c r="D665" s="39" t="s">
        <v>839</v>
      </c>
      <c r="E665" s="39" t="s">
        <v>1762</v>
      </c>
      <c r="F665" s="39"/>
      <c r="G665" s="39" t="str">
        <f>IFERROR(__xludf.DUMMYFUNCTION("IFS(REGEXMATCH(E665, ""ammo_ar""), ""Daedalus AR Ammo"", REGEXMATCH(E665, ""ammo_ps""), ""Daedalus Pistol Ammo"", REGEXMATCH(E665, ""ammo_sg""), ""Daedalus Shotgun Ammo"", REGEXMATCH(E665, ""ammo_sm""), ""Daedalus SMG Ammo"", REGEXMATCH(E665, ""ammo_sr"")"&amp;", ""Daedalus SR Ammo"")"),"Daedalus SR Ammo")</f>
        <v>Daedalus SR Ammo</v>
      </c>
      <c r="H665" s="39"/>
      <c r="I665" s="39"/>
    </row>
    <row r="666">
      <c r="A666" s="39" t="s">
        <v>307</v>
      </c>
      <c r="B666" s="39" t="s">
        <v>203</v>
      </c>
      <c r="C666" s="39">
        <v>56.0</v>
      </c>
      <c r="D666" s="39" t="s">
        <v>84</v>
      </c>
      <c r="E666" s="39" t="s">
        <v>1763</v>
      </c>
      <c r="F666" s="39"/>
      <c r="G666" s="39" t="s">
        <v>1764</v>
      </c>
      <c r="H666" s="39" t="s">
        <v>1765</v>
      </c>
      <c r="I666" s="39"/>
    </row>
    <row r="667">
      <c r="A667" s="39" t="s">
        <v>307</v>
      </c>
      <c r="B667" s="39" t="s">
        <v>203</v>
      </c>
      <c r="C667" s="39">
        <v>58.0</v>
      </c>
      <c r="D667" s="39" t="s">
        <v>84</v>
      </c>
      <c r="E667" s="39" t="s">
        <v>1766</v>
      </c>
      <c r="F667" s="39"/>
      <c r="G667" s="39" t="s">
        <v>1767</v>
      </c>
      <c r="H667" s="39" t="s">
        <v>1768</v>
      </c>
      <c r="I667" s="39"/>
    </row>
    <row r="668">
      <c r="A668" s="39" t="s">
        <v>307</v>
      </c>
      <c r="B668" s="39" t="s">
        <v>203</v>
      </c>
      <c r="C668" s="39">
        <v>59.0</v>
      </c>
      <c r="D668" s="39" t="s">
        <v>91</v>
      </c>
      <c r="E668" s="39" t="s">
        <v>1769</v>
      </c>
      <c r="F668" s="39"/>
      <c r="G668" s="39" t="s">
        <v>809</v>
      </c>
      <c r="H668" s="39"/>
      <c r="I668" s="39"/>
    </row>
    <row r="669">
      <c r="A669" s="39" t="s">
        <v>307</v>
      </c>
      <c r="B669" s="39" t="s">
        <v>203</v>
      </c>
      <c r="C669" s="39">
        <v>62.0</v>
      </c>
      <c r="D669" s="39" t="s">
        <v>84</v>
      </c>
      <c r="E669" s="59" t="s">
        <v>1770</v>
      </c>
      <c r="F669" s="59"/>
      <c r="G669" s="59" t="s">
        <v>1771</v>
      </c>
      <c r="H669" s="39" t="s">
        <v>1772</v>
      </c>
      <c r="I669" s="39"/>
    </row>
    <row r="670">
      <c r="A670" s="39" t="s">
        <v>307</v>
      </c>
      <c r="B670" s="39" t="s">
        <v>203</v>
      </c>
      <c r="C670" s="39">
        <v>63.0</v>
      </c>
      <c r="D670" s="39" t="s">
        <v>819</v>
      </c>
      <c r="E670" s="39" t="s">
        <v>1773</v>
      </c>
      <c r="F670" s="39"/>
      <c r="G670" s="56" t="s">
        <v>822</v>
      </c>
      <c r="H670" s="39"/>
      <c r="I670" s="39"/>
    </row>
    <row r="671">
      <c r="A671" s="39" t="s">
        <v>307</v>
      </c>
      <c r="B671" s="39" t="s">
        <v>203</v>
      </c>
      <c r="C671" s="39">
        <v>64.0</v>
      </c>
      <c r="D671" s="39" t="s">
        <v>819</v>
      </c>
      <c r="E671" s="59" t="s">
        <v>1774</v>
      </c>
      <c r="F671" s="39"/>
      <c r="G671" s="56" t="s">
        <v>1693</v>
      </c>
      <c r="H671" s="39"/>
      <c r="I671" s="39"/>
    </row>
    <row r="672">
      <c r="A672" s="39" t="s">
        <v>307</v>
      </c>
      <c r="B672" s="39" t="s">
        <v>203</v>
      </c>
      <c r="C672" s="39">
        <v>65.0</v>
      </c>
      <c r="D672" s="39" t="s">
        <v>819</v>
      </c>
      <c r="E672" s="59" t="s">
        <v>1775</v>
      </c>
      <c r="F672" s="39"/>
      <c r="G672" s="56" t="s">
        <v>1693</v>
      </c>
      <c r="H672" s="39"/>
      <c r="I672" s="39"/>
    </row>
    <row r="673">
      <c r="A673" s="39" t="s">
        <v>307</v>
      </c>
      <c r="B673" s="39" t="s">
        <v>203</v>
      </c>
      <c r="C673" s="39">
        <v>66.0</v>
      </c>
      <c r="D673" s="39" t="s">
        <v>819</v>
      </c>
      <c r="E673" s="39" t="s">
        <v>1776</v>
      </c>
      <c r="F673" s="39"/>
      <c r="G673" s="56" t="s">
        <v>806</v>
      </c>
      <c r="H673" s="39"/>
      <c r="I673" s="39"/>
    </row>
    <row r="674">
      <c r="A674" s="39" t="s">
        <v>307</v>
      </c>
      <c r="B674" s="39" t="s">
        <v>203</v>
      </c>
      <c r="C674" s="39">
        <v>67.0</v>
      </c>
      <c r="D674" s="39" t="s">
        <v>819</v>
      </c>
      <c r="E674" s="39" t="s">
        <v>1777</v>
      </c>
      <c r="F674" s="39"/>
      <c r="G674" s="56" t="s">
        <v>822</v>
      </c>
      <c r="H674" s="39"/>
      <c r="I674" s="39"/>
    </row>
    <row r="675">
      <c r="A675" s="39" t="s">
        <v>307</v>
      </c>
      <c r="B675" s="39" t="s">
        <v>203</v>
      </c>
      <c r="C675" s="39">
        <v>68.0</v>
      </c>
      <c r="D675" s="39" t="s">
        <v>819</v>
      </c>
      <c r="E675" s="39" t="s">
        <v>1778</v>
      </c>
      <c r="F675" s="39"/>
      <c r="G675" s="56" t="s">
        <v>806</v>
      </c>
      <c r="H675" s="39"/>
      <c r="I675" s="39"/>
    </row>
    <row r="676">
      <c r="A676" s="39" t="s">
        <v>307</v>
      </c>
      <c r="B676" s="39" t="s">
        <v>203</v>
      </c>
      <c r="C676" s="39">
        <v>69.0</v>
      </c>
      <c r="D676" s="39" t="s">
        <v>819</v>
      </c>
      <c r="E676" s="39" t="s">
        <v>1779</v>
      </c>
      <c r="F676" s="39"/>
      <c r="G676" s="56" t="s">
        <v>836</v>
      </c>
      <c r="H676" s="39"/>
      <c r="I676" s="39"/>
    </row>
    <row r="677">
      <c r="A677" s="39" t="s">
        <v>307</v>
      </c>
      <c r="B677" s="39" t="s">
        <v>203</v>
      </c>
      <c r="C677" s="39">
        <v>70.0</v>
      </c>
      <c r="D677" s="39" t="s">
        <v>819</v>
      </c>
      <c r="E677" s="39" t="s">
        <v>1780</v>
      </c>
      <c r="F677" s="39"/>
      <c r="G677" s="56" t="s">
        <v>836</v>
      </c>
      <c r="H677" s="39"/>
      <c r="I677" s="39"/>
    </row>
    <row r="678">
      <c r="A678" s="39" t="s">
        <v>307</v>
      </c>
      <c r="B678" s="39" t="s">
        <v>203</v>
      </c>
      <c r="C678" s="39">
        <v>71.0</v>
      </c>
      <c r="D678" s="39" t="s">
        <v>839</v>
      </c>
      <c r="E678" s="39" t="s">
        <v>1781</v>
      </c>
      <c r="F678" s="39"/>
      <c r="G678" s="39" t="s">
        <v>842</v>
      </c>
      <c r="H678" s="39"/>
      <c r="I678" s="39"/>
    </row>
    <row r="679">
      <c r="A679" s="39" t="s">
        <v>307</v>
      </c>
      <c r="B679" s="39" t="s">
        <v>203</v>
      </c>
      <c r="C679" s="39">
        <v>72.0</v>
      </c>
      <c r="D679" s="39" t="s">
        <v>839</v>
      </c>
      <c r="E679" s="39" t="s">
        <v>1782</v>
      </c>
      <c r="F679" s="39"/>
      <c r="G679" s="39" t="s">
        <v>845</v>
      </c>
      <c r="H679" s="39"/>
      <c r="I679" s="39"/>
    </row>
    <row r="680">
      <c r="A680" s="39" t="s">
        <v>307</v>
      </c>
      <c r="B680" s="39" t="s">
        <v>203</v>
      </c>
      <c r="C680" s="39">
        <v>73.0</v>
      </c>
      <c r="D680" s="39" t="s">
        <v>839</v>
      </c>
      <c r="E680" s="39" t="s">
        <v>1783</v>
      </c>
      <c r="F680" s="39"/>
      <c r="G680" s="39" t="s">
        <v>847</v>
      </c>
      <c r="H680" s="39"/>
      <c r="I680" s="39"/>
    </row>
    <row r="681">
      <c r="A681" s="39" t="s">
        <v>307</v>
      </c>
      <c r="B681" s="39" t="s">
        <v>203</v>
      </c>
      <c r="C681" s="39">
        <v>74.0</v>
      </c>
      <c r="D681" s="39" t="s">
        <v>839</v>
      </c>
      <c r="E681" s="39" t="s">
        <v>1784</v>
      </c>
      <c r="F681" s="39"/>
      <c r="G681" s="39" t="s">
        <v>850</v>
      </c>
      <c r="H681" s="39"/>
      <c r="I681" s="39"/>
    </row>
    <row r="682">
      <c r="A682" s="39" t="s">
        <v>307</v>
      </c>
      <c r="B682" s="39" t="s">
        <v>203</v>
      </c>
      <c r="C682" s="39">
        <v>75.0</v>
      </c>
      <c r="D682" s="39" t="s">
        <v>839</v>
      </c>
      <c r="E682" s="39" t="s">
        <v>1785</v>
      </c>
      <c r="F682" s="39"/>
      <c r="G682" s="39" t="s">
        <v>853</v>
      </c>
      <c r="H682" s="39"/>
      <c r="I682" s="39"/>
    </row>
    <row r="683">
      <c r="A683" s="39" t="s">
        <v>307</v>
      </c>
      <c r="B683" s="39" t="s">
        <v>203</v>
      </c>
      <c r="C683" s="39">
        <v>76.0</v>
      </c>
      <c r="D683" s="39" t="s">
        <v>839</v>
      </c>
      <c r="E683" s="39" t="s">
        <v>1786</v>
      </c>
      <c r="F683" s="39"/>
      <c r="G683" s="39" t="s">
        <v>856</v>
      </c>
      <c r="H683" s="39"/>
      <c r="I683" s="39"/>
    </row>
    <row r="684">
      <c r="A684" s="39" t="s">
        <v>307</v>
      </c>
      <c r="B684" s="39" t="s">
        <v>203</v>
      </c>
      <c r="C684" s="39">
        <v>77.0</v>
      </c>
      <c r="D684" s="39" t="s">
        <v>839</v>
      </c>
      <c r="E684" s="39" t="s">
        <v>1787</v>
      </c>
      <c r="F684" s="39"/>
      <c r="G684" s="39" t="s">
        <v>874</v>
      </c>
      <c r="H684" s="39"/>
      <c r="I684" s="39"/>
    </row>
    <row r="685">
      <c r="A685" s="39" t="s">
        <v>307</v>
      </c>
      <c r="B685" s="39" t="s">
        <v>203</v>
      </c>
      <c r="C685" s="39">
        <v>78.0</v>
      </c>
      <c r="D685" s="39" t="s">
        <v>839</v>
      </c>
      <c r="E685" s="39" t="s">
        <v>1788</v>
      </c>
      <c r="F685" s="39"/>
      <c r="G685" s="39" t="s">
        <v>880</v>
      </c>
      <c r="H685" s="39"/>
      <c r="I685" s="39"/>
    </row>
    <row r="686">
      <c r="A686" s="39" t="s">
        <v>307</v>
      </c>
      <c r="B686" s="39" t="s">
        <v>203</v>
      </c>
      <c r="C686" s="39">
        <v>79.0</v>
      </c>
      <c r="D686" s="39" t="s">
        <v>87</v>
      </c>
      <c r="E686" s="39" t="s">
        <v>1789</v>
      </c>
      <c r="F686" s="39"/>
      <c r="G686" s="39" t="s">
        <v>1790</v>
      </c>
      <c r="I686" s="39"/>
    </row>
    <row r="687">
      <c r="A687" s="39" t="s">
        <v>307</v>
      </c>
      <c r="B687" s="39" t="s">
        <v>214</v>
      </c>
      <c r="C687" s="39">
        <v>2.0</v>
      </c>
      <c r="D687" s="39" t="s">
        <v>81</v>
      </c>
      <c r="E687" s="39" t="s">
        <v>1791</v>
      </c>
      <c r="F687" s="39"/>
      <c r="G687" s="39" t="s">
        <v>797</v>
      </c>
      <c r="H687" s="39"/>
      <c r="I687" s="39"/>
    </row>
    <row r="688">
      <c r="A688" s="39" t="s">
        <v>307</v>
      </c>
      <c r="B688" s="39" t="s">
        <v>214</v>
      </c>
      <c r="C688" s="39">
        <v>3.0</v>
      </c>
      <c r="D688" s="39" t="s">
        <v>798</v>
      </c>
      <c r="E688" s="39" t="s">
        <v>1792</v>
      </c>
      <c r="F688" s="39"/>
      <c r="G688" s="56" t="s">
        <v>801</v>
      </c>
      <c r="H688" s="39"/>
      <c r="I688" s="39"/>
    </row>
    <row r="689">
      <c r="A689" s="39" t="s">
        <v>307</v>
      </c>
      <c r="B689" s="39" t="s">
        <v>214</v>
      </c>
      <c r="C689" s="39">
        <v>4.0</v>
      </c>
      <c r="D689" s="39" t="s">
        <v>798</v>
      </c>
      <c r="E689" s="39" t="s">
        <v>1793</v>
      </c>
      <c r="F689" s="39"/>
      <c r="G689" s="56" t="s">
        <v>1690</v>
      </c>
      <c r="H689" s="39"/>
      <c r="I689" s="39"/>
    </row>
    <row r="690">
      <c r="A690" s="39" t="s">
        <v>307</v>
      </c>
      <c r="B690" s="39" t="s">
        <v>214</v>
      </c>
      <c r="C690" s="39">
        <v>5.0</v>
      </c>
      <c r="D690" s="39" t="s">
        <v>798</v>
      </c>
      <c r="E690" s="39" t="s">
        <v>1794</v>
      </c>
      <c r="F690" s="39"/>
      <c r="G690" s="56" t="s">
        <v>806</v>
      </c>
      <c r="H690" s="39"/>
      <c r="I690" s="39"/>
    </row>
    <row r="691">
      <c r="A691" s="39" t="s">
        <v>307</v>
      </c>
      <c r="B691" s="39" t="s">
        <v>214</v>
      </c>
      <c r="C691" s="39">
        <v>6.0</v>
      </c>
      <c r="D691" s="39" t="s">
        <v>798</v>
      </c>
      <c r="E691" s="39" t="s">
        <v>1795</v>
      </c>
      <c r="F691" s="39"/>
      <c r="G691" s="39" t="s">
        <v>809</v>
      </c>
      <c r="H691" s="39"/>
      <c r="I691" s="39"/>
    </row>
    <row r="692">
      <c r="A692" s="39" t="s">
        <v>307</v>
      </c>
      <c r="B692" s="39" t="s">
        <v>214</v>
      </c>
      <c r="C692" s="39">
        <v>7.0</v>
      </c>
      <c r="D692" s="39" t="s">
        <v>84</v>
      </c>
      <c r="E692" s="39" t="s">
        <v>1796</v>
      </c>
      <c r="F692" s="39"/>
      <c r="G692" s="39" t="s">
        <v>1797</v>
      </c>
      <c r="H692" s="39"/>
      <c r="I692" s="39"/>
    </row>
    <row r="693">
      <c r="A693" s="39" t="s">
        <v>307</v>
      </c>
      <c r="B693" s="39" t="s">
        <v>214</v>
      </c>
      <c r="C693" s="39">
        <v>8.0</v>
      </c>
      <c r="D693" s="39" t="s">
        <v>84</v>
      </c>
      <c r="E693" s="39" t="s">
        <v>1798</v>
      </c>
      <c r="F693" s="39"/>
      <c r="G693" s="39" t="s">
        <v>1799</v>
      </c>
      <c r="H693" s="39"/>
      <c r="I693" s="39"/>
    </row>
    <row r="694">
      <c r="A694" s="39" t="s">
        <v>307</v>
      </c>
      <c r="B694" s="39" t="s">
        <v>214</v>
      </c>
      <c r="C694" s="39">
        <v>9.0</v>
      </c>
      <c r="D694" s="39" t="s">
        <v>839</v>
      </c>
      <c r="E694" s="39" t="s">
        <v>1800</v>
      </c>
      <c r="F694" s="39"/>
      <c r="G694" s="39" t="s">
        <v>989</v>
      </c>
      <c r="H694" s="39"/>
      <c r="I694" s="39"/>
    </row>
    <row r="695">
      <c r="A695" s="39" t="s">
        <v>307</v>
      </c>
      <c r="B695" s="39" t="s">
        <v>214</v>
      </c>
      <c r="C695" s="39">
        <v>10.0</v>
      </c>
      <c r="D695" s="39" t="s">
        <v>839</v>
      </c>
      <c r="E695" s="39" t="s">
        <v>1801</v>
      </c>
      <c r="F695" s="39"/>
      <c r="G695" s="39" t="s">
        <v>991</v>
      </c>
      <c r="H695" s="39"/>
      <c r="I695" s="39"/>
    </row>
    <row r="696">
      <c r="A696" s="39" t="s">
        <v>307</v>
      </c>
      <c r="B696" s="39" t="s">
        <v>214</v>
      </c>
      <c r="C696" s="39">
        <v>11.0</v>
      </c>
      <c r="D696" s="39" t="s">
        <v>839</v>
      </c>
      <c r="E696" s="39" t="s">
        <v>1802</v>
      </c>
      <c r="F696" s="39"/>
      <c r="G696" s="39" t="s">
        <v>993</v>
      </c>
      <c r="H696" s="39"/>
      <c r="I696" s="39"/>
    </row>
    <row r="697">
      <c r="A697" s="39" t="s">
        <v>307</v>
      </c>
      <c r="B697" s="39" t="s">
        <v>214</v>
      </c>
      <c r="C697" s="39">
        <v>12.0</v>
      </c>
      <c r="D697" s="39" t="s">
        <v>839</v>
      </c>
      <c r="E697" s="39" t="s">
        <v>1803</v>
      </c>
      <c r="F697" s="39"/>
      <c r="G697" s="39" t="s">
        <v>995</v>
      </c>
      <c r="H697" s="39"/>
      <c r="I697" s="39"/>
    </row>
    <row r="698">
      <c r="A698" s="39" t="s">
        <v>307</v>
      </c>
      <c r="B698" s="39" t="s">
        <v>214</v>
      </c>
      <c r="C698" s="39">
        <v>13.0</v>
      </c>
      <c r="D698" s="39" t="s">
        <v>87</v>
      </c>
      <c r="E698" s="39" t="s">
        <v>1804</v>
      </c>
      <c r="F698" s="39"/>
      <c r="G698" s="39" t="s">
        <v>1805</v>
      </c>
      <c r="I698" s="39"/>
    </row>
    <row r="699">
      <c r="A699" s="39" t="s">
        <v>307</v>
      </c>
      <c r="B699" s="39" t="s">
        <v>214</v>
      </c>
      <c r="C699" s="39">
        <v>14.0</v>
      </c>
      <c r="D699" s="39" t="s">
        <v>87</v>
      </c>
      <c r="E699" s="39" t="s">
        <v>1806</v>
      </c>
      <c r="F699" s="39"/>
      <c r="G699" s="39" t="s">
        <v>1807</v>
      </c>
      <c r="I699" s="39"/>
    </row>
    <row r="700">
      <c r="A700" s="39" t="s">
        <v>307</v>
      </c>
      <c r="B700" s="39" t="s">
        <v>214</v>
      </c>
      <c r="C700" s="39">
        <v>15.0</v>
      </c>
      <c r="D700" s="39" t="s">
        <v>87</v>
      </c>
      <c r="E700" s="39" t="s">
        <v>1808</v>
      </c>
      <c r="F700" s="39"/>
      <c r="G700" s="39" t="s">
        <v>1809</v>
      </c>
      <c r="I700" s="39"/>
    </row>
    <row r="701">
      <c r="A701" s="39" t="s">
        <v>307</v>
      </c>
      <c r="B701" s="39" t="s">
        <v>214</v>
      </c>
      <c r="C701" s="39">
        <v>16.0</v>
      </c>
      <c r="D701" s="39" t="s">
        <v>87</v>
      </c>
      <c r="E701" s="39" t="s">
        <v>1810</v>
      </c>
      <c r="F701" s="39"/>
      <c r="G701" s="39" t="s">
        <v>1811</v>
      </c>
      <c r="I701" s="39"/>
    </row>
    <row r="702">
      <c r="A702" s="39" t="s">
        <v>307</v>
      </c>
      <c r="B702" s="39" t="s">
        <v>214</v>
      </c>
      <c r="C702" s="39">
        <v>17.0</v>
      </c>
      <c r="D702" s="39" t="s">
        <v>87</v>
      </c>
      <c r="E702" s="39" t="s">
        <v>1812</v>
      </c>
      <c r="F702" s="39"/>
      <c r="G702" s="39" t="s">
        <v>1813</v>
      </c>
      <c r="I702" s="39"/>
    </row>
    <row r="703">
      <c r="A703" s="39" t="s">
        <v>307</v>
      </c>
      <c r="B703" s="39" t="s">
        <v>214</v>
      </c>
      <c r="C703" s="39">
        <v>18.0</v>
      </c>
      <c r="D703" s="39" t="s">
        <v>839</v>
      </c>
      <c r="E703" s="39" t="s">
        <v>1814</v>
      </c>
      <c r="F703" s="39"/>
      <c r="G703" s="39" t="s">
        <v>874</v>
      </c>
      <c r="H703" s="39"/>
      <c r="I703" s="39"/>
    </row>
    <row r="704">
      <c r="A704" s="39" t="s">
        <v>307</v>
      </c>
      <c r="B704" s="39" t="s">
        <v>214</v>
      </c>
      <c r="C704" s="39">
        <v>19.0</v>
      </c>
      <c r="D704" s="39" t="s">
        <v>839</v>
      </c>
      <c r="E704" s="39" t="s">
        <v>1815</v>
      </c>
      <c r="F704" s="39"/>
      <c r="G704" s="39" t="s">
        <v>880</v>
      </c>
      <c r="H704" s="39"/>
      <c r="I704" s="39"/>
    </row>
    <row r="705">
      <c r="A705" s="39" t="s">
        <v>307</v>
      </c>
      <c r="B705" s="39" t="s">
        <v>214</v>
      </c>
      <c r="C705" s="39">
        <v>20.0</v>
      </c>
      <c r="D705" s="39" t="s">
        <v>875</v>
      </c>
      <c r="E705" s="39" t="s">
        <v>1816</v>
      </c>
      <c r="F705" s="39"/>
      <c r="G705" s="39" t="s">
        <v>877</v>
      </c>
      <c r="H705" s="39"/>
      <c r="I705" s="39"/>
    </row>
    <row r="706">
      <c r="A706" s="39" t="s">
        <v>307</v>
      </c>
      <c r="B706" s="39" t="s">
        <v>214</v>
      </c>
      <c r="C706" s="39">
        <v>21.0</v>
      </c>
      <c r="D706" s="39" t="s">
        <v>875</v>
      </c>
      <c r="E706" s="39" t="s">
        <v>1817</v>
      </c>
      <c r="F706" s="39"/>
      <c r="G706" s="39" t="s">
        <v>877</v>
      </c>
      <c r="H706" s="39"/>
      <c r="I706" s="39"/>
    </row>
    <row r="707">
      <c r="A707" s="39" t="s">
        <v>307</v>
      </c>
      <c r="B707" s="39" t="s">
        <v>214</v>
      </c>
      <c r="C707" s="39">
        <v>22.0</v>
      </c>
      <c r="D707" s="39" t="s">
        <v>875</v>
      </c>
      <c r="E707" s="39" t="s">
        <v>1818</v>
      </c>
      <c r="F707" s="39"/>
      <c r="G707" s="39" t="s">
        <v>877</v>
      </c>
      <c r="H707" s="39"/>
      <c r="I707" s="39"/>
    </row>
    <row r="708">
      <c r="A708" s="39" t="s">
        <v>307</v>
      </c>
      <c r="B708" s="39" t="s">
        <v>214</v>
      </c>
      <c r="C708" s="39">
        <v>23.0</v>
      </c>
      <c r="D708" s="39" t="s">
        <v>875</v>
      </c>
      <c r="E708" s="39" t="s">
        <v>1819</v>
      </c>
      <c r="F708" s="39"/>
      <c r="G708" s="39" t="s">
        <v>883</v>
      </c>
      <c r="H708" s="39"/>
      <c r="I708" s="39"/>
    </row>
    <row r="709">
      <c r="A709" s="39" t="s">
        <v>307</v>
      </c>
      <c r="B709" s="39" t="s">
        <v>214</v>
      </c>
      <c r="C709" s="39">
        <v>24.0</v>
      </c>
      <c r="D709" s="39" t="s">
        <v>875</v>
      </c>
      <c r="E709" s="39" t="s">
        <v>1820</v>
      </c>
      <c r="F709" s="39"/>
      <c r="G709" s="39" t="s">
        <v>883</v>
      </c>
      <c r="H709" s="39"/>
      <c r="I709" s="39"/>
    </row>
    <row r="710">
      <c r="A710" s="39" t="s">
        <v>307</v>
      </c>
      <c r="B710" s="39" t="s">
        <v>214</v>
      </c>
      <c r="C710" s="39">
        <v>25.0</v>
      </c>
      <c r="D710" s="39" t="s">
        <v>88</v>
      </c>
      <c r="E710" s="39" t="s">
        <v>1821</v>
      </c>
      <c r="F710" s="39"/>
      <c r="G710" s="39" t="s">
        <v>901</v>
      </c>
      <c r="H710" s="39"/>
      <c r="I710" s="39"/>
    </row>
    <row r="711">
      <c r="A711" s="39" t="s">
        <v>307</v>
      </c>
      <c r="B711" s="39" t="s">
        <v>214</v>
      </c>
      <c r="C711" s="39">
        <v>26.0</v>
      </c>
      <c r="D711" s="39" t="s">
        <v>88</v>
      </c>
      <c r="E711" s="39" t="s">
        <v>1822</v>
      </c>
      <c r="F711" s="39"/>
      <c r="G711" s="39" t="s">
        <v>898</v>
      </c>
      <c r="H711" s="39"/>
      <c r="I711" s="39"/>
    </row>
    <row r="712">
      <c r="A712" s="39" t="s">
        <v>307</v>
      </c>
      <c r="B712" s="39" t="s">
        <v>214</v>
      </c>
      <c r="C712" s="39">
        <v>27.0</v>
      </c>
      <c r="D712" s="39" t="s">
        <v>88</v>
      </c>
      <c r="E712" s="39" t="s">
        <v>1823</v>
      </c>
      <c r="F712" s="39"/>
      <c r="G712" s="39" t="s">
        <v>898</v>
      </c>
      <c r="H712" s="39"/>
      <c r="I712" s="39"/>
    </row>
    <row r="713">
      <c r="A713" s="39" t="s">
        <v>307</v>
      </c>
      <c r="B713" s="39" t="s">
        <v>214</v>
      </c>
      <c r="C713" s="39">
        <v>28.0</v>
      </c>
      <c r="D713" s="39" t="s">
        <v>88</v>
      </c>
      <c r="E713" s="39" t="s">
        <v>1824</v>
      </c>
      <c r="F713" s="39"/>
      <c r="G713" s="39" t="s">
        <v>895</v>
      </c>
      <c r="H713" s="39"/>
      <c r="I713" s="39"/>
    </row>
    <row r="714">
      <c r="A714" s="39" t="s">
        <v>307</v>
      </c>
      <c r="B714" s="39" t="s">
        <v>214</v>
      </c>
      <c r="C714" s="39">
        <v>29.0</v>
      </c>
      <c r="D714" s="39" t="s">
        <v>88</v>
      </c>
      <c r="E714" s="39" t="s">
        <v>1825</v>
      </c>
      <c r="F714" s="39"/>
      <c r="G714" s="39" t="s">
        <v>895</v>
      </c>
      <c r="H714" s="39"/>
      <c r="I714" s="39"/>
    </row>
    <row r="715">
      <c r="A715" s="39" t="s">
        <v>307</v>
      </c>
      <c r="B715" s="39" t="s">
        <v>214</v>
      </c>
      <c r="C715" s="39">
        <v>30.0</v>
      </c>
      <c r="D715" s="39" t="s">
        <v>902</v>
      </c>
      <c r="E715" s="39" t="s">
        <v>1826</v>
      </c>
      <c r="F715" s="39"/>
      <c r="G715" s="56" t="s">
        <v>822</v>
      </c>
      <c r="H715" s="39" t="s">
        <v>1827</v>
      </c>
      <c r="I715" s="39"/>
    </row>
    <row r="716">
      <c r="A716" s="39" t="s">
        <v>307</v>
      </c>
      <c r="B716" s="39" t="s">
        <v>214</v>
      </c>
      <c r="C716" s="39">
        <v>31.0</v>
      </c>
      <c r="D716" s="39" t="s">
        <v>902</v>
      </c>
      <c r="E716" s="39" t="s">
        <v>1828</v>
      </c>
      <c r="F716" s="39"/>
      <c r="G716" s="56" t="s">
        <v>801</v>
      </c>
      <c r="H716" s="39" t="s">
        <v>1728</v>
      </c>
      <c r="I716" s="39"/>
    </row>
    <row r="717">
      <c r="A717" s="39" t="s">
        <v>307</v>
      </c>
      <c r="B717" s="39" t="s">
        <v>214</v>
      </c>
      <c r="C717" s="39">
        <v>32.0</v>
      </c>
      <c r="D717" s="39" t="s">
        <v>902</v>
      </c>
      <c r="E717" s="39" t="s">
        <v>1829</v>
      </c>
      <c r="F717" s="39"/>
      <c r="G717" s="39" t="s">
        <v>809</v>
      </c>
      <c r="H717" s="39" t="s">
        <v>1036</v>
      </c>
      <c r="I717" s="39"/>
    </row>
    <row r="718">
      <c r="A718" s="39" t="s">
        <v>307</v>
      </c>
      <c r="B718" s="39" t="s">
        <v>214</v>
      </c>
      <c r="C718" s="39">
        <v>33.0</v>
      </c>
      <c r="D718" s="39" t="s">
        <v>902</v>
      </c>
      <c r="E718" s="39" t="s">
        <v>1830</v>
      </c>
      <c r="F718" s="39"/>
      <c r="G718" s="39" t="s">
        <v>809</v>
      </c>
      <c r="H718" s="39" t="s">
        <v>1728</v>
      </c>
      <c r="I718" s="39"/>
    </row>
    <row r="719">
      <c r="A719" s="39" t="s">
        <v>307</v>
      </c>
      <c r="B719" s="39" t="s">
        <v>214</v>
      </c>
      <c r="C719" s="39">
        <v>34.0</v>
      </c>
      <c r="D719" s="39" t="s">
        <v>902</v>
      </c>
      <c r="E719" s="39" t="s">
        <v>1831</v>
      </c>
      <c r="F719" s="39"/>
      <c r="G719" s="56" t="s">
        <v>822</v>
      </c>
      <c r="H719" s="39" t="s">
        <v>1832</v>
      </c>
      <c r="I719" s="39"/>
    </row>
    <row r="720">
      <c r="A720" s="39" t="s">
        <v>307</v>
      </c>
      <c r="B720" s="39" t="s">
        <v>214</v>
      </c>
      <c r="C720" s="39">
        <v>35.0</v>
      </c>
      <c r="D720" s="39" t="s">
        <v>902</v>
      </c>
      <c r="E720" s="39" t="s">
        <v>1833</v>
      </c>
      <c r="F720" s="39"/>
      <c r="G720" s="56" t="s">
        <v>801</v>
      </c>
      <c r="H720" s="39" t="s">
        <v>1728</v>
      </c>
      <c r="I720" s="39"/>
    </row>
    <row r="721">
      <c r="A721" s="39" t="s">
        <v>307</v>
      </c>
      <c r="B721" s="39" t="s">
        <v>214</v>
      </c>
      <c r="C721" s="39">
        <v>36.0</v>
      </c>
      <c r="D721" s="39" t="s">
        <v>902</v>
      </c>
      <c r="E721" s="39" t="s">
        <v>1834</v>
      </c>
      <c r="F721" s="39"/>
      <c r="G721" s="39" t="s">
        <v>809</v>
      </c>
      <c r="H721" s="39" t="s">
        <v>1827</v>
      </c>
      <c r="I721" s="39"/>
    </row>
    <row r="722">
      <c r="A722" s="39" t="s">
        <v>307</v>
      </c>
      <c r="B722" s="39" t="s">
        <v>214</v>
      </c>
      <c r="C722" s="39">
        <v>37.0</v>
      </c>
      <c r="D722" s="39" t="s">
        <v>902</v>
      </c>
      <c r="E722" s="39" t="s">
        <v>1835</v>
      </c>
      <c r="F722" s="39"/>
      <c r="G722" s="39" t="s">
        <v>809</v>
      </c>
      <c r="H722" s="39" t="s">
        <v>1728</v>
      </c>
      <c r="I722" s="39"/>
    </row>
    <row r="723">
      <c r="A723" s="39" t="s">
        <v>307</v>
      </c>
      <c r="B723" s="39" t="s">
        <v>214</v>
      </c>
      <c r="C723" s="39">
        <v>38.0</v>
      </c>
      <c r="D723" s="39" t="s">
        <v>90</v>
      </c>
      <c r="E723" s="39" t="s">
        <v>1836</v>
      </c>
      <c r="F723" s="39"/>
      <c r="G723" s="39" t="s">
        <v>924</v>
      </c>
      <c r="H723" s="39"/>
      <c r="I723" s="39"/>
    </row>
    <row r="724">
      <c r="A724" s="39" t="s">
        <v>307</v>
      </c>
      <c r="B724" s="39" t="s">
        <v>214</v>
      </c>
      <c r="C724" s="39">
        <v>39.0</v>
      </c>
      <c r="D724" s="39" t="s">
        <v>90</v>
      </c>
      <c r="E724" s="39" t="s">
        <v>1837</v>
      </c>
      <c r="F724" s="39"/>
      <c r="G724" s="39" t="s">
        <v>930</v>
      </c>
      <c r="H724" s="39"/>
      <c r="I724" s="39"/>
    </row>
    <row r="725">
      <c r="A725" s="39" t="s">
        <v>307</v>
      </c>
      <c r="B725" s="39" t="s">
        <v>214</v>
      </c>
      <c r="C725" s="39">
        <v>40.0</v>
      </c>
      <c r="D725" s="39" t="s">
        <v>90</v>
      </c>
      <c r="E725" s="39" t="s">
        <v>1838</v>
      </c>
      <c r="F725" s="39"/>
      <c r="G725" s="39" t="s">
        <v>927</v>
      </c>
      <c r="H725" s="39"/>
      <c r="I725" s="39"/>
    </row>
    <row r="726">
      <c r="A726" s="39" t="s">
        <v>307</v>
      </c>
      <c r="B726" s="39" t="s">
        <v>214</v>
      </c>
      <c r="C726" s="39">
        <v>41.0</v>
      </c>
      <c r="D726" s="39" t="s">
        <v>90</v>
      </c>
      <c r="E726" s="39" t="s">
        <v>1839</v>
      </c>
      <c r="F726" s="39"/>
      <c r="G726" s="39" t="s">
        <v>939</v>
      </c>
      <c r="H726" s="39"/>
      <c r="I726" s="39"/>
    </row>
    <row r="727">
      <c r="A727" s="39" t="s">
        <v>307</v>
      </c>
      <c r="B727" s="39" t="s">
        <v>214</v>
      </c>
      <c r="C727" s="39">
        <v>42.0</v>
      </c>
      <c r="D727" s="39" t="s">
        <v>90</v>
      </c>
      <c r="E727" s="39" t="s">
        <v>1840</v>
      </c>
      <c r="F727" s="39"/>
      <c r="G727" s="56" t="s">
        <v>822</v>
      </c>
      <c r="H727" s="39"/>
      <c r="I727" s="39"/>
    </row>
    <row r="728">
      <c r="A728" s="39" t="s">
        <v>307</v>
      </c>
      <c r="B728" s="39" t="s">
        <v>214</v>
      </c>
      <c r="C728" s="39">
        <v>43.0</v>
      </c>
      <c r="D728" s="39" t="s">
        <v>90</v>
      </c>
      <c r="E728" s="39" t="s">
        <v>1841</v>
      </c>
      <c r="F728" s="39"/>
      <c r="G728" s="56" t="s">
        <v>836</v>
      </c>
      <c r="H728" s="39"/>
      <c r="I728" s="39"/>
    </row>
    <row r="729">
      <c r="A729" s="39" t="s">
        <v>307</v>
      </c>
      <c r="B729" s="39" t="s">
        <v>214</v>
      </c>
      <c r="C729" s="39">
        <v>44.0</v>
      </c>
      <c r="D729" s="39" t="s">
        <v>90</v>
      </c>
      <c r="E729" s="39" t="s">
        <v>1842</v>
      </c>
      <c r="F729" s="39"/>
      <c r="G729" s="56" t="s">
        <v>801</v>
      </c>
      <c r="H729" s="39"/>
      <c r="I729" s="39"/>
    </row>
    <row r="730">
      <c r="A730" s="39" t="s">
        <v>307</v>
      </c>
      <c r="B730" s="39" t="s">
        <v>214</v>
      </c>
      <c r="C730" s="39">
        <v>45.0</v>
      </c>
      <c r="D730" s="39" t="s">
        <v>92</v>
      </c>
      <c r="E730" s="39" t="s">
        <v>1843</v>
      </c>
      <c r="F730" s="39"/>
      <c r="G730" s="39" t="s">
        <v>1844</v>
      </c>
      <c r="H730" s="39" t="s">
        <v>1845</v>
      </c>
      <c r="I730" s="39"/>
    </row>
    <row r="731">
      <c r="A731" s="39" t="s">
        <v>307</v>
      </c>
      <c r="B731" s="39" t="s">
        <v>214</v>
      </c>
      <c r="C731" s="39">
        <v>46.0</v>
      </c>
      <c r="D731" s="39" t="s">
        <v>92</v>
      </c>
      <c r="E731" s="39" t="s">
        <v>1846</v>
      </c>
      <c r="F731" s="39"/>
      <c r="G731" s="39" t="s">
        <v>1847</v>
      </c>
      <c r="H731" s="39" t="s">
        <v>1848</v>
      </c>
      <c r="I731" s="39"/>
    </row>
    <row r="732">
      <c r="A732" s="39" t="s">
        <v>307</v>
      </c>
      <c r="B732" s="39" t="s">
        <v>214</v>
      </c>
      <c r="C732" s="39">
        <v>47.0</v>
      </c>
      <c r="D732" s="39" t="s">
        <v>92</v>
      </c>
      <c r="E732" s="39" t="s">
        <v>1849</v>
      </c>
      <c r="F732" s="39"/>
      <c r="G732" s="39" t="s">
        <v>945</v>
      </c>
      <c r="H732" s="39"/>
      <c r="I732" s="39"/>
    </row>
    <row r="733">
      <c r="A733" s="39" t="s">
        <v>307</v>
      </c>
      <c r="B733" s="39" t="s">
        <v>214</v>
      </c>
      <c r="C733" s="39">
        <v>48.0</v>
      </c>
      <c r="D733" s="39" t="s">
        <v>92</v>
      </c>
      <c r="E733" s="39" t="s">
        <v>1850</v>
      </c>
      <c r="F733" s="39"/>
      <c r="G733" s="39" t="s">
        <v>1355</v>
      </c>
      <c r="H733" s="39" t="s">
        <v>1356</v>
      </c>
      <c r="I733" s="39"/>
    </row>
    <row r="734">
      <c r="A734" s="39" t="s">
        <v>307</v>
      </c>
      <c r="B734" s="39" t="s">
        <v>214</v>
      </c>
      <c r="C734" s="39">
        <v>49.0</v>
      </c>
      <c r="D734" s="39" t="s">
        <v>91</v>
      </c>
      <c r="E734" s="39" t="s">
        <v>1851</v>
      </c>
      <c r="F734" s="39"/>
      <c r="G734" s="56" t="s">
        <v>836</v>
      </c>
      <c r="H734" s="39"/>
      <c r="I734" s="39"/>
    </row>
    <row r="735">
      <c r="A735" s="39" t="s">
        <v>307</v>
      </c>
      <c r="B735" s="39" t="s">
        <v>214</v>
      </c>
      <c r="C735" s="39">
        <v>50.0</v>
      </c>
      <c r="D735" s="39" t="s">
        <v>91</v>
      </c>
      <c r="E735" s="39" t="s">
        <v>1852</v>
      </c>
      <c r="F735" s="39"/>
      <c r="G735" s="56" t="s">
        <v>806</v>
      </c>
      <c r="H735" s="39"/>
      <c r="I735" s="39"/>
    </row>
    <row r="736">
      <c r="A736" s="39" t="s">
        <v>307</v>
      </c>
      <c r="B736" s="39" t="s">
        <v>214</v>
      </c>
      <c r="C736" s="39">
        <v>51.0</v>
      </c>
      <c r="D736" s="39" t="s">
        <v>91</v>
      </c>
      <c r="E736" s="39" t="s">
        <v>1853</v>
      </c>
      <c r="F736" s="39"/>
      <c r="G736" s="56" t="s">
        <v>822</v>
      </c>
      <c r="H736" s="39"/>
      <c r="I736" s="39"/>
    </row>
    <row r="737">
      <c r="A737" s="39" t="s">
        <v>307</v>
      </c>
      <c r="B737" s="39" t="s">
        <v>214</v>
      </c>
      <c r="C737" s="39">
        <v>52.0</v>
      </c>
      <c r="D737" s="39" t="s">
        <v>92</v>
      </c>
      <c r="E737" s="39" t="s">
        <v>1854</v>
      </c>
      <c r="F737" s="39"/>
      <c r="G737" s="39" t="s">
        <v>947</v>
      </c>
      <c r="H737" s="39"/>
      <c r="I737" s="39"/>
    </row>
    <row r="738">
      <c r="A738" s="39" t="s">
        <v>307</v>
      </c>
      <c r="B738" s="39" t="s">
        <v>214</v>
      </c>
      <c r="C738" s="39">
        <v>53.0</v>
      </c>
      <c r="D738" s="39" t="s">
        <v>92</v>
      </c>
      <c r="E738" s="39" t="s">
        <v>1855</v>
      </c>
      <c r="F738" s="39"/>
      <c r="G738" s="39" t="s">
        <v>1856</v>
      </c>
      <c r="H738" s="39" t="s">
        <v>1857</v>
      </c>
      <c r="I738" s="39"/>
    </row>
    <row r="739">
      <c r="A739" s="39" t="s">
        <v>307</v>
      </c>
      <c r="B739" s="39" t="s">
        <v>214</v>
      </c>
      <c r="C739" s="39">
        <v>54.0</v>
      </c>
      <c r="D739" s="39" t="s">
        <v>839</v>
      </c>
      <c r="E739" s="39" t="s">
        <v>1858</v>
      </c>
      <c r="F739" s="39"/>
      <c r="G739" s="39" t="str">
        <f>IFERROR(__xludf.DUMMYFUNCTION("IFS(REGEXMATCH(E739, ""ammo_ar""), ""Daedalus AR Ammo"", REGEXMATCH(E739, ""ammo_ps""), ""Daedalus Pistol Ammo"", REGEXMATCH(E739, ""ammo_sg""), ""Daedalus Shotgun Ammo"", REGEXMATCH(E739, ""ammo_sm""), ""Daedalus SMG Ammo"", REGEXMATCH(E739, ""ammo_sr"")"&amp;", ""Daedalus SR Ammo"")"),"Daedalus Shotgun Ammo")</f>
        <v>Daedalus Shotgun Ammo</v>
      </c>
      <c r="H739" s="39"/>
      <c r="I739" s="39"/>
    </row>
    <row r="740">
      <c r="A740" s="39" t="s">
        <v>307</v>
      </c>
      <c r="B740" s="39" t="s">
        <v>214</v>
      </c>
      <c r="C740" s="39">
        <v>55.0</v>
      </c>
      <c r="D740" s="39" t="s">
        <v>839</v>
      </c>
      <c r="E740" s="39" t="s">
        <v>1859</v>
      </c>
      <c r="F740" s="39"/>
      <c r="G740" s="39" t="str">
        <f>IFERROR(__xludf.DUMMYFUNCTION("IFS(REGEXMATCH(E740, ""ammo_ar""), ""Daedalus AR Ammo"", REGEXMATCH(E740, ""ammo_ps""), ""Daedalus Pistol Ammo"", REGEXMATCH(E740, ""ammo_sg""), ""Daedalus Shotgun Ammo"", REGEXMATCH(E740, ""ammo_sm""), ""Daedalus SMG Ammo"", REGEXMATCH(E740, ""ammo_sr"")"&amp;", ""Daedalus SR Ammo"")"),"Daedalus AR Ammo")</f>
        <v>Daedalus AR Ammo</v>
      </c>
      <c r="H740" s="39"/>
      <c r="I740" s="39"/>
    </row>
    <row r="741">
      <c r="A741" s="39" t="s">
        <v>307</v>
      </c>
      <c r="B741" s="39" t="s">
        <v>214</v>
      </c>
      <c r="C741" s="39">
        <v>56.0</v>
      </c>
      <c r="D741" s="39" t="s">
        <v>839</v>
      </c>
      <c r="E741" s="39" t="s">
        <v>1860</v>
      </c>
      <c r="F741" s="39"/>
      <c r="G741" s="39" t="str">
        <f>IFERROR(__xludf.DUMMYFUNCTION("IFS(REGEXMATCH(E741, ""ammo_ar""), ""Daedalus AR Ammo"", REGEXMATCH(E741, ""ammo_ps""), ""Daedalus Pistol Ammo"", REGEXMATCH(E741, ""ammo_sg""), ""Daedalus Shotgun Ammo"", REGEXMATCH(E741, ""ammo_sm""), ""Daedalus SMG Ammo"", REGEXMATCH(E741, ""ammo_sr"")"&amp;", ""Daedalus SR Ammo"")"),"Daedalus Pistol Ammo")</f>
        <v>Daedalus Pistol Ammo</v>
      </c>
      <c r="H741" s="39"/>
      <c r="I741" s="39"/>
    </row>
    <row r="742">
      <c r="A742" s="39" t="s">
        <v>307</v>
      </c>
      <c r="B742" s="39" t="s">
        <v>214</v>
      </c>
      <c r="C742" s="39">
        <v>57.0</v>
      </c>
      <c r="D742" s="39" t="s">
        <v>839</v>
      </c>
      <c r="E742" s="39" t="s">
        <v>1861</v>
      </c>
      <c r="F742" s="39"/>
      <c r="G742" s="39" t="str">
        <f>IFERROR(__xludf.DUMMYFUNCTION("IFS(REGEXMATCH(E742, ""ammo_ar""), ""Daedalus AR Ammo"", REGEXMATCH(E742, ""ammo_ps""), ""Daedalus Pistol Ammo"", REGEXMATCH(E742, ""ammo_sg""), ""Daedalus Shotgun Ammo"", REGEXMATCH(E742, ""ammo_sm""), ""Daedalus SMG Ammo"", REGEXMATCH(E742, ""ammo_sr"")"&amp;", ""Daedalus SR Ammo"")"),"Daedalus SR Ammo")</f>
        <v>Daedalus SR Ammo</v>
      </c>
      <c r="H742" s="39"/>
      <c r="I742" s="39"/>
    </row>
    <row r="743">
      <c r="A743" s="39" t="s">
        <v>307</v>
      </c>
      <c r="B743" s="39" t="s">
        <v>214</v>
      </c>
      <c r="C743" s="39">
        <v>59.0</v>
      </c>
      <c r="D743" s="39" t="s">
        <v>84</v>
      </c>
      <c r="E743" s="39" t="s">
        <v>1862</v>
      </c>
      <c r="F743" s="39"/>
      <c r="G743" s="39" t="s">
        <v>1863</v>
      </c>
      <c r="H743" s="39" t="s">
        <v>1864</v>
      </c>
      <c r="I743" s="39"/>
    </row>
    <row r="744">
      <c r="A744" s="39" t="s">
        <v>307</v>
      </c>
      <c r="B744" s="39" t="s">
        <v>214</v>
      </c>
      <c r="C744" s="39">
        <v>61.0</v>
      </c>
      <c r="D744" s="39" t="s">
        <v>819</v>
      </c>
      <c r="E744" s="39" t="s">
        <v>1865</v>
      </c>
      <c r="F744" s="39"/>
      <c r="G744" s="56" t="s">
        <v>1866</v>
      </c>
      <c r="H744" s="39"/>
      <c r="I744" s="39"/>
    </row>
    <row r="745">
      <c r="A745" s="39" t="s">
        <v>307</v>
      </c>
      <c r="B745" s="39" t="s">
        <v>214</v>
      </c>
      <c r="C745" s="39">
        <v>62.0</v>
      </c>
      <c r="D745" s="39" t="s">
        <v>84</v>
      </c>
      <c r="E745" s="39" t="s">
        <v>1867</v>
      </c>
      <c r="F745" s="39"/>
      <c r="G745" s="39" t="s">
        <v>1868</v>
      </c>
      <c r="H745" s="39" t="s">
        <v>1869</v>
      </c>
      <c r="I745" s="39"/>
    </row>
    <row r="746">
      <c r="A746" s="39" t="s">
        <v>307</v>
      </c>
      <c r="B746" s="39" t="s">
        <v>214</v>
      </c>
      <c r="C746" s="39">
        <v>65.0</v>
      </c>
      <c r="D746" s="39" t="s">
        <v>819</v>
      </c>
      <c r="E746" s="39" t="s">
        <v>1870</v>
      </c>
      <c r="F746" s="39"/>
      <c r="G746" s="56" t="s">
        <v>822</v>
      </c>
      <c r="H746" s="39"/>
      <c r="I746" s="39"/>
    </row>
    <row r="747">
      <c r="A747" s="39" t="s">
        <v>307</v>
      </c>
      <c r="B747" s="39" t="s">
        <v>214</v>
      </c>
      <c r="C747" s="39">
        <v>66.0</v>
      </c>
      <c r="D747" s="39" t="s">
        <v>819</v>
      </c>
      <c r="E747" s="39" t="s">
        <v>1871</v>
      </c>
      <c r="F747" s="39"/>
      <c r="G747" s="39" t="s">
        <v>809</v>
      </c>
      <c r="H747" s="39"/>
      <c r="I747" s="39"/>
    </row>
    <row r="748">
      <c r="A748" s="39" t="s">
        <v>307</v>
      </c>
      <c r="B748" s="39" t="s">
        <v>214</v>
      </c>
      <c r="C748" s="39">
        <v>67.0</v>
      </c>
      <c r="D748" s="39" t="s">
        <v>819</v>
      </c>
      <c r="E748" s="39" t="s">
        <v>1872</v>
      </c>
      <c r="F748" s="39"/>
      <c r="G748" s="39" t="s">
        <v>809</v>
      </c>
      <c r="H748" s="39"/>
      <c r="I748" s="39"/>
    </row>
    <row r="749">
      <c r="A749" s="39" t="s">
        <v>307</v>
      </c>
      <c r="B749" s="39" t="s">
        <v>214</v>
      </c>
      <c r="C749" s="39">
        <v>68.0</v>
      </c>
      <c r="D749" s="39" t="s">
        <v>819</v>
      </c>
      <c r="E749" s="39" t="s">
        <v>1873</v>
      </c>
      <c r="F749" s="39"/>
      <c r="G749" s="56" t="s">
        <v>806</v>
      </c>
      <c r="H749" s="39"/>
      <c r="I749" s="39"/>
    </row>
    <row r="750">
      <c r="A750" s="39" t="s">
        <v>307</v>
      </c>
      <c r="B750" s="39" t="s">
        <v>214</v>
      </c>
      <c r="C750" s="39">
        <v>69.0</v>
      </c>
      <c r="D750" s="39" t="s">
        <v>819</v>
      </c>
      <c r="E750" s="39" t="s">
        <v>1874</v>
      </c>
      <c r="F750" s="39"/>
      <c r="G750" s="56" t="s">
        <v>822</v>
      </c>
      <c r="H750" s="39"/>
      <c r="I750" s="39"/>
    </row>
    <row r="751">
      <c r="A751" s="39" t="s">
        <v>307</v>
      </c>
      <c r="B751" s="39" t="s">
        <v>214</v>
      </c>
      <c r="C751" s="39">
        <v>70.0</v>
      </c>
      <c r="D751" s="39" t="s">
        <v>819</v>
      </c>
      <c r="E751" s="39" t="s">
        <v>1875</v>
      </c>
      <c r="F751" s="39"/>
      <c r="G751" s="56" t="s">
        <v>806</v>
      </c>
      <c r="H751" s="39"/>
      <c r="I751" s="39"/>
    </row>
    <row r="752">
      <c r="A752" s="39" t="s">
        <v>307</v>
      </c>
      <c r="B752" s="39" t="s">
        <v>214</v>
      </c>
      <c r="C752" s="39">
        <v>71.0</v>
      </c>
      <c r="D752" s="39" t="s">
        <v>819</v>
      </c>
      <c r="E752" s="39" t="s">
        <v>1876</v>
      </c>
      <c r="F752" s="39"/>
      <c r="G752" s="56" t="s">
        <v>836</v>
      </c>
      <c r="H752" s="39"/>
      <c r="I752" s="39"/>
    </row>
    <row r="753">
      <c r="A753" s="39" t="s">
        <v>307</v>
      </c>
      <c r="B753" s="39" t="s">
        <v>214</v>
      </c>
      <c r="C753" s="39">
        <v>72.0</v>
      </c>
      <c r="D753" s="39" t="s">
        <v>819</v>
      </c>
      <c r="E753" s="39" t="s">
        <v>1877</v>
      </c>
      <c r="F753" s="39"/>
      <c r="G753" s="56" t="s">
        <v>836</v>
      </c>
      <c r="H753" s="39"/>
      <c r="I753" s="39"/>
    </row>
    <row r="754">
      <c r="A754" s="39" t="s">
        <v>307</v>
      </c>
      <c r="B754" s="39" t="s">
        <v>214</v>
      </c>
      <c r="C754" s="39">
        <v>73.0</v>
      </c>
      <c r="D754" s="39" t="s">
        <v>839</v>
      </c>
      <c r="E754" s="39" t="s">
        <v>1878</v>
      </c>
      <c r="F754" s="39"/>
      <c r="G754" s="39" t="s">
        <v>842</v>
      </c>
      <c r="H754" s="39"/>
      <c r="I754" s="39"/>
    </row>
    <row r="755">
      <c r="A755" s="39" t="s">
        <v>307</v>
      </c>
      <c r="B755" s="39" t="s">
        <v>214</v>
      </c>
      <c r="C755" s="39">
        <v>74.0</v>
      </c>
      <c r="D755" s="39" t="s">
        <v>839</v>
      </c>
      <c r="E755" s="39" t="s">
        <v>1879</v>
      </c>
      <c r="F755" s="39"/>
      <c r="G755" s="39" t="s">
        <v>845</v>
      </c>
      <c r="H755" s="39"/>
      <c r="I755" s="39"/>
    </row>
    <row r="756">
      <c r="A756" s="39" t="s">
        <v>307</v>
      </c>
      <c r="B756" s="39" t="s">
        <v>214</v>
      </c>
      <c r="C756" s="39">
        <v>75.0</v>
      </c>
      <c r="D756" s="39" t="s">
        <v>839</v>
      </c>
      <c r="E756" s="39" t="s">
        <v>1880</v>
      </c>
      <c r="F756" s="39"/>
      <c r="G756" s="39" t="s">
        <v>847</v>
      </c>
      <c r="H756" s="39"/>
      <c r="I756" s="39"/>
    </row>
    <row r="757">
      <c r="A757" s="39" t="s">
        <v>307</v>
      </c>
      <c r="B757" s="39" t="s">
        <v>214</v>
      </c>
      <c r="C757" s="39">
        <v>76.0</v>
      </c>
      <c r="D757" s="39" t="s">
        <v>839</v>
      </c>
      <c r="E757" s="39" t="s">
        <v>1881</v>
      </c>
      <c r="F757" s="39"/>
      <c r="G757" s="39" t="s">
        <v>850</v>
      </c>
      <c r="H757" s="39"/>
      <c r="I757" s="39"/>
    </row>
    <row r="758">
      <c r="A758" s="39" t="s">
        <v>307</v>
      </c>
      <c r="B758" s="39" t="s">
        <v>214</v>
      </c>
      <c r="C758" s="39">
        <v>77.0</v>
      </c>
      <c r="D758" s="39" t="s">
        <v>839</v>
      </c>
      <c r="E758" s="39" t="s">
        <v>1882</v>
      </c>
      <c r="F758" s="39"/>
      <c r="G758" s="39" t="s">
        <v>853</v>
      </c>
      <c r="H758" s="39"/>
      <c r="I758" s="39"/>
    </row>
    <row r="759">
      <c r="A759" s="39" t="s">
        <v>307</v>
      </c>
      <c r="B759" s="39" t="s">
        <v>214</v>
      </c>
      <c r="C759" s="39">
        <v>78.0</v>
      </c>
      <c r="D759" s="39" t="s">
        <v>839</v>
      </c>
      <c r="E759" s="39" t="s">
        <v>1883</v>
      </c>
      <c r="F759" s="39"/>
      <c r="G759" s="39" t="s">
        <v>856</v>
      </c>
      <c r="H759" s="39"/>
      <c r="I759" s="39"/>
    </row>
    <row r="760">
      <c r="A760" s="39" t="s">
        <v>307</v>
      </c>
      <c r="B760" s="39" t="s">
        <v>1597</v>
      </c>
      <c r="C760" s="39">
        <v>2.0</v>
      </c>
      <c r="D760" s="39" t="s">
        <v>81</v>
      </c>
      <c r="E760" s="39" t="s">
        <v>1884</v>
      </c>
      <c r="F760" s="39"/>
      <c r="G760" s="39" t="s">
        <v>797</v>
      </c>
      <c r="H760" s="39"/>
      <c r="I760" s="39"/>
    </row>
    <row r="761">
      <c r="A761" s="39" t="s">
        <v>307</v>
      </c>
      <c r="B761" s="39" t="s">
        <v>1597</v>
      </c>
      <c r="C761" s="39">
        <v>3.0</v>
      </c>
      <c r="D761" s="39" t="s">
        <v>798</v>
      </c>
      <c r="E761" s="39" t="s">
        <v>1885</v>
      </c>
      <c r="F761" s="39"/>
      <c r="G761" s="56" t="s">
        <v>801</v>
      </c>
      <c r="H761" s="39"/>
      <c r="I761" s="39"/>
    </row>
    <row r="762">
      <c r="A762" s="39" t="s">
        <v>307</v>
      </c>
      <c r="B762" s="39" t="s">
        <v>1597</v>
      </c>
      <c r="C762" s="39">
        <v>4.0</v>
      </c>
      <c r="D762" s="39" t="s">
        <v>798</v>
      </c>
      <c r="E762" s="39" t="s">
        <v>1886</v>
      </c>
      <c r="F762" s="39"/>
      <c r="G762" s="56" t="s">
        <v>1690</v>
      </c>
      <c r="H762" s="39"/>
      <c r="I762" s="39"/>
    </row>
    <row r="763">
      <c r="A763" s="39" t="s">
        <v>307</v>
      </c>
      <c r="B763" s="39" t="s">
        <v>1597</v>
      </c>
      <c r="C763" s="39">
        <v>5.0</v>
      </c>
      <c r="D763" s="39" t="s">
        <v>798</v>
      </c>
      <c r="E763" s="39" t="s">
        <v>1887</v>
      </c>
      <c r="F763" s="39"/>
      <c r="G763" s="56" t="s">
        <v>806</v>
      </c>
      <c r="H763" s="39"/>
      <c r="I763" s="39"/>
    </row>
    <row r="764">
      <c r="A764" s="39" t="s">
        <v>307</v>
      </c>
      <c r="B764" s="39" t="s">
        <v>1597</v>
      </c>
      <c r="C764" s="39">
        <v>6.0</v>
      </c>
      <c r="D764" s="39" t="s">
        <v>798</v>
      </c>
      <c r="E764" s="39" t="s">
        <v>1888</v>
      </c>
      <c r="F764" s="39"/>
      <c r="G764" s="39" t="s">
        <v>809</v>
      </c>
      <c r="H764" s="39"/>
      <c r="I764" s="39"/>
    </row>
    <row r="765">
      <c r="A765" s="39" t="s">
        <v>307</v>
      </c>
      <c r="B765" s="39" t="s">
        <v>1597</v>
      </c>
      <c r="C765" s="39">
        <v>7.0</v>
      </c>
      <c r="D765" s="39" t="s">
        <v>84</v>
      </c>
      <c r="E765" s="39" t="s">
        <v>1889</v>
      </c>
      <c r="F765" s="39"/>
      <c r="G765" s="39" t="s">
        <v>1890</v>
      </c>
      <c r="H765" s="39"/>
      <c r="I765" s="39"/>
    </row>
    <row r="766">
      <c r="A766" s="39" t="s">
        <v>307</v>
      </c>
      <c r="B766" s="39" t="s">
        <v>1597</v>
      </c>
      <c r="C766" s="39">
        <v>8.0</v>
      </c>
      <c r="D766" s="39" t="s">
        <v>84</v>
      </c>
      <c r="E766" s="39" t="s">
        <v>1891</v>
      </c>
      <c r="F766" s="39"/>
      <c r="G766" s="39" t="s">
        <v>1892</v>
      </c>
      <c r="H766" s="39"/>
      <c r="I766" s="39"/>
    </row>
    <row r="767">
      <c r="A767" s="39" t="s">
        <v>307</v>
      </c>
      <c r="B767" s="39" t="s">
        <v>1597</v>
      </c>
      <c r="C767" s="39">
        <v>9.0</v>
      </c>
      <c r="D767" s="39" t="s">
        <v>839</v>
      </c>
      <c r="E767" s="39" t="s">
        <v>1893</v>
      </c>
      <c r="F767" s="39"/>
      <c r="G767" s="39" t="s">
        <v>989</v>
      </c>
      <c r="H767" s="39"/>
      <c r="I767" s="39"/>
    </row>
    <row r="768">
      <c r="A768" s="39" t="s">
        <v>307</v>
      </c>
      <c r="B768" s="39" t="s">
        <v>1597</v>
      </c>
      <c r="C768" s="39">
        <v>10.0</v>
      </c>
      <c r="D768" s="39" t="s">
        <v>839</v>
      </c>
      <c r="E768" s="39" t="s">
        <v>1894</v>
      </c>
      <c r="F768" s="39"/>
      <c r="G768" s="39" t="s">
        <v>991</v>
      </c>
      <c r="H768" s="39"/>
      <c r="I768" s="39"/>
    </row>
    <row r="769">
      <c r="A769" s="39" t="s">
        <v>307</v>
      </c>
      <c r="B769" s="39" t="s">
        <v>1597</v>
      </c>
      <c r="C769" s="39">
        <v>11.0</v>
      </c>
      <c r="D769" s="39" t="s">
        <v>839</v>
      </c>
      <c r="E769" s="39" t="s">
        <v>1895</v>
      </c>
      <c r="F769" s="39"/>
      <c r="G769" s="39" t="s">
        <v>993</v>
      </c>
      <c r="H769" s="39"/>
      <c r="I769" s="39"/>
    </row>
    <row r="770">
      <c r="A770" s="39" t="s">
        <v>307</v>
      </c>
      <c r="B770" s="39" t="s">
        <v>1597</v>
      </c>
      <c r="C770" s="39">
        <v>12.0</v>
      </c>
      <c r="D770" s="39" t="s">
        <v>839</v>
      </c>
      <c r="E770" s="39" t="s">
        <v>1896</v>
      </c>
      <c r="F770" s="39"/>
      <c r="G770" s="39" t="s">
        <v>995</v>
      </c>
      <c r="H770" s="39"/>
      <c r="I770" s="39"/>
    </row>
    <row r="771">
      <c r="A771" s="39" t="s">
        <v>307</v>
      </c>
      <c r="B771" s="39" t="s">
        <v>1597</v>
      </c>
      <c r="C771" s="39">
        <v>13.0</v>
      </c>
      <c r="D771" s="39" t="s">
        <v>87</v>
      </c>
      <c r="E771" s="39" t="s">
        <v>1897</v>
      </c>
      <c r="F771" s="39"/>
      <c r="G771" s="39" t="s">
        <v>1898</v>
      </c>
      <c r="I771" s="39"/>
    </row>
    <row r="772">
      <c r="A772" s="39" t="s">
        <v>307</v>
      </c>
      <c r="B772" s="39" t="s">
        <v>1597</v>
      </c>
      <c r="C772" s="39">
        <v>14.0</v>
      </c>
      <c r="D772" s="39" t="s">
        <v>87</v>
      </c>
      <c r="E772" s="39" t="s">
        <v>1899</v>
      </c>
      <c r="F772" s="39"/>
      <c r="G772" s="39" t="s">
        <v>1900</v>
      </c>
      <c r="I772" s="39"/>
    </row>
    <row r="773">
      <c r="A773" s="39" t="s">
        <v>307</v>
      </c>
      <c r="B773" s="39" t="s">
        <v>1597</v>
      </c>
      <c r="C773" s="39">
        <v>15.0</v>
      </c>
      <c r="D773" s="39" t="s">
        <v>87</v>
      </c>
      <c r="E773" s="39" t="s">
        <v>1901</v>
      </c>
      <c r="F773" s="39"/>
      <c r="G773" s="39" t="s">
        <v>1902</v>
      </c>
      <c r="I773" s="39"/>
    </row>
    <row r="774">
      <c r="A774" s="39" t="s">
        <v>307</v>
      </c>
      <c r="B774" s="39" t="s">
        <v>1597</v>
      </c>
      <c r="C774" s="39">
        <v>16.0</v>
      </c>
      <c r="D774" s="39" t="s">
        <v>87</v>
      </c>
      <c r="E774" s="39" t="s">
        <v>1903</v>
      </c>
      <c r="F774" s="39"/>
      <c r="G774" s="39" t="s">
        <v>1904</v>
      </c>
      <c r="I774" s="39"/>
    </row>
    <row r="775">
      <c r="A775" s="39" t="s">
        <v>307</v>
      </c>
      <c r="B775" s="39" t="s">
        <v>1597</v>
      </c>
      <c r="C775" s="39">
        <v>17.0</v>
      </c>
      <c r="D775" s="39" t="s">
        <v>87</v>
      </c>
      <c r="E775" s="39" t="s">
        <v>1905</v>
      </c>
      <c r="F775" s="39"/>
      <c r="G775" s="39" t="s">
        <v>1906</v>
      </c>
      <c r="I775" s="39"/>
    </row>
    <row r="776">
      <c r="A776" s="39" t="s">
        <v>307</v>
      </c>
      <c r="B776" s="39" t="s">
        <v>1597</v>
      </c>
      <c r="C776" s="39">
        <v>18.0</v>
      </c>
      <c r="D776" s="39" t="s">
        <v>839</v>
      </c>
      <c r="E776" s="39" t="s">
        <v>1907</v>
      </c>
      <c r="F776" s="39"/>
      <c r="G776" s="39" t="s">
        <v>874</v>
      </c>
      <c r="H776" s="39"/>
      <c r="I776" s="39"/>
    </row>
    <row r="777">
      <c r="A777" s="39" t="s">
        <v>307</v>
      </c>
      <c r="B777" s="39" t="s">
        <v>1597</v>
      </c>
      <c r="C777" s="39">
        <v>19.0</v>
      </c>
      <c r="D777" s="39" t="s">
        <v>839</v>
      </c>
      <c r="E777" s="39" t="s">
        <v>1908</v>
      </c>
      <c r="F777" s="39"/>
      <c r="G777" s="39" t="s">
        <v>880</v>
      </c>
      <c r="H777" s="39"/>
      <c r="I777" s="39"/>
    </row>
    <row r="778">
      <c r="A778" s="39" t="s">
        <v>307</v>
      </c>
      <c r="B778" s="39" t="s">
        <v>1597</v>
      </c>
      <c r="C778" s="39">
        <v>20.0</v>
      </c>
      <c r="D778" s="39" t="s">
        <v>84</v>
      </c>
      <c r="E778" s="39" t="s">
        <v>1909</v>
      </c>
      <c r="F778" s="39"/>
      <c r="G778" s="39" t="s">
        <v>1910</v>
      </c>
      <c r="H778" s="39" t="s">
        <v>1911</v>
      </c>
      <c r="I778" s="39"/>
    </row>
    <row r="779">
      <c r="A779" s="39" t="s">
        <v>307</v>
      </c>
      <c r="B779" s="39" t="s">
        <v>1597</v>
      </c>
      <c r="C779" s="39">
        <v>21.0</v>
      </c>
      <c r="D779" s="39" t="s">
        <v>875</v>
      </c>
      <c r="E779" s="39" t="s">
        <v>1912</v>
      </c>
      <c r="F779" s="39"/>
      <c r="G779" s="39" t="s">
        <v>877</v>
      </c>
      <c r="H779" s="39"/>
      <c r="I779" s="39"/>
    </row>
    <row r="780">
      <c r="A780" s="39" t="s">
        <v>307</v>
      </c>
      <c r="B780" s="39" t="s">
        <v>1597</v>
      </c>
      <c r="C780" s="39">
        <v>22.0</v>
      </c>
      <c r="D780" s="39" t="s">
        <v>875</v>
      </c>
      <c r="E780" s="39" t="s">
        <v>1913</v>
      </c>
      <c r="F780" s="39"/>
      <c r="G780" s="39" t="s">
        <v>877</v>
      </c>
      <c r="H780" s="39"/>
      <c r="I780" s="39"/>
    </row>
    <row r="781">
      <c r="A781" s="39" t="s">
        <v>307</v>
      </c>
      <c r="B781" s="39" t="s">
        <v>1597</v>
      </c>
      <c r="C781" s="39">
        <v>23.0</v>
      </c>
      <c r="D781" s="39" t="s">
        <v>875</v>
      </c>
      <c r="E781" s="39" t="s">
        <v>1914</v>
      </c>
      <c r="F781" s="39"/>
      <c r="G781" s="39" t="s">
        <v>877</v>
      </c>
      <c r="H781" s="39"/>
      <c r="I781" s="39"/>
    </row>
    <row r="782">
      <c r="A782" s="39" t="s">
        <v>307</v>
      </c>
      <c r="B782" s="39" t="s">
        <v>1597</v>
      </c>
      <c r="C782" s="39">
        <v>24.0</v>
      </c>
      <c r="D782" s="39" t="s">
        <v>875</v>
      </c>
      <c r="E782" s="39" t="s">
        <v>1915</v>
      </c>
      <c r="F782" s="39"/>
      <c r="G782" s="39" t="s">
        <v>883</v>
      </c>
      <c r="H782" s="39"/>
      <c r="I782" s="39"/>
    </row>
    <row r="783">
      <c r="A783" s="39" t="s">
        <v>307</v>
      </c>
      <c r="B783" s="39" t="s">
        <v>1597</v>
      </c>
      <c r="C783" s="39">
        <v>25.0</v>
      </c>
      <c r="D783" s="39" t="s">
        <v>875</v>
      </c>
      <c r="E783" s="39" t="s">
        <v>1916</v>
      </c>
      <c r="F783" s="39"/>
      <c r="G783" s="39" t="s">
        <v>883</v>
      </c>
      <c r="H783" s="39"/>
      <c r="I783" s="39"/>
    </row>
    <row r="784">
      <c r="A784" s="39" t="s">
        <v>307</v>
      </c>
      <c r="B784" s="39" t="s">
        <v>1597</v>
      </c>
      <c r="C784" s="39">
        <v>26.0</v>
      </c>
      <c r="D784" s="39" t="s">
        <v>88</v>
      </c>
      <c r="E784" s="39" t="s">
        <v>1917</v>
      </c>
      <c r="F784" s="39"/>
      <c r="G784" s="39" t="s">
        <v>901</v>
      </c>
      <c r="H784" s="39"/>
      <c r="I784" s="39"/>
    </row>
    <row r="785">
      <c r="A785" s="39" t="s">
        <v>307</v>
      </c>
      <c r="B785" s="39" t="s">
        <v>1597</v>
      </c>
      <c r="C785" s="39">
        <v>27.0</v>
      </c>
      <c r="D785" s="39" t="s">
        <v>88</v>
      </c>
      <c r="E785" s="39" t="s">
        <v>1918</v>
      </c>
      <c r="F785" s="39"/>
      <c r="G785" s="39" t="s">
        <v>898</v>
      </c>
      <c r="H785" s="39" t="s">
        <v>1630</v>
      </c>
      <c r="I785" s="39"/>
    </row>
    <row r="786">
      <c r="A786" s="39" t="s">
        <v>307</v>
      </c>
      <c r="B786" s="39" t="s">
        <v>1597</v>
      </c>
      <c r="C786" s="39">
        <v>28.0</v>
      </c>
      <c r="D786" s="39" t="s">
        <v>88</v>
      </c>
      <c r="E786" s="39" t="s">
        <v>1919</v>
      </c>
      <c r="F786" s="39"/>
      <c r="G786" s="39" t="s">
        <v>895</v>
      </c>
      <c r="H786" s="39" t="s">
        <v>1630</v>
      </c>
      <c r="I786" s="39"/>
    </row>
    <row r="787">
      <c r="A787" s="39" t="s">
        <v>307</v>
      </c>
      <c r="B787" s="39" t="s">
        <v>1597</v>
      </c>
      <c r="C787" s="39">
        <v>29.0</v>
      </c>
      <c r="D787" s="39" t="s">
        <v>88</v>
      </c>
      <c r="E787" s="39" t="s">
        <v>1920</v>
      </c>
      <c r="F787" s="39"/>
      <c r="G787" s="39" t="s">
        <v>892</v>
      </c>
      <c r="H787" s="39" t="s">
        <v>1630</v>
      </c>
      <c r="I787" s="39"/>
    </row>
    <row r="788">
      <c r="A788" s="39" t="s">
        <v>307</v>
      </c>
      <c r="B788" s="39" t="s">
        <v>1597</v>
      </c>
      <c r="C788" s="39">
        <v>30.0</v>
      </c>
      <c r="D788" s="39" t="s">
        <v>88</v>
      </c>
      <c r="E788" s="39" t="s">
        <v>1921</v>
      </c>
      <c r="F788" s="39"/>
      <c r="G788" s="39" t="s">
        <v>895</v>
      </c>
      <c r="H788" s="39"/>
      <c r="I788" s="39"/>
    </row>
    <row r="789">
      <c r="A789" s="39" t="s">
        <v>307</v>
      </c>
      <c r="B789" s="39" t="s">
        <v>1597</v>
      </c>
      <c r="C789" s="39">
        <v>31.0</v>
      </c>
      <c r="D789" s="39" t="s">
        <v>902</v>
      </c>
      <c r="E789" s="39" t="s">
        <v>1922</v>
      </c>
      <c r="F789" s="39"/>
      <c r="G789" s="56" t="s">
        <v>822</v>
      </c>
      <c r="H789" s="39" t="s">
        <v>1036</v>
      </c>
      <c r="I789" s="39"/>
    </row>
    <row r="790">
      <c r="A790" s="39" t="s">
        <v>307</v>
      </c>
      <c r="B790" s="39" t="s">
        <v>1597</v>
      </c>
      <c r="C790" s="39">
        <v>32.0</v>
      </c>
      <c r="D790" s="39" t="s">
        <v>902</v>
      </c>
      <c r="E790" s="39" t="s">
        <v>1923</v>
      </c>
      <c r="F790" s="39"/>
      <c r="G790" s="56" t="s">
        <v>801</v>
      </c>
      <c r="H790" s="39" t="s">
        <v>1924</v>
      </c>
      <c r="I790" s="39"/>
    </row>
    <row r="791">
      <c r="A791" s="39" t="s">
        <v>307</v>
      </c>
      <c r="B791" s="39" t="s">
        <v>1597</v>
      </c>
      <c r="C791" s="39">
        <v>33.0</v>
      </c>
      <c r="D791" s="39" t="s">
        <v>902</v>
      </c>
      <c r="E791" s="39" t="s">
        <v>1925</v>
      </c>
      <c r="F791" s="39"/>
      <c r="G791" s="39" t="s">
        <v>809</v>
      </c>
      <c r="H791" s="39" t="s">
        <v>1036</v>
      </c>
      <c r="I791" s="39"/>
    </row>
    <row r="792">
      <c r="A792" s="39" t="s">
        <v>307</v>
      </c>
      <c r="B792" s="39" t="s">
        <v>1597</v>
      </c>
      <c r="C792" s="39">
        <v>34.0</v>
      </c>
      <c r="D792" s="39" t="s">
        <v>902</v>
      </c>
      <c r="E792" s="39" t="s">
        <v>1926</v>
      </c>
      <c r="F792" s="39"/>
      <c r="G792" s="39" t="s">
        <v>809</v>
      </c>
      <c r="H792" s="39" t="s">
        <v>1927</v>
      </c>
      <c r="I792" s="39"/>
    </row>
    <row r="793">
      <c r="A793" s="39" t="s">
        <v>307</v>
      </c>
      <c r="B793" s="39" t="s">
        <v>1597</v>
      </c>
      <c r="C793" s="39">
        <v>35.0</v>
      </c>
      <c r="D793" s="39" t="s">
        <v>902</v>
      </c>
      <c r="E793" s="39" t="s">
        <v>1928</v>
      </c>
      <c r="F793" s="39"/>
      <c r="G793" s="56" t="s">
        <v>822</v>
      </c>
      <c r="H793" s="39" t="s">
        <v>1036</v>
      </c>
      <c r="I793" s="39"/>
    </row>
    <row r="794">
      <c r="A794" s="39" t="s">
        <v>307</v>
      </c>
      <c r="B794" s="39" t="s">
        <v>1597</v>
      </c>
      <c r="C794" s="39">
        <v>36.0</v>
      </c>
      <c r="D794" s="39" t="s">
        <v>902</v>
      </c>
      <c r="E794" s="39" t="s">
        <v>1929</v>
      </c>
      <c r="F794" s="39"/>
      <c r="G794" s="56" t="s">
        <v>801</v>
      </c>
      <c r="H794" s="39" t="s">
        <v>1927</v>
      </c>
      <c r="I794" s="39"/>
    </row>
    <row r="795">
      <c r="A795" s="39" t="s">
        <v>307</v>
      </c>
      <c r="B795" s="39" t="s">
        <v>1597</v>
      </c>
      <c r="C795" s="39">
        <v>37.0</v>
      </c>
      <c r="D795" s="39" t="s">
        <v>902</v>
      </c>
      <c r="E795" s="39" t="s">
        <v>1930</v>
      </c>
      <c r="F795" s="39"/>
      <c r="G795" s="39" t="s">
        <v>809</v>
      </c>
      <c r="H795" s="39" t="s">
        <v>1036</v>
      </c>
      <c r="I795" s="39"/>
    </row>
    <row r="796">
      <c r="A796" s="39" t="s">
        <v>307</v>
      </c>
      <c r="B796" s="39" t="s">
        <v>1597</v>
      </c>
      <c r="C796" s="39">
        <v>38.0</v>
      </c>
      <c r="D796" s="39" t="s">
        <v>902</v>
      </c>
      <c r="E796" s="39" t="s">
        <v>1931</v>
      </c>
      <c r="F796" s="39"/>
      <c r="G796" s="39" t="s">
        <v>809</v>
      </c>
      <c r="H796" s="39" t="s">
        <v>1927</v>
      </c>
      <c r="I796" s="39"/>
    </row>
    <row r="797">
      <c r="A797" s="39" t="s">
        <v>307</v>
      </c>
      <c r="B797" s="39" t="s">
        <v>1597</v>
      </c>
      <c r="C797" s="39">
        <v>39.0</v>
      </c>
      <c r="D797" s="39" t="s">
        <v>90</v>
      </c>
      <c r="E797" s="39" t="s">
        <v>1932</v>
      </c>
      <c r="F797" s="39"/>
      <c r="G797" s="39" t="s">
        <v>924</v>
      </c>
      <c r="H797" s="39"/>
      <c r="I797" s="39"/>
    </row>
    <row r="798">
      <c r="A798" s="39" t="s">
        <v>307</v>
      </c>
      <c r="B798" s="39" t="s">
        <v>1597</v>
      </c>
      <c r="C798" s="39">
        <v>40.0</v>
      </c>
      <c r="D798" s="39" t="s">
        <v>90</v>
      </c>
      <c r="E798" s="39" t="s">
        <v>1933</v>
      </c>
      <c r="F798" s="39"/>
      <c r="G798" s="39" t="s">
        <v>930</v>
      </c>
      <c r="H798" s="39"/>
      <c r="I798" s="39"/>
    </row>
    <row r="799">
      <c r="A799" s="39" t="s">
        <v>307</v>
      </c>
      <c r="B799" s="39" t="s">
        <v>1597</v>
      </c>
      <c r="C799" s="39">
        <v>41.0</v>
      </c>
      <c r="D799" s="39" t="s">
        <v>90</v>
      </c>
      <c r="E799" s="39" t="s">
        <v>1934</v>
      </c>
      <c r="F799" s="39"/>
      <c r="G799" s="39" t="s">
        <v>927</v>
      </c>
      <c r="H799" s="39"/>
      <c r="I799" s="39"/>
    </row>
    <row r="800">
      <c r="A800" s="39" t="s">
        <v>307</v>
      </c>
      <c r="B800" s="39" t="s">
        <v>1597</v>
      </c>
      <c r="C800" s="39">
        <v>42.0</v>
      </c>
      <c r="D800" s="39" t="s">
        <v>90</v>
      </c>
      <c r="E800" s="39" t="s">
        <v>1935</v>
      </c>
      <c r="F800" s="39"/>
      <c r="G800" s="39" t="s">
        <v>939</v>
      </c>
      <c r="H800" s="39"/>
      <c r="I800" s="39"/>
    </row>
    <row r="801">
      <c r="A801" s="39" t="s">
        <v>307</v>
      </c>
      <c r="B801" s="39" t="s">
        <v>1597</v>
      </c>
      <c r="C801" s="39">
        <v>43.0</v>
      </c>
      <c r="D801" s="39" t="s">
        <v>90</v>
      </c>
      <c r="E801" s="39" t="s">
        <v>1936</v>
      </c>
      <c r="F801" s="39"/>
      <c r="G801" s="56" t="s">
        <v>822</v>
      </c>
      <c r="H801" s="39"/>
      <c r="I801" s="39"/>
    </row>
    <row r="802">
      <c r="A802" s="39" t="s">
        <v>307</v>
      </c>
      <c r="B802" s="39" t="s">
        <v>1597</v>
      </c>
      <c r="C802" s="39">
        <v>44.0</v>
      </c>
      <c r="D802" s="39" t="s">
        <v>90</v>
      </c>
      <c r="E802" s="39" t="s">
        <v>1937</v>
      </c>
      <c r="F802" s="39"/>
      <c r="G802" s="56" t="s">
        <v>836</v>
      </c>
      <c r="H802" s="39"/>
      <c r="I802" s="39"/>
    </row>
    <row r="803">
      <c r="A803" s="39" t="s">
        <v>307</v>
      </c>
      <c r="B803" s="39" t="s">
        <v>1597</v>
      </c>
      <c r="C803" s="39">
        <v>45.0</v>
      </c>
      <c r="D803" s="39" t="s">
        <v>90</v>
      </c>
      <c r="E803" s="39" t="s">
        <v>1938</v>
      </c>
      <c r="F803" s="39"/>
      <c r="G803" s="56" t="s">
        <v>801</v>
      </c>
      <c r="H803" s="39"/>
      <c r="I803" s="39"/>
    </row>
    <row r="804">
      <c r="A804" s="39" t="s">
        <v>307</v>
      </c>
      <c r="B804" s="39" t="s">
        <v>1597</v>
      </c>
      <c r="C804" s="39">
        <v>46.0</v>
      </c>
      <c r="D804" s="39" t="s">
        <v>92</v>
      </c>
      <c r="E804" s="39" t="s">
        <v>1939</v>
      </c>
      <c r="F804" s="39"/>
      <c r="G804" s="39" t="s">
        <v>1355</v>
      </c>
      <c r="H804" s="39" t="s">
        <v>1356</v>
      </c>
      <c r="I804" s="39"/>
    </row>
    <row r="805">
      <c r="A805" s="39" t="s">
        <v>307</v>
      </c>
      <c r="B805" s="39" t="s">
        <v>1597</v>
      </c>
      <c r="C805" s="39">
        <v>47.0</v>
      </c>
      <c r="D805" s="39" t="s">
        <v>92</v>
      </c>
      <c r="E805" s="39" t="s">
        <v>1940</v>
      </c>
      <c r="F805" s="39"/>
      <c r="G805" s="39" t="s">
        <v>945</v>
      </c>
      <c r="H805" s="39"/>
      <c r="I805" s="39"/>
    </row>
    <row r="806">
      <c r="A806" s="39" t="s">
        <v>307</v>
      </c>
      <c r="B806" s="39" t="s">
        <v>1597</v>
      </c>
      <c r="C806" s="39">
        <v>48.0</v>
      </c>
      <c r="D806" s="39" t="s">
        <v>92</v>
      </c>
      <c r="E806" s="39" t="s">
        <v>1941</v>
      </c>
      <c r="F806" s="39"/>
      <c r="G806" s="39" t="s">
        <v>1942</v>
      </c>
      <c r="H806" s="39" t="s">
        <v>1943</v>
      </c>
      <c r="I806" s="39"/>
    </row>
    <row r="807">
      <c r="A807" s="39" t="s">
        <v>307</v>
      </c>
      <c r="B807" s="39" t="s">
        <v>1597</v>
      </c>
      <c r="C807" s="39">
        <v>49.0</v>
      </c>
      <c r="D807" s="39" t="s">
        <v>92</v>
      </c>
      <c r="E807" s="39" t="s">
        <v>1944</v>
      </c>
      <c r="F807" s="39"/>
      <c r="G807" s="39" t="s">
        <v>1945</v>
      </c>
      <c r="H807" s="39" t="s">
        <v>1946</v>
      </c>
      <c r="I807" s="39"/>
    </row>
    <row r="808">
      <c r="A808" s="39" t="s">
        <v>307</v>
      </c>
      <c r="B808" s="39" t="s">
        <v>1597</v>
      </c>
      <c r="C808" s="39">
        <v>50.0</v>
      </c>
      <c r="D808" s="39" t="s">
        <v>91</v>
      </c>
      <c r="E808" s="39" t="s">
        <v>1947</v>
      </c>
      <c r="F808" s="39"/>
      <c r="G808" s="56" t="s">
        <v>836</v>
      </c>
      <c r="H808" s="39"/>
      <c r="I808" s="39"/>
    </row>
    <row r="809">
      <c r="A809" s="39" t="s">
        <v>307</v>
      </c>
      <c r="B809" s="39" t="s">
        <v>1597</v>
      </c>
      <c r="C809" s="39">
        <v>51.0</v>
      </c>
      <c r="D809" s="39" t="s">
        <v>91</v>
      </c>
      <c r="E809" s="39" t="s">
        <v>1948</v>
      </c>
      <c r="F809" s="39"/>
      <c r="G809" s="56" t="s">
        <v>806</v>
      </c>
      <c r="H809" s="39"/>
      <c r="I809" s="39"/>
    </row>
    <row r="810">
      <c r="A810" s="39" t="s">
        <v>307</v>
      </c>
      <c r="B810" s="39" t="s">
        <v>1597</v>
      </c>
      <c r="C810" s="39">
        <v>52.0</v>
      </c>
      <c r="D810" s="39" t="s">
        <v>91</v>
      </c>
      <c r="E810" s="39" t="s">
        <v>1949</v>
      </c>
      <c r="F810" s="39"/>
      <c r="G810" s="56" t="s">
        <v>822</v>
      </c>
      <c r="H810" s="39"/>
      <c r="I810" s="39"/>
    </row>
    <row r="811">
      <c r="A811" s="39" t="s">
        <v>307</v>
      </c>
      <c r="B811" s="39" t="s">
        <v>1597</v>
      </c>
      <c r="C811" s="39">
        <v>53.0</v>
      </c>
      <c r="D811" s="39" t="s">
        <v>92</v>
      </c>
      <c r="E811" s="39" t="s">
        <v>1950</v>
      </c>
      <c r="F811" s="39"/>
      <c r="G811" s="39" t="s">
        <v>1951</v>
      </c>
      <c r="H811" s="39" t="s">
        <v>1952</v>
      </c>
      <c r="I811" s="39"/>
    </row>
    <row r="812">
      <c r="A812" s="39" t="s">
        <v>307</v>
      </c>
      <c r="B812" s="39" t="s">
        <v>1597</v>
      </c>
      <c r="C812" s="39">
        <v>54.0</v>
      </c>
      <c r="D812" s="39" t="s">
        <v>92</v>
      </c>
      <c r="E812" s="39" t="s">
        <v>1953</v>
      </c>
      <c r="F812" s="39"/>
      <c r="G812" s="39" t="s">
        <v>947</v>
      </c>
      <c r="H812" s="39"/>
      <c r="I812" s="39"/>
    </row>
    <row r="813">
      <c r="A813" s="39" t="s">
        <v>307</v>
      </c>
      <c r="B813" s="39" t="s">
        <v>1597</v>
      </c>
      <c r="C813" s="39">
        <v>55.0</v>
      </c>
      <c r="D813" s="39" t="s">
        <v>839</v>
      </c>
      <c r="E813" s="39" t="s">
        <v>1954</v>
      </c>
      <c r="F813" s="39"/>
      <c r="G813" s="39" t="str">
        <f>IFERROR(__xludf.DUMMYFUNCTION("IFS(REGEXMATCH(E813, ""ammo_ar""), ""Daedalus AR Ammo"", REGEXMATCH(E813, ""ammo_ps""), ""Daedalus Pistol Ammo"", REGEXMATCH(E813, ""ammo_sg""), ""Daedalus Shotgun Ammo"", REGEXMATCH(E813, ""ammo_sm""), ""Daedalus SMG Ammo"", REGEXMATCH(E813, ""ammo_sr"")"&amp;", ""Daedalus SR Ammo"")"),"Daedalus SMG Ammo")</f>
        <v>Daedalus SMG Ammo</v>
      </c>
      <c r="H813" s="39"/>
      <c r="I813" s="39"/>
    </row>
    <row r="814">
      <c r="A814" s="39" t="s">
        <v>307</v>
      </c>
      <c r="B814" s="39" t="s">
        <v>1597</v>
      </c>
      <c r="C814" s="39">
        <v>56.0</v>
      </c>
      <c r="D814" s="39" t="s">
        <v>839</v>
      </c>
      <c r="E814" s="39" t="s">
        <v>1955</v>
      </c>
      <c r="F814" s="39"/>
      <c r="G814" s="39" t="str">
        <f>IFERROR(__xludf.DUMMYFUNCTION("IFS(REGEXMATCH(E814, ""ammo_ar""), ""Daedalus AR Ammo"", REGEXMATCH(E814, ""ammo_ps""), ""Daedalus Pistol Ammo"", REGEXMATCH(E814, ""ammo_sg""), ""Daedalus Shotgun Ammo"", REGEXMATCH(E814, ""ammo_sm""), ""Daedalus SMG Ammo"", REGEXMATCH(E814, ""ammo_sr"")"&amp;", ""Daedalus SR Ammo"")"),"Daedalus Shotgun Ammo")</f>
        <v>Daedalus Shotgun Ammo</v>
      </c>
      <c r="H814" s="39"/>
      <c r="I814" s="39"/>
    </row>
    <row r="815">
      <c r="A815" s="39" t="s">
        <v>307</v>
      </c>
      <c r="B815" s="39" t="s">
        <v>1597</v>
      </c>
      <c r="C815" s="39">
        <v>57.0</v>
      </c>
      <c r="D815" s="39" t="s">
        <v>839</v>
      </c>
      <c r="E815" s="39" t="s">
        <v>1956</v>
      </c>
      <c r="F815" s="39"/>
      <c r="G815" s="39" t="str">
        <f>IFERROR(__xludf.DUMMYFUNCTION("IFS(REGEXMATCH(E815, ""ammo_ar""), ""Daedalus AR Ammo"", REGEXMATCH(E815, ""ammo_ps""), ""Daedalus Pistol Ammo"", REGEXMATCH(E815, ""ammo_sg""), ""Daedalus Shotgun Ammo"", REGEXMATCH(E815, ""ammo_sm""), ""Daedalus SMG Ammo"", REGEXMATCH(E815, ""ammo_sr"")"&amp;", ""Daedalus SR Ammo"")"),"Daedalus AR Ammo")</f>
        <v>Daedalus AR Ammo</v>
      </c>
      <c r="H815" s="39"/>
      <c r="I815" s="39"/>
    </row>
    <row r="816">
      <c r="A816" s="39" t="s">
        <v>307</v>
      </c>
      <c r="B816" s="39" t="s">
        <v>1597</v>
      </c>
      <c r="C816" s="39">
        <v>58.0</v>
      </c>
      <c r="D816" s="39" t="s">
        <v>839</v>
      </c>
      <c r="E816" s="39" t="s">
        <v>1957</v>
      </c>
      <c r="F816" s="39"/>
      <c r="G816" s="39" t="str">
        <f>IFERROR(__xludf.DUMMYFUNCTION("IFS(REGEXMATCH(E816, ""ammo_ar""), ""Daedalus AR Ammo"", REGEXMATCH(E816, ""ammo_ps""), ""Daedalus Pistol Ammo"", REGEXMATCH(E816, ""ammo_sg""), ""Daedalus Shotgun Ammo"", REGEXMATCH(E816, ""ammo_sm""), ""Daedalus SMG Ammo"", REGEXMATCH(E816, ""ammo_sr"")"&amp;", ""Daedalus SR Ammo"")"),"Daedalus Pistol Ammo")</f>
        <v>Daedalus Pistol Ammo</v>
      </c>
      <c r="H816" s="39"/>
      <c r="I816" s="39"/>
    </row>
    <row r="817">
      <c r="A817" s="39" t="s">
        <v>307</v>
      </c>
      <c r="B817" s="39" t="s">
        <v>1597</v>
      </c>
      <c r="C817" s="39">
        <v>60.0</v>
      </c>
      <c r="D817" s="39" t="s">
        <v>84</v>
      </c>
      <c r="E817" s="39" t="s">
        <v>1958</v>
      </c>
      <c r="F817" s="39"/>
      <c r="G817" s="39" t="s">
        <v>1959</v>
      </c>
      <c r="H817" s="39" t="s">
        <v>1960</v>
      </c>
      <c r="I817" s="39"/>
    </row>
    <row r="818">
      <c r="A818" s="39" t="s">
        <v>307</v>
      </c>
      <c r="B818" s="39" t="s">
        <v>1597</v>
      </c>
      <c r="C818" s="39">
        <v>62.0</v>
      </c>
      <c r="D818" s="39" t="s">
        <v>91</v>
      </c>
      <c r="E818" s="39" t="s">
        <v>1961</v>
      </c>
      <c r="F818" s="39"/>
      <c r="G818" s="39" t="s">
        <v>809</v>
      </c>
      <c r="H818" s="39"/>
      <c r="I818" s="39"/>
    </row>
    <row r="819">
      <c r="A819" s="39" t="s">
        <v>307</v>
      </c>
      <c r="B819" s="39" t="s">
        <v>1597</v>
      </c>
      <c r="C819" s="39">
        <v>63.0</v>
      </c>
      <c r="D819" s="39" t="s">
        <v>875</v>
      </c>
      <c r="E819" s="39" t="s">
        <v>1962</v>
      </c>
      <c r="F819" s="39"/>
      <c r="G819" s="39" t="s">
        <v>1963</v>
      </c>
      <c r="H819" s="56" t="s">
        <v>1964</v>
      </c>
      <c r="I819" s="39"/>
    </row>
    <row r="820">
      <c r="A820" s="39" t="s">
        <v>307</v>
      </c>
      <c r="B820" s="39" t="s">
        <v>1597</v>
      </c>
      <c r="C820" s="39">
        <v>64.0</v>
      </c>
      <c r="D820" s="39" t="s">
        <v>875</v>
      </c>
      <c r="E820" s="39" t="s">
        <v>1965</v>
      </c>
      <c r="F820" s="39"/>
      <c r="G820" s="39" t="s">
        <v>1963</v>
      </c>
      <c r="H820" s="56" t="s">
        <v>1966</v>
      </c>
      <c r="I820" s="39"/>
    </row>
    <row r="821">
      <c r="A821" s="39" t="s">
        <v>307</v>
      </c>
      <c r="B821" s="39" t="s">
        <v>1597</v>
      </c>
      <c r="C821" s="39">
        <v>65.0</v>
      </c>
      <c r="D821" s="39" t="s">
        <v>819</v>
      </c>
      <c r="E821" s="39" t="s">
        <v>1967</v>
      </c>
      <c r="F821" s="39"/>
      <c r="G821" s="56" t="s">
        <v>822</v>
      </c>
      <c r="H821" s="39"/>
      <c r="I821" s="39"/>
    </row>
    <row r="822">
      <c r="A822" s="39" t="s">
        <v>307</v>
      </c>
      <c r="B822" s="39" t="s">
        <v>1597</v>
      </c>
      <c r="C822" s="39">
        <v>66.0</v>
      </c>
      <c r="D822" s="39" t="s">
        <v>819</v>
      </c>
      <c r="E822" s="39" t="s">
        <v>1968</v>
      </c>
      <c r="F822" s="39"/>
      <c r="G822" s="39" t="s">
        <v>809</v>
      </c>
      <c r="H822" s="39"/>
      <c r="I822" s="39"/>
    </row>
    <row r="823">
      <c r="A823" s="39" t="s">
        <v>307</v>
      </c>
      <c r="B823" s="39" t="s">
        <v>1597</v>
      </c>
      <c r="C823" s="39">
        <v>67.0</v>
      </c>
      <c r="D823" s="39" t="s">
        <v>819</v>
      </c>
      <c r="E823" s="39" t="s">
        <v>1969</v>
      </c>
      <c r="F823" s="39"/>
      <c r="G823" s="39" t="s">
        <v>809</v>
      </c>
      <c r="H823" s="39"/>
      <c r="I823" s="39"/>
    </row>
    <row r="824">
      <c r="A824" s="39" t="s">
        <v>307</v>
      </c>
      <c r="B824" s="39" t="s">
        <v>1597</v>
      </c>
      <c r="C824" s="39">
        <v>68.0</v>
      </c>
      <c r="D824" s="39" t="s">
        <v>819</v>
      </c>
      <c r="E824" s="39" t="s">
        <v>1970</v>
      </c>
      <c r="F824" s="39"/>
      <c r="G824" s="56" t="s">
        <v>806</v>
      </c>
      <c r="H824" s="39"/>
      <c r="I824" s="39"/>
    </row>
    <row r="825">
      <c r="A825" s="39" t="s">
        <v>307</v>
      </c>
      <c r="B825" s="39" t="s">
        <v>1597</v>
      </c>
      <c r="C825" s="39">
        <v>69.0</v>
      </c>
      <c r="D825" s="39" t="s">
        <v>819</v>
      </c>
      <c r="E825" s="39" t="s">
        <v>1971</v>
      </c>
      <c r="F825" s="39"/>
      <c r="G825" s="56" t="s">
        <v>822</v>
      </c>
      <c r="H825" s="39"/>
      <c r="I825" s="39"/>
    </row>
    <row r="826">
      <c r="A826" s="39" t="s">
        <v>307</v>
      </c>
      <c r="B826" s="39" t="s">
        <v>1597</v>
      </c>
      <c r="C826" s="39">
        <v>70.0</v>
      </c>
      <c r="D826" s="39" t="s">
        <v>819</v>
      </c>
      <c r="E826" s="39" t="s">
        <v>1972</v>
      </c>
      <c r="F826" s="39"/>
      <c r="G826" s="39" t="s">
        <v>809</v>
      </c>
      <c r="H826" s="39"/>
      <c r="I826" s="39"/>
    </row>
    <row r="827">
      <c r="A827" s="39" t="s">
        <v>307</v>
      </c>
      <c r="B827" s="39" t="s">
        <v>1597</v>
      </c>
      <c r="C827" s="39">
        <v>71.0</v>
      </c>
      <c r="D827" s="39" t="s">
        <v>819</v>
      </c>
      <c r="E827" s="39" t="s">
        <v>1973</v>
      </c>
      <c r="F827" s="39"/>
      <c r="G827" s="56" t="s">
        <v>836</v>
      </c>
      <c r="H827" s="39"/>
      <c r="I827" s="39"/>
    </row>
    <row r="828">
      <c r="A828" s="39" t="s">
        <v>307</v>
      </c>
      <c r="B828" s="39" t="s">
        <v>1597</v>
      </c>
      <c r="C828" s="39">
        <v>72.0</v>
      </c>
      <c r="D828" s="39" t="s">
        <v>819</v>
      </c>
      <c r="E828" s="39" t="s">
        <v>1974</v>
      </c>
      <c r="F828" s="39"/>
      <c r="G828" s="56" t="s">
        <v>836</v>
      </c>
      <c r="H828" s="39"/>
      <c r="I828" s="39"/>
    </row>
    <row r="829">
      <c r="A829" s="39" t="s">
        <v>307</v>
      </c>
      <c r="B829" s="39" t="s">
        <v>1597</v>
      </c>
      <c r="C829" s="39">
        <v>73.0</v>
      </c>
      <c r="D829" s="39" t="s">
        <v>839</v>
      </c>
      <c r="E829" s="39" t="s">
        <v>1975</v>
      </c>
      <c r="F829" s="39"/>
      <c r="G829" s="56" t="s">
        <v>825</v>
      </c>
      <c r="H829" s="39"/>
      <c r="I829" s="39"/>
    </row>
    <row r="830">
      <c r="A830" s="39" t="s">
        <v>307</v>
      </c>
      <c r="B830" s="39" t="s">
        <v>1597</v>
      </c>
      <c r="C830" s="39">
        <v>74.0</v>
      </c>
      <c r="D830" s="39" t="s">
        <v>839</v>
      </c>
      <c r="E830" s="39" t="s">
        <v>1976</v>
      </c>
      <c r="F830" s="39"/>
      <c r="G830" s="39" t="s">
        <v>845</v>
      </c>
      <c r="H830" s="39"/>
      <c r="I830" s="39"/>
    </row>
    <row r="831">
      <c r="A831" s="39" t="s">
        <v>307</v>
      </c>
      <c r="B831" s="39" t="s">
        <v>1597</v>
      </c>
      <c r="C831" s="39">
        <v>75.0</v>
      </c>
      <c r="D831" s="39" t="s">
        <v>839</v>
      </c>
      <c r="E831" s="39" t="s">
        <v>1977</v>
      </c>
      <c r="F831" s="39"/>
      <c r="G831" s="39" t="s">
        <v>847</v>
      </c>
      <c r="H831" s="39"/>
      <c r="I831" s="39"/>
    </row>
    <row r="832">
      <c r="A832" s="39" t="s">
        <v>307</v>
      </c>
      <c r="B832" s="39" t="s">
        <v>1597</v>
      </c>
      <c r="C832" s="39">
        <v>76.0</v>
      </c>
      <c r="D832" s="39" t="s">
        <v>839</v>
      </c>
      <c r="E832" s="39" t="s">
        <v>1978</v>
      </c>
      <c r="F832" s="39"/>
      <c r="G832" s="39" t="s">
        <v>850</v>
      </c>
      <c r="H832" s="39"/>
      <c r="I832" s="39"/>
    </row>
    <row r="833">
      <c r="A833" s="39" t="s">
        <v>307</v>
      </c>
      <c r="B833" s="39" t="s">
        <v>1597</v>
      </c>
      <c r="C833" s="39">
        <v>77.0</v>
      </c>
      <c r="D833" s="39" t="s">
        <v>839</v>
      </c>
      <c r="E833" s="39" t="s">
        <v>1979</v>
      </c>
      <c r="F833" s="39"/>
      <c r="G833" s="39" t="s">
        <v>853</v>
      </c>
      <c r="H833" s="39"/>
      <c r="I833" s="39"/>
    </row>
    <row r="834">
      <c r="A834" s="39" t="s">
        <v>307</v>
      </c>
      <c r="B834" s="39" t="s">
        <v>1597</v>
      </c>
      <c r="C834" s="39">
        <v>78.0</v>
      </c>
      <c r="D834" s="39" t="s">
        <v>839</v>
      </c>
      <c r="E834" s="39" t="s">
        <v>1980</v>
      </c>
      <c r="F834" s="39"/>
      <c r="G834" s="39" t="s">
        <v>856</v>
      </c>
      <c r="H834" s="39"/>
      <c r="I834" s="39"/>
    </row>
    <row r="835">
      <c r="A835" s="39" t="s">
        <v>307</v>
      </c>
      <c r="B835" s="39" t="s">
        <v>1597</v>
      </c>
      <c r="C835" s="39">
        <v>79.0</v>
      </c>
      <c r="D835" s="39" t="s">
        <v>84</v>
      </c>
      <c r="E835" s="39" t="s">
        <v>1981</v>
      </c>
      <c r="F835" s="39"/>
      <c r="G835" s="39" t="s">
        <v>1982</v>
      </c>
      <c r="H835" s="39" t="s">
        <v>1983</v>
      </c>
      <c r="I835" s="39"/>
    </row>
    <row r="836">
      <c r="A836" s="39" t="s">
        <v>454</v>
      </c>
      <c r="B836" s="39" t="s">
        <v>149</v>
      </c>
      <c r="C836" s="39">
        <v>1.0</v>
      </c>
      <c r="D836" s="39" t="s">
        <v>88</v>
      </c>
      <c r="E836" s="39" t="s">
        <v>1984</v>
      </c>
      <c r="F836" s="39"/>
      <c r="G836" s="39" t="s">
        <v>892</v>
      </c>
      <c r="H836" s="39"/>
      <c r="I836" s="39"/>
    </row>
    <row r="837">
      <c r="A837" s="39" t="s">
        <v>454</v>
      </c>
      <c r="B837" s="39" t="s">
        <v>149</v>
      </c>
      <c r="C837" s="39">
        <v>2.0</v>
      </c>
      <c r="D837" s="39" t="s">
        <v>84</v>
      </c>
      <c r="E837" s="39" t="s">
        <v>1985</v>
      </c>
      <c r="F837" s="39"/>
      <c r="G837" s="39" t="s">
        <v>1986</v>
      </c>
      <c r="H837" s="39" t="s">
        <v>1987</v>
      </c>
      <c r="I837" s="39"/>
    </row>
    <row r="838">
      <c r="A838" s="39" t="s">
        <v>454</v>
      </c>
      <c r="B838" s="39" t="s">
        <v>149</v>
      </c>
      <c r="C838" s="39">
        <v>3.0</v>
      </c>
      <c r="D838" s="39" t="s">
        <v>798</v>
      </c>
      <c r="E838" s="39" t="s">
        <v>1988</v>
      </c>
      <c r="F838" s="39"/>
      <c r="G838" s="56" t="s">
        <v>801</v>
      </c>
      <c r="H838" s="39"/>
      <c r="I838" s="39"/>
    </row>
    <row r="839">
      <c r="A839" s="39" t="s">
        <v>454</v>
      </c>
      <c r="B839" s="39" t="s">
        <v>149</v>
      </c>
      <c r="C839" s="39">
        <v>4.0</v>
      </c>
      <c r="D839" s="39" t="s">
        <v>798</v>
      </c>
      <c r="E839" s="39" t="s">
        <v>1989</v>
      </c>
      <c r="F839" s="39"/>
      <c r="G839" s="56" t="s">
        <v>822</v>
      </c>
      <c r="H839" s="39"/>
      <c r="I839" s="39"/>
    </row>
    <row r="840">
      <c r="A840" s="39" t="s">
        <v>454</v>
      </c>
      <c r="B840" s="39" t="s">
        <v>149</v>
      </c>
      <c r="C840" s="39">
        <v>5.0</v>
      </c>
      <c r="D840" s="39" t="s">
        <v>798</v>
      </c>
      <c r="E840" s="39" t="s">
        <v>1990</v>
      </c>
      <c r="F840" s="39"/>
      <c r="G840" s="56" t="s">
        <v>806</v>
      </c>
      <c r="H840" s="39"/>
      <c r="I840" s="39"/>
    </row>
    <row r="841">
      <c r="A841" s="39" t="s">
        <v>454</v>
      </c>
      <c r="B841" s="39" t="s">
        <v>149</v>
      </c>
      <c r="C841" s="39">
        <v>6.0</v>
      </c>
      <c r="D841" s="39" t="s">
        <v>798</v>
      </c>
      <c r="E841" s="39" t="s">
        <v>1991</v>
      </c>
      <c r="F841" s="39"/>
      <c r="G841" s="56" t="s">
        <v>825</v>
      </c>
      <c r="H841" s="39"/>
      <c r="I841" s="39"/>
    </row>
    <row r="842">
      <c r="A842" s="39" t="s">
        <v>454</v>
      </c>
      <c r="B842" s="39" t="s">
        <v>149</v>
      </c>
      <c r="C842" s="39">
        <v>7.0</v>
      </c>
      <c r="D842" s="39" t="s">
        <v>84</v>
      </c>
      <c r="E842" s="39" t="s">
        <v>1992</v>
      </c>
      <c r="F842" s="39"/>
      <c r="G842" s="39" t="s">
        <v>1993</v>
      </c>
      <c r="H842" s="39"/>
      <c r="I842" s="39"/>
    </row>
    <row r="843">
      <c r="A843" s="39" t="s">
        <v>454</v>
      </c>
      <c r="B843" s="39" t="s">
        <v>149</v>
      </c>
      <c r="C843" s="39">
        <v>8.0</v>
      </c>
      <c r="D843" s="39" t="s">
        <v>84</v>
      </c>
      <c r="E843" s="39" t="s">
        <v>1994</v>
      </c>
      <c r="F843" s="39"/>
      <c r="G843" s="39" t="s">
        <v>1995</v>
      </c>
      <c r="H843" s="39"/>
      <c r="I843" s="39"/>
    </row>
    <row r="844">
      <c r="A844" s="39" t="s">
        <v>454</v>
      </c>
      <c r="B844" s="39" t="s">
        <v>149</v>
      </c>
      <c r="C844" s="39">
        <v>9.0</v>
      </c>
      <c r="D844" s="39" t="s">
        <v>839</v>
      </c>
      <c r="E844" s="39" t="s">
        <v>1996</v>
      </c>
      <c r="F844" s="39"/>
      <c r="G844" s="39" t="s">
        <v>989</v>
      </c>
      <c r="H844" s="39"/>
      <c r="I844" s="39"/>
    </row>
    <row r="845">
      <c r="A845" s="39" t="s">
        <v>454</v>
      </c>
      <c r="B845" s="39" t="s">
        <v>149</v>
      </c>
      <c r="C845" s="39">
        <v>10.0</v>
      </c>
      <c r="D845" s="39" t="s">
        <v>839</v>
      </c>
      <c r="E845" s="39" t="s">
        <v>1997</v>
      </c>
      <c r="F845" s="39"/>
      <c r="G845" s="39" t="s">
        <v>991</v>
      </c>
      <c r="H845" s="39"/>
      <c r="I845" s="39"/>
    </row>
    <row r="846">
      <c r="A846" s="39" t="s">
        <v>454</v>
      </c>
      <c r="B846" s="39" t="s">
        <v>149</v>
      </c>
      <c r="C846" s="39">
        <v>11.0</v>
      </c>
      <c r="D846" s="39" t="s">
        <v>839</v>
      </c>
      <c r="E846" s="39" t="s">
        <v>1998</v>
      </c>
      <c r="F846" s="39"/>
      <c r="G846" s="39" t="s">
        <v>993</v>
      </c>
      <c r="H846" s="39"/>
      <c r="I846" s="39"/>
    </row>
    <row r="847">
      <c r="A847" s="39" t="s">
        <v>454</v>
      </c>
      <c r="B847" s="39" t="s">
        <v>149</v>
      </c>
      <c r="C847" s="39">
        <v>12.0</v>
      </c>
      <c r="D847" s="39" t="s">
        <v>839</v>
      </c>
      <c r="E847" s="39" t="s">
        <v>1999</v>
      </c>
      <c r="F847" s="39"/>
      <c r="G847" s="39" t="s">
        <v>995</v>
      </c>
      <c r="H847" s="39"/>
      <c r="I847" s="39"/>
    </row>
    <row r="848">
      <c r="A848" s="39" t="s">
        <v>454</v>
      </c>
      <c r="B848" s="39" t="s">
        <v>149</v>
      </c>
      <c r="C848" s="39">
        <v>13.0</v>
      </c>
      <c r="D848" s="39" t="s">
        <v>87</v>
      </c>
      <c r="E848" s="39" t="s">
        <v>2000</v>
      </c>
      <c r="F848" s="39"/>
      <c r="G848" s="39" t="s">
        <v>2001</v>
      </c>
      <c r="I848" s="39"/>
    </row>
    <row r="849">
      <c r="A849" s="39" t="s">
        <v>454</v>
      </c>
      <c r="B849" s="39" t="s">
        <v>149</v>
      </c>
      <c r="C849" s="39">
        <v>14.0</v>
      </c>
      <c r="D849" s="39" t="s">
        <v>87</v>
      </c>
      <c r="E849" s="39" t="s">
        <v>2002</v>
      </c>
      <c r="F849" s="39"/>
      <c r="G849" s="39" t="s">
        <v>2003</v>
      </c>
      <c r="I849" s="39"/>
    </row>
    <row r="850">
      <c r="A850" s="39" t="s">
        <v>454</v>
      </c>
      <c r="B850" s="39" t="s">
        <v>149</v>
      </c>
      <c r="C850" s="39">
        <v>15.0</v>
      </c>
      <c r="D850" s="39" t="s">
        <v>87</v>
      </c>
      <c r="E850" s="39" t="s">
        <v>2004</v>
      </c>
      <c r="F850" s="39"/>
      <c r="G850" s="39" t="s">
        <v>2005</v>
      </c>
      <c r="I850" s="39"/>
    </row>
    <row r="851">
      <c r="A851" s="39" t="s">
        <v>454</v>
      </c>
      <c r="B851" s="39" t="s">
        <v>149</v>
      </c>
      <c r="C851" s="39">
        <v>16.0</v>
      </c>
      <c r="D851" s="39" t="s">
        <v>87</v>
      </c>
      <c r="E851" s="39" t="s">
        <v>2006</v>
      </c>
      <c r="F851" s="39"/>
      <c r="G851" s="39" t="s">
        <v>2007</v>
      </c>
      <c r="I851" s="39"/>
    </row>
    <row r="852">
      <c r="A852" s="39" t="s">
        <v>454</v>
      </c>
      <c r="B852" s="39" t="s">
        <v>149</v>
      </c>
      <c r="C852" s="39">
        <v>17.0</v>
      </c>
      <c r="D852" s="39" t="s">
        <v>875</v>
      </c>
      <c r="E852" s="39" t="s">
        <v>2008</v>
      </c>
      <c r="F852" s="39"/>
      <c r="G852" s="39" t="s">
        <v>877</v>
      </c>
      <c r="H852" s="39"/>
      <c r="I852" s="39"/>
    </row>
    <row r="853">
      <c r="A853" s="39" t="s">
        <v>454</v>
      </c>
      <c r="B853" s="39" t="s">
        <v>149</v>
      </c>
      <c r="C853" s="39">
        <v>18.0</v>
      </c>
      <c r="D853" s="39" t="s">
        <v>875</v>
      </c>
      <c r="E853" s="39" t="s">
        <v>2009</v>
      </c>
      <c r="F853" s="39"/>
      <c r="G853" s="39" t="s">
        <v>877</v>
      </c>
      <c r="H853" s="39"/>
      <c r="I853" s="39"/>
    </row>
    <row r="854">
      <c r="A854" s="39" t="s">
        <v>454</v>
      </c>
      <c r="B854" s="39" t="s">
        <v>149</v>
      </c>
      <c r="C854" s="39">
        <v>19.0</v>
      </c>
      <c r="D854" s="39" t="s">
        <v>875</v>
      </c>
      <c r="E854" s="39" t="s">
        <v>2010</v>
      </c>
      <c r="F854" s="39"/>
      <c r="G854" s="39" t="s">
        <v>877</v>
      </c>
      <c r="H854" s="39"/>
      <c r="I854" s="39"/>
    </row>
    <row r="855">
      <c r="A855" s="39" t="s">
        <v>454</v>
      </c>
      <c r="B855" s="39" t="s">
        <v>149</v>
      </c>
      <c r="C855" s="39">
        <v>20.0</v>
      </c>
      <c r="D855" s="39" t="s">
        <v>875</v>
      </c>
      <c r="E855" s="39" t="s">
        <v>2011</v>
      </c>
      <c r="F855" s="39"/>
      <c r="G855" s="39" t="s">
        <v>883</v>
      </c>
      <c r="H855" s="39"/>
      <c r="I855" s="39"/>
    </row>
    <row r="856">
      <c r="A856" s="39" t="s">
        <v>454</v>
      </c>
      <c r="B856" s="39" t="s">
        <v>149</v>
      </c>
      <c r="C856" s="39">
        <v>21.0</v>
      </c>
      <c r="D856" s="39" t="s">
        <v>875</v>
      </c>
      <c r="E856" s="39" t="s">
        <v>2012</v>
      </c>
      <c r="F856" s="39"/>
      <c r="G856" s="39" t="s">
        <v>883</v>
      </c>
      <c r="H856" s="39"/>
      <c r="I856" s="39"/>
    </row>
    <row r="857">
      <c r="A857" s="39" t="s">
        <v>454</v>
      </c>
      <c r="B857" s="39" t="s">
        <v>149</v>
      </c>
      <c r="C857" s="39">
        <v>22.0</v>
      </c>
      <c r="D857" s="39" t="s">
        <v>88</v>
      </c>
      <c r="E857" s="39" t="s">
        <v>2013</v>
      </c>
      <c r="F857" s="39"/>
      <c r="G857" s="39" t="s">
        <v>892</v>
      </c>
      <c r="H857" s="39"/>
      <c r="I857" s="39"/>
    </row>
    <row r="858">
      <c r="A858" s="39" t="s">
        <v>454</v>
      </c>
      <c r="B858" s="39" t="s">
        <v>149</v>
      </c>
      <c r="C858" s="39">
        <v>23.0</v>
      </c>
      <c r="D858" s="39" t="s">
        <v>88</v>
      </c>
      <c r="E858" s="39" t="s">
        <v>2014</v>
      </c>
      <c r="F858" s="39"/>
      <c r="G858" s="39" t="s">
        <v>892</v>
      </c>
      <c r="H858" s="39"/>
      <c r="I858" s="39"/>
    </row>
    <row r="859">
      <c r="A859" s="39" t="s">
        <v>454</v>
      </c>
      <c r="B859" s="39" t="s">
        <v>149</v>
      </c>
      <c r="C859" s="39">
        <v>24.0</v>
      </c>
      <c r="D859" s="39" t="s">
        <v>88</v>
      </c>
      <c r="E859" s="39" t="s">
        <v>2015</v>
      </c>
      <c r="F859" s="39"/>
      <c r="G859" s="39" t="s">
        <v>895</v>
      </c>
      <c r="H859" s="39"/>
      <c r="I859" s="39"/>
    </row>
    <row r="860">
      <c r="A860" s="39" t="s">
        <v>454</v>
      </c>
      <c r="B860" s="39" t="s">
        <v>149</v>
      </c>
      <c r="C860" s="39">
        <v>25.0</v>
      </c>
      <c r="D860" s="39" t="s">
        <v>88</v>
      </c>
      <c r="E860" s="39" t="s">
        <v>2016</v>
      </c>
      <c r="F860" s="39"/>
      <c r="G860" s="39" t="s">
        <v>898</v>
      </c>
      <c r="H860" s="39"/>
      <c r="I860" s="39"/>
    </row>
    <row r="861">
      <c r="A861" s="39" t="s">
        <v>454</v>
      </c>
      <c r="B861" s="39" t="s">
        <v>149</v>
      </c>
      <c r="C861" s="39">
        <v>26.0</v>
      </c>
      <c r="D861" s="39" t="s">
        <v>88</v>
      </c>
      <c r="E861" s="39" t="s">
        <v>2017</v>
      </c>
      <c r="F861" s="39"/>
      <c r="G861" s="39" t="s">
        <v>901</v>
      </c>
      <c r="H861" s="39"/>
      <c r="I861" s="39"/>
    </row>
    <row r="862">
      <c r="A862" s="39" t="s">
        <v>454</v>
      </c>
      <c r="B862" s="39" t="s">
        <v>149</v>
      </c>
      <c r="C862" s="39">
        <v>27.0</v>
      </c>
      <c r="D862" s="39" t="s">
        <v>902</v>
      </c>
      <c r="E862" s="39" t="s">
        <v>2018</v>
      </c>
      <c r="F862" s="39"/>
      <c r="G862" s="56" t="s">
        <v>822</v>
      </c>
      <c r="H862" s="39" t="s">
        <v>1036</v>
      </c>
      <c r="I862" s="39"/>
    </row>
    <row r="863">
      <c r="A863" s="39" t="s">
        <v>454</v>
      </c>
      <c r="B863" s="39" t="s">
        <v>149</v>
      </c>
      <c r="C863" s="39">
        <v>28.0</v>
      </c>
      <c r="D863" s="39" t="s">
        <v>902</v>
      </c>
      <c r="E863" s="39" t="s">
        <v>2019</v>
      </c>
      <c r="F863" s="39"/>
      <c r="G863" s="56" t="s">
        <v>801</v>
      </c>
      <c r="H863" s="39" t="s">
        <v>1726</v>
      </c>
      <c r="I863" s="39"/>
    </row>
    <row r="864">
      <c r="A864" s="39" t="s">
        <v>454</v>
      </c>
      <c r="B864" s="39" t="s">
        <v>149</v>
      </c>
      <c r="C864" s="39">
        <v>29.0</v>
      </c>
      <c r="D864" s="39" t="s">
        <v>902</v>
      </c>
      <c r="E864" s="39" t="s">
        <v>2020</v>
      </c>
      <c r="F864" s="39"/>
      <c r="G864" s="39" t="s">
        <v>809</v>
      </c>
      <c r="H864" s="39" t="s">
        <v>1036</v>
      </c>
      <c r="I864" s="39"/>
    </row>
    <row r="865">
      <c r="A865" s="39" t="s">
        <v>454</v>
      </c>
      <c r="B865" s="39" t="s">
        <v>149</v>
      </c>
      <c r="C865" s="39">
        <v>30.0</v>
      </c>
      <c r="D865" s="39" t="s">
        <v>902</v>
      </c>
      <c r="E865" s="39" t="s">
        <v>2021</v>
      </c>
      <c r="F865" s="39"/>
      <c r="G865" s="56" t="s">
        <v>825</v>
      </c>
      <c r="H865" s="39" t="s">
        <v>1036</v>
      </c>
      <c r="I865" s="39"/>
    </row>
    <row r="866">
      <c r="A866" s="39" t="s">
        <v>454</v>
      </c>
      <c r="B866" s="39" t="s">
        <v>149</v>
      </c>
      <c r="C866" s="39">
        <v>31.0</v>
      </c>
      <c r="D866" s="39" t="s">
        <v>902</v>
      </c>
      <c r="E866" s="39" t="s">
        <v>2022</v>
      </c>
      <c r="F866" s="39"/>
      <c r="G866" s="56" t="s">
        <v>822</v>
      </c>
      <c r="H866" s="39" t="s">
        <v>1036</v>
      </c>
      <c r="I866" s="39"/>
    </row>
    <row r="867">
      <c r="A867" s="39" t="s">
        <v>454</v>
      </c>
      <c r="B867" s="39" t="s">
        <v>149</v>
      </c>
      <c r="C867" s="39">
        <v>32.0</v>
      </c>
      <c r="D867" s="39" t="s">
        <v>902</v>
      </c>
      <c r="E867" s="39" t="s">
        <v>2023</v>
      </c>
      <c r="F867" s="39"/>
      <c r="G867" s="56" t="s">
        <v>801</v>
      </c>
      <c r="H867" s="39" t="s">
        <v>1726</v>
      </c>
      <c r="I867" s="39"/>
    </row>
    <row r="868">
      <c r="A868" s="39" t="s">
        <v>454</v>
      </c>
      <c r="B868" s="39" t="s">
        <v>149</v>
      </c>
      <c r="C868" s="39">
        <v>33.0</v>
      </c>
      <c r="D868" s="39" t="s">
        <v>902</v>
      </c>
      <c r="E868" s="39" t="s">
        <v>2024</v>
      </c>
      <c r="F868" s="39"/>
      <c r="G868" s="39" t="s">
        <v>809</v>
      </c>
      <c r="H868" s="39" t="s">
        <v>1036</v>
      </c>
      <c r="I868" s="39"/>
    </row>
    <row r="869">
      <c r="A869" s="39" t="s">
        <v>454</v>
      </c>
      <c r="B869" s="39" t="s">
        <v>149</v>
      </c>
      <c r="C869" s="39">
        <v>34.0</v>
      </c>
      <c r="D869" s="39" t="s">
        <v>902</v>
      </c>
      <c r="E869" s="39" t="s">
        <v>2025</v>
      </c>
      <c r="F869" s="39"/>
      <c r="G869" s="56" t="s">
        <v>825</v>
      </c>
      <c r="H869" s="39" t="s">
        <v>1036</v>
      </c>
      <c r="I869" s="39"/>
    </row>
    <row r="870">
      <c r="A870" s="39" t="s">
        <v>454</v>
      </c>
      <c r="B870" s="39" t="s">
        <v>149</v>
      </c>
      <c r="C870" s="39">
        <v>35.0</v>
      </c>
      <c r="D870" s="39" t="s">
        <v>90</v>
      </c>
      <c r="E870" s="39" t="s">
        <v>2026</v>
      </c>
      <c r="F870" s="39"/>
      <c r="G870" s="39" t="s">
        <v>927</v>
      </c>
      <c r="H870" s="39"/>
      <c r="I870" s="39"/>
    </row>
    <row r="871">
      <c r="A871" s="39" t="s">
        <v>454</v>
      </c>
      <c r="B871" s="39" t="s">
        <v>149</v>
      </c>
      <c r="C871" s="39">
        <v>36.0</v>
      </c>
      <c r="D871" s="39" t="s">
        <v>90</v>
      </c>
      <c r="E871" s="39" t="s">
        <v>2027</v>
      </c>
      <c r="F871" s="39"/>
      <c r="G871" s="39" t="s">
        <v>924</v>
      </c>
      <c r="H871" s="39"/>
      <c r="I871" s="39"/>
    </row>
    <row r="872">
      <c r="A872" s="39" t="s">
        <v>454</v>
      </c>
      <c r="B872" s="39" t="s">
        <v>149</v>
      </c>
      <c r="C872" s="39">
        <v>37.0</v>
      </c>
      <c r="D872" s="39" t="s">
        <v>90</v>
      </c>
      <c r="E872" s="39" t="s">
        <v>2028</v>
      </c>
      <c r="F872" s="39"/>
      <c r="G872" s="39" t="s">
        <v>930</v>
      </c>
      <c r="H872" s="39"/>
      <c r="I872" s="39"/>
    </row>
    <row r="873">
      <c r="A873" s="39" t="s">
        <v>454</v>
      </c>
      <c r="B873" s="39" t="s">
        <v>149</v>
      </c>
      <c r="C873" s="39">
        <v>38.0</v>
      </c>
      <c r="D873" s="39" t="s">
        <v>90</v>
      </c>
      <c r="E873" s="39" t="s">
        <v>2029</v>
      </c>
      <c r="F873" s="39"/>
      <c r="G873" s="39" t="s">
        <v>939</v>
      </c>
      <c r="H873" s="39"/>
      <c r="I873" s="39"/>
    </row>
    <row r="874">
      <c r="A874" s="39" t="s">
        <v>454</v>
      </c>
      <c r="B874" s="39" t="s">
        <v>149</v>
      </c>
      <c r="C874" s="39">
        <v>39.0</v>
      </c>
      <c r="D874" s="39" t="s">
        <v>90</v>
      </c>
      <c r="E874" s="39" t="s">
        <v>2030</v>
      </c>
      <c r="F874" s="39"/>
      <c r="G874" s="56" t="s">
        <v>822</v>
      </c>
      <c r="H874" s="39"/>
      <c r="I874" s="39"/>
    </row>
    <row r="875">
      <c r="A875" s="39" t="s">
        <v>454</v>
      </c>
      <c r="B875" s="39" t="s">
        <v>149</v>
      </c>
      <c r="C875" s="39">
        <v>40.0</v>
      </c>
      <c r="D875" s="39" t="s">
        <v>90</v>
      </c>
      <c r="E875" s="39" t="s">
        <v>2031</v>
      </c>
      <c r="F875" s="39"/>
      <c r="G875" s="56" t="s">
        <v>836</v>
      </c>
      <c r="H875" s="39"/>
      <c r="I875" s="39"/>
    </row>
    <row r="876">
      <c r="A876" s="39" t="s">
        <v>454</v>
      </c>
      <c r="B876" s="39" t="s">
        <v>149</v>
      </c>
      <c r="C876" s="39">
        <v>41.0</v>
      </c>
      <c r="D876" s="39" t="s">
        <v>90</v>
      </c>
      <c r="E876" s="39" t="s">
        <v>2032</v>
      </c>
      <c r="F876" s="39"/>
      <c r="G876" s="56" t="s">
        <v>801</v>
      </c>
      <c r="H876" s="39"/>
      <c r="I876" s="39"/>
    </row>
    <row r="877">
      <c r="A877" s="39" t="s">
        <v>454</v>
      </c>
      <c r="B877" s="39" t="s">
        <v>149</v>
      </c>
      <c r="C877" s="39">
        <v>42.0</v>
      </c>
      <c r="D877" s="39" t="s">
        <v>92</v>
      </c>
      <c r="E877" s="39" t="s">
        <v>2033</v>
      </c>
      <c r="F877" s="39"/>
      <c r="G877" s="39" t="s">
        <v>2034</v>
      </c>
      <c r="H877" s="39"/>
      <c r="I877" s="39"/>
    </row>
    <row r="878">
      <c r="A878" s="39" t="s">
        <v>454</v>
      </c>
      <c r="B878" s="39" t="s">
        <v>149</v>
      </c>
      <c r="C878" s="39">
        <v>43.0</v>
      </c>
      <c r="D878" s="39" t="s">
        <v>92</v>
      </c>
      <c r="E878" s="39" t="s">
        <v>2035</v>
      </c>
      <c r="F878" s="39"/>
      <c r="G878" s="39" t="s">
        <v>2036</v>
      </c>
      <c r="H878" s="39" t="s">
        <v>2037</v>
      </c>
      <c r="I878" s="39"/>
    </row>
    <row r="879">
      <c r="A879" s="39" t="s">
        <v>454</v>
      </c>
      <c r="B879" s="39" t="s">
        <v>149</v>
      </c>
      <c r="C879" s="39">
        <v>44.0</v>
      </c>
      <c r="D879" s="39" t="s">
        <v>92</v>
      </c>
      <c r="E879" s="39" t="s">
        <v>2038</v>
      </c>
      <c r="F879" s="39"/>
      <c r="G879" s="39" t="s">
        <v>945</v>
      </c>
      <c r="H879" s="39"/>
      <c r="I879" s="39"/>
    </row>
    <row r="880">
      <c r="A880" s="39" t="s">
        <v>454</v>
      </c>
      <c r="B880" s="39" t="s">
        <v>149</v>
      </c>
      <c r="C880" s="39">
        <v>45.0</v>
      </c>
      <c r="D880" s="39" t="s">
        <v>92</v>
      </c>
      <c r="E880" s="39" t="s">
        <v>2039</v>
      </c>
      <c r="F880" s="39"/>
      <c r="G880" s="39" t="s">
        <v>947</v>
      </c>
      <c r="H880" s="39"/>
      <c r="I880" s="39"/>
    </row>
    <row r="881">
      <c r="A881" s="39" t="s">
        <v>454</v>
      </c>
      <c r="B881" s="39" t="s">
        <v>149</v>
      </c>
      <c r="C881" s="39">
        <v>46.0</v>
      </c>
      <c r="D881" s="39" t="s">
        <v>91</v>
      </c>
      <c r="E881" s="39" t="s">
        <v>2040</v>
      </c>
      <c r="F881" s="39"/>
      <c r="G881" s="56" t="s">
        <v>825</v>
      </c>
      <c r="H881" s="39"/>
      <c r="I881" s="39"/>
    </row>
    <row r="882">
      <c r="A882" s="39" t="s">
        <v>454</v>
      </c>
      <c r="B882" s="39" t="s">
        <v>149</v>
      </c>
      <c r="C882" s="39">
        <v>47.0</v>
      </c>
      <c r="D882" s="39" t="s">
        <v>91</v>
      </c>
      <c r="E882" s="39" t="s">
        <v>2041</v>
      </c>
      <c r="F882" s="39"/>
      <c r="G882" s="56" t="s">
        <v>806</v>
      </c>
      <c r="H882" s="39"/>
      <c r="I882" s="39"/>
    </row>
    <row r="883">
      <c r="A883" s="39" t="s">
        <v>454</v>
      </c>
      <c r="B883" s="39" t="s">
        <v>149</v>
      </c>
      <c r="C883" s="39">
        <v>48.0</v>
      </c>
      <c r="D883" s="39" t="s">
        <v>839</v>
      </c>
      <c r="E883" s="39" t="s">
        <v>2042</v>
      </c>
      <c r="F883" s="39"/>
      <c r="G883" s="39" t="str">
        <f>IFERROR(__xludf.DUMMYFUNCTION("IFS(REGEXMATCH(E883, ""ammo_ar""), ""Daedalus AR Ammo"", REGEXMATCH(E883, ""ammo_ps""), ""Daedalus Pistol Ammo"", REGEXMATCH(E883, ""ammo_sg""), ""Daedalus Shotgun Ammo"", REGEXMATCH(E883, ""ammo_sm""), ""Daedalus SMG Ammo"", REGEXMATCH(E883, ""ammo_sr"")"&amp;", ""Daedalus SR Ammo"")"),"Daedalus SMG Ammo")</f>
        <v>Daedalus SMG Ammo</v>
      </c>
      <c r="H883" s="39"/>
      <c r="I883" s="39"/>
    </row>
    <row r="884">
      <c r="A884" s="39" t="s">
        <v>454</v>
      </c>
      <c r="B884" s="39" t="s">
        <v>149</v>
      </c>
      <c r="C884" s="39">
        <v>49.0</v>
      </c>
      <c r="D884" s="39" t="s">
        <v>839</v>
      </c>
      <c r="E884" s="39" t="s">
        <v>2043</v>
      </c>
      <c r="F884" s="39"/>
      <c r="G884" s="39" t="str">
        <f>IFERROR(__xludf.DUMMYFUNCTION("IFS(REGEXMATCH(E884, ""ammo_ar""), ""Daedalus AR Ammo"", REGEXMATCH(E884, ""ammo_ps""), ""Daedalus Pistol Ammo"", REGEXMATCH(E884, ""ammo_sg""), ""Daedalus Shotgun Ammo"", REGEXMATCH(E884, ""ammo_sm""), ""Daedalus SMG Ammo"", REGEXMATCH(E884, ""ammo_sr"")"&amp;", ""Daedalus SR Ammo"")"),"Daedalus Shotgun Ammo")</f>
        <v>Daedalus Shotgun Ammo</v>
      </c>
      <c r="H884" s="39"/>
      <c r="I884" s="39"/>
    </row>
    <row r="885">
      <c r="A885" s="39" t="s">
        <v>454</v>
      </c>
      <c r="B885" s="39" t="s">
        <v>149</v>
      </c>
      <c r="C885" s="39">
        <v>50.0</v>
      </c>
      <c r="D885" s="39" t="s">
        <v>839</v>
      </c>
      <c r="E885" s="39" t="s">
        <v>2044</v>
      </c>
      <c r="F885" s="39"/>
      <c r="G885" s="39" t="str">
        <f>IFERROR(__xludf.DUMMYFUNCTION("IFS(REGEXMATCH(E885, ""ammo_ar""), ""Daedalus AR Ammo"", REGEXMATCH(E885, ""ammo_ps""), ""Daedalus Pistol Ammo"", REGEXMATCH(E885, ""ammo_sg""), ""Daedalus Shotgun Ammo"", REGEXMATCH(E885, ""ammo_sm""), ""Daedalus SMG Ammo"", REGEXMATCH(E885, ""ammo_sr"")"&amp;", ""Daedalus SR Ammo"")"),"Daedalus Pistol Ammo")</f>
        <v>Daedalus Pistol Ammo</v>
      </c>
      <c r="H885" s="39"/>
      <c r="I885" s="39"/>
    </row>
    <row r="886">
      <c r="A886" s="39" t="s">
        <v>454</v>
      </c>
      <c r="B886" s="39" t="s">
        <v>149</v>
      </c>
      <c r="C886" s="39">
        <v>51.0</v>
      </c>
      <c r="D886" s="39" t="s">
        <v>839</v>
      </c>
      <c r="E886" s="39" t="s">
        <v>2045</v>
      </c>
      <c r="F886" s="39"/>
      <c r="G886" s="39" t="str">
        <f>IFERROR(__xludf.DUMMYFUNCTION("IFS(REGEXMATCH(E886, ""ammo_ar""), ""Daedalus AR Ammo"", REGEXMATCH(E886, ""ammo_ps""), ""Daedalus Pistol Ammo"", REGEXMATCH(E886, ""ammo_sg""), ""Daedalus Shotgun Ammo"", REGEXMATCH(E886, ""ammo_sm""), ""Daedalus SMG Ammo"", REGEXMATCH(E886, ""ammo_sr"")"&amp;", ""Daedalus SR Ammo"")"),"Daedalus SR Ammo")</f>
        <v>Daedalus SR Ammo</v>
      </c>
      <c r="H886" s="39"/>
      <c r="I886" s="39"/>
    </row>
    <row r="887">
      <c r="A887" s="39" t="s">
        <v>454</v>
      </c>
      <c r="B887" s="39" t="s">
        <v>149</v>
      </c>
      <c r="C887" s="39">
        <v>52.0</v>
      </c>
      <c r="D887" s="39" t="s">
        <v>819</v>
      </c>
      <c r="E887" s="39" t="s">
        <v>2046</v>
      </c>
      <c r="F887" s="39"/>
      <c r="G887" s="56" t="s">
        <v>822</v>
      </c>
      <c r="H887" s="39"/>
      <c r="I887" s="39"/>
    </row>
    <row r="888">
      <c r="A888" s="39" t="s">
        <v>454</v>
      </c>
      <c r="B888" s="39" t="s">
        <v>149</v>
      </c>
      <c r="C888" s="39">
        <v>53.0</v>
      </c>
      <c r="D888" s="39" t="s">
        <v>819</v>
      </c>
      <c r="E888" s="39" t="s">
        <v>2047</v>
      </c>
      <c r="F888" s="39"/>
      <c r="G888" s="56" t="s">
        <v>825</v>
      </c>
      <c r="H888" s="39"/>
      <c r="I888" s="39"/>
    </row>
    <row r="889">
      <c r="A889" s="39" t="s">
        <v>454</v>
      </c>
      <c r="B889" s="39" t="s">
        <v>149</v>
      </c>
      <c r="C889" s="39">
        <v>54.0</v>
      </c>
      <c r="D889" s="39" t="s">
        <v>819</v>
      </c>
      <c r="E889" s="39" t="s">
        <v>2048</v>
      </c>
      <c r="F889" s="39"/>
      <c r="G889" s="56" t="s">
        <v>806</v>
      </c>
      <c r="H889" s="39"/>
      <c r="I889" s="39"/>
    </row>
    <row r="890">
      <c r="A890" s="39" t="s">
        <v>454</v>
      </c>
      <c r="B890" s="39" t="s">
        <v>149</v>
      </c>
      <c r="C890" s="39">
        <v>55.0</v>
      </c>
      <c r="D890" s="39" t="s">
        <v>819</v>
      </c>
      <c r="E890" s="39" t="s">
        <v>2049</v>
      </c>
      <c r="F890" s="39"/>
      <c r="G890" s="56" t="s">
        <v>806</v>
      </c>
      <c r="H890" s="39"/>
      <c r="I890" s="39"/>
    </row>
    <row r="891">
      <c r="A891" s="39" t="s">
        <v>454</v>
      </c>
      <c r="B891" s="39" t="s">
        <v>149</v>
      </c>
      <c r="C891" s="39">
        <v>56.0</v>
      </c>
      <c r="D891" s="39" t="s">
        <v>819</v>
      </c>
      <c r="E891" s="39" t="s">
        <v>2050</v>
      </c>
      <c r="F891" s="39"/>
      <c r="G891" s="56" t="s">
        <v>822</v>
      </c>
      <c r="H891" s="39"/>
      <c r="I891" s="39"/>
    </row>
    <row r="892">
      <c r="A892" s="39" t="s">
        <v>454</v>
      </c>
      <c r="B892" s="39" t="s">
        <v>149</v>
      </c>
      <c r="C892" s="39">
        <v>57.0</v>
      </c>
      <c r="D892" s="39" t="s">
        <v>819</v>
      </c>
      <c r="E892" s="39" t="s">
        <v>2051</v>
      </c>
      <c r="F892" s="39"/>
      <c r="G892" s="56" t="s">
        <v>806</v>
      </c>
      <c r="H892" s="39"/>
      <c r="I892" s="39"/>
    </row>
    <row r="893">
      <c r="A893" s="39" t="s">
        <v>454</v>
      </c>
      <c r="B893" s="39" t="s">
        <v>149</v>
      </c>
      <c r="C893" s="39">
        <v>58.0</v>
      </c>
      <c r="D893" s="39" t="s">
        <v>819</v>
      </c>
      <c r="E893" s="39" t="s">
        <v>2052</v>
      </c>
      <c r="F893" s="39"/>
      <c r="G893" s="56" t="s">
        <v>836</v>
      </c>
      <c r="H893" s="39"/>
      <c r="I893" s="39"/>
    </row>
    <row r="894">
      <c r="A894" s="39" t="s">
        <v>454</v>
      </c>
      <c r="B894" s="39" t="s">
        <v>149</v>
      </c>
      <c r="C894" s="39">
        <v>59.0</v>
      </c>
      <c r="D894" s="39" t="s">
        <v>819</v>
      </c>
      <c r="E894" s="39" t="s">
        <v>2053</v>
      </c>
      <c r="F894" s="39"/>
      <c r="G894" s="56" t="s">
        <v>836</v>
      </c>
      <c r="H894" s="39"/>
      <c r="I894" s="39"/>
    </row>
    <row r="895">
      <c r="A895" s="39" t="s">
        <v>454</v>
      </c>
      <c r="B895" s="39" t="s">
        <v>149</v>
      </c>
      <c r="C895" s="39">
        <v>60.0</v>
      </c>
      <c r="D895" s="39" t="s">
        <v>839</v>
      </c>
      <c r="E895" s="39" t="s">
        <v>2054</v>
      </c>
      <c r="F895" s="39"/>
      <c r="G895" s="39" t="s">
        <v>842</v>
      </c>
      <c r="H895" s="39"/>
      <c r="I895" s="39"/>
    </row>
    <row r="896">
      <c r="A896" s="39" t="s">
        <v>454</v>
      </c>
      <c r="B896" s="39" t="s">
        <v>149</v>
      </c>
      <c r="C896" s="39">
        <v>61.0</v>
      </c>
      <c r="D896" s="39" t="s">
        <v>839</v>
      </c>
      <c r="E896" s="39" t="s">
        <v>2055</v>
      </c>
      <c r="F896" s="39"/>
      <c r="G896" s="39" t="s">
        <v>845</v>
      </c>
      <c r="H896" s="39"/>
      <c r="I896" s="39"/>
    </row>
    <row r="897">
      <c r="A897" s="39" t="s">
        <v>454</v>
      </c>
      <c r="B897" s="39" t="s">
        <v>149</v>
      </c>
      <c r="C897" s="39">
        <v>62.0</v>
      </c>
      <c r="D897" s="39" t="s">
        <v>839</v>
      </c>
      <c r="E897" s="39" t="s">
        <v>2056</v>
      </c>
      <c r="F897" s="39"/>
      <c r="G897" s="39" t="s">
        <v>847</v>
      </c>
      <c r="H897" s="39"/>
      <c r="I897" s="39"/>
    </row>
    <row r="898">
      <c r="A898" s="39" t="s">
        <v>454</v>
      </c>
      <c r="B898" s="39" t="s">
        <v>149</v>
      </c>
      <c r="C898" s="39">
        <v>63.0</v>
      </c>
      <c r="D898" s="39" t="s">
        <v>839</v>
      </c>
      <c r="E898" s="39" t="s">
        <v>2057</v>
      </c>
      <c r="F898" s="39"/>
      <c r="G898" s="39" t="s">
        <v>850</v>
      </c>
      <c r="H898" s="39"/>
      <c r="I898" s="39"/>
    </row>
    <row r="899">
      <c r="A899" s="39" t="s">
        <v>454</v>
      </c>
      <c r="B899" s="39" t="s">
        <v>149</v>
      </c>
      <c r="C899" s="39">
        <v>64.0</v>
      </c>
      <c r="D899" s="39" t="s">
        <v>839</v>
      </c>
      <c r="E899" s="39" t="s">
        <v>2058</v>
      </c>
      <c r="F899" s="39"/>
      <c r="G899" s="39" t="s">
        <v>853</v>
      </c>
      <c r="H899" s="39"/>
      <c r="I899" s="39"/>
    </row>
    <row r="900">
      <c r="A900" s="39" t="s">
        <v>454</v>
      </c>
      <c r="B900" s="39" t="s">
        <v>149</v>
      </c>
      <c r="C900" s="39">
        <v>65.0</v>
      </c>
      <c r="D900" s="39" t="s">
        <v>839</v>
      </c>
      <c r="E900" s="39" t="s">
        <v>2059</v>
      </c>
      <c r="F900" s="39"/>
      <c r="G900" s="39" t="s">
        <v>856</v>
      </c>
      <c r="H900" s="39"/>
      <c r="I900" s="39"/>
    </row>
    <row r="901">
      <c r="A901" s="39" t="s">
        <v>454</v>
      </c>
      <c r="B901" s="39" t="s">
        <v>149</v>
      </c>
      <c r="C901" s="39">
        <v>66.0</v>
      </c>
      <c r="D901" s="39" t="s">
        <v>839</v>
      </c>
      <c r="E901" s="39" t="s">
        <v>2060</v>
      </c>
      <c r="F901" s="39"/>
      <c r="G901" s="39" t="s">
        <v>874</v>
      </c>
      <c r="H901" s="39"/>
      <c r="I901" s="39"/>
    </row>
    <row r="902">
      <c r="A902" s="39" t="s">
        <v>454</v>
      </c>
      <c r="B902" s="39" t="s">
        <v>149</v>
      </c>
      <c r="C902" s="39">
        <v>67.0</v>
      </c>
      <c r="D902" s="39" t="s">
        <v>839</v>
      </c>
      <c r="E902" s="39" t="s">
        <v>2061</v>
      </c>
      <c r="F902" s="39"/>
      <c r="G902" s="39" t="s">
        <v>880</v>
      </c>
      <c r="H902" s="39"/>
      <c r="I902" s="39"/>
    </row>
    <row r="903">
      <c r="A903" s="39" t="s">
        <v>454</v>
      </c>
      <c r="B903" s="39" t="s">
        <v>149</v>
      </c>
      <c r="C903" s="39">
        <v>68.0</v>
      </c>
      <c r="D903" s="39" t="s">
        <v>92</v>
      </c>
      <c r="E903" s="39" t="s">
        <v>2062</v>
      </c>
      <c r="F903" s="39"/>
      <c r="G903" s="39" t="s">
        <v>2063</v>
      </c>
      <c r="H903" s="39" t="s">
        <v>2064</v>
      </c>
      <c r="I903" s="39"/>
    </row>
    <row r="904">
      <c r="A904" s="39" t="s">
        <v>454</v>
      </c>
      <c r="B904" s="39" t="s">
        <v>149</v>
      </c>
      <c r="C904" s="39">
        <v>69.0</v>
      </c>
      <c r="D904" s="39" t="s">
        <v>92</v>
      </c>
      <c r="E904" s="39" t="s">
        <v>2065</v>
      </c>
      <c r="F904" s="39"/>
      <c r="G904" s="39" t="s">
        <v>1355</v>
      </c>
      <c r="H904" s="39" t="s">
        <v>1356</v>
      </c>
      <c r="I904" s="39"/>
    </row>
    <row r="905">
      <c r="A905" s="39" t="s">
        <v>454</v>
      </c>
      <c r="B905" s="39" t="s">
        <v>149</v>
      </c>
      <c r="C905" s="39">
        <v>70.0</v>
      </c>
      <c r="D905" s="39" t="s">
        <v>91</v>
      </c>
      <c r="E905" s="39" t="s">
        <v>2066</v>
      </c>
      <c r="F905" s="39"/>
      <c r="G905" s="56" t="s">
        <v>822</v>
      </c>
      <c r="H905" s="39"/>
      <c r="I905" s="39"/>
    </row>
    <row r="906">
      <c r="A906" s="39" t="s">
        <v>454</v>
      </c>
      <c r="B906" s="39" t="s">
        <v>149</v>
      </c>
      <c r="C906" s="39">
        <v>71.0</v>
      </c>
      <c r="D906" s="39" t="s">
        <v>87</v>
      </c>
      <c r="E906" s="39" t="s">
        <v>2067</v>
      </c>
      <c r="F906" s="39"/>
      <c r="G906" s="39" t="s">
        <v>2068</v>
      </c>
      <c r="H906" s="39"/>
      <c r="I906" s="39"/>
    </row>
    <row r="907">
      <c r="A907" s="39" t="s">
        <v>454</v>
      </c>
      <c r="B907" s="39" t="s">
        <v>149</v>
      </c>
      <c r="C907" s="39">
        <v>72.0</v>
      </c>
      <c r="D907" s="39" t="s">
        <v>84</v>
      </c>
      <c r="E907" s="39" t="s">
        <v>2069</v>
      </c>
      <c r="F907" s="39"/>
      <c r="G907" s="39" t="s">
        <v>2070</v>
      </c>
      <c r="H907" s="39" t="s">
        <v>2071</v>
      </c>
      <c r="I907" s="39"/>
    </row>
    <row r="908">
      <c r="A908" s="39" t="s">
        <v>454</v>
      </c>
      <c r="B908" s="39" t="s">
        <v>149</v>
      </c>
      <c r="C908" s="39">
        <v>74.0</v>
      </c>
      <c r="D908" s="39" t="s">
        <v>81</v>
      </c>
      <c r="E908" s="39" t="s">
        <v>2072</v>
      </c>
      <c r="F908" s="39"/>
      <c r="G908" s="39" t="s">
        <v>797</v>
      </c>
      <c r="H908" s="39"/>
      <c r="I908" s="39"/>
    </row>
    <row r="909">
      <c r="A909" s="39" t="s">
        <v>454</v>
      </c>
      <c r="B909" s="39" t="s">
        <v>177</v>
      </c>
      <c r="C909" s="39">
        <v>1.0</v>
      </c>
      <c r="D909" s="39" t="s">
        <v>87</v>
      </c>
      <c r="E909" s="39" t="s">
        <v>2073</v>
      </c>
      <c r="F909" s="39"/>
      <c r="G909" s="39" t="s">
        <v>2074</v>
      </c>
      <c r="H909" s="39" t="s">
        <v>2075</v>
      </c>
      <c r="I909" s="39"/>
    </row>
    <row r="910">
      <c r="A910" s="39" t="s">
        <v>454</v>
      </c>
      <c r="B910" s="39" t="s">
        <v>177</v>
      </c>
      <c r="C910" s="39">
        <v>2.0</v>
      </c>
      <c r="D910" s="39" t="s">
        <v>81</v>
      </c>
      <c r="E910" s="39" t="s">
        <v>2076</v>
      </c>
      <c r="F910" s="39"/>
      <c r="G910" s="39" t="s">
        <v>797</v>
      </c>
      <c r="H910" s="39"/>
      <c r="I910" s="39"/>
    </row>
    <row r="911">
      <c r="A911" s="39" t="s">
        <v>454</v>
      </c>
      <c r="B911" s="39" t="s">
        <v>177</v>
      </c>
      <c r="C911" s="39">
        <v>3.0</v>
      </c>
      <c r="D911" s="39" t="s">
        <v>798</v>
      </c>
      <c r="E911" s="39" t="s">
        <v>2077</v>
      </c>
      <c r="F911" s="39"/>
      <c r="G911" s="56" t="s">
        <v>801</v>
      </c>
      <c r="H911" s="39"/>
      <c r="I911" s="39"/>
    </row>
    <row r="912">
      <c r="A912" s="39" t="s">
        <v>454</v>
      </c>
      <c r="B912" s="39" t="s">
        <v>177</v>
      </c>
      <c r="C912" s="39">
        <v>4.0</v>
      </c>
      <c r="D912" s="39" t="s">
        <v>798</v>
      </c>
      <c r="E912" s="39" t="s">
        <v>2078</v>
      </c>
      <c r="F912" s="39"/>
      <c r="G912" s="56" t="s">
        <v>822</v>
      </c>
      <c r="H912" s="39"/>
      <c r="I912" s="39"/>
    </row>
    <row r="913">
      <c r="A913" s="39" t="s">
        <v>454</v>
      </c>
      <c r="B913" s="39" t="s">
        <v>177</v>
      </c>
      <c r="C913" s="39">
        <v>5.0</v>
      </c>
      <c r="D913" s="39" t="s">
        <v>798</v>
      </c>
      <c r="E913" s="39" t="s">
        <v>2079</v>
      </c>
      <c r="F913" s="39"/>
      <c r="G913" s="56" t="s">
        <v>806</v>
      </c>
      <c r="H913" s="39"/>
      <c r="I913" s="39"/>
    </row>
    <row r="914">
      <c r="A914" s="39" t="s">
        <v>454</v>
      </c>
      <c r="B914" s="39" t="s">
        <v>177</v>
      </c>
      <c r="C914" s="39">
        <v>6.0</v>
      </c>
      <c r="D914" s="39" t="s">
        <v>798</v>
      </c>
      <c r="E914" s="39" t="s">
        <v>2080</v>
      </c>
      <c r="F914" s="39"/>
      <c r="G914" s="56" t="s">
        <v>825</v>
      </c>
      <c r="H914" s="39"/>
      <c r="I914" s="39"/>
    </row>
    <row r="915">
      <c r="A915" s="39" t="s">
        <v>454</v>
      </c>
      <c r="B915" s="39" t="s">
        <v>177</v>
      </c>
      <c r="C915" s="39">
        <v>7.0</v>
      </c>
      <c r="D915" s="39" t="s">
        <v>84</v>
      </c>
      <c r="E915" s="39" t="s">
        <v>2081</v>
      </c>
      <c r="F915" s="39"/>
      <c r="G915" s="39" t="s">
        <v>2082</v>
      </c>
      <c r="H915" s="39"/>
      <c r="I915" s="39"/>
    </row>
    <row r="916">
      <c r="A916" s="39" t="s">
        <v>454</v>
      </c>
      <c r="B916" s="39" t="s">
        <v>177</v>
      </c>
      <c r="C916" s="39">
        <v>8.0</v>
      </c>
      <c r="D916" s="39" t="s">
        <v>84</v>
      </c>
      <c r="E916" s="39" t="s">
        <v>2083</v>
      </c>
      <c r="F916" s="39"/>
      <c r="G916" s="39" t="s">
        <v>2084</v>
      </c>
      <c r="H916" s="39"/>
      <c r="I916" s="39"/>
    </row>
    <row r="917">
      <c r="A917" s="39" t="s">
        <v>454</v>
      </c>
      <c r="B917" s="39" t="s">
        <v>177</v>
      </c>
      <c r="C917" s="39">
        <v>9.0</v>
      </c>
      <c r="D917" s="39" t="s">
        <v>839</v>
      </c>
      <c r="E917" s="39" t="s">
        <v>2085</v>
      </c>
      <c r="F917" s="39"/>
      <c r="G917" s="39" t="s">
        <v>989</v>
      </c>
      <c r="H917" s="39"/>
      <c r="I917" s="39"/>
    </row>
    <row r="918">
      <c r="A918" s="39" t="s">
        <v>454</v>
      </c>
      <c r="B918" s="39" t="s">
        <v>177</v>
      </c>
      <c r="C918" s="39">
        <v>10.0</v>
      </c>
      <c r="D918" s="39" t="s">
        <v>839</v>
      </c>
      <c r="E918" s="39" t="s">
        <v>2086</v>
      </c>
      <c r="F918" s="39"/>
      <c r="G918" s="39" t="s">
        <v>991</v>
      </c>
      <c r="H918" s="39"/>
      <c r="I918" s="39"/>
    </row>
    <row r="919">
      <c r="A919" s="39" t="s">
        <v>454</v>
      </c>
      <c r="B919" s="39" t="s">
        <v>177</v>
      </c>
      <c r="C919" s="39">
        <v>11.0</v>
      </c>
      <c r="D919" s="39" t="s">
        <v>839</v>
      </c>
      <c r="E919" s="39" t="s">
        <v>2087</v>
      </c>
      <c r="F919" s="39"/>
      <c r="G919" s="39" t="s">
        <v>993</v>
      </c>
      <c r="H919" s="39"/>
      <c r="I919" s="39"/>
    </row>
    <row r="920">
      <c r="A920" s="39" t="s">
        <v>454</v>
      </c>
      <c r="B920" s="39" t="s">
        <v>177</v>
      </c>
      <c r="C920" s="39">
        <v>12.0</v>
      </c>
      <c r="D920" s="39" t="s">
        <v>839</v>
      </c>
      <c r="E920" s="39" t="s">
        <v>2088</v>
      </c>
      <c r="F920" s="39"/>
      <c r="G920" s="39" t="s">
        <v>995</v>
      </c>
      <c r="H920" s="39"/>
      <c r="I920" s="39"/>
    </row>
    <row r="921">
      <c r="A921" s="39" t="s">
        <v>454</v>
      </c>
      <c r="B921" s="39" t="s">
        <v>177</v>
      </c>
      <c r="C921" s="39">
        <v>13.0</v>
      </c>
      <c r="D921" s="39" t="s">
        <v>87</v>
      </c>
      <c r="E921" s="39" t="s">
        <v>2089</v>
      </c>
      <c r="F921" s="39"/>
      <c r="G921" s="39" t="s">
        <v>2090</v>
      </c>
      <c r="H921" s="39"/>
      <c r="I921" s="39"/>
    </row>
    <row r="922">
      <c r="A922" s="39" t="s">
        <v>454</v>
      </c>
      <c r="B922" s="39" t="s">
        <v>177</v>
      </c>
      <c r="C922" s="39">
        <v>14.0</v>
      </c>
      <c r="D922" s="39" t="s">
        <v>87</v>
      </c>
      <c r="E922" s="39" t="s">
        <v>2091</v>
      </c>
      <c r="F922" s="39"/>
      <c r="G922" s="39" t="s">
        <v>2092</v>
      </c>
      <c r="H922" s="39"/>
      <c r="I922" s="39"/>
    </row>
    <row r="923">
      <c r="A923" s="39" t="s">
        <v>454</v>
      </c>
      <c r="B923" s="39" t="s">
        <v>177</v>
      </c>
      <c r="C923" s="39">
        <v>15.0</v>
      </c>
      <c r="D923" s="39" t="s">
        <v>87</v>
      </c>
      <c r="E923" s="39" t="s">
        <v>2093</v>
      </c>
      <c r="F923" s="39"/>
      <c r="G923" s="39" t="s">
        <v>2094</v>
      </c>
      <c r="I923" s="39"/>
    </row>
    <row r="924">
      <c r="A924" s="39" t="s">
        <v>454</v>
      </c>
      <c r="B924" s="39" t="s">
        <v>177</v>
      </c>
      <c r="C924" s="39">
        <v>16.0</v>
      </c>
      <c r="D924" s="39" t="s">
        <v>87</v>
      </c>
      <c r="E924" s="39" t="s">
        <v>2095</v>
      </c>
      <c r="F924" s="39"/>
      <c r="G924" s="39" t="s">
        <v>2096</v>
      </c>
      <c r="I924" s="39"/>
    </row>
    <row r="925">
      <c r="A925" s="39" t="s">
        <v>454</v>
      </c>
      <c r="B925" s="39" t="s">
        <v>177</v>
      </c>
      <c r="C925" s="39">
        <v>17.0</v>
      </c>
      <c r="D925" s="39" t="s">
        <v>875</v>
      </c>
      <c r="E925" s="39" t="s">
        <v>2097</v>
      </c>
      <c r="F925" s="39"/>
      <c r="G925" s="39" t="s">
        <v>877</v>
      </c>
      <c r="H925" s="39"/>
      <c r="I925" s="39"/>
    </row>
    <row r="926">
      <c r="A926" s="39" t="s">
        <v>454</v>
      </c>
      <c r="B926" s="39" t="s">
        <v>177</v>
      </c>
      <c r="C926" s="39">
        <v>18.0</v>
      </c>
      <c r="D926" s="39" t="s">
        <v>875</v>
      </c>
      <c r="E926" s="39" t="s">
        <v>2098</v>
      </c>
      <c r="F926" s="39"/>
      <c r="G926" s="39" t="s">
        <v>877</v>
      </c>
      <c r="H926" s="39"/>
      <c r="I926" s="39"/>
    </row>
    <row r="927">
      <c r="A927" s="39" t="s">
        <v>454</v>
      </c>
      <c r="B927" s="39" t="s">
        <v>177</v>
      </c>
      <c r="C927" s="39">
        <v>19.0</v>
      </c>
      <c r="D927" s="39" t="s">
        <v>875</v>
      </c>
      <c r="E927" s="39" t="s">
        <v>2099</v>
      </c>
      <c r="F927" s="39"/>
      <c r="G927" s="39" t="s">
        <v>877</v>
      </c>
      <c r="H927" s="39"/>
      <c r="I927" s="39"/>
    </row>
    <row r="928">
      <c r="A928" s="39" t="s">
        <v>454</v>
      </c>
      <c r="B928" s="39" t="s">
        <v>177</v>
      </c>
      <c r="C928" s="39">
        <v>20.0</v>
      </c>
      <c r="D928" s="39" t="s">
        <v>875</v>
      </c>
      <c r="E928" s="39" t="s">
        <v>2100</v>
      </c>
      <c r="F928" s="39"/>
      <c r="G928" s="39" t="s">
        <v>883</v>
      </c>
      <c r="H928" s="39"/>
      <c r="I928" s="39"/>
    </row>
    <row r="929">
      <c r="A929" s="39" t="s">
        <v>454</v>
      </c>
      <c r="B929" s="39" t="s">
        <v>177</v>
      </c>
      <c r="C929" s="39">
        <v>21.0</v>
      </c>
      <c r="D929" s="39" t="s">
        <v>875</v>
      </c>
      <c r="E929" s="39" t="s">
        <v>2101</v>
      </c>
      <c r="F929" s="39"/>
      <c r="G929" s="39" t="s">
        <v>883</v>
      </c>
      <c r="H929" s="39"/>
      <c r="I929" s="39"/>
    </row>
    <row r="930">
      <c r="A930" s="39" t="s">
        <v>454</v>
      </c>
      <c r="B930" s="39" t="s">
        <v>177</v>
      </c>
      <c r="C930" s="39">
        <v>22.0</v>
      </c>
      <c r="D930" s="39" t="s">
        <v>88</v>
      </c>
      <c r="E930" s="39" t="s">
        <v>2102</v>
      </c>
      <c r="F930" s="39"/>
      <c r="G930" s="39" t="s">
        <v>901</v>
      </c>
      <c r="H930" s="39"/>
      <c r="I930" s="39"/>
    </row>
    <row r="931">
      <c r="A931" s="39" t="s">
        <v>454</v>
      </c>
      <c r="B931" s="39" t="s">
        <v>177</v>
      </c>
      <c r="C931" s="39">
        <v>23.0</v>
      </c>
      <c r="D931" s="39" t="s">
        <v>88</v>
      </c>
      <c r="E931" s="39" t="s">
        <v>2103</v>
      </c>
      <c r="F931" s="39"/>
      <c r="G931" s="39" t="s">
        <v>898</v>
      </c>
      <c r="H931" s="39"/>
      <c r="I931" s="39"/>
    </row>
    <row r="932">
      <c r="A932" s="39" t="s">
        <v>454</v>
      </c>
      <c r="B932" s="39" t="s">
        <v>177</v>
      </c>
      <c r="C932" s="39">
        <v>24.0</v>
      </c>
      <c r="D932" s="39" t="s">
        <v>88</v>
      </c>
      <c r="E932" s="39" t="s">
        <v>2104</v>
      </c>
      <c r="F932" s="39"/>
      <c r="G932" s="39" t="s">
        <v>895</v>
      </c>
      <c r="I932" s="39"/>
    </row>
    <row r="933">
      <c r="A933" s="39" t="s">
        <v>454</v>
      </c>
      <c r="B933" s="39" t="s">
        <v>177</v>
      </c>
      <c r="C933" s="39">
        <v>25.0</v>
      </c>
      <c r="D933" s="39" t="s">
        <v>88</v>
      </c>
      <c r="E933" s="39" t="s">
        <v>2105</v>
      </c>
      <c r="F933" s="39"/>
      <c r="G933" s="39" t="s">
        <v>895</v>
      </c>
      <c r="H933" s="39" t="s">
        <v>1630</v>
      </c>
      <c r="I933" s="39"/>
    </row>
    <row r="934">
      <c r="A934" s="39" t="s">
        <v>454</v>
      </c>
      <c r="B934" s="39" t="s">
        <v>177</v>
      </c>
      <c r="C934" s="39">
        <v>26.0</v>
      </c>
      <c r="D934" s="39" t="s">
        <v>88</v>
      </c>
      <c r="E934" s="39" t="s">
        <v>2106</v>
      </c>
      <c r="F934" s="39"/>
      <c r="G934" s="39" t="s">
        <v>892</v>
      </c>
      <c r="H934" s="39" t="s">
        <v>1630</v>
      </c>
      <c r="I934" s="39"/>
    </row>
    <row r="935">
      <c r="A935" s="39" t="s">
        <v>454</v>
      </c>
      <c r="B935" s="39" t="s">
        <v>177</v>
      </c>
      <c r="C935" s="39">
        <v>27.0</v>
      </c>
      <c r="D935" s="39" t="s">
        <v>902</v>
      </c>
      <c r="E935" s="39" t="s">
        <v>2107</v>
      </c>
      <c r="F935" s="39"/>
      <c r="G935" s="56" t="s">
        <v>822</v>
      </c>
      <c r="H935" s="39" t="s">
        <v>1036</v>
      </c>
      <c r="I935" s="39"/>
    </row>
    <row r="936">
      <c r="A936" s="39" t="s">
        <v>454</v>
      </c>
      <c r="B936" s="39" t="s">
        <v>177</v>
      </c>
      <c r="C936" s="39">
        <v>28.0</v>
      </c>
      <c r="D936" s="39" t="s">
        <v>902</v>
      </c>
      <c r="E936" s="39" t="s">
        <v>2108</v>
      </c>
      <c r="F936" s="39"/>
      <c r="G936" s="56" t="s">
        <v>801</v>
      </c>
      <c r="H936" s="39" t="s">
        <v>1036</v>
      </c>
      <c r="I936" s="39"/>
    </row>
    <row r="937">
      <c r="A937" s="39" t="s">
        <v>454</v>
      </c>
      <c r="B937" s="39" t="s">
        <v>177</v>
      </c>
      <c r="C937" s="39">
        <v>29.0</v>
      </c>
      <c r="D937" s="39" t="s">
        <v>902</v>
      </c>
      <c r="E937" s="39" t="s">
        <v>2109</v>
      </c>
      <c r="F937" s="39"/>
      <c r="G937" s="39" t="s">
        <v>809</v>
      </c>
      <c r="H937" s="39" t="s">
        <v>1036</v>
      </c>
      <c r="I937" s="39"/>
    </row>
    <row r="938">
      <c r="A938" s="39" t="s">
        <v>454</v>
      </c>
      <c r="B938" s="39" t="s">
        <v>177</v>
      </c>
      <c r="C938" s="39">
        <v>30.0</v>
      </c>
      <c r="D938" s="39" t="s">
        <v>902</v>
      </c>
      <c r="E938" s="39" t="s">
        <v>2110</v>
      </c>
      <c r="F938" s="39"/>
      <c r="G938" s="56" t="s">
        <v>825</v>
      </c>
      <c r="H938" s="39" t="s">
        <v>1036</v>
      </c>
      <c r="I938" s="39"/>
    </row>
    <row r="939">
      <c r="A939" s="39" t="s">
        <v>454</v>
      </c>
      <c r="B939" s="39" t="s">
        <v>177</v>
      </c>
      <c r="C939" s="39">
        <v>31.0</v>
      </c>
      <c r="D939" s="39" t="s">
        <v>902</v>
      </c>
      <c r="E939" s="39" t="s">
        <v>2111</v>
      </c>
      <c r="F939" s="39"/>
      <c r="G939" s="56" t="s">
        <v>822</v>
      </c>
      <c r="H939" s="39" t="s">
        <v>1036</v>
      </c>
      <c r="I939" s="39"/>
    </row>
    <row r="940">
      <c r="A940" s="39" t="s">
        <v>454</v>
      </c>
      <c r="B940" s="39" t="s">
        <v>177</v>
      </c>
      <c r="C940" s="39">
        <v>32.0</v>
      </c>
      <c r="D940" s="39" t="s">
        <v>902</v>
      </c>
      <c r="E940" s="39" t="s">
        <v>2112</v>
      </c>
      <c r="F940" s="39"/>
      <c r="G940" s="56" t="s">
        <v>801</v>
      </c>
      <c r="H940" s="39" t="s">
        <v>1036</v>
      </c>
      <c r="I940" s="39"/>
    </row>
    <row r="941">
      <c r="A941" s="39" t="s">
        <v>454</v>
      </c>
      <c r="B941" s="39" t="s">
        <v>177</v>
      </c>
      <c r="C941" s="39">
        <v>33.0</v>
      </c>
      <c r="D941" s="39" t="s">
        <v>902</v>
      </c>
      <c r="E941" s="39" t="s">
        <v>2113</v>
      </c>
      <c r="F941" s="39"/>
      <c r="G941" s="39" t="s">
        <v>809</v>
      </c>
      <c r="H941" s="39" t="s">
        <v>1036</v>
      </c>
      <c r="I941" s="39"/>
    </row>
    <row r="942">
      <c r="A942" s="39" t="s">
        <v>454</v>
      </c>
      <c r="B942" s="39" t="s">
        <v>177</v>
      </c>
      <c r="C942" s="39">
        <v>34.0</v>
      </c>
      <c r="D942" s="39" t="s">
        <v>902</v>
      </c>
      <c r="E942" s="39" t="s">
        <v>2114</v>
      </c>
      <c r="F942" s="39"/>
      <c r="G942" s="56" t="s">
        <v>825</v>
      </c>
      <c r="H942" s="39" t="s">
        <v>1036</v>
      </c>
      <c r="I942" s="39"/>
    </row>
    <row r="943">
      <c r="A943" s="39" t="s">
        <v>454</v>
      </c>
      <c r="B943" s="39" t="s">
        <v>177</v>
      </c>
      <c r="C943" s="39">
        <v>35.0</v>
      </c>
      <c r="D943" s="39" t="s">
        <v>90</v>
      </c>
      <c r="E943" s="39" t="s">
        <v>2115</v>
      </c>
      <c r="F943" s="39"/>
      <c r="G943" s="39" t="s">
        <v>924</v>
      </c>
      <c r="H943" s="39"/>
      <c r="I943" s="39"/>
    </row>
    <row r="944">
      <c r="A944" s="39" t="s">
        <v>454</v>
      </c>
      <c r="B944" s="39" t="s">
        <v>177</v>
      </c>
      <c r="C944" s="39">
        <v>36.0</v>
      </c>
      <c r="D944" s="39" t="s">
        <v>90</v>
      </c>
      <c r="E944" s="39" t="s">
        <v>2116</v>
      </c>
      <c r="F944" s="39"/>
      <c r="G944" s="39" t="s">
        <v>930</v>
      </c>
      <c r="H944" s="39"/>
      <c r="I944" s="39"/>
    </row>
    <row r="945">
      <c r="A945" s="39" t="s">
        <v>454</v>
      </c>
      <c r="B945" s="39" t="s">
        <v>177</v>
      </c>
      <c r="C945" s="39">
        <v>37.0</v>
      </c>
      <c r="D945" s="39" t="s">
        <v>90</v>
      </c>
      <c r="E945" s="39" t="s">
        <v>2117</v>
      </c>
      <c r="F945" s="39"/>
      <c r="G945" s="39" t="s">
        <v>927</v>
      </c>
      <c r="H945" s="39"/>
      <c r="I945" s="39"/>
    </row>
    <row r="946">
      <c r="A946" s="39" t="s">
        <v>454</v>
      </c>
      <c r="B946" s="39" t="s">
        <v>177</v>
      </c>
      <c r="C946" s="39">
        <v>38.0</v>
      </c>
      <c r="D946" s="39" t="s">
        <v>90</v>
      </c>
      <c r="E946" s="39" t="s">
        <v>2118</v>
      </c>
      <c r="F946" s="39"/>
      <c r="G946" s="39" t="s">
        <v>939</v>
      </c>
      <c r="H946" s="39"/>
      <c r="I946" s="39"/>
    </row>
    <row r="947">
      <c r="A947" s="39" t="s">
        <v>454</v>
      </c>
      <c r="B947" s="39" t="s">
        <v>177</v>
      </c>
      <c r="C947" s="39">
        <v>39.0</v>
      </c>
      <c r="D947" s="39" t="s">
        <v>90</v>
      </c>
      <c r="E947" s="39" t="s">
        <v>2119</v>
      </c>
      <c r="F947" s="39"/>
      <c r="G947" s="56" t="s">
        <v>822</v>
      </c>
      <c r="H947" s="39"/>
      <c r="I947" s="39"/>
    </row>
    <row r="948">
      <c r="A948" s="39" t="s">
        <v>454</v>
      </c>
      <c r="B948" s="39" t="s">
        <v>177</v>
      </c>
      <c r="C948" s="39">
        <v>40.0</v>
      </c>
      <c r="D948" s="39" t="s">
        <v>90</v>
      </c>
      <c r="E948" s="39" t="s">
        <v>2120</v>
      </c>
      <c r="F948" s="39"/>
      <c r="G948" s="56" t="s">
        <v>836</v>
      </c>
      <c r="H948" s="39"/>
      <c r="I948" s="39"/>
    </row>
    <row r="949">
      <c r="A949" s="39" t="s">
        <v>454</v>
      </c>
      <c r="B949" s="39" t="s">
        <v>177</v>
      </c>
      <c r="C949" s="39">
        <v>41.0</v>
      </c>
      <c r="D949" s="39" t="s">
        <v>90</v>
      </c>
      <c r="E949" s="39" t="s">
        <v>2121</v>
      </c>
      <c r="F949" s="39"/>
      <c r="G949" s="56" t="s">
        <v>801</v>
      </c>
      <c r="H949" s="39"/>
      <c r="I949" s="39"/>
    </row>
    <row r="950">
      <c r="A950" s="39" t="s">
        <v>454</v>
      </c>
      <c r="B950" s="39" t="s">
        <v>177</v>
      </c>
      <c r="C950" s="39">
        <v>42.0</v>
      </c>
      <c r="D950" s="39" t="s">
        <v>92</v>
      </c>
      <c r="E950" s="39" t="s">
        <v>2122</v>
      </c>
      <c r="F950" s="39"/>
      <c r="G950" s="39" t="s">
        <v>1355</v>
      </c>
      <c r="H950" s="39" t="s">
        <v>1356</v>
      </c>
      <c r="I950" s="39"/>
    </row>
    <row r="951">
      <c r="A951" s="39" t="s">
        <v>454</v>
      </c>
      <c r="B951" s="39" t="s">
        <v>177</v>
      </c>
      <c r="C951" s="39">
        <v>43.0</v>
      </c>
      <c r="D951" s="39" t="s">
        <v>92</v>
      </c>
      <c r="E951" s="39" t="s">
        <v>2123</v>
      </c>
      <c r="F951" s="39"/>
      <c r="G951" s="39" t="s">
        <v>2124</v>
      </c>
      <c r="H951" s="39" t="s">
        <v>2125</v>
      </c>
      <c r="I951" s="39"/>
    </row>
    <row r="952">
      <c r="A952" s="39" t="s">
        <v>454</v>
      </c>
      <c r="B952" s="39" t="s">
        <v>177</v>
      </c>
      <c r="C952" s="39">
        <v>44.0</v>
      </c>
      <c r="D952" s="39" t="s">
        <v>92</v>
      </c>
      <c r="E952" s="39" t="s">
        <v>2126</v>
      </c>
      <c r="F952" s="39"/>
      <c r="G952" s="39" t="s">
        <v>2127</v>
      </c>
      <c r="H952" s="39" t="s">
        <v>2128</v>
      </c>
      <c r="I952" s="39"/>
    </row>
    <row r="953">
      <c r="A953" s="39" t="s">
        <v>454</v>
      </c>
      <c r="B953" s="39" t="s">
        <v>177</v>
      </c>
      <c r="C953" s="39">
        <v>45.0</v>
      </c>
      <c r="D953" s="39" t="s">
        <v>92</v>
      </c>
      <c r="E953" s="39" t="s">
        <v>2129</v>
      </c>
      <c r="F953" s="39"/>
      <c r="G953" s="39" t="s">
        <v>947</v>
      </c>
      <c r="H953" s="39"/>
      <c r="I953" s="39"/>
    </row>
    <row r="954">
      <c r="A954" s="39" t="s">
        <v>454</v>
      </c>
      <c r="B954" s="39" t="s">
        <v>177</v>
      </c>
      <c r="C954" s="39">
        <v>46.0</v>
      </c>
      <c r="D954" s="39" t="s">
        <v>92</v>
      </c>
      <c r="E954" s="39" t="s">
        <v>2130</v>
      </c>
      <c r="F954" s="39"/>
      <c r="G954" s="39" t="s">
        <v>945</v>
      </c>
      <c r="H954" s="39"/>
      <c r="I954" s="39"/>
    </row>
    <row r="955">
      <c r="A955" s="39" t="s">
        <v>454</v>
      </c>
      <c r="B955" s="39" t="s">
        <v>177</v>
      </c>
      <c r="C955" s="39">
        <v>47.0</v>
      </c>
      <c r="D955" s="39" t="s">
        <v>91</v>
      </c>
      <c r="E955" s="39" t="s">
        <v>2131</v>
      </c>
      <c r="F955" s="39"/>
      <c r="G955" s="56" t="s">
        <v>825</v>
      </c>
      <c r="H955" s="39"/>
      <c r="I955" s="39"/>
    </row>
    <row r="956">
      <c r="A956" s="39" t="s">
        <v>454</v>
      </c>
      <c r="B956" s="39" t="s">
        <v>177</v>
      </c>
      <c r="C956" s="39">
        <v>48.0</v>
      </c>
      <c r="D956" s="39" t="s">
        <v>91</v>
      </c>
      <c r="E956" s="39" t="s">
        <v>2132</v>
      </c>
      <c r="F956" s="39"/>
      <c r="G956" s="56" t="s">
        <v>806</v>
      </c>
      <c r="H956" s="39"/>
      <c r="I956" s="39"/>
    </row>
    <row r="957">
      <c r="A957" s="39" t="s">
        <v>454</v>
      </c>
      <c r="B957" s="39" t="s">
        <v>177</v>
      </c>
      <c r="C957" s="39">
        <v>49.0</v>
      </c>
      <c r="D957" s="39" t="s">
        <v>839</v>
      </c>
      <c r="E957" s="39" t="s">
        <v>2133</v>
      </c>
      <c r="F957" s="39"/>
      <c r="G957" s="39" t="str">
        <f>IFERROR(__xludf.DUMMYFUNCTION("IFS(REGEXMATCH(E957, ""ammo_ar""), ""Daedalus AR Ammo"", REGEXMATCH(E957, ""ammo_ps""), ""Daedalus Pistol Ammo"", REGEXMATCH(E957, ""ammo_sg""), ""Daedalus Shotgun Ammo"", REGEXMATCH(E957, ""ammo_sm""), ""Daedalus SMG Ammo"", REGEXMATCH(E957, ""ammo_sr"")"&amp;", ""Daedalus SR Ammo"")"),"Daedalus SMG Ammo")</f>
        <v>Daedalus SMG Ammo</v>
      </c>
      <c r="H957" s="39"/>
      <c r="I957" s="39"/>
    </row>
    <row r="958">
      <c r="A958" s="39" t="s">
        <v>454</v>
      </c>
      <c r="B958" s="39" t="s">
        <v>177</v>
      </c>
      <c r="C958" s="39">
        <v>50.0</v>
      </c>
      <c r="D958" s="39" t="s">
        <v>839</v>
      </c>
      <c r="E958" s="39" t="s">
        <v>2134</v>
      </c>
      <c r="F958" s="39"/>
      <c r="G958" s="39" t="str">
        <f>IFERROR(__xludf.DUMMYFUNCTION("IFS(REGEXMATCH(E958, ""ammo_ar""), ""Daedalus AR Ammo"", REGEXMATCH(E958, ""ammo_ps""), ""Daedalus Pistol Ammo"", REGEXMATCH(E958, ""ammo_sg""), ""Daedalus Shotgun Ammo"", REGEXMATCH(E958, ""ammo_sm""), ""Daedalus SMG Ammo"", REGEXMATCH(E958, ""ammo_sr"")"&amp;", ""Daedalus SR Ammo"")"),"Daedalus Shotgun Ammo")</f>
        <v>Daedalus Shotgun Ammo</v>
      </c>
      <c r="H958" s="39"/>
      <c r="I958" s="39"/>
    </row>
    <row r="959">
      <c r="A959" s="39" t="s">
        <v>454</v>
      </c>
      <c r="B959" s="39" t="s">
        <v>177</v>
      </c>
      <c r="C959" s="39">
        <v>51.0</v>
      </c>
      <c r="D959" s="39" t="s">
        <v>839</v>
      </c>
      <c r="E959" s="39" t="s">
        <v>2135</v>
      </c>
      <c r="F959" s="39"/>
      <c r="G959" s="39" t="str">
        <f>IFERROR(__xludf.DUMMYFUNCTION("IFS(REGEXMATCH(E959, ""ammo_ar""), ""Daedalus AR Ammo"", REGEXMATCH(E959, ""ammo_ps""), ""Daedalus Pistol Ammo"", REGEXMATCH(E959, ""ammo_sg""), ""Daedalus Shotgun Ammo"", REGEXMATCH(E959, ""ammo_sm""), ""Daedalus SMG Ammo"", REGEXMATCH(E959, ""ammo_sr"")"&amp;", ""Daedalus SR Ammo"")"),"Daedalus AR Ammo")</f>
        <v>Daedalus AR Ammo</v>
      </c>
      <c r="H959" s="39"/>
      <c r="I959" s="39"/>
    </row>
    <row r="960">
      <c r="A960" s="39" t="s">
        <v>454</v>
      </c>
      <c r="B960" s="39" t="s">
        <v>177</v>
      </c>
      <c r="C960" s="39">
        <v>52.0</v>
      </c>
      <c r="D960" s="39" t="s">
        <v>839</v>
      </c>
      <c r="E960" s="39" t="s">
        <v>2136</v>
      </c>
      <c r="F960" s="39"/>
      <c r="G960" s="39" t="str">
        <f>IFERROR(__xludf.DUMMYFUNCTION("IFS(REGEXMATCH(E960, ""ammo_ar""), ""Daedalus AR Ammo"", REGEXMATCH(E960, ""ammo_ps""), ""Daedalus Pistol Ammo"", REGEXMATCH(E960, ""ammo_sg""), ""Daedalus Shotgun Ammo"", REGEXMATCH(E960, ""ammo_sm""), ""Daedalus SMG Ammo"", REGEXMATCH(E960, ""ammo_sr"")"&amp;", ""Daedalus SR Ammo"")"),"Daedalus SR Ammo")</f>
        <v>Daedalus SR Ammo</v>
      </c>
      <c r="H960" s="39"/>
      <c r="I960" s="39"/>
    </row>
    <row r="961">
      <c r="A961" s="39" t="s">
        <v>454</v>
      </c>
      <c r="B961" s="39" t="s">
        <v>177</v>
      </c>
      <c r="C961" s="39">
        <v>54.0</v>
      </c>
      <c r="D961" s="39" t="s">
        <v>819</v>
      </c>
      <c r="E961" s="39" t="s">
        <v>2137</v>
      </c>
      <c r="F961" s="39"/>
      <c r="G961" s="56" t="s">
        <v>822</v>
      </c>
      <c r="H961" s="39"/>
      <c r="I961" s="39"/>
    </row>
    <row r="962">
      <c r="A962" s="39" t="s">
        <v>454</v>
      </c>
      <c r="B962" s="39" t="s">
        <v>177</v>
      </c>
      <c r="C962" s="39">
        <v>55.0</v>
      </c>
      <c r="D962" s="39" t="s">
        <v>819</v>
      </c>
      <c r="E962" s="39" t="s">
        <v>2138</v>
      </c>
      <c r="F962" s="39"/>
      <c r="G962" s="56" t="s">
        <v>825</v>
      </c>
      <c r="H962" s="39"/>
      <c r="I962" s="39"/>
    </row>
    <row r="963">
      <c r="A963" s="39" t="s">
        <v>454</v>
      </c>
      <c r="B963" s="39" t="s">
        <v>177</v>
      </c>
      <c r="C963" s="39">
        <v>56.0</v>
      </c>
      <c r="D963" s="39" t="s">
        <v>819</v>
      </c>
      <c r="E963" s="39" t="s">
        <v>2139</v>
      </c>
      <c r="F963" s="39"/>
      <c r="G963" s="56" t="s">
        <v>806</v>
      </c>
      <c r="H963" s="39"/>
      <c r="I963" s="39"/>
    </row>
    <row r="964">
      <c r="A964" s="39" t="s">
        <v>454</v>
      </c>
      <c r="B964" s="39" t="s">
        <v>177</v>
      </c>
      <c r="C964" s="39">
        <v>57.0</v>
      </c>
      <c r="D964" s="39" t="s">
        <v>819</v>
      </c>
      <c r="E964" s="39" t="s">
        <v>2140</v>
      </c>
      <c r="F964" s="39"/>
      <c r="G964" s="56" t="s">
        <v>806</v>
      </c>
      <c r="H964" s="39"/>
      <c r="I964" s="39"/>
    </row>
    <row r="965">
      <c r="A965" s="39" t="s">
        <v>454</v>
      </c>
      <c r="B965" s="39" t="s">
        <v>177</v>
      </c>
      <c r="C965" s="39">
        <v>58.0</v>
      </c>
      <c r="D965" s="39" t="s">
        <v>819</v>
      </c>
      <c r="E965" s="39" t="s">
        <v>2141</v>
      </c>
      <c r="F965" s="39"/>
      <c r="G965" s="56" t="s">
        <v>822</v>
      </c>
      <c r="H965" s="39"/>
      <c r="I965" s="39"/>
    </row>
    <row r="966">
      <c r="A966" s="39" t="s">
        <v>454</v>
      </c>
      <c r="B966" s="39" t="s">
        <v>177</v>
      </c>
      <c r="C966" s="39">
        <v>59.0</v>
      </c>
      <c r="D966" s="39" t="s">
        <v>819</v>
      </c>
      <c r="E966" s="39" t="s">
        <v>2142</v>
      </c>
      <c r="F966" s="39"/>
      <c r="G966" s="56" t="s">
        <v>806</v>
      </c>
      <c r="H966" s="39"/>
      <c r="I966" s="39"/>
    </row>
    <row r="967">
      <c r="A967" s="39" t="s">
        <v>454</v>
      </c>
      <c r="B967" s="39" t="s">
        <v>177</v>
      </c>
      <c r="C967" s="39">
        <v>60.0</v>
      </c>
      <c r="D967" s="39" t="s">
        <v>819</v>
      </c>
      <c r="E967" s="39" t="s">
        <v>2143</v>
      </c>
      <c r="F967" s="39"/>
      <c r="G967" s="56" t="s">
        <v>836</v>
      </c>
      <c r="H967" s="39"/>
      <c r="I967" s="39"/>
    </row>
    <row r="968">
      <c r="A968" s="39" t="s">
        <v>454</v>
      </c>
      <c r="B968" s="39" t="s">
        <v>177</v>
      </c>
      <c r="C968" s="39">
        <v>61.0</v>
      </c>
      <c r="D968" s="39" t="s">
        <v>819</v>
      </c>
      <c r="E968" s="39" t="s">
        <v>2144</v>
      </c>
      <c r="F968" s="39"/>
      <c r="G968" s="56" t="s">
        <v>836</v>
      </c>
      <c r="H968" s="39"/>
      <c r="I968" s="39"/>
    </row>
    <row r="969">
      <c r="A969" s="39" t="s">
        <v>454</v>
      </c>
      <c r="B969" s="39" t="s">
        <v>177</v>
      </c>
      <c r="C969" s="39">
        <v>62.0</v>
      </c>
      <c r="D969" s="39" t="s">
        <v>839</v>
      </c>
      <c r="E969" s="39" t="s">
        <v>2145</v>
      </c>
      <c r="F969" s="39"/>
      <c r="G969" s="39" t="s">
        <v>842</v>
      </c>
      <c r="H969" s="39"/>
      <c r="I969" s="39"/>
    </row>
    <row r="970">
      <c r="A970" s="39" t="s">
        <v>454</v>
      </c>
      <c r="B970" s="39" t="s">
        <v>177</v>
      </c>
      <c r="C970" s="39">
        <v>63.0</v>
      </c>
      <c r="D970" s="39" t="s">
        <v>839</v>
      </c>
      <c r="E970" s="39" t="s">
        <v>2146</v>
      </c>
      <c r="F970" s="39"/>
      <c r="G970" s="39" t="s">
        <v>845</v>
      </c>
      <c r="H970" s="39"/>
      <c r="I970" s="39"/>
    </row>
    <row r="971">
      <c r="A971" s="39" t="s">
        <v>454</v>
      </c>
      <c r="B971" s="39" t="s">
        <v>177</v>
      </c>
      <c r="C971" s="39">
        <v>64.0</v>
      </c>
      <c r="D971" s="39" t="s">
        <v>839</v>
      </c>
      <c r="E971" s="39" t="s">
        <v>2147</v>
      </c>
      <c r="F971" s="39"/>
      <c r="G971" s="39" t="s">
        <v>847</v>
      </c>
      <c r="H971" s="39"/>
      <c r="I971" s="39"/>
    </row>
    <row r="972">
      <c r="A972" s="39" t="s">
        <v>454</v>
      </c>
      <c r="B972" s="39" t="s">
        <v>177</v>
      </c>
      <c r="C972" s="39">
        <v>65.0</v>
      </c>
      <c r="D972" s="39" t="s">
        <v>839</v>
      </c>
      <c r="E972" s="39" t="s">
        <v>2148</v>
      </c>
      <c r="F972" s="39"/>
      <c r="G972" s="39" t="s">
        <v>850</v>
      </c>
      <c r="H972" s="39"/>
      <c r="I972" s="39"/>
    </row>
    <row r="973">
      <c r="A973" s="39" t="s">
        <v>454</v>
      </c>
      <c r="B973" s="39" t="s">
        <v>177</v>
      </c>
      <c r="C973" s="39">
        <v>66.0</v>
      </c>
      <c r="D973" s="39" t="s">
        <v>839</v>
      </c>
      <c r="E973" s="39" t="s">
        <v>2149</v>
      </c>
      <c r="F973" s="39"/>
      <c r="G973" s="39" t="s">
        <v>853</v>
      </c>
      <c r="H973" s="39"/>
      <c r="I973" s="39"/>
    </row>
    <row r="974">
      <c r="A974" s="39" t="s">
        <v>454</v>
      </c>
      <c r="B974" s="39" t="s">
        <v>177</v>
      </c>
      <c r="C974" s="39">
        <v>67.0</v>
      </c>
      <c r="D974" s="39" t="s">
        <v>839</v>
      </c>
      <c r="E974" s="39" t="s">
        <v>2150</v>
      </c>
      <c r="F974" s="39"/>
      <c r="G974" s="39" t="s">
        <v>856</v>
      </c>
      <c r="H974" s="39"/>
      <c r="I974" s="39"/>
    </row>
    <row r="975">
      <c r="A975" s="39" t="s">
        <v>454</v>
      </c>
      <c r="B975" s="39" t="s">
        <v>177</v>
      </c>
      <c r="C975" s="39">
        <v>68.0</v>
      </c>
      <c r="D975" s="39" t="s">
        <v>91</v>
      </c>
      <c r="E975" s="39" t="s">
        <v>2151</v>
      </c>
      <c r="F975" s="39"/>
      <c r="G975" s="56" t="s">
        <v>822</v>
      </c>
      <c r="H975" s="39"/>
      <c r="I975" s="39"/>
    </row>
    <row r="976">
      <c r="A976" s="39" t="s">
        <v>454</v>
      </c>
      <c r="B976" s="39" t="s">
        <v>177</v>
      </c>
      <c r="C976" s="39">
        <v>69.0</v>
      </c>
      <c r="D976" s="39" t="s">
        <v>839</v>
      </c>
      <c r="E976" s="39" t="s">
        <v>2152</v>
      </c>
      <c r="F976" s="39"/>
      <c r="G976" s="39" t="s">
        <v>874</v>
      </c>
      <c r="H976" s="39"/>
      <c r="I976" s="39"/>
    </row>
    <row r="977">
      <c r="A977" s="39" t="s">
        <v>454</v>
      </c>
      <c r="B977" s="39" t="s">
        <v>177</v>
      </c>
      <c r="C977" s="39">
        <v>70.0</v>
      </c>
      <c r="D977" s="39" t="s">
        <v>839</v>
      </c>
      <c r="E977" s="39" t="s">
        <v>2153</v>
      </c>
      <c r="F977" s="39"/>
      <c r="G977" s="39" t="s">
        <v>880</v>
      </c>
      <c r="H977" s="39"/>
      <c r="I977" s="39"/>
    </row>
    <row r="978">
      <c r="A978" s="39" t="s">
        <v>454</v>
      </c>
      <c r="B978" s="39" t="s">
        <v>177</v>
      </c>
      <c r="C978" s="39">
        <v>71.0</v>
      </c>
      <c r="D978" s="39" t="s">
        <v>87</v>
      </c>
      <c r="E978" s="39" t="s">
        <v>2154</v>
      </c>
      <c r="F978" s="39"/>
      <c r="G978" s="39" t="s">
        <v>2155</v>
      </c>
      <c r="H978" s="39"/>
      <c r="I978" s="39"/>
    </row>
    <row r="979">
      <c r="A979" s="39" t="s">
        <v>454</v>
      </c>
      <c r="B979" s="39" t="s">
        <v>177</v>
      </c>
      <c r="C979" s="39">
        <v>72.0</v>
      </c>
      <c r="D979" s="39" t="s">
        <v>92</v>
      </c>
      <c r="E979" s="39" t="s">
        <v>2156</v>
      </c>
      <c r="F979" s="39"/>
      <c r="G979" s="39" t="s">
        <v>2157</v>
      </c>
      <c r="H979" s="39" t="s">
        <v>2158</v>
      </c>
      <c r="I979" s="39"/>
    </row>
    <row r="980">
      <c r="A980" s="39" t="s">
        <v>454</v>
      </c>
      <c r="B980" s="39" t="s">
        <v>177</v>
      </c>
      <c r="C980" s="39">
        <v>75.0</v>
      </c>
      <c r="D980" s="39" t="s">
        <v>84</v>
      </c>
      <c r="E980" s="39" t="s">
        <v>2159</v>
      </c>
      <c r="F980" s="39"/>
      <c r="G980" s="39" t="s">
        <v>2160</v>
      </c>
      <c r="H980" s="39" t="s">
        <v>2161</v>
      </c>
      <c r="I980" s="39"/>
    </row>
    <row r="981">
      <c r="A981" s="39" t="s">
        <v>454</v>
      </c>
      <c r="B981" s="39" t="s">
        <v>177</v>
      </c>
      <c r="C981" s="39">
        <v>78.0</v>
      </c>
      <c r="D981" s="39" t="s">
        <v>87</v>
      </c>
      <c r="E981" s="39" t="s">
        <v>2162</v>
      </c>
      <c r="F981" s="39"/>
      <c r="G981" s="39" t="s">
        <v>2163</v>
      </c>
      <c r="H981" s="39" t="s">
        <v>2164</v>
      </c>
      <c r="I981" s="39"/>
    </row>
    <row r="982">
      <c r="A982" s="39" t="s">
        <v>454</v>
      </c>
      <c r="B982" s="39" t="s">
        <v>177</v>
      </c>
      <c r="C982" s="39">
        <v>79.0</v>
      </c>
      <c r="D982" s="39" t="s">
        <v>84</v>
      </c>
      <c r="E982" s="39" t="s">
        <v>2165</v>
      </c>
      <c r="F982" s="39"/>
      <c r="G982" s="39" t="s">
        <v>2166</v>
      </c>
      <c r="H982" s="39" t="s">
        <v>2167</v>
      </c>
      <c r="I982" s="39"/>
    </row>
    <row r="983">
      <c r="A983" s="39" t="s">
        <v>454</v>
      </c>
      <c r="B983" s="39" t="s">
        <v>177</v>
      </c>
      <c r="C983" s="39">
        <v>81.0</v>
      </c>
      <c r="D983" s="39" t="s">
        <v>84</v>
      </c>
      <c r="E983" s="39" t="s">
        <v>2168</v>
      </c>
      <c r="F983" s="39"/>
      <c r="G983" s="39" t="s">
        <v>2169</v>
      </c>
      <c r="H983" s="39" t="s">
        <v>2170</v>
      </c>
      <c r="I983" s="39"/>
    </row>
    <row r="984">
      <c r="A984" s="39" t="s">
        <v>454</v>
      </c>
      <c r="B984" s="39" t="s">
        <v>1597</v>
      </c>
      <c r="C984" s="39">
        <v>2.0</v>
      </c>
      <c r="D984" s="39" t="s">
        <v>81</v>
      </c>
      <c r="E984" s="39" t="s">
        <v>2171</v>
      </c>
      <c r="F984" s="39"/>
      <c r="G984" s="39" t="s">
        <v>797</v>
      </c>
      <c r="H984" s="39"/>
      <c r="I984" s="39"/>
    </row>
    <row r="985">
      <c r="A985" s="39" t="s">
        <v>454</v>
      </c>
      <c r="B985" s="39" t="s">
        <v>1597</v>
      </c>
      <c r="C985" s="39">
        <v>3.0</v>
      </c>
      <c r="D985" s="39" t="s">
        <v>798</v>
      </c>
      <c r="E985" s="39" t="s">
        <v>2172</v>
      </c>
      <c r="F985" s="39"/>
      <c r="G985" s="56" t="s">
        <v>801</v>
      </c>
      <c r="H985" s="39"/>
      <c r="I985" s="39"/>
    </row>
    <row r="986">
      <c r="A986" s="39" t="s">
        <v>454</v>
      </c>
      <c r="B986" s="39" t="s">
        <v>1597</v>
      </c>
      <c r="C986" s="39">
        <v>4.0</v>
      </c>
      <c r="D986" s="39" t="s">
        <v>798</v>
      </c>
      <c r="E986" s="39" t="s">
        <v>2173</v>
      </c>
      <c r="F986" s="39"/>
      <c r="G986" s="56" t="s">
        <v>822</v>
      </c>
      <c r="H986" s="39"/>
      <c r="I986" s="39"/>
    </row>
    <row r="987">
      <c r="A987" s="39" t="s">
        <v>454</v>
      </c>
      <c r="B987" s="39" t="s">
        <v>1597</v>
      </c>
      <c r="C987" s="39">
        <v>5.0</v>
      </c>
      <c r="D987" s="39" t="s">
        <v>798</v>
      </c>
      <c r="E987" s="39" t="s">
        <v>2174</v>
      </c>
      <c r="F987" s="39"/>
      <c r="G987" s="39" t="s">
        <v>809</v>
      </c>
      <c r="H987" s="39"/>
      <c r="I987" s="39"/>
    </row>
    <row r="988">
      <c r="A988" s="39" t="s">
        <v>454</v>
      </c>
      <c r="B988" s="39" t="s">
        <v>1597</v>
      </c>
      <c r="C988" s="39">
        <v>6.0</v>
      </c>
      <c r="D988" s="39" t="s">
        <v>798</v>
      </c>
      <c r="E988" s="39" t="s">
        <v>2175</v>
      </c>
      <c r="F988" s="39"/>
      <c r="G988" s="56" t="s">
        <v>825</v>
      </c>
      <c r="H988" s="39"/>
      <c r="I988" s="39"/>
    </row>
    <row r="989">
      <c r="A989" s="39" t="s">
        <v>454</v>
      </c>
      <c r="B989" s="39" t="s">
        <v>1597</v>
      </c>
      <c r="C989" s="39">
        <v>7.0</v>
      </c>
      <c r="D989" s="39" t="s">
        <v>84</v>
      </c>
      <c r="E989" s="39" t="s">
        <v>2176</v>
      </c>
      <c r="F989" s="39"/>
      <c r="G989" s="39" t="s">
        <v>2177</v>
      </c>
      <c r="H989" s="39"/>
      <c r="I989" s="39"/>
    </row>
    <row r="990">
      <c r="A990" s="39" t="s">
        <v>454</v>
      </c>
      <c r="B990" s="39" t="s">
        <v>1597</v>
      </c>
      <c r="C990" s="39">
        <v>8.0</v>
      </c>
      <c r="D990" s="39" t="s">
        <v>84</v>
      </c>
      <c r="E990" s="39" t="s">
        <v>2178</v>
      </c>
      <c r="F990" s="39"/>
      <c r="G990" s="39" t="s">
        <v>2179</v>
      </c>
      <c r="H990" s="39"/>
      <c r="I990" s="39"/>
    </row>
    <row r="991">
      <c r="A991" s="39" t="s">
        <v>454</v>
      </c>
      <c r="B991" s="39" t="s">
        <v>1597</v>
      </c>
      <c r="C991" s="39">
        <v>9.0</v>
      </c>
      <c r="D991" s="39" t="s">
        <v>819</v>
      </c>
      <c r="E991" s="39" t="s">
        <v>2180</v>
      </c>
      <c r="F991" s="39"/>
      <c r="G991" s="56" t="s">
        <v>822</v>
      </c>
      <c r="H991" s="39"/>
      <c r="I991" s="39"/>
    </row>
    <row r="992">
      <c r="A992" s="39" t="s">
        <v>454</v>
      </c>
      <c r="B992" s="39" t="s">
        <v>1597</v>
      </c>
      <c r="C992" s="39">
        <v>10.0</v>
      </c>
      <c r="D992" s="39" t="s">
        <v>819</v>
      </c>
      <c r="E992" s="39" t="s">
        <v>2181</v>
      </c>
      <c r="F992" s="39"/>
      <c r="G992" s="39" t="s">
        <v>809</v>
      </c>
      <c r="H992" s="39"/>
      <c r="I992" s="39"/>
    </row>
    <row r="993">
      <c r="A993" s="39" t="s">
        <v>454</v>
      </c>
      <c r="B993" s="39" t="s">
        <v>1597</v>
      </c>
      <c r="C993" s="39">
        <v>11.0</v>
      </c>
      <c r="D993" s="39" t="s">
        <v>819</v>
      </c>
      <c r="E993" s="39" t="s">
        <v>2182</v>
      </c>
      <c r="F993" s="39"/>
      <c r="G993" s="39" t="s">
        <v>809</v>
      </c>
      <c r="H993" s="39"/>
      <c r="I993" s="39"/>
    </row>
    <row r="994">
      <c r="A994" s="39" t="s">
        <v>454</v>
      </c>
      <c r="B994" s="39" t="s">
        <v>1597</v>
      </c>
      <c r="C994" s="39">
        <v>12.0</v>
      </c>
      <c r="D994" s="39" t="s">
        <v>819</v>
      </c>
      <c r="E994" s="39" t="s">
        <v>2183</v>
      </c>
      <c r="F994" s="39"/>
      <c r="G994" s="56" t="s">
        <v>822</v>
      </c>
      <c r="H994" s="39"/>
      <c r="I994" s="39"/>
    </row>
    <row r="995">
      <c r="A995" s="39" t="s">
        <v>454</v>
      </c>
      <c r="B995" s="39" t="s">
        <v>1597</v>
      </c>
      <c r="C995" s="39">
        <v>13.0</v>
      </c>
      <c r="D995" s="39" t="s">
        <v>819</v>
      </c>
      <c r="E995" s="39" t="s">
        <v>2184</v>
      </c>
      <c r="F995" s="39"/>
      <c r="G995" s="56" t="s">
        <v>806</v>
      </c>
      <c r="H995" s="39"/>
      <c r="I995" s="39"/>
    </row>
    <row r="996">
      <c r="A996" s="39" t="s">
        <v>454</v>
      </c>
      <c r="B996" s="39" t="s">
        <v>1597</v>
      </c>
      <c r="C996" s="39">
        <v>14.0</v>
      </c>
      <c r="D996" s="39" t="s">
        <v>819</v>
      </c>
      <c r="E996" s="39" t="s">
        <v>2185</v>
      </c>
      <c r="F996" s="39"/>
      <c r="G996" s="56" t="s">
        <v>836</v>
      </c>
      <c r="H996" s="39"/>
      <c r="I996" s="39"/>
    </row>
    <row r="997">
      <c r="A997" s="39" t="s">
        <v>454</v>
      </c>
      <c r="B997" s="39" t="s">
        <v>1597</v>
      </c>
      <c r="C997" s="39">
        <v>15.0</v>
      </c>
      <c r="D997" s="39" t="s">
        <v>819</v>
      </c>
      <c r="E997" s="39" t="s">
        <v>2186</v>
      </c>
      <c r="F997" s="39"/>
      <c r="G997" s="56" t="s">
        <v>836</v>
      </c>
      <c r="H997" s="39"/>
      <c r="I997" s="39"/>
    </row>
    <row r="998">
      <c r="A998" s="39" t="s">
        <v>454</v>
      </c>
      <c r="B998" s="39" t="s">
        <v>1597</v>
      </c>
      <c r="C998" s="39">
        <v>16.0</v>
      </c>
      <c r="D998" s="39" t="s">
        <v>839</v>
      </c>
      <c r="E998" s="39" t="s">
        <v>2187</v>
      </c>
      <c r="F998" s="39"/>
      <c r="G998" s="39" t="s">
        <v>842</v>
      </c>
      <c r="H998" s="39"/>
      <c r="I998" s="39"/>
    </row>
    <row r="999">
      <c r="A999" s="39" t="s">
        <v>454</v>
      </c>
      <c r="B999" s="39" t="s">
        <v>1597</v>
      </c>
      <c r="C999" s="39">
        <v>17.0</v>
      </c>
      <c r="D999" s="39" t="s">
        <v>839</v>
      </c>
      <c r="E999" s="39" t="s">
        <v>2188</v>
      </c>
      <c r="F999" s="39"/>
      <c r="G999" s="39" t="s">
        <v>845</v>
      </c>
      <c r="H999" s="39"/>
      <c r="I999" s="39"/>
    </row>
    <row r="1000">
      <c r="A1000" s="39" t="s">
        <v>454</v>
      </c>
      <c r="B1000" s="39" t="s">
        <v>1597</v>
      </c>
      <c r="C1000" s="39">
        <v>18.0</v>
      </c>
      <c r="D1000" s="39" t="s">
        <v>839</v>
      </c>
      <c r="E1000" s="39" t="s">
        <v>2189</v>
      </c>
      <c r="F1000" s="39"/>
      <c r="G1000" s="39" t="s">
        <v>847</v>
      </c>
      <c r="H1000" s="39"/>
      <c r="I1000" s="39"/>
    </row>
    <row r="1001">
      <c r="A1001" s="39" t="s">
        <v>454</v>
      </c>
      <c r="B1001" s="39" t="s">
        <v>1597</v>
      </c>
      <c r="C1001" s="39">
        <v>19.0</v>
      </c>
      <c r="D1001" s="39" t="s">
        <v>839</v>
      </c>
      <c r="E1001" s="39" t="s">
        <v>2190</v>
      </c>
      <c r="F1001" s="39"/>
      <c r="G1001" s="39" t="s">
        <v>850</v>
      </c>
      <c r="H1001" s="39"/>
      <c r="I1001" s="39"/>
    </row>
    <row r="1002">
      <c r="A1002" s="39" t="s">
        <v>454</v>
      </c>
      <c r="B1002" s="39" t="s">
        <v>1597</v>
      </c>
      <c r="C1002" s="39">
        <v>20.0</v>
      </c>
      <c r="D1002" s="39" t="s">
        <v>839</v>
      </c>
      <c r="E1002" s="39" t="s">
        <v>2191</v>
      </c>
      <c r="F1002" s="39"/>
      <c r="G1002" s="39" t="s">
        <v>853</v>
      </c>
      <c r="H1002" s="39"/>
      <c r="I1002" s="39"/>
    </row>
    <row r="1003">
      <c r="A1003" s="39" t="s">
        <v>454</v>
      </c>
      <c r="B1003" s="39" t="s">
        <v>1597</v>
      </c>
      <c r="C1003" s="39">
        <v>21.0</v>
      </c>
      <c r="D1003" s="39" t="s">
        <v>839</v>
      </c>
      <c r="E1003" s="39" t="s">
        <v>2192</v>
      </c>
      <c r="F1003" s="39"/>
      <c r="G1003" s="39" t="s">
        <v>856</v>
      </c>
      <c r="H1003" s="39"/>
      <c r="I1003" s="39"/>
    </row>
    <row r="1004">
      <c r="A1004" s="39" t="s">
        <v>454</v>
      </c>
      <c r="B1004" s="39" t="s">
        <v>1597</v>
      </c>
      <c r="C1004" s="39">
        <v>22.0</v>
      </c>
      <c r="D1004" s="39" t="s">
        <v>819</v>
      </c>
      <c r="E1004" s="39" t="s">
        <v>2193</v>
      </c>
      <c r="F1004" s="39"/>
      <c r="G1004" s="56" t="s">
        <v>825</v>
      </c>
      <c r="H1004" s="39"/>
      <c r="I1004" s="39"/>
    </row>
    <row r="1005">
      <c r="A1005" s="39" t="s">
        <v>454</v>
      </c>
      <c r="B1005" s="39" t="s">
        <v>1597</v>
      </c>
      <c r="C1005" s="39">
        <v>23.0</v>
      </c>
      <c r="D1005" s="39" t="s">
        <v>839</v>
      </c>
      <c r="E1005" s="39" t="s">
        <v>2194</v>
      </c>
      <c r="F1005" s="39"/>
      <c r="G1005" s="39" t="s">
        <v>989</v>
      </c>
      <c r="H1005" s="39"/>
      <c r="I1005" s="39"/>
    </row>
    <row r="1006">
      <c r="A1006" s="39" t="s">
        <v>454</v>
      </c>
      <c r="B1006" s="39" t="s">
        <v>1597</v>
      </c>
      <c r="C1006" s="39">
        <v>24.0</v>
      </c>
      <c r="D1006" s="39" t="s">
        <v>839</v>
      </c>
      <c r="E1006" s="39" t="s">
        <v>2195</v>
      </c>
      <c r="F1006" s="39"/>
      <c r="G1006" s="39" t="s">
        <v>991</v>
      </c>
      <c r="H1006" s="39"/>
      <c r="I1006" s="39"/>
    </row>
    <row r="1007">
      <c r="A1007" s="39" t="s">
        <v>454</v>
      </c>
      <c r="B1007" s="39" t="s">
        <v>1597</v>
      </c>
      <c r="C1007" s="39">
        <v>25.0</v>
      </c>
      <c r="D1007" s="39" t="s">
        <v>839</v>
      </c>
      <c r="E1007" s="39" t="s">
        <v>2196</v>
      </c>
      <c r="F1007" s="39"/>
      <c r="G1007" s="39" t="s">
        <v>993</v>
      </c>
      <c r="H1007" s="39"/>
      <c r="I1007" s="39"/>
    </row>
    <row r="1008">
      <c r="A1008" s="39" t="s">
        <v>454</v>
      </c>
      <c r="B1008" s="39" t="s">
        <v>1597</v>
      </c>
      <c r="C1008" s="39">
        <v>26.0</v>
      </c>
      <c r="D1008" s="39" t="s">
        <v>839</v>
      </c>
      <c r="E1008" s="39" t="s">
        <v>2197</v>
      </c>
      <c r="F1008" s="39"/>
      <c r="G1008" s="39" t="s">
        <v>995</v>
      </c>
      <c r="H1008" s="39"/>
      <c r="I1008" s="39"/>
    </row>
    <row r="1009">
      <c r="A1009" s="39" t="s">
        <v>454</v>
      </c>
      <c r="B1009" s="39" t="s">
        <v>1597</v>
      </c>
      <c r="C1009" s="39">
        <v>27.0</v>
      </c>
      <c r="D1009" s="39" t="s">
        <v>87</v>
      </c>
      <c r="E1009" s="39" t="s">
        <v>2198</v>
      </c>
      <c r="F1009" s="39"/>
      <c r="G1009" s="39" t="s">
        <v>2199</v>
      </c>
      <c r="H1009" s="39"/>
      <c r="I1009" s="39"/>
    </row>
    <row r="1010">
      <c r="A1010" s="39" t="s">
        <v>454</v>
      </c>
      <c r="B1010" s="39" t="s">
        <v>1597</v>
      </c>
      <c r="C1010" s="39">
        <v>28.0</v>
      </c>
      <c r="D1010" s="39" t="s">
        <v>87</v>
      </c>
      <c r="E1010" s="39" t="s">
        <v>2200</v>
      </c>
      <c r="F1010" s="39"/>
      <c r="G1010" s="39" t="s">
        <v>2201</v>
      </c>
      <c r="H1010" s="39"/>
      <c r="I1010" s="39"/>
    </row>
    <row r="1011">
      <c r="A1011" s="39" t="s">
        <v>454</v>
      </c>
      <c r="B1011" s="39" t="s">
        <v>1597</v>
      </c>
      <c r="C1011" s="39">
        <v>29.0</v>
      </c>
      <c r="D1011" s="39" t="s">
        <v>87</v>
      </c>
      <c r="E1011" s="39" t="s">
        <v>2202</v>
      </c>
      <c r="F1011" s="39"/>
      <c r="G1011" s="39" t="s">
        <v>2203</v>
      </c>
      <c r="H1011" s="39"/>
      <c r="I1011" s="39"/>
    </row>
    <row r="1012">
      <c r="A1012" s="39" t="s">
        <v>454</v>
      </c>
      <c r="B1012" s="39" t="s">
        <v>1597</v>
      </c>
      <c r="C1012" s="39">
        <v>30.0</v>
      </c>
      <c r="D1012" s="39" t="s">
        <v>87</v>
      </c>
      <c r="E1012" s="39" t="s">
        <v>2204</v>
      </c>
      <c r="F1012" s="39"/>
      <c r="G1012" s="39" t="s">
        <v>2205</v>
      </c>
      <c r="H1012" s="39"/>
      <c r="I1012" s="39"/>
    </row>
    <row r="1013">
      <c r="A1013" s="39" t="s">
        <v>454</v>
      </c>
      <c r="B1013" s="39" t="s">
        <v>1597</v>
      </c>
      <c r="C1013" s="39">
        <v>31.0</v>
      </c>
      <c r="D1013" s="39" t="s">
        <v>875</v>
      </c>
      <c r="E1013" s="39" t="s">
        <v>2206</v>
      </c>
      <c r="F1013" s="39"/>
      <c r="G1013" s="39" t="s">
        <v>1216</v>
      </c>
      <c r="H1013" s="39"/>
      <c r="I1013" s="39"/>
    </row>
    <row r="1014">
      <c r="A1014" s="39" t="s">
        <v>454</v>
      </c>
      <c r="B1014" s="39" t="s">
        <v>1597</v>
      </c>
      <c r="C1014" s="39">
        <v>32.0</v>
      </c>
      <c r="D1014" s="39" t="s">
        <v>875</v>
      </c>
      <c r="E1014" s="39" t="s">
        <v>2207</v>
      </c>
      <c r="F1014" s="39"/>
      <c r="G1014" s="39" t="s">
        <v>1216</v>
      </c>
      <c r="H1014" s="39"/>
      <c r="I1014" s="39"/>
    </row>
    <row r="1015">
      <c r="A1015" s="39" t="s">
        <v>454</v>
      </c>
      <c r="B1015" s="39" t="s">
        <v>1597</v>
      </c>
      <c r="C1015" s="39">
        <v>33.0</v>
      </c>
      <c r="D1015" s="39" t="s">
        <v>875</v>
      </c>
      <c r="E1015" s="39" t="s">
        <v>2208</v>
      </c>
      <c r="F1015" s="39"/>
      <c r="G1015" s="39" t="s">
        <v>1216</v>
      </c>
      <c r="H1015" s="39"/>
      <c r="I1015" s="39"/>
    </row>
    <row r="1016">
      <c r="A1016" s="39" t="s">
        <v>454</v>
      </c>
      <c r="B1016" s="39" t="s">
        <v>1597</v>
      </c>
      <c r="C1016" s="39">
        <v>34.0</v>
      </c>
      <c r="D1016" s="39" t="s">
        <v>875</v>
      </c>
      <c r="E1016" s="39" t="s">
        <v>2209</v>
      </c>
      <c r="F1016" s="39"/>
      <c r="G1016" s="39" t="s">
        <v>883</v>
      </c>
      <c r="H1016" s="39"/>
      <c r="I1016" s="39"/>
    </row>
    <row r="1017">
      <c r="A1017" s="39" t="s">
        <v>454</v>
      </c>
      <c r="B1017" s="39" t="s">
        <v>1597</v>
      </c>
      <c r="C1017" s="39">
        <v>35.0</v>
      </c>
      <c r="D1017" s="39" t="s">
        <v>875</v>
      </c>
      <c r="E1017" s="39" t="s">
        <v>2210</v>
      </c>
      <c r="F1017" s="39"/>
      <c r="G1017" s="39" t="s">
        <v>883</v>
      </c>
      <c r="H1017" s="39"/>
      <c r="I1017" s="39"/>
    </row>
    <row r="1018">
      <c r="A1018" s="39" t="s">
        <v>454</v>
      </c>
      <c r="B1018" s="39" t="s">
        <v>1597</v>
      </c>
      <c r="C1018" s="39">
        <v>36.0</v>
      </c>
      <c r="D1018" s="39" t="s">
        <v>88</v>
      </c>
      <c r="E1018" s="39" t="s">
        <v>2211</v>
      </c>
      <c r="F1018" s="39"/>
      <c r="G1018" s="39" t="s">
        <v>901</v>
      </c>
      <c r="H1018" s="39"/>
      <c r="I1018" s="39"/>
    </row>
    <row r="1019">
      <c r="A1019" s="39" t="s">
        <v>454</v>
      </c>
      <c r="B1019" s="39" t="s">
        <v>1597</v>
      </c>
      <c r="C1019" s="39">
        <v>37.0</v>
      </c>
      <c r="D1019" s="39" t="s">
        <v>88</v>
      </c>
      <c r="E1019" s="39" t="s">
        <v>2212</v>
      </c>
      <c r="F1019" s="39"/>
      <c r="G1019" s="39" t="s">
        <v>898</v>
      </c>
      <c r="H1019" s="39"/>
      <c r="I1019" s="39"/>
    </row>
    <row r="1020">
      <c r="A1020" s="39" t="s">
        <v>454</v>
      </c>
      <c r="B1020" s="39" t="s">
        <v>1597</v>
      </c>
      <c r="C1020" s="39">
        <v>38.0</v>
      </c>
      <c r="D1020" s="39" t="s">
        <v>88</v>
      </c>
      <c r="E1020" s="39" t="s">
        <v>2213</v>
      </c>
      <c r="F1020" s="39"/>
      <c r="G1020" s="39" t="s">
        <v>895</v>
      </c>
      <c r="H1020" s="39" t="s">
        <v>1630</v>
      </c>
      <c r="I1020" s="39"/>
    </row>
    <row r="1021">
      <c r="A1021" s="39" t="s">
        <v>454</v>
      </c>
      <c r="B1021" s="39" t="s">
        <v>1597</v>
      </c>
      <c r="C1021" s="39">
        <v>39.0</v>
      </c>
      <c r="D1021" s="39" t="s">
        <v>88</v>
      </c>
      <c r="E1021" s="39" t="s">
        <v>2214</v>
      </c>
      <c r="F1021" s="39"/>
      <c r="G1021" s="39" t="s">
        <v>892</v>
      </c>
      <c r="H1021" s="39" t="s">
        <v>1630</v>
      </c>
      <c r="I1021" s="39"/>
    </row>
    <row r="1022">
      <c r="A1022" s="39" t="s">
        <v>454</v>
      </c>
      <c r="B1022" s="39" t="s">
        <v>1597</v>
      </c>
      <c r="C1022" s="39">
        <v>40.0</v>
      </c>
      <c r="D1022" s="39" t="s">
        <v>88</v>
      </c>
      <c r="E1022" s="39" t="s">
        <v>2215</v>
      </c>
      <c r="F1022" s="39"/>
      <c r="G1022" s="39" t="s">
        <v>889</v>
      </c>
      <c r="H1022" s="39" t="s">
        <v>1630</v>
      </c>
      <c r="I1022" s="39"/>
    </row>
    <row r="1023">
      <c r="A1023" s="39" t="s">
        <v>454</v>
      </c>
      <c r="B1023" s="39" t="s">
        <v>1597</v>
      </c>
      <c r="C1023" s="39">
        <v>41.0</v>
      </c>
      <c r="D1023" s="39" t="s">
        <v>902</v>
      </c>
      <c r="E1023" s="39" t="s">
        <v>2216</v>
      </c>
      <c r="F1023" s="39"/>
      <c r="G1023" s="56" t="s">
        <v>822</v>
      </c>
      <c r="H1023" s="39" t="s">
        <v>1036</v>
      </c>
      <c r="I1023" s="39"/>
    </row>
    <row r="1024">
      <c r="A1024" s="39" t="s">
        <v>454</v>
      </c>
      <c r="B1024" s="39" t="s">
        <v>1597</v>
      </c>
      <c r="C1024" s="39">
        <v>42.0</v>
      </c>
      <c r="D1024" s="39" t="s">
        <v>902</v>
      </c>
      <c r="E1024" s="39" t="s">
        <v>2217</v>
      </c>
      <c r="F1024" s="39"/>
      <c r="G1024" s="56" t="s">
        <v>801</v>
      </c>
      <c r="H1024" s="39"/>
      <c r="I1024" s="39"/>
    </row>
    <row r="1025">
      <c r="A1025" s="39" t="s">
        <v>454</v>
      </c>
      <c r="B1025" s="39" t="s">
        <v>1597</v>
      </c>
      <c r="C1025" s="39">
        <v>43.0</v>
      </c>
      <c r="D1025" s="39" t="s">
        <v>902</v>
      </c>
      <c r="E1025" s="39" t="s">
        <v>2218</v>
      </c>
      <c r="F1025" s="39"/>
      <c r="G1025" s="39" t="s">
        <v>809</v>
      </c>
      <c r="H1025" s="39" t="s">
        <v>1036</v>
      </c>
      <c r="I1025" s="39"/>
    </row>
    <row r="1026">
      <c r="A1026" s="39" t="s">
        <v>454</v>
      </c>
      <c r="B1026" s="39" t="s">
        <v>1597</v>
      </c>
      <c r="C1026" s="39">
        <v>44.0</v>
      </c>
      <c r="D1026" s="39" t="s">
        <v>902</v>
      </c>
      <c r="E1026" s="39" t="s">
        <v>2219</v>
      </c>
      <c r="F1026" s="39"/>
      <c r="G1026" s="56" t="s">
        <v>825</v>
      </c>
      <c r="H1026" s="39" t="s">
        <v>1036</v>
      </c>
      <c r="I1026" s="39"/>
    </row>
    <row r="1027">
      <c r="A1027" s="39" t="s">
        <v>454</v>
      </c>
      <c r="B1027" s="39" t="s">
        <v>1597</v>
      </c>
      <c r="C1027" s="39">
        <v>45.0</v>
      </c>
      <c r="D1027" s="39" t="s">
        <v>902</v>
      </c>
      <c r="E1027" s="39" t="s">
        <v>2220</v>
      </c>
      <c r="F1027" s="39"/>
      <c r="G1027" s="56" t="s">
        <v>822</v>
      </c>
      <c r="H1027" s="39" t="s">
        <v>1036</v>
      </c>
      <c r="I1027" s="39"/>
    </row>
    <row r="1028">
      <c r="A1028" s="39" t="s">
        <v>454</v>
      </c>
      <c r="B1028" s="39" t="s">
        <v>1597</v>
      </c>
      <c r="C1028" s="39">
        <v>46.0</v>
      </c>
      <c r="D1028" s="39" t="s">
        <v>902</v>
      </c>
      <c r="E1028" s="39" t="s">
        <v>2221</v>
      </c>
      <c r="F1028" s="39"/>
      <c r="G1028" s="56" t="s">
        <v>801</v>
      </c>
      <c r="H1028" s="39" t="s">
        <v>1036</v>
      </c>
      <c r="I1028" s="39"/>
    </row>
    <row r="1029">
      <c r="A1029" s="39" t="s">
        <v>454</v>
      </c>
      <c r="B1029" s="39" t="s">
        <v>1597</v>
      </c>
      <c r="C1029" s="39">
        <v>47.0</v>
      </c>
      <c r="D1029" s="39" t="s">
        <v>902</v>
      </c>
      <c r="E1029" s="39" t="s">
        <v>2222</v>
      </c>
      <c r="F1029" s="39"/>
      <c r="G1029" s="39" t="s">
        <v>809</v>
      </c>
      <c r="H1029" s="39" t="s">
        <v>1036</v>
      </c>
      <c r="I1029" s="39"/>
    </row>
    <row r="1030">
      <c r="A1030" s="39" t="s">
        <v>454</v>
      </c>
      <c r="B1030" s="39" t="s">
        <v>1597</v>
      </c>
      <c r="C1030" s="39">
        <v>48.0</v>
      </c>
      <c r="D1030" s="39" t="s">
        <v>902</v>
      </c>
      <c r="E1030" s="39" t="s">
        <v>2223</v>
      </c>
      <c r="F1030" s="39"/>
      <c r="G1030" s="56" t="s">
        <v>825</v>
      </c>
      <c r="H1030" s="39" t="s">
        <v>1036</v>
      </c>
      <c r="I1030" s="39"/>
    </row>
    <row r="1031">
      <c r="A1031" s="39" t="s">
        <v>454</v>
      </c>
      <c r="B1031" s="39" t="s">
        <v>1597</v>
      </c>
      <c r="C1031" s="39">
        <v>49.0</v>
      </c>
      <c r="D1031" s="39" t="s">
        <v>90</v>
      </c>
      <c r="E1031" s="39" t="s">
        <v>2224</v>
      </c>
      <c r="F1031" s="39"/>
      <c r="G1031" s="39" t="s">
        <v>924</v>
      </c>
      <c r="H1031" s="39"/>
      <c r="I1031" s="39"/>
    </row>
    <row r="1032">
      <c r="A1032" s="39" t="s">
        <v>454</v>
      </c>
      <c r="B1032" s="39" t="s">
        <v>1597</v>
      </c>
      <c r="C1032" s="39">
        <v>50.0</v>
      </c>
      <c r="D1032" s="39" t="s">
        <v>90</v>
      </c>
      <c r="E1032" s="39" t="s">
        <v>2225</v>
      </c>
      <c r="F1032" s="39"/>
      <c r="G1032" s="39" t="s">
        <v>930</v>
      </c>
      <c r="H1032" s="39"/>
      <c r="I1032" s="39"/>
    </row>
    <row r="1033">
      <c r="A1033" s="39" t="s">
        <v>454</v>
      </c>
      <c r="B1033" s="39" t="s">
        <v>1597</v>
      </c>
      <c r="C1033" s="39">
        <v>51.0</v>
      </c>
      <c r="D1033" s="39" t="s">
        <v>90</v>
      </c>
      <c r="E1033" s="39" t="s">
        <v>2226</v>
      </c>
      <c r="F1033" s="39"/>
      <c r="G1033" s="39" t="s">
        <v>927</v>
      </c>
      <c r="H1033" s="39"/>
      <c r="I1033" s="39"/>
    </row>
    <row r="1034">
      <c r="A1034" s="39" t="s">
        <v>454</v>
      </c>
      <c r="B1034" s="39" t="s">
        <v>1597</v>
      </c>
      <c r="C1034" s="39">
        <v>52.0</v>
      </c>
      <c r="D1034" s="39" t="s">
        <v>90</v>
      </c>
      <c r="E1034" s="39" t="s">
        <v>2227</v>
      </c>
      <c r="F1034" s="39"/>
      <c r="G1034" s="39" t="s">
        <v>939</v>
      </c>
      <c r="H1034" s="39"/>
      <c r="I1034" s="39"/>
    </row>
    <row r="1035">
      <c r="A1035" s="39" t="s">
        <v>454</v>
      </c>
      <c r="B1035" s="39" t="s">
        <v>1597</v>
      </c>
      <c r="C1035" s="39">
        <v>53.0</v>
      </c>
      <c r="D1035" s="39" t="s">
        <v>90</v>
      </c>
      <c r="E1035" s="39" t="s">
        <v>2228</v>
      </c>
      <c r="F1035" s="39"/>
      <c r="G1035" s="56" t="s">
        <v>822</v>
      </c>
      <c r="H1035" s="39"/>
      <c r="I1035" s="39"/>
    </row>
    <row r="1036">
      <c r="A1036" s="39" t="s">
        <v>454</v>
      </c>
      <c r="B1036" s="39" t="s">
        <v>1597</v>
      </c>
      <c r="C1036" s="39">
        <v>54.0</v>
      </c>
      <c r="D1036" s="39" t="s">
        <v>90</v>
      </c>
      <c r="E1036" s="39" t="s">
        <v>2229</v>
      </c>
      <c r="F1036" s="39"/>
      <c r="G1036" s="56" t="s">
        <v>836</v>
      </c>
      <c r="H1036" s="39"/>
      <c r="I1036" s="39"/>
    </row>
    <row r="1037">
      <c r="A1037" s="39" t="s">
        <v>454</v>
      </c>
      <c r="B1037" s="39" t="s">
        <v>1597</v>
      </c>
      <c r="C1037" s="39">
        <v>55.0</v>
      </c>
      <c r="D1037" s="39" t="s">
        <v>90</v>
      </c>
      <c r="E1037" s="39" t="s">
        <v>2230</v>
      </c>
      <c r="F1037" s="39"/>
      <c r="G1037" s="56" t="s">
        <v>801</v>
      </c>
      <c r="H1037" s="39"/>
      <c r="I1037" s="39"/>
    </row>
    <row r="1038">
      <c r="A1038" s="39" t="s">
        <v>454</v>
      </c>
      <c r="B1038" s="39" t="s">
        <v>1597</v>
      </c>
      <c r="C1038" s="39">
        <v>56.0</v>
      </c>
      <c r="D1038" s="39" t="s">
        <v>92</v>
      </c>
      <c r="E1038" s="39" t="s">
        <v>2231</v>
      </c>
      <c r="F1038" s="39"/>
      <c r="G1038" s="39" t="s">
        <v>1355</v>
      </c>
      <c r="H1038" s="39" t="s">
        <v>1356</v>
      </c>
      <c r="I1038" s="39"/>
    </row>
    <row r="1039">
      <c r="A1039" s="39" t="s">
        <v>454</v>
      </c>
      <c r="B1039" s="39" t="s">
        <v>1597</v>
      </c>
      <c r="C1039" s="39">
        <v>57.0</v>
      </c>
      <c r="D1039" s="39" t="s">
        <v>92</v>
      </c>
      <c r="E1039" s="39" t="s">
        <v>2232</v>
      </c>
      <c r="F1039" s="39"/>
      <c r="G1039" s="39" t="s">
        <v>2233</v>
      </c>
      <c r="H1039" s="39" t="s">
        <v>2234</v>
      </c>
      <c r="I1039" s="39"/>
    </row>
    <row r="1040">
      <c r="A1040" s="39" t="s">
        <v>454</v>
      </c>
      <c r="B1040" s="39" t="s">
        <v>1597</v>
      </c>
      <c r="C1040" s="39">
        <v>58.0</v>
      </c>
      <c r="D1040" s="39" t="s">
        <v>92</v>
      </c>
      <c r="E1040" s="39" t="s">
        <v>2235</v>
      </c>
      <c r="F1040" s="39"/>
      <c r="G1040" s="39" t="s">
        <v>1844</v>
      </c>
      <c r="H1040" s="39" t="s">
        <v>2236</v>
      </c>
      <c r="I1040" s="39"/>
    </row>
    <row r="1041">
      <c r="A1041" s="39" t="s">
        <v>454</v>
      </c>
      <c r="B1041" s="39" t="s">
        <v>1597</v>
      </c>
      <c r="C1041" s="39">
        <v>59.0</v>
      </c>
      <c r="D1041" s="39" t="s">
        <v>92</v>
      </c>
      <c r="E1041" s="39" t="s">
        <v>2237</v>
      </c>
      <c r="F1041" s="39"/>
      <c r="G1041" s="39" t="s">
        <v>947</v>
      </c>
      <c r="H1041" s="39"/>
      <c r="I1041" s="39"/>
    </row>
    <row r="1042">
      <c r="A1042" s="39" t="s">
        <v>454</v>
      </c>
      <c r="B1042" s="39" t="s">
        <v>1597</v>
      </c>
      <c r="C1042" s="39">
        <v>60.0</v>
      </c>
      <c r="D1042" s="39" t="s">
        <v>91</v>
      </c>
      <c r="E1042" s="39" t="s">
        <v>2238</v>
      </c>
      <c r="F1042" s="39"/>
      <c r="G1042" s="56" t="s">
        <v>825</v>
      </c>
      <c r="H1042" s="39"/>
      <c r="I1042" s="39"/>
    </row>
    <row r="1043">
      <c r="A1043" s="39" t="s">
        <v>454</v>
      </c>
      <c r="B1043" s="39" t="s">
        <v>1597</v>
      </c>
      <c r="C1043" s="39">
        <v>61.0</v>
      </c>
      <c r="D1043" s="39" t="s">
        <v>91</v>
      </c>
      <c r="E1043" s="39" t="s">
        <v>2239</v>
      </c>
      <c r="F1043" s="39"/>
      <c r="G1043" s="54" t="s">
        <v>809</v>
      </c>
      <c r="H1043" s="39"/>
      <c r="I1043" s="39"/>
    </row>
    <row r="1044">
      <c r="A1044" s="39" t="s">
        <v>454</v>
      </c>
      <c r="B1044" s="39" t="s">
        <v>1597</v>
      </c>
      <c r="C1044" s="39">
        <v>62.0</v>
      </c>
      <c r="D1044" s="39" t="s">
        <v>92</v>
      </c>
      <c r="E1044" s="39" t="s">
        <v>2240</v>
      </c>
      <c r="F1044" s="39"/>
      <c r="G1044" s="39" t="s">
        <v>2241</v>
      </c>
      <c r="H1044" s="39" t="s">
        <v>2242</v>
      </c>
      <c r="I1044" s="39"/>
    </row>
    <row r="1045">
      <c r="A1045" s="39" t="s">
        <v>454</v>
      </c>
      <c r="B1045" s="39" t="s">
        <v>1597</v>
      </c>
      <c r="C1045" s="39">
        <v>63.0</v>
      </c>
      <c r="D1045" s="39" t="s">
        <v>92</v>
      </c>
      <c r="E1045" s="39" t="s">
        <v>2243</v>
      </c>
      <c r="F1045" s="39"/>
      <c r="G1045" s="39" t="s">
        <v>945</v>
      </c>
      <c r="H1045" s="39"/>
      <c r="I1045" s="39"/>
    </row>
    <row r="1046">
      <c r="A1046" s="39" t="s">
        <v>454</v>
      </c>
      <c r="B1046" s="39" t="s">
        <v>1597</v>
      </c>
      <c r="C1046" s="39">
        <v>64.0</v>
      </c>
      <c r="D1046" s="39" t="s">
        <v>91</v>
      </c>
      <c r="E1046" s="39" t="s">
        <v>2244</v>
      </c>
      <c r="F1046" s="39"/>
      <c r="G1046" s="56" t="s">
        <v>822</v>
      </c>
      <c r="H1046" s="39"/>
      <c r="I1046" s="39"/>
    </row>
    <row r="1047">
      <c r="A1047" s="39" t="s">
        <v>454</v>
      </c>
      <c r="B1047" s="39" t="s">
        <v>1597</v>
      </c>
      <c r="C1047" s="39">
        <v>65.0</v>
      </c>
      <c r="D1047" s="39" t="s">
        <v>839</v>
      </c>
      <c r="E1047" s="39" t="s">
        <v>2245</v>
      </c>
      <c r="F1047" s="39"/>
      <c r="G1047" s="39" t="str">
        <f>IFERROR(__xludf.DUMMYFUNCTION("IFS(REGEXMATCH(E1047, ""ammo_ar""), ""Daedalus AR Ammo"", REGEXMATCH(E1047, ""ammo_ps""), ""Daedalus Pistol Ammo"", REGEXMATCH(E1047, ""ammo_sg""), ""Daedalus Shotgun Ammo"", REGEXMATCH(E1047, ""ammo_sm""), ""Daedalus SMG Ammo"", REGEXMATCH(E1047, ""ammo_"&amp;"sr""), ""Daedalus SR Ammo"")"),"Daedalus SMG Ammo")</f>
        <v>Daedalus SMG Ammo</v>
      </c>
      <c r="H1047" s="39"/>
      <c r="I1047" s="39"/>
    </row>
    <row r="1048">
      <c r="A1048" s="39" t="s">
        <v>454</v>
      </c>
      <c r="B1048" s="39" t="s">
        <v>1597</v>
      </c>
      <c r="C1048" s="39">
        <v>66.0</v>
      </c>
      <c r="D1048" s="39" t="s">
        <v>839</v>
      </c>
      <c r="E1048" s="39" t="s">
        <v>2246</v>
      </c>
      <c r="F1048" s="39"/>
      <c r="G1048" s="39" t="str">
        <f>IFERROR(__xludf.DUMMYFUNCTION("IFS(REGEXMATCH(E1048, ""ammo_ar""), ""Daedalus AR Ammo"", REGEXMATCH(E1048, ""ammo_ps""), ""Daedalus Pistol Ammo"", REGEXMATCH(E1048, ""ammo_sg""), ""Daedalus Shotgun Ammo"", REGEXMATCH(E1048, ""ammo_sm""), ""Daedalus SMG Ammo"", REGEXMATCH(E1048, ""ammo_"&amp;"sr""), ""Daedalus SR Ammo"")"),"Daedalus Shotgun Ammo")</f>
        <v>Daedalus Shotgun Ammo</v>
      </c>
      <c r="H1048" s="39"/>
      <c r="I1048" s="39"/>
    </row>
    <row r="1049">
      <c r="A1049" s="39" t="s">
        <v>454</v>
      </c>
      <c r="B1049" s="39" t="s">
        <v>1597</v>
      </c>
      <c r="C1049" s="39">
        <v>67.0</v>
      </c>
      <c r="D1049" s="39" t="s">
        <v>839</v>
      </c>
      <c r="E1049" s="39" t="s">
        <v>2247</v>
      </c>
      <c r="F1049" s="39"/>
      <c r="G1049" s="39" t="str">
        <f>IFERROR(__xludf.DUMMYFUNCTION("IFS(REGEXMATCH(E1049, ""ammo_ar""), ""Daedalus AR Ammo"", REGEXMATCH(E1049, ""ammo_ps""), ""Daedalus Pistol Ammo"", REGEXMATCH(E1049, ""ammo_sg""), ""Daedalus Shotgun Ammo"", REGEXMATCH(E1049, ""ammo_sm""), ""Daedalus SMG Ammo"", REGEXMATCH(E1049, ""ammo_"&amp;"sr""), ""Daedalus SR Ammo"")"),"Daedalus AR Ammo")</f>
        <v>Daedalus AR Ammo</v>
      </c>
      <c r="H1049" s="39"/>
      <c r="I1049" s="39"/>
    </row>
    <row r="1050">
      <c r="A1050" s="39" t="s">
        <v>454</v>
      </c>
      <c r="B1050" s="39" t="s">
        <v>1597</v>
      </c>
      <c r="C1050" s="39">
        <v>68.0</v>
      </c>
      <c r="D1050" s="39" t="s">
        <v>839</v>
      </c>
      <c r="E1050" s="39" t="s">
        <v>2248</v>
      </c>
      <c r="F1050" s="39"/>
      <c r="G1050" s="39" t="str">
        <f>IFERROR(__xludf.DUMMYFUNCTION("IFS(REGEXMATCH(E1050, ""ammo_ar""), ""Daedalus AR Ammo"", REGEXMATCH(E1050, ""ammo_ps""), ""Daedalus Pistol Ammo"", REGEXMATCH(E1050, ""ammo_sg""), ""Daedalus Shotgun Ammo"", REGEXMATCH(E1050, ""ammo_sm""), ""Daedalus SMG Ammo"", REGEXMATCH(E1050, ""ammo_"&amp;"sr""), ""Daedalus SR Ammo"")"),"Daedalus Pistol Ammo")</f>
        <v>Daedalus Pistol Ammo</v>
      </c>
      <c r="H1050" s="39"/>
      <c r="I1050" s="39"/>
    </row>
    <row r="1051">
      <c r="A1051" s="39" t="s">
        <v>454</v>
      </c>
      <c r="B1051" s="39" t="s">
        <v>1597</v>
      </c>
      <c r="C1051" s="39">
        <v>69.0</v>
      </c>
      <c r="D1051" s="39" t="s">
        <v>839</v>
      </c>
      <c r="E1051" s="39" t="s">
        <v>2249</v>
      </c>
      <c r="F1051" s="39"/>
      <c r="G1051" s="39" t="s">
        <v>874</v>
      </c>
      <c r="H1051" s="39"/>
      <c r="I1051" s="39"/>
    </row>
    <row r="1052">
      <c r="A1052" s="39" t="s">
        <v>454</v>
      </c>
      <c r="B1052" s="39" t="s">
        <v>1597</v>
      </c>
      <c r="C1052" s="39">
        <v>70.0</v>
      </c>
      <c r="D1052" s="39" t="s">
        <v>839</v>
      </c>
      <c r="E1052" s="39" t="s">
        <v>2250</v>
      </c>
      <c r="F1052" s="39"/>
      <c r="G1052" s="39" t="s">
        <v>880</v>
      </c>
      <c r="H1052" s="39"/>
      <c r="I1052" s="39"/>
    </row>
    <row r="1053">
      <c r="A1053" s="39" t="s">
        <v>454</v>
      </c>
      <c r="B1053" s="39" t="s">
        <v>1597</v>
      </c>
      <c r="C1053" s="39">
        <v>71.0</v>
      </c>
      <c r="D1053" s="39" t="s">
        <v>87</v>
      </c>
      <c r="E1053" s="39" t="s">
        <v>2251</v>
      </c>
      <c r="F1053" s="39"/>
      <c r="G1053" s="39" t="s">
        <v>2252</v>
      </c>
      <c r="H1053" s="39"/>
      <c r="I1053" s="39"/>
    </row>
    <row r="1054">
      <c r="A1054" s="39" t="s">
        <v>454</v>
      </c>
      <c r="B1054" s="39" t="s">
        <v>1597</v>
      </c>
      <c r="C1054" s="39">
        <v>72.0</v>
      </c>
      <c r="D1054" s="39" t="s">
        <v>84</v>
      </c>
      <c r="E1054" s="39" t="s">
        <v>2253</v>
      </c>
      <c r="F1054" s="39"/>
      <c r="G1054" s="39" t="s">
        <v>2254</v>
      </c>
      <c r="H1054" s="39" t="s">
        <v>2255</v>
      </c>
      <c r="I1054" s="39"/>
    </row>
    <row r="1055">
      <c r="A1055" s="39" t="s">
        <v>454</v>
      </c>
      <c r="B1055" s="39" t="s">
        <v>1597</v>
      </c>
      <c r="C1055" s="39">
        <v>74.0</v>
      </c>
      <c r="D1055" s="39" t="s">
        <v>87</v>
      </c>
      <c r="E1055" s="39" t="s">
        <v>2256</v>
      </c>
      <c r="F1055" s="39"/>
      <c r="G1055" s="39" t="s">
        <v>2257</v>
      </c>
      <c r="H1055" s="39" t="s">
        <v>2258</v>
      </c>
      <c r="I1055" s="39"/>
    </row>
    <row r="1056">
      <c r="A1056" s="39" t="s">
        <v>454</v>
      </c>
      <c r="B1056" s="39" t="s">
        <v>1597</v>
      </c>
      <c r="C1056" s="39">
        <v>75.0</v>
      </c>
      <c r="D1056" s="39" t="s">
        <v>84</v>
      </c>
      <c r="E1056" s="39" t="s">
        <v>2259</v>
      </c>
      <c r="F1056" s="39"/>
      <c r="G1056" s="39" t="s">
        <v>2260</v>
      </c>
      <c r="H1056" s="39" t="s">
        <v>2261</v>
      </c>
      <c r="I1056" s="39"/>
    </row>
    <row r="1057">
      <c r="A1057" s="39" t="s">
        <v>454</v>
      </c>
      <c r="B1057" s="39" t="s">
        <v>1597</v>
      </c>
      <c r="C1057" s="39">
        <v>77.0</v>
      </c>
      <c r="D1057" s="39" t="s">
        <v>92</v>
      </c>
      <c r="E1057" s="59" t="s">
        <v>2262</v>
      </c>
      <c r="F1057" s="59"/>
      <c r="G1057" s="59" t="s">
        <v>2263</v>
      </c>
      <c r="I1057" s="39"/>
    </row>
    <row r="1058">
      <c r="A1058" s="39" t="s">
        <v>454</v>
      </c>
      <c r="B1058" s="39" t="s">
        <v>1597</v>
      </c>
      <c r="C1058" s="39">
        <v>78.0</v>
      </c>
      <c r="D1058" s="39" t="s">
        <v>84</v>
      </c>
      <c r="E1058" s="59" t="s">
        <v>2264</v>
      </c>
      <c r="F1058" s="59"/>
      <c r="G1058" s="59" t="s">
        <v>2265</v>
      </c>
      <c r="H1058" s="39" t="s">
        <v>2266</v>
      </c>
      <c r="I1058" s="39"/>
    </row>
    <row r="1059">
      <c r="A1059" s="39" t="s">
        <v>513</v>
      </c>
      <c r="B1059" s="39" t="s">
        <v>203</v>
      </c>
      <c r="C1059" s="39">
        <v>1.0</v>
      </c>
      <c r="D1059" s="39" t="s">
        <v>84</v>
      </c>
      <c r="E1059" s="39" t="s">
        <v>2267</v>
      </c>
      <c r="F1059" s="39"/>
      <c r="G1059" s="39" t="s">
        <v>2268</v>
      </c>
      <c r="H1059" s="39" t="s">
        <v>2269</v>
      </c>
      <c r="I1059" s="39"/>
    </row>
    <row r="1060">
      <c r="A1060" s="39" t="s">
        <v>513</v>
      </c>
      <c r="B1060" s="39" t="s">
        <v>203</v>
      </c>
      <c r="C1060" s="39">
        <v>2.0</v>
      </c>
      <c r="D1060" s="39" t="s">
        <v>81</v>
      </c>
      <c r="E1060" s="39" t="s">
        <v>2270</v>
      </c>
      <c r="F1060" s="39"/>
      <c r="G1060" s="39" t="s">
        <v>797</v>
      </c>
      <c r="H1060" s="39"/>
      <c r="I1060" s="39"/>
    </row>
    <row r="1061">
      <c r="A1061" s="39" t="s">
        <v>513</v>
      </c>
      <c r="B1061" s="39" t="s">
        <v>203</v>
      </c>
      <c r="C1061" s="39">
        <v>3.0</v>
      </c>
      <c r="D1061" s="39" t="s">
        <v>798</v>
      </c>
      <c r="E1061" s="39" t="s">
        <v>2271</v>
      </c>
      <c r="F1061" s="39"/>
      <c r="G1061" s="56" t="s">
        <v>801</v>
      </c>
      <c r="H1061" s="39"/>
      <c r="I1061" s="39"/>
    </row>
    <row r="1062">
      <c r="A1062" s="39" t="s">
        <v>513</v>
      </c>
      <c r="B1062" s="39" t="s">
        <v>203</v>
      </c>
      <c r="C1062" s="39">
        <v>4.0</v>
      </c>
      <c r="D1062" s="39" t="s">
        <v>798</v>
      </c>
      <c r="E1062" s="39" t="s">
        <v>2272</v>
      </c>
      <c r="F1062" s="39"/>
      <c r="G1062" s="56" t="s">
        <v>1690</v>
      </c>
      <c r="H1062" s="39"/>
      <c r="I1062" s="39"/>
    </row>
    <row r="1063">
      <c r="A1063" s="39" t="s">
        <v>513</v>
      </c>
      <c r="B1063" s="39" t="s">
        <v>203</v>
      </c>
      <c r="C1063" s="39">
        <v>5.0</v>
      </c>
      <c r="D1063" s="39" t="s">
        <v>798</v>
      </c>
      <c r="E1063" s="39" t="s">
        <v>2273</v>
      </c>
      <c r="F1063" s="39"/>
      <c r="G1063" s="56" t="s">
        <v>806</v>
      </c>
      <c r="H1063" s="39"/>
      <c r="I1063" s="39"/>
    </row>
    <row r="1064">
      <c r="A1064" s="39" t="s">
        <v>513</v>
      </c>
      <c r="B1064" s="39" t="s">
        <v>203</v>
      </c>
      <c r="C1064" s="39">
        <v>6.0</v>
      </c>
      <c r="D1064" s="39" t="s">
        <v>798</v>
      </c>
      <c r="E1064" s="39" t="s">
        <v>2274</v>
      </c>
      <c r="F1064" s="39"/>
      <c r="G1064" s="39" t="s">
        <v>809</v>
      </c>
      <c r="H1064" s="39"/>
      <c r="I1064" s="39"/>
    </row>
    <row r="1065">
      <c r="A1065" s="39" t="s">
        <v>513</v>
      </c>
      <c r="B1065" s="39" t="s">
        <v>203</v>
      </c>
      <c r="C1065" s="39">
        <v>7.0</v>
      </c>
      <c r="D1065" s="39" t="s">
        <v>84</v>
      </c>
      <c r="E1065" s="39" t="s">
        <v>2275</v>
      </c>
      <c r="F1065" s="39"/>
      <c r="G1065" s="39" t="s">
        <v>2276</v>
      </c>
      <c r="H1065" s="39"/>
      <c r="I1065" s="39"/>
    </row>
    <row r="1066">
      <c r="A1066" s="39" t="s">
        <v>513</v>
      </c>
      <c r="B1066" s="39" t="s">
        <v>203</v>
      </c>
      <c r="C1066" s="39">
        <v>8.0</v>
      </c>
      <c r="D1066" s="39" t="s">
        <v>84</v>
      </c>
      <c r="E1066" s="39" t="s">
        <v>2277</v>
      </c>
      <c r="F1066" s="39"/>
      <c r="G1066" s="39" t="s">
        <v>2278</v>
      </c>
      <c r="H1066" s="39"/>
      <c r="I1066" s="39"/>
    </row>
    <row r="1067">
      <c r="A1067" s="39" t="s">
        <v>513</v>
      </c>
      <c r="B1067" s="39" t="s">
        <v>203</v>
      </c>
      <c r="C1067" s="39">
        <v>9.0</v>
      </c>
      <c r="D1067" s="39" t="s">
        <v>839</v>
      </c>
      <c r="E1067" s="39" t="s">
        <v>2279</v>
      </c>
      <c r="F1067" s="39"/>
      <c r="G1067" s="39" t="s">
        <v>989</v>
      </c>
      <c r="H1067" s="39"/>
      <c r="I1067" s="39"/>
    </row>
    <row r="1068">
      <c r="A1068" s="39" t="s">
        <v>513</v>
      </c>
      <c r="B1068" s="39" t="s">
        <v>203</v>
      </c>
      <c r="C1068" s="39">
        <v>10.0</v>
      </c>
      <c r="D1068" s="39" t="s">
        <v>839</v>
      </c>
      <c r="E1068" s="39" t="s">
        <v>2280</v>
      </c>
      <c r="F1068" s="39"/>
      <c r="G1068" s="39" t="s">
        <v>991</v>
      </c>
      <c r="H1068" s="39"/>
      <c r="I1068" s="39"/>
    </row>
    <row r="1069">
      <c r="A1069" s="39" t="s">
        <v>513</v>
      </c>
      <c r="B1069" s="39" t="s">
        <v>203</v>
      </c>
      <c r="C1069" s="39">
        <v>11.0</v>
      </c>
      <c r="D1069" s="39" t="s">
        <v>839</v>
      </c>
      <c r="E1069" s="39" t="s">
        <v>2281</v>
      </c>
      <c r="F1069" s="39"/>
      <c r="G1069" s="39" t="s">
        <v>993</v>
      </c>
      <c r="H1069" s="39"/>
      <c r="I1069" s="39"/>
    </row>
    <row r="1070">
      <c r="A1070" s="39" t="s">
        <v>513</v>
      </c>
      <c r="B1070" s="39" t="s">
        <v>203</v>
      </c>
      <c r="C1070" s="39">
        <v>12.0</v>
      </c>
      <c r="D1070" s="39" t="s">
        <v>839</v>
      </c>
      <c r="E1070" s="39" t="s">
        <v>2282</v>
      </c>
      <c r="F1070" s="39"/>
      <c r="G1070" s="39" t="s">
        <v>995</v>
      </c>
      <c r="H1070" s="39"/>
      <c r="I1070" s="39"/>
    </row>
    <row r="1071">
      <c r="A1071" s="39" t="s">
        <v>513</v>
      </c>
      <c r="B1071" s="39" t="s">
        <v>203</v>
      </c>
      <c r="C1071" s="39">
        <v>13.0</v>
      </c>
      <c r="D1071" s="39" t="s">
        <v>87</v>
      </c>
      <c r="E1071" s="39" t="s">
        <v>2283</v>
      </c>
      <c r="F1071" s="39"/>
      <c r="G1071" s="39" t="s">
        <v>2284</v>
      </c>
      <c r="H1071" s="39"/>
      <c r="I1071" s="39"/>
    </row>
    <row r="1072">
      <c r="A1072" s="39" t="s">
        <v>513</v>
      </c>
      <c r="B1072" s="39" t="s">
        <v>203</v>
      </c>
      <c r="C1072" s="39">
        <v>14.0</v>
      </c>
      <c r="D1072" s="39" t="s">
        <v>87</v>
      </c>
      <c r="E1072" s="39" t="s">
        <v>2285</v>
      </c>
      <c r="F1072" s="39"/>
      <c r="G1072" s="39" t="s">
        <v>2286</v>
      </c>
      <c r="H1072" s="39"/>
      <c r="I1072" s="39"/>
    </row>
    <row r="1073">
      <c r="A1073" s="39" t="s">
        <v>513</v>
      </c>
      <c r="B1073" s="39" t="s">
        <v>203</v>
      </c>
      <c r="C1073" s="39">
        <v>15.0</v>
      </c>
      <c r="D1073" s="39" t="s">
        <v>87</v>
      </c>
      <c r="E1073" s="39" t="s">
        <v>2287</v>
      </c>
      <c r="F1073" s="39"/>
      <c r="G1073" s="39" t="s">
        <v>2288</v>
      </c>
      <c r="H1073" s="39"/>
      <c r="I1073" s="39"/>
    </row>
    <row r="1074">
      <c r="A1074" s="39" t="s">
        <v>513</v>
      </c>
      <c r="B1074" s="39" t="s">
        <v>203</v>
      </c>
      <c r="C1074" s="39">
        <v>16.0</v>
      </c>
      <c r="D1074" s="39" t="s">
        <v>87</v>
      </c>
      <c r="E1074" s="39" t="s">
        <v>2289</v>
      </c>
      <c r="F1074" s="39"/>
      <c r="G1074" s="39" t="s">
        <v>2290</v>
      </c>
      <c r="H1074" s="39"/>
      <c r="I1074" s="39"/>
    </row>
    <row r="1075">
      <c r="A1075" s="39" t="s">
        <v>513</v>
      </c>
      <c r="B1075" s="39" t="s">
        <v>203</v>
      </c>
      <c r="C1075" s="39">
        <v>17.0</v>
      </c>
      <c r="D1075" s="39" t="s">
        <v>87</v>
      </c>
      <c r="E1075" s="39" t="s">
        <v>2291</v>
      </c>
      <c r="F1075" s="39"/>
      <c r="G1075" s="39" t="s">
        <v>2284</v>
      </c>
      <c r="H1075" s="39" t="s">
        <v>2292</v>
      </c>
      <c r="I1075" s="39"/>
    </row>
    <row r="1076">
      <c r="A1076" s="39" t="s">
        <v>513</v>
      </c>
      <c r="B1076" s="39" t="s">
        <v>203</v>
      </c>
      <c r="C1076" s="39">
        <v>18.0</v>
      </c>
      <c r="D1076" s="39" t="s">
        <v>84</v>
      </c>
      <c r="E1076" s="39" t="s">
        <v>2293</v>
      </c>
      <c r="F1076" s="39"/>
      <c r="G1076" s="39" t="s">
        <v>2294</v>
      </c>
      <c r="H1076" s="39" t="s">
        <v>2295</v>
      </c>
      <c r="I1076" s="39"/>
    </row>
    <row r="1077">
      <c r="A1077" s="39" t="s">
        <v>513</v>
      </c>
      <c r="B1077" s="39" t="s">
        <v>203</v>
      </c>
      <c r="C1077" s="39">
        <v>22.0</v>
      </c>
      <c r="D1077" s="39" t="s">
        <v>875</v>
      </c>
      <c r="E1077" s="39" t="s">
        <v>2296</v>
      </c>
      <c r="F1077" s="39"/>
      <c r="G1077" s="39" t="s">
        <v>877</v>
      </c>
      <c r="H1077" s="39"/>
      <c r="I1077" s="39"/>
    </row>
    <row r="1078">
      <c r="A1078" s="39" t="s">
        <v>513</v>
      </c>
      <c r="B1078" s="39" t="s">
        <v>203</v>
      </c>
      <c r="C1078" s="39">
        <v>23.0</v>
      </c>
      <c r="D1078" s="39" t="s">
        <v>875</v>
      </c>
      <c r="E1078" s="39" t="s">
        <v>2297</v>
      </c>
      <c r="F1078" s="39"/>
      <c r="G1078" s="39" t="s">
        <v>877</v>
      </c>
      <c r="H1078" s="39"/>
      <c r="I1078" s="39"/>
    </row>
    <row r="1079">
      <c r="A1079" s="39" t="s">
        <v>513</v>
      </c>
      <c r="B1079" s="39" t="s">
        <v>203</v>
      </c>
      <c r="C1079" s="39">
        <v>24.0</v>
      </c>
      <c r="D1079" s="39" t="s">
        <v>875</v>
      </c>
      <c r="E1079" s="39" t="s">
        <v>2298</v>
      </c>
      <c r="F1079" s="39"/>
      <c r="G1079" s="39" t="s">
        <v>877</v>
      </c>
      <c r="H1079" s="39"/>
      <c r="I1079" s="39"/>
    </row>
    <row r="1080">
      <c r="A1080" s="39" t="s">
        <v>513</v>
      </c>
      <c r="B1080" s="39" t="s">
        <v>203</v>
      </c>
      <c r="C1080" s="39">
        <v>25.0</v>
      </c>
      <c r="D1080" s="39" t="s">
        <v>875</v>
      </c>
      <c r="E1080" s="39" t="s">
        <v>2299</v>
      </c>
      <c r="F1080" s="39"/>
      <c r="G1080" s="39" t="s">
        <v>883</v>
      </c>
      <c r="H1080" s="39"/>
      <c r="I1080" s="39"/>
    </row>
    <row r="1081">
      <c r="A1081" s="39" t="s">
        <v>513</v>
      </c>
      <c r="B1081" s="39" t="s">
        <v>203</v>
      </c>
      <c r="C1081" s="39">
        <v>26.0</v>
      </c>
      <c r="D1081" s="39" t="s">
        <v>88</v>
      </c>
      <c r="E1081" s="39" t="s">
        <v>2300</v>
      </c>
      <c r="F1081" s="39"/>
      <c r="G1081" s="39" t="s">
        <v>892</v>
      </c>
      <c r="H1081" s="39" t="s">
        <v>1630</v>
      </c>
      <c r="I1081" s="39"/>
    </row>
    <row r="1082">
      <c r="A1082" s="39" t="s">
        <v>513</v>
      </c>
      <c r="B1082" s="39" t="s">
        <v>203</v>
      </c>
      <c r="C1082" s="39">
        <v>27.0</v>
      </c>
      <c r="D1082" s="39" t="s">
        <v>88</v>
      </c>
      <c r="E1082" s="39" t="s">
        <v>2301</v>
      </c>
      <c r="F1082" s="39"/>
      <c r="G1082" s="39" t="s">
        <v>892</v>
      </c>
      <c r="H1082" s="39"/>
      <c r="I1082" s="39"/>
    </row>
    <row r="1083">
      <c r="A1083" s="39" t="s">
        <v>513</v>
      </c>
      <c r="B1083" s="39" t="s">
        <v>203</v>
      </c>
      <c r="C1083" s="39">
        <v>28.0</v>
      </c>
      <c r="D1083" s="39" t="s">
        <v>88</v>
      </c>
      <c r="E1083" s="39" t="s">
        <v>2302</v>
      </c>
      <c r="F1083" s="39"/>
      <c r="G1083" s="39" t="s">
        <v>895</v>
      </c>
      <c r="H1083" s="39"/>
      <c r="I1083" s="39"/>
    </row>
    <row r="1084">
      <c r="A1084" s="39" t="s">
        <v>513</v>
      </c>
      <c r="B1084" s="39" t="s">
        <v>203</v>
      </c>
      <c r="C1084" s="39">
        <v>29.0</v>
      </c>
      <c r="D1084" s="39" t="s">
        <v>88</v>
      </c>
      <c r="E1084" s="39" t="s">
        <v>2303</v>
      </c>
      <c r="F1084" s="39"/>
      <c r="G1084" s="39" t="s">
        <v>898</v>
      </c>
      <c r="H1084" s="39"/>
      <c r="I1084" s="39"/>
    </row>
    <row r="1085">
      <c r="A1085" s="39" t="s">
        <v>513</v>
      </c>
      <c r="B1085" s="39" t="s">
        <v>203</v>
      </c>
      <c r="C1085" s="39">
        <v>30.0</v>
      </c>
      <c r="D1085" s="39" t="s">
        <v>88</v>
      </c>
      <c r="E1085" s="39" t="s">
        <v>2304</v>
      </c>
      <c r="F1085" s="39"/>
      <c r="G1085" s="39" t="s">
        <v>901</v>
      </c>
      <c r="H1085" s="39"/>
      <c r="I1085" s="39"/>
    </row>
    <row r="1086">
      <c r="A1086" s="39" t="s">
        <v>513</v>
      </c>
      <c r="B1086" s="39" t="s">
        <v>203</v>
      </c>
      <c r="C1086" s="39">
        <v>31.0</v>
      </c>
      <c r="D1086" s="39" t="s">
        <v>902</v>
      </c>
      <c r="E1086" s="39" t="s">
        <v>2305</v>
      </c>
      <c r="F1086" s="39"/>
      <c r="G1086" s="56" t="s">
        <v>822</v>
      </c>
      <c r="H1086" s="39" t="s">
        <v>1042</v>
      </c>
      <c r="I1086" s="39"/>
    </row>
    <row r="1087">
      <c r="A1087" s="39" t="s">
        <v>513</v>
      </c>
      <c r="B1087" s="39" t="s">
        <v>203</v>
      </c>
      <c r="C1087" s="39">
        <v>32.0</v>
      </c>
      <c r="D1087" s="39" t="s">
        <v>902</v>
      </c>
      <c r="E1087" s="39" t="s">
        <v>2306</v>
      </c>
      <c r="F1087" s="39"/>
      <c r="G1087" s="56" t="s">
        <v>801</v>
      </c>
      <c r="H1087" s="39" t="s">
        <v>2307</v>
      </c>
      <c r="I1087" s="39"/>
    </row>
    <row r="1088">
      <c r="A1088" s="39" t="s">
        <v>513</v>
      </c>
      <c r="B1088" s="39" t="s">
        <v>203</v>
      </c>
      <c r="C1088" s="39">
        <v>33.0</v>
      </c>
      <c r="D1088" s="39" t="s">
        <v>902</v>
      </c>
      <c r="E1088" s="39" t="s">
        <v>2308</v>
      </c>
      <c r="F1088" s="39"/>
      <c r="G1088" s="39" t="s">
        <v>809</v>
      </c>
      <c r="H1088" s="39" t="s">
        <v>1036</v>
      </c>
      <c r="I1088" s="39"/>
    </row>
    <row r="1089">
      <c r="A1089" s="39" t="s">
        <v>513</v>
      </c>
      <c r="B1089" s="39" t="s">
        <v>203</v>
      </c>
      <c r="C1089" s="39">
        <v>34.0</v>
      </c>
      <c r="D1089" s="39" t="s">
        <v>902</v>
      </c>
      <c r="E1089" s="39" t="s">
        <v>2309</v>
      </c>
      <c r="F1089" s="39"/>
      <c r="G1089" s="56" t="s">
        <v>825</v>
      </c>
      <c r="H1089" s="39" t="s">
        <v>2310</v>
      </c>
      <c r="I1089" s="39"/>
    </row>
    <row r="1090">
      <c r="A1090" s="39" t="s">
        <v>513</v>
      </c>
      <c r="B1090" s="39" t="s">
        <v>203</v>
      </c>
      <c r="C1090" s="39">
        <v>35.0</v>
      </c>
      <c r="D1090" s="39" t="s">
        <v>902</v>
      </c>
      <c r="E1090" s="39" t="s">
        <v>2311</v>
      </c>
      <c r="F1090" s="39"/>
      <c r="G1090" s="56" t="s">
        <v>822</v>
      </c>
      <c r="H1090" s="39" t="s">
        <v>1036</v>
      </c>
      <c r="I1090" s="39"/>
    </row>
    <row r="1091">
      <c r="A1091" s="39" t="s">
        <v>513</v>
      </c>
      <c r="B1091" s="39" t="s">
        <v>203</v>
      </c>
      <c r="C1091" s="39">
        <v>36.0</v>
      </c>
      <c r="D1091" s="39" t="s">
        <v>902</v>
      </c>
      <c r="E1091" s="39" t="s">
        <v>2312</v>
      </c>
      <c r="F1091" s="39"/>
      <c r="G1091" s="56" t="s">
        <v>801</v>
      </c>
      <c r="H1091" s="39" t="s">
        <v>1036</v>
      </c>
      <c r="I1091" s="39"/>
    </row>
    <row r="1092">
      <c r="A1092" s="39" t="s">
        <v>513</v>
      </c>
      <c r="B1092" s="39" t="s">
        <v>203</v>
      </c>
      <c r="C1092" s="39">
        <v>37.0</v>
      </c>
      <c r="D1092" s="39" t="s">
        <v>902</v>
      </c>
      <c r="E1092" s="39" t="s">
        <v>2313</v>
      </c>
      <c r="F1092" s="39"/>
      <c r="G1092" s="39" t="s">
        <v>809</v>
      </c>
      <c r="H1092" s="39" t="s">
        <v>1036</v>
      </c>
      <c r="I1092" s="39"/>
    </row>
    <row r="1093">
      <c r="A1093" s="39" t="s">
        <v>513</v>
      </c>
      <c r="B1093" s="39" t="s">
        <v>203</v>
      </c>
      <c r="C1093" s="39">
        <v>38.0</v>
      </c>
      <c r="D1093" s="39" t="s">
        <v>902</v>
      </c>
      <c r="E1093" s="39" t="s">
        <v>2314</v>
      </c>
      <c r="F1093" s="39"/>
      <c r="G1093" s="56" t="s">
        <v>825</v>
      </c>
      <c r="H1093" s="39" t="s">
        <v>2315</v>
      </c>
      <c r="I1093" s="39"/>
    </row>
    <row r="1094">
      <c r="A1094" s="39" t="s">
        <v>513</v>
      </c>
      <c r="B1094" s="39" t="s">
        <v>203</v>
      </c>
      <c r="C1094" s="39">
        <v>39.0</v>
      </c>
      <c r="D1094" s="39" t="s">
        <v>90</v>
      </c>
      <c r="E1094" s="39" t="s">
        <v>2316</v>
      </c>
      <c r="F1094" s="39"/>
      <c r="G1094" s="39" t="s">
        <v>924</v>
      </c>
      <c r="H1094" s="39"/>
      <c r="I1094" s="39"/>
    </row>
    <row r="1095">
      <c r="A1095" s="39" t="s">
        <v>513</v>
      </c>
      <c r="B1095" s="39" t="s">
        <v>203</v>
      </c>
      <c r="C1095" s="39">
        <v>40.0</v>
      </c>
      <c r="D1095" s="39" t="s">
        <v>90</v>
      </c>
      <c r="E1095" s="39" t="s">
        <v>2317</v>
      </c>
      <c r="F1095" s="39"/>
      <c r="G1095" s="39" t="s">
        <v>927</v>
      </c>
      <c r="H1095" s="39"/>
      <c r="I1095" s="39"/>
    </row>
    <row r="1096">
      <c r="A1096" s="39" t="s">
        <v>513</v>
      </c>
      <c r="B1096" s="39" t="s">
        <v>203</v>
      </c>
      <c r="C1096" s="39">
        <v>41.0</v>
      </c>
      <c r="D1096" s="39" t="s">
        <v>90</v>
      </c>
      <c r="E1096" s="39" t="s">
        <v>2318</v>
      </c>
      <c r="F1096" s="39"/>
      <c r="G1096" s="39" t="s">
        <v>930</v>
      </c>
      <c r="H1096" s="39"/>
      <c r="I1096" s="39"/>
    </row>
    <row r="1097">
      <c r="A1097" s="39" t="s">
        <v>513</v>
      </c>
      <c r="B1097" s="39" t="s">
        <v>203</v>
      </c>
      <c r="C1097" s="39">
        <v>42.0</v>
      </c>
      <c r="D1097" s="39" t="s">
        <v>90</v>
      </c>
      <c r="E1097" s="39" t="s">
        <v>2319</v>
      </c>
      <c r="F1097" s="39"/>
      <c r="G1097" s="56" t="s">
        <v>822</v>
      </c>
      <c r="H1097" s="39"/>
      <c r="I1097" s="39"/>
    </row>
    <row r="1098">
      <c r="A1098" s="39" t="s">
        <v>513</v>
      </c>
      <c r="B1098" s="39" t="s">
        <v>203</v>
      </c>
      <c r="C1098" s="39">
        <v>43.0</v>
      </c>
      <c r="D1098" s="39" t="s">
        <v>90</v>
      </c>
      <c r="E1098" s="39" t="s">
        <v>2320</v>
      </c>
      <c r="F1098" s="39"/>
      <c r="G1098" s="56" t="s">
        <v>836</v>
      </c>
      <c r="H1098" s="39"/>
      <c r="I1098" s="39"/>
    </row>
    <row r="1099">
      <c r="A1099" s="39" t="s">
        <v>513</v>
      </c>
      <c r="B1099" s="39" t="s">
        <v>203</v>
      </c>
      <c r="C1099" s="39">
        <v>44.0</v>
      </c>
      <c r="D1099" s="39" t="s">
        <v>90</v>
      </c>
      <c r="E1099" s="39" t="s">
        <v>2321</v>
      </c>
      <c r="F1099" s="39"/>
      <c r="G1099" s="56" t="s">
        <v>801</v>
      </c>
      <c r="H1099" s="39"/>
      <c r="I1099" s="39"/>
    </row>
    <row r="1100">
      <c r="A1100" s="39" t="s">
        <v>513</v>
      </c>
      <c r="B1100" s="39" t="s">
        <v>203</v>
      </c>
      <c r="C1100" s="39">
        <v>45.0</v>
      </c>
      <c r="D1100" s="39" t="s">
        <v>90</v>
      </c>
      <c r="E1100" s="39" t="s">
        <v>2322</v>
      </c>
      <c r="F1100" s="39"/>
      <c r="G1100" s="39" t="s">
        <v>939</v>
      </c>
      <c r="H1100" s="39"/>
      <c r="I1100" s="39"/>
    </row>
    <row r="1101">
      <c r="A1101" s="39" t="s">
        <v>513</v>
      </c>
      <c r="B1101" s="39" t="s">
        <v>203</v>
      </c>
      <c r="C1101" s="39">
        <v>46.0</v>
      </c>
      <c r="D1101" s="39" t="s">
        <v>92</v>
      </c>
      <c r="E1101" s="39" t="s">
        <v>2323</v>
      </c>
      <c r="F1101" s="39"/>
      <c r="G1101" s="39" t="s">
        <v>945</v>
      </c>
      <c r="H1101" s="39"/>
      <c r="I1101" s="39"/>
    </row>
    <row r="1102">
      <c r="A1102" s="39" t="s">
        <v>513</v>
      </c>
      <c r="B1102" s="39" t="s">
        <v>203</v>
      </c>
      <c r="C1102" s="39">
        <v>47.0</v>
      </c>
      <c r="D1102" s="39" t="s">
        <v>92</v>
      </c>
      <c r="E1102" s="39" t="s">
        <v>2324</v>
      </c>
      <c r="F1102" s="39"/>
      <c r="G1102" s="39" t="s">
        <v>947</v>
      </c>
      <c r="H1102" s="39"/>
      <c r="I1102" s="39"/>
    </row>
    <row r="1103">
      <c r="A1103" s="39" t="s">
        <v>513</v>
      </c>
      <c r="B1103" s="39" t="s">
        <v>203</v>
      </c>
      <c r="C1103" s="39">
        <v>48.0</v>
      </c>
      <c r="D1103" s="39" t="s">
        <v>92</v>
      </c>
      <c r="E1103" s="39" t="s">
        <v>2325</v>
      </c>
      <c r="F1103" s="39"/>
      <c r="G1103" s="39" t="s">
        <v>2326</v>
      </c>
      <c r="H1103" s="39" t="s">
        <v>2327</v>
      </c>
      <c r="I1103" s="39"/>
    </row>
    <row r="1104">
      <c r="A1104" s="39" t="s">
        <v>513</v>
      </c>
      <c r="B1104" s="39" t="s">
        <v>203</v>
      </c>
      <c r="C1104" s="39">
        <v>49.0</v>
      </c>
      <c r="D1104" s="39" t="s">
        <v>92</v>
      </c>
      <c r="E1104" s="39" t="s">
        <v>2328</v>
      </c>
      <c r="F1104" s="39"/>
      <c r="G1104" s="39" t="s">
        <v>2329</v>
      </c>
      <c r="H1104" s="39" t="s">
        <v>2330</v>
      </c>
      <c r="I1104" s="39"/>
    </row>
    <row r="1105">
      <c r="A1105" s="39" t="s">
        <v>513</v>
      </c>
      <c r="B1105" s="39" t="s">
        <v>203</v>
      </c>
      <c r="C1105" s="39">
        <v>50.0</v>
      </c>
      <c r="D1105" s="39" t="s">
        <v>91</v>
      </c>
      <c r="E1105" s="39" t="s">
        <v>2331</v>
      </c>
      <c r="F1105" s="39"/>
      <c r="G1105" s="56" t="s">
        <v>822</v>
      </c>
      <c r="H1105" s="39"/>
      <c r="I1105" s="39"/>
    </row>
    <row r="1106">
      <c r="A1106" s="39" t="s">
        <v>513</v>
      </c>
      <c r="B1106" s="39" t="s">
        <v>203</v>
      </c>
      <c r="C1106" s="39">
        <v>51.0</v>
      </c>
      <c r="D1106" s="39" t="s">
        <v>91</v>
      </c>
      <c r="E1106" s="39" t="s">
        <v>2332</v>
      </c>
      <c r="F1106" s="39"/>
      <c r="G1106" s="56" t="s">
        <v>806</v>
      </c>
      <c r="H1106" s="39"/>
      <c r="I1106" s="39"/>
    </row>
    <row r="1107">
      <c r="A1107" s="39" t="s">
        <v>513</v>
      </c>
      <c r="B1107" s="39" t="s">
        <v>203</v>
      </c>
      <c r="C1107" s="39">
        <v>52.0</v>
      </c>
      <c r="D1107" s="39" t="s">
        <v>92</v>
      </c>
      <c r="E1107" s="39" t="s">
        <v>2333</v>
      </c>
      <c r="F1107" s="39"/>
      <c r="G1107" s="39" t="s">
        <v>1355</v>
      </c>
      <c r="H1107" s="39" t="s">
        <v>1356</v>
      </c>
      <c r="I1107" s="39"/>
    </row>
    <row r="1108">
      <c r="A1108" s="39" t="s">
        <v>513</v>
      </c>
      <c r="B1108" s="39" t="s">
        <v>203</v>
      </c>
      <c r="C1108" s="39">
        <v>53.0</v>
      </c>
      <c r="D1108" s="39" t="s">
        <v>92</v>
      </c>
      <c r="E1108" s="39" t="s">
        <v>2334</v>
      </c>
      <c r="F1108" s="39"/>
      <c r="G1108" s="39" t="s">
        <v>950</v>
      </c>
      <c r="H1108" s="39" t="s">
        <v>951</v>
      </c>
      <c r="I1108" s="39"/>
    </row>
    <row r="1109">
      <c r="A1109" s="39" t="s">
        <v>513</v>
      </c>
      <c r="B1109" s="39" t="s">
        <v>203</v>
      </c>
      <c r="C1109" s="39">
        <v>60.0</v>
      </c>
      <c r="D1109" s="39" t="s">
        <v>839</v>
      </c>
      <c r="E1109" s="39" t="s">
        <v>2335</v>
      </c>
      <c r="F1109" s="39"/>
      <c r="G1109" s="39" t="str">
        <f>IFERROR(__xludf.DUMMYFUNCTION("IFS(REGEXMATCH(E1109, ""ammo_ar""), ""Daedalus AR Ammo"", REGEXMATCH(E1109, ""ammo_ps""), ""Daedalus Pistol Ammo"", REGEXMATCH(E1109, ""ammo_sg""), ""Daedalus Shotgun Ammo"", REGEXMATCH(E1109, ""ammo_sm""), ""Daedalus SMG Ammo"", REGEXMATCH(E1109, ""ammo_"&amp;"sr""), ""Daedalus SR Ammo"")"),"Daedalus SMG Ammo")</f>
        <v>Daedalus SMG Ammo</v>
      </c>
      <c r="H1109" s="39"/>
      <c r="I1109" s="39"/>
    </row>
    <row r="1110">
      <c r="A1110" s="39" t="s">
        <v>513</v>
      </c>
      <c r="B1110" s="39" t="s">
        <v>203</v>
      </c>
      <c r="C1110" s="39">
        <v>61.0</v>
      </c>
      <c r="D1110" s="39" t="s">
        <v>839</v>
      </c>
      <c r="E1110" s="39" t="s">
        <v>2336</v>
      </c>
      <c r="F1110" s="39"/>
      <c r="G1110" s="39" t="str">
        <f>IFERROR(__xludf.DUMMYFUNCTION("IFS(REGEXMATCH(E1110, ""ammo_ar""), ""Daedalus AR Ammo"", REGEXMATCH(E1110, ""ammo_ps""), ""Daedalus Pistol Ammo"", REGEXMATCH(E1110, ""ammo_sg""), ""Daedalus Shotgun Ammo"", REGEXMATCH(E1110, ""ammo_sm""), ""Daedalus SMG Ammo"", REGEXMATCH(E1110, ""ammo_"&amp;"sr""), ""Daedalus SR Ammo"")"),"Daedalus AR Ammo")</f>
        <v>Daedalus AR Ammo</v>
      </c>
      <c r="H1110" s="39"/>
      <c r="I1110" s="39"/>
    </row>
    <row r="1111">
      <c r="A1111" s="39" t="s">
        <v>513</v>
      </c>
      <c r="B1111" s="39" t="s">
        <v>203</v>
      </c>
      <c r="C1111" s="39">
        <v>62.0</v>
      </c>
      <c r="D1111" s="39" t="s">
        <v>839</v>
      </c>
      <c r="E1111" s="39" t="s">
        <v>2337</v>
      </c>
      <c r="F1111" s="39"/>
      <c r="G1111" s="39" t="str">
        <f>IFERROR(__xludf.DUMMYFUNCTION("IFS(REGEXMATCH(E1111, ""ammo_ar""), ""Daedalus AR Ammo"", REGEXMATCH(E1111, ""ammo_ps""), ""Daedalus Pistol Ammo"", REGEXMATCH(E1111, ""ammo_sg""), ""Daedalus Shotgun Ammo"", REGEXMATCH(E1111, ""ammo_sm""), ""Daedalus SMG Ammo"", REGEXMATCH(E1111, ""ammo_"&amp;"sr""), ""Daedalus SR Ammo"")"),"Daedalus Pistol Ammo")</f>
        <v>Daedalus Pistol Ammo</v>
      </c>
      <c r="H1111" s="39"/>
      <c r="I1111" s="39"/>
    </row>
    <row r="1112">
      <c r="A1112" s="39" t="s">
        <v>513</v>
      </c>
      <c r="B1112" s="39" t="s">
        <v>203</v>
      </c>
      <c r="C1112" s="39">
        <v>63.0</v>
      </c>
      <c r="D1112" s="39" t="s">
        <v>839</v>
      </c>
      <c r="E1112" s="39" t="s">
        <v>2338</v>
      </c>
      <c r="F1112" s="39"/>
      <c r="G1112" s="39" t="str">
        <f>IFERROR(__xludf.DUMMYFUNCTION("IFS(REGEXMATCH(E1112, ""ammo_ar""), ""Daedalus AR Ammo"", REGEXMATCH(E1112, ""ammo_ps""), ""Daedalus Pistol Ammo"", REGEXMATCH(E1112, ""ammo_sg""), ""Daedalus Shotgun Ammo"", REGEXMATCH(E1112, ""ammo_sm""), ""Daedalus SMG Ammo"", REGEXMATCH(E1112, ""ammo_"&amp;"sr""), ""Daedalus SR Ammo"")"),"Daedalus SR Ammo")</f>
        <v>Daedalus SR Ammo</v>
      </c>
      <c r="H1112" s="39"/>
      <c r="I1112" s="39"/>
    </row>
    <row r="1113">
      <c r="A1113" s="39" t="s">
        <v>513</v>
      </c>
      <c r="B1113" s="39" t="s">
        <v>203</v>
      </c>
      <c r="C1113" s="39">
        <v>64.0</v>
      </c>
      <c r="D1113" s="39" t="s">
        <v>84</v>
      </c>
      <c r="E1113" s="39" t="s">
        <v>2339</v>
      </c>
      <c r="F1113" s="39"/>
      <c r="G1113" s="39" t="s">
        <v>2340</v>
      </c>
      <c r="H1113" s="39" t="s">
        <v>2341</v>
      </c>
      <c r="I1113" s="39"/>
    </row>
    <row r="1114">
      <c r="A1114" s="39" t="s">
        <v>513</v>
      </c>
      <c r="B1114" s="39" t="s">
        <v>203</v>
      </c>
      <c r="C1114" s="39">
        <v>66.0</v>
      </c>
      <c r="D1114" s="39" t="s">
        <v>819</v>
      </c>
      <c r="E1114" s="39" t="s">
        <v>2342</v>
      </c>
      <c r="F1114" s="39"/>
      <c r="G1114" s="56" t="s">
        <v>822</v>
      </c>
      <c r="H1114" s="39"/>
      <c r="I1114" s="39"/>
    </row>
    <row r="1115">
      <c r="A1115" s="39" t="s">
        <v>513</v>
      </c>
      <c r="B1115" s="39" t="s">
        <v>203</v>
      </c>
      <c r="C1115" s="39">
        <v>67.0</v>
      </c>
      <c r="D1115" s="39" t="s">
        <v>819</v>
      </c>
      <c r="E1115" s="39" t="s">
        <v>2343</v>
      </c>
      <c r="F1115" s="39"/>
      <c r="G1115" s="56" t="s">
        <v>801</v>
      </c>
      <c r="H1115" s="39"/>
      <c r="I1115" s="39"/>
    </row>
    <row r="1116">
      <c r="A1116" s="39" t="s">
        <v>513</v>
      </c>
      <c r="B1116" s="39" t="s">
        <v>203</v>
      </c>
      <c r="C1116" s="39">
        <v>68.0</v>
      </c>
      <c r="D1116" s="39" t="s">
        <v>819</v>
      </c>
      <c r="E1116" s="39" t="s">
        <v>2344</v>
      </c>
      <c r="F1116" s="39"/>
      <c r="G1116" s="56" t="s">
        <v>822</v>
      </c>
      <c r="H1116" s="39"/>
      <c r="I1116" s="39"/>
    </row>
    <row r="1117">
      <c r="A1117" s="39" t="s">
        <v>513</v>
      </c>
      <c r="B1117" s="39" t="s">
        <v>203</v>
      </c>
      <c r="C1117" s="39">
        <v>69.0</v>
      </c>
      <c r="D1117" s="39" t="s">
        <v>819</v>
      </c>
      <c r="E1117" s="39" t="s">
        <v>2345</v>
      </c>
      <c r="F1117" s="39"/>
      <c r="G1117" s="56" t="s">
        <v>806</v>
      </c>
      <c r="H1117" s="39"/>
      <c r="I1117" s="39"/>
    </row>
    <row r="1118">
      <c r="A1118" s="39" t="s">
        <v>513</v>
      </c>
      <c r="B1118" s="39" t="s">
        <v>203</v>
      </c>
      <c r="C1118" s="39">
        <v>70.0</v>
      </c>
      <c r="D1118" s="39" t="s">
        <v>819</v>
      </c>
      <c r="E1118" s="39" t="s">
        <v>2346</v>
      </c>
      <c r="F1118" s="39"/>
      <c r="G1118" s="56" t="s">
        <v>822</v>
      </c>
      <c r="H1118" s="39"/>
      <c r="I1118" s="39"/>
    </row>
    <row r="1119">
      <c r="A1119" s="39" t="s">
        <v>513</v>
      </c>
      <c r="B1119" s="39" t="s">
        <v>203</v>
      </c>
      <c r="C1119" s="39">
        <v>71.0</v>
      </c>
      <c r="D1119" s="39" t="s">
        <v>819</v>
      </c>
      <c r="E1119" s="39" t="s">
        <v>2347</v>
      </c>
      <c r="F1119" s="39"/>
      <c r="G1119" s="56" t="s">
        <v>806</v>
      </c>
      <c r="H1119" s="39"/>
      <c r="I1119" s="39"/>
    </row>
    <row r="1120">
      <c r="A1120" s="39" t="s">
        <v>513</v>
      </c>
      <c r="B1120" s="39" t="s">
        <v>203</v>
      </c>
      <c r="C1120" s="39">
        <v>72.0</v>
      </c>
      <c r="D1120" s="39" t="s">
        <v>819</v>
      </c>
      <c r="E1120" s="39" t="s">
        <v>2348</v>
      </c>
      <c r="F1120" s="39"/>
      <c r="G1120" s="56" t="s">
        <v>836</v>
      </c>
      <c r="H1120" s="39"/>
      <c r="I1120" s="39"/>
    </row>
    <row r="1121">
      <c r="A1121" s="39" t="s">
        <v>513</v>
      </c>
      <c r="B1121" s="39" t="s">
        <v>203</v>
      </c>
      <c r="C1121" s="39">
        <v>73.0</v>
      </c>
      <c r="D1121" s="39" t="s">
        <v>819</v>
      </c>
      <c r="E1121" s="39" t="s">
        <v>2349</v>
      </c>
      <c r="F1121" s="39"/>
      <c r="G1121" s="56" t="s">
        <v>836</v>
      </c>
      <c r="H1121" s="39"/>
      <c r="I1121" s="39"/>
    </row>
    <row r="1122">
      <c r="A1122" s="39" t="s">
        <v>513</v>
      </c>
      <c r="B1122" s="39" t="s">
        <v>203</v>
      </c>
      <c r="C1122" s="39">
        <v>74.0</v>
      </c>
      <c r="D1122" s="39" t="s">
        <v>839</v>
      </c>
      <c r="E1122" s="39" t="s">
        <v>2350</v>
      </c>
      <c r="F1122" s="39"/>
      <c r="G1122" s="39" t="s">
        <v>842</v>
      </c>
      <c r="H1122" s="39"/>
      <c r="I1122" s="39"/>
    </row>
    <row r="1123">
      <c r="A1123" s="39" t="s">
        <v>513</v>
      </c>
      <c r="B1123" s="39" t="s">
        <v>203</v>
      </c>
      <c r="C1123" s="39">
        <v>75.0</v>
      </c>
      <c r="D1123" s="39" t="s">
        <v>839</v>
      </c>
      <c r="E1123" s="39" t="s">
        <v>2351</v>
      </c>
      <c r="F1123" s="39"/>
      <c r="G1123" s="39" t="s">
        <v>845</v>
      </c>
      <c r="H1123" s="39"/>
      <c r="I1123" s="39"/>
    </row>
    <row r="1124">
      <c r="A1124" s="39" t="s">
        <v>513</v>
      </c>
      <c r="B1124" s="39" t="s">
        <v>203</v>
      </c>
      <c r="C1124" s="39">
        <v>76.0</v>
      </c>
      <c r="D1124" s="39" t="s">
        <v>839</v>
      </c>
      <c r="E1124" s="39" t="s">
        <v>2352</v>
      </c>
      <c r="F1124" s="39"/>
      <c r="G1124" s="39" t="s">
        <v>847</v>
      </c>
      <c r="H1124" s="39"/>
      <c r="I1124" s="39"/>
    </row>
    <row r="1125">
      <c r="A1125" s="39" t="s">
        <v>513</v>
      </c>
      <c r="B1125" s="39" t="s">
        <v>203</v>
      </c>
      <c r="C1125" s="39">
        <v>77.0</v>
      </c>
      <c r="D1125" s="39" t="s">
        <v>839</v>
      </c>
      <c r="E1125" s="39" t="s">
        <v>2353</v>
      </c>
      <c r="F1125" s="39"/>
      <c r="G1125" s="39" t="s">
        <v>850</v>
      </c>
      <c r="H1125" s="39"/>
      <c r="I1125" s="39"/>
    </row>
    <row r="1126">
      <c r="A1126" s="39" t="s">
        <v>513</v>
      </c>
      <c r="B1126" s="39" t="s">
        <v>203</v>
      </c>
      <c r="C1126" s="39">
        <v>78.0</v>
      </c>
      <c r="D1126" s="39" t="s">
        <v>839</v>
      </c>
      <c r="E1126" s="39" t="s">
        <v>2354</v>
      </c>
      <c r="F1126" s="39"/>
      <c r="G1126" s="39" t="s">
        <v>853</v>
      </c>
      <c r="H1126" s="39"/>
      <c r="I1126" s="39"/>
    </row>
    <row r="1127">
      <c r="A1127" s="39" t="s">
        <v>513</v>
      </c>
      <c r="B1127" s="39" t="s">
        <v>203</v>
      </c>
      <c r="C1127" s="39">
        <v>79.0</v>
      </c>
      <c r="D1127" s="39" t="s">
        <v>839</v>
      </c>
      <c r="E1127" s="39" t="s">
        <v>2355</v>
      </c>
      <c r="F1127" s="39"/>
      <c r="G1127" s="39" t="s">
        <v>856</v>
      </c>
      <c r="H1127" s="39"/>
      <c r="I1127" s="39"/>
    </row>
    <row r="1128">
      <c r="A1128" s="39" t="s">
        <v>513</v>
      </c>
      <c r="B1128" s="39" t="s">
        <v>203</v>
      </c>
      <c r="C1128" s="39">
        <v>80.0</v>
      </c>
      <c r="D1128" s="39" t="s">
        <v>92</v>
      </c>
      <c r="E1128" s="39" t="s">
        <v>2356</v>
      </c>
      <c r="F1128" s="39"/>
      <c r="G1128" s="39" t="s">
        <v>2357</v>
      </c>
      <c r="H1128" s="39" t="s">
        <v>2358</v>
      </c>
      <c r="I1128" s="39"/>
    </row>
    <row r="1129">
      <c r="A1129" s="39" t="s">
        <v>513</v>
      </c>
      <c r="B1129" s="39" t="s">
        <v>203</v>
      </c>
      <c r="C1129" s="39">
        <v>81.0</v>
      </c>
      <c r="D1129" s="39" t="s">
        <v>91</v>
      </c>
      <c r="E1129" s="39" t="s">
        <v>2359</v>
      </c>
      <c r="F1129" s="39"/>
      <c r="G1129" s="56" t="s">
        <v>836</v>
      </c>
      <c r="H1129" s="39"/>
      <c r="I1129" s="39"/>
    </row>
    <row r="1130">
      <c r="A1130" s="39" t="s">
        <v>513</v>
      </c>
      <c r="B1130" s="39" t="s">
        <v>203</v>
      </c>
      <c r="C1130" s="39">
        <v>82.0</v>
      </c>
      <c r="D1130" s="39" t="s">
        <v>839</v>
      </c>
      <c r="E1130" s="39" t="s">
        <v>2360</v>
      </c>
      <c r="F1130" s="39"/>
      <c r="G1130" s="39" t="s">
        <v>874</v>
      </c>
      <c r="H1130" s="39"/>
      <c r="I1130" s="39"/>
    </row>
    <row r="1131">
      <c r="A1131" s="39" t="s">
        <v>513</v>
      </c>
      <c r="B1131" s="39" t="s">
        <v>203</v>
      </c>
      <c r="C1131" s="39">
        <v>83.0</v>
      </c>
      <c r="D1131" s="39" t="s">
        <v>839</v>
      </c>
      <c r="E1131" s="39" t="s">
        <v>2361</v>
      </c>
      <c r="F1131" s="39"/>
      <c r="G1131" s="39" t="s">
        <v>880</v>
      </c>
      <c r="H1131" s="39"/>
      <c r="I1131" s="39"/>
    </row>
    <row r="1132">
      <c r="A1132" s="39" t="s">
        <v>513</v>
      </c>
      <c r="B1132" s="39" t="s">
        <v>214</v>
      </c>
      <c r="C1132" s="39">
        <v>2.0</v>
      </c>
      <c r="D1132" s="39" t="s">
        <v>81</v>
      </c>
      <c r="E1132" s="39" t="s">
        <v>2362</v>
      </c>
      <c r="F1132" s="39"/>
      <c r="G1132" s="39" t="s">
        <v>797</v>
      </c>
      <c r="H1132" s="39"/>
      <c r="I1132" s="39"/>
    </row>
    <row r="1133">
      <c r="A1133" s="39" t="s">
        <v>513</v>
      </c>
      <c r="B1133" s="39" t="s">
        <v>214</v>
      </c>
      <c r="C1133" s="39">
        <v>3.0</v>
      </c>
      <c r="D1133" s="39" t="s">
        <v>798</v>
      </c>
      <c r="E1133" s="39" t="s">
        <v>2363</v>
      </c>
      <c r="F1133" s="39"/>
      <c r="G1133" s="56" t="s">
        <v>801</v>
      </c>
      <c r="H1133" s="39"/>
      <c r="I1133" s="39"/>
    </row>
    <row r="1134">
      <c r="A1134" s="39" t="s">
        <v>513</v>
      </c>
      <c r="B1134" s="39" t="s">
        <v>214</v>
      </c>
      <c r="C1134" s="39">
        <v>4.0</v>
      </c>
      <c r="D1134" s="39" t="s">
        <v>798</v>
      </c>
      <c r="E1134" s="39" t="s">
        <v>2364</v>
      </c>
      <c r="F1134" s="39"/>
      <c r="G1134" s="56" t="s">
        <v>1690</v>
      </c>
      <c r="H1134" s="39"/>
      <c r="I1134" s="39"/>
    </row>
    <row r="1135">
      <c r="A1135" s="39" t="s">
        <v>513</v>
      </c>
      <c r="B1135" s="39" t="s">
        <v>214</v>
      </c>
      <c r="C1135" s="39">
        <v>5.0</v>
      </c>
      <c r="D1135" s="39" t="s">
        <v>798</v>
      </c>
      <c r="E1135" s="39" t="s">
        <v>2365</v>
      </c>
      <c r="F1135" s="39"/>
      <c r="G1135" s="56" t="s">
        <v>806</v>
      </c>
      <c r="H1135" s="39"/>
      <c r="I1135" s="39"/>
    </row>
    <row r="1136">
      <c r="A1136" s="39" t="s">
        <v>513</v>
      </c>
      <c r="B1136" s="39" t="s">
        <v>214</v>
      </c>
      <c r="C1136" s="39">
        <v>6.0</v>
      </c>
      <c r="D1136" s="39" t="s">
        <v>798</v>
      </c>
      <c r="E1136" s="39" t="s">
        <v>2366</v>
      </c>
      <c r="F1136" s="39"/>
      <c r="G1136" s="39" t="s">
        <v>809</v>
      </c>
      <c r="H1136" s="39"/>
      <c r="I1136" s="39"/>
    </row>
    <row r="1137">
      <c r="A1137" s="39" t="s">
        <v>513</v>
      </c>
      <c r="B1137" s="39" t="s">
        <v>214</v>
      </c>
      <c r="C1137" s="39">
        <v>7.0</v>
      </c>
      <c r="D1137" s="39" t="s">
        <v>84</v>
      </c>
      <c r="E1137" s="39" t="s">
        <v>2367</v>
      </c>
      <c r="F1137" s="39"/>
      <c r="G1137" s="39" t="s">
        <v>2368</v>
      </c>
      <c r="H1137" s="39"/>
      <c r="I1137" s="39"/>
    </row>
    <row r="1138">
      <c r="A1138" s="39" t="s">
        <v>513</v>
      </c>
      <c r="B1138" s="39" t="s">
        <v>214</v>
      </c>
      <c r="C1138" s="39">
        <v>8.0</v>
      </c>
      <c r="D1138" s="39" t="s">
        <v>84</v>
      </c>
      <c r="E1138" s="39" t="s">
        <v>2369</v>
      </c>
      <c r="F1138" s="39"/>
      <c r="G1138" s="39" t="s">
        <v>2370</v>
      </c>
      <c r="H1138" s="39"/>
      <c r="I1138" s="39"/>
    </row>
    <row r="1139">
      <c r="A1139" s="39" t="s">
        <v>513</v>
      </c>
      <c r="B1139" s="39" t="s">
        <v>214</v>
      </c>
      <c r="C1139" s="39">
        <v>9.0</v>
      </c>
      <c r="D1139" s="39" t="s">
        <v>839</v>
      </c>
      <c r="E1139" s="39" t="s">
        <v>2371</v>
      </c>
      <c r="F1139" s="39"/>
      <c r="G1139" s="39" t="s">
        <v>989</v>
      </c>
      <c r="H1139" s="39"/>
      <c r="I1139" s="39"/>
    </row>
    <row r="1140">
      <c r="A1140" s="39" t="s">
        <v>513</v>
      </c>
      <c r="B1140" s="39" t="s">
        <v>214</v>
      </c>
      <c r="C1140" s="39">
        <v>10.0</v>
      </c>
      <c r="D1140" s="39" t="s">
        <v>839</v>
      </c>
      <c r="E1140" s="39" t="s">
        <v>2372</v>
      </c>
      <c r="F1140" s="39"/>
      <c r="G1140" s="39" t="s">
        <v>991</v>
      </c>
      <c r="H1140" s="39"/>
      <c r="I1140" s="39"/>
    </row>
    <row r="1141">
      <c r="A1141" s="39" t="s">
        <v>513</v>
      </c>
      <c r="B1141" s="39" t="s">
        <v>214</v>
      </c>
      <c r="C1141" s="39">
        <v>11.0</v>
      </c>
      <c r="D1141" s="39" t="s">
        <v>839</v>
      </c>
      <c r="E1141" s="39" t="s">
        <v>2373</v>
      </c>
      <c r="F1141" s="39"/>
      <c r="G1141" s="39" t="s">
        <v>993</v>
      </c>
      <c r="H1141" s="39"/>
      <c r="I1141" s="39"/>
    </row>
    <row r="1142">
      <c r="A1142" s="39" t="s">
        <v>513</v>
      </c>
      <c r="B1142" s="39" t="s">
        <v>214</v>
      </c>
      <c r="C1142" s="39">
        <v>12.0</v>
      </c>
      <c r="D1142" s="39" t="s">
        <v>839</v>
      </c>
      <c r="E1142" s="39" t="s">
        <v>2374</v>
      </c>
      <c r="F1142" s="39"/>
      <c r="G1142" s="39" t="s">
        <v>995</v>
      </c>
      <c r="H1142" s="39"/>
      <c r="I1142" s="39"/>
    </row>
    <row r="1143">
      <c r="A1143" s="39" t="s">
        <v>513</v>
      </c>
      <c r="B1143" s="39" t="s">
        <v>214</v>
      </c>
      <c r="C1143" s="39">
        <v>13.0</v>
      </c>
      <c r="D1143" s="39" t="s">
        <v>87</v>
      </c>
      <c r="E1143" s="39" t="s">
        <v>2375</v>
      </c>
      <c r="F1143" s="39"/>
      <c r="G1143" s="39" t="s">
        <v>2376</v>
      </c>
      <c r="H1143" s="39"/>
      <c r="I1143" s="39"/>
    </row>
    <row r="1144">
      <c r="A1144" s="39" t="s">
        <v>513</v>
      </c>
      <c r="B1144" s="39" t="s">
        <v>214</v>
      </c>
      <c r="C1144" s="39">
        <v>14.0</v>
      </c>
      <c r="D1144" s="39" t="s">
        <v>87</v>
      </c>
      <c r="E1144" s="39" t="s">
        <v>2377</v>
      </c>
      <c r="F1144" s="39"/>
      <c r="G1144" s="39" t="s">
        <v>2378</v>
      </c>
      <c r="H1144" s="39"/>
      <c r="I1144" s="39"/>
    </row>
    <row r="1145">
      <c r="A1145" s="39" t="s">
        <v>513</v>
      </c>
      <c r="B1145" s="39" t="s">
        <v>214</v>
      </c>
      <c r="C1145" s="39">
        <v>15.0</v>
      </c>
      <c r="D1145" s="39" t="s">
        <v>87</v>
      </c>
      <c r="E1145" s="39" t="s">
        <v>2379</v>
      </c>
      <c r="F1145" s="39"/>
      <c r="G1145" s="39" t="s">
        <v>2380</v>
      </c>
      <c r="H1145" s="39"/>
      <c r="I1145" s="39"/>
    </row>
    <row r="1146">
      <c r="A1146" s="39" t="s">
        <v>513</v>
      </c>
      <c r="B1146" s="39" t="s">
        <v>214</v>
      </c>
      <c r="C1146" s="39">
        <v>16.0</v>
      </c>
      <c r="D1146" s="39" t="s">
        <v>87</v>
      </c>
      <c r="E1146" s="39" t="s">
        <v>2381</v>
      </c>
      <c r="F1146" s="39"/>
      <c r="G1146" s="39" t="s">
        <v>2382</v>
      </c>
      <c r="H1146" s="39"/>
      <c r="I1146" s="39"/>
    </row>
    <row r="1147">
      <c r="A1147" s="39" t="s">
        <v>513</v>
      </c>
      <c r="B1147" s="39" t="s">
        <v>214</v>
      </c>
      <c r="C1147" s="39">
        <v>17.0</v>
      </c>
      <c r="D1147" s="39" t="s">
        <v>84</v>
      </c>
      <c r="E1147" s="39" t="s">
        <v>2383</v>
      </c>
      <c r="F1147" s="39"/>
      <c r="G1147" s="39" t="s">
        <v>2384</v>
      </c>
      <c r="H1147" s="39" t="s">
        <v>2385</v>
      </c>
      <c r="I1147" s="39"/>
    </row>
    <row r="1148">
      <c r="A1148" s="39" t="s">
        <v>513</v>
      </c>
      <c r="B1148" s="39" t="s">
        <v>214</v>
      </c>
      <c r="C1148" s="39">
        <v>20.0</v>
      </c>
      <c r="D1148" s="39" t="s">
        <v>84</v>
      </c>
      <c r="E1148" s="39" t="s">
        <v>2386</v>
      </c>
      <c r="F1148" s="39"/>
      <c r="G1148" s="39" t="s">
        <v>2387</v>
      </c>
      <c r="H1148" s="39" t="s">
        <v>2388</v>
      </c>
      <c r="I1148" s="39"/>
    </row>
    <row r="1149">
      <c r="A1149" s="39" t="s">
        <v>513</v>
      </c>
      <c r="B1149" s="39" t="s">
        <v>214</v>
      </c>
      <c r="C1149" s="39">
        <v>21.0</v>
      </c>
      <c r="D1149" s="39" t="s">
        <v>92</v>
      </c>
      <c r="E1149" s="59" t="s">
        <v>2389</v>
      </c>
      <c r="F1149" s="59"/>
      <c r="G1149" s="59" t="s">
        <v>2390</v>
      </c>
      <c r="H1149" s="39"/>
      <c r="I1149" s="39"/>
    </row>
    <row r="1150">
      <c r="A1150" s="39" t="s">
        <v>513</v>
      </c>
      <c r="B1150" s="39" t="s">
        <v>214</v>
      </c>
      <c r="C1150" s="39">
        <v>22.0</v>
      </c>
      <c r="D1150" s="39" t="s">
        <v>875</v>
      </c>
      <c r="E1150" s="39" t="s">
        <v>2391</v>
      </c>
      <c r="F1150" s="39"/>
      <c r="G1150" s="39" t="s">
        <v>877</v>
      </c>
      <c r="H1150" s="39"/>
      <c r="I1150" s="39"/>
    </row>
    <row r="1151">
      <c r="A1151" s="39" t="s">
        <v>513</v>
      </c>
      <c r="B1151" s="39" t="s">
        <v>214</v>
      </c>
      <c r="C1151" s="39">
        <v>23.0</v>
      </c>
      <c r="D1151" s="39" t="s">
        <v>875</v>
      </c>
      <c r="E1151" s="39" t="s">
        <v>2392</v>
      </c>
      <c r="F1151" s="39"/>
      <c r="G1151" s="39" t="s">
        <v>877</v>
      </c>
      <c r="H1151" s="39"/>
      <c r="I1151" s="39"/>
    </row>
    <row r="1152">
      <c r="A1152" s="39" t="s">
        <v>513</v>
      </c>
      <c r="B1152" s="39" t="s">
        <v>214</v>
      </c>
      <c r="C1152" s="39">
        <v>24.0</v>
      </c>
      <c r="D1152" s="39" t="s">
        <v>875</v>
      </c>
      <c r="E1152" s="39" t="s">
        <v>2393</v>
      </c>
      <c r="F1152" s="39"/>
      <c r="G1152" s="39" t="s">
        <v>877</v>
      </c>
      <c r="H1152" s="39"/>
      <c r="I1152" s="39"/>
    </row>
    <row r="1153">
      <c r="A1153" s="39" t="s">
        <v>513</v>
      </c>
      <c r="B1153" s="39" t="s">
        <v>214</v>
      </c>
      <c r="C1153" s="39">
        <v>25.0</v>
      </c>
      <c r="D1153" s="39" t="s">
        <v>875</v>
      </c>
      <c r="E1153" s="39" t="s">
        <v>2394</v>
      </c>
      <c r="F1153" s="39"/>
      <c r="G1153" s="39" t="s">
        <v>883</v>
      </c>
      <c r="H1153" s="39"/>
      <c r="I1153" s="39"/>
    </row>
    <row r="1154">
      <c r="A1154" s="39" t="s">
        <v>513</v>
      </c>
      <c r="B1154" s="39" t="s">
        <v>214</v>
      </c>
      <c r="C1154" s="39">
        <v>26.0</v>
      </c>
      <c r="D1154" s="39" t="s">
        <v>88</v>
      </c>
      <c r="E1154" s="39" t="s">
        <v>2395</v>
      </c>
      <c r="F1154" s="39"/>
      <c r="G1154" s="39" t="s">
        <v>901</v>
      </c>
      <c r="H1154" s="39"/>
      <c r="I1154" s="39"/>
    </row>
    <row r="1155">
      <c r="A1155" s="39" t="s">
        <v>513</v>
      </c>
      <c r="B1155" s="39" t="s">
        <v>214</v>
      </c>
      <c r="C1155" s="39">
        <v>27.0</v>
      </c>
      <c r="D1155" s="39" t="s">
        <v>88</v>
      </c>
      <c r="E1155" s="39" t="s">
        <v>2396</v>
      </c>
      <c r="F1155" s="39"/>
      <c r="G1155" s="39" t="s">
        <v>898</v>
      </c>
      <c r="H1155" s="39"/>
      <c r="I1155" s="39"/>
    </row>
    <row r="1156">
      <c r="A1156" s="39" t="s">
        <v>513</v>
      </c>
      <c r="B1156" s="39" t="s">
        <v>214</v>
      </c>
      <c r="C1156" s="39">
        <v>28.0</v>
      </c>
      <c r="D1156" s="39" t="s">
        <v>88</v>
      </c>
      <c r="E1156" s="39" t="s">
        <v>2397</v>
      </c>
      <c r="F1156" s="39"/>
      <c r="G1156" s="39" t="s">
        <v>895</v>
      </c>
      <c r="H1156" s="39"/>
      <c r="I1156" s="39"/>
    </row>
    <row r="1157">
      <c r="A1157" s="39" t="s">
        <v>513</v>
      </c>
      <c r="B1157" s="39" t="s">
        <v>214</v>
      </c>
      <c r="C1157" s="39">
        <v>29.0</v>
      </c>
      <c r="D1157" s="39" t="s">
        <v>88</v>
      </c>
      <c r="E1157" s="39" t="s">
        <v>2398</v>
      </c>
      <c r="F1157" s="39"/>
      <c r="G1157" s="39" t="s">
        <v>892</v>
      </c>
      <c r="H1157" s="39"/>
      <c r="I1157" s="39"/>
    </row>
    <row r="1158">
      <c r="A1158" s="39" t="s">
        <v>513</v>
      </c>
      <c r="B1158" s="39" t="s">
        <v>214</v>
      </c>
      <c r="C1158" s="39">
        <v>30.0</v>
      </c>
      <c r="D1158" s="39" t="s">
        <v>88</v>
      </c>
      <c r="E1158" s="39" t="s">
        <v>2399</v>
      </c>
      <c r="F1158" s="39"/>
      <c r="G1158" s="39" t="s">
        <v>889</v>
      </c>
      <c r="H1158" s="39"/>
      <c r="I1158" s="39"/>
    </row>
    <row r="1159">
      <c r="A1159" s="39" t="s">
        <v>513</v>
      </c>
      <c r="B1159" s="39" t="s">
        <v>214</v>
      </c>
      <c r="C1159" s="39">
        <v>31.0</v>
      </c>
      <c r="D1159" s="39" t="s">
        <v>902</v>
      </c>
      <c r="E1159" s="39" t="s">
        <v>2400</v>
      </c>
      <c r="F1159" s="39"/>
      <c r="G1159" s="56" t="s">
        <v>822</v>
      </c>
      <c r="H1159" s="39" t="s">
        <v>2401</v>
      </c>
      <c r="I1159" s="39"/>
    </row>
    <row r="1160">
      <c r="A1160" s="39" t="s">
        <v>513</v>
      </c>
      <c r="B1160" s="39" t="s">
        <v>214</v>
      </c>
      <c r="C1160" s="39">
        <v>32.0</v>
      </c>
      <c r="D1160" s="39" t="s">
        <v>902</v>
      </c>
      <c r="E1160" s="39" t="s">
        <v>2402</v>
      </c>
      <c r="F1160" s="39"/>
      <c r="G1160" s="56" t="s">
        <v>801</v>
      </c>
      <c r="H1160" s="39" t="s">
        <v>1036</v>
      </c>
      <c r="I1160" s="39"/>
    </row>
    <row r="1161">
      <c r="A1161" s="39" t="s">
        <v>513</v>
      </c>
      <c r="B1161" s="39" t="s">
        <v>214</v>
      </c>
      <c r="C1161" s="39">
        <v>33.0</v>
      </c>
      <c r="D1161" s="39" t="s">
        <v>902</v>
      </c>
      <c r="E1161" s="39" t="s">
        <v>2403</v>
      </c>
      <c r="F1161" s="39"/>
      <c r="G1161" s="39" t="s">
        <v>809</v>
      </c>
      <c r="H1161" s="39" t="s">
        <v>1044</v>
      </c>
      <c r="I1161" s="39"/>
    </row>
    <row r="1162">
      <c r="A1162" s="39" t="s">
        <v>513</v>
      </c>
      <c r="B1162" s="39" t="s">
        <v>214</v>
      </c>
      <c r="C1162" s="39">
        <v>34.0</v>
      </c>
      <c r="D1162" s="39" t="s">
        <v>902</v>
      </c>
      <c r="E1162" s="39" t="s">
        <v>2404</v>
      </c>
      <c r="F1162" s="39"/>
      <c r="G1162" s="56" t="s">
        <v>825</v>
      </c>
      <c r="H1162" s="39" t="s">
        <v>1042</v>
      </c>
      <c r="I1162" s="39"/>
    </row>
    <row r="1163">
      <c r="A1163" s="39" t="s">
        <v>513</v>
      </c>
      <c r="B1163" s="39" t="s">
        <v>214</v>
      </c>
      <c r="C1163" s="39">
        <v>35.0</v>
      </c>
      <c r="D1163" s="39" t="s">
        <v>902</v>
      </c>
      <c r="E1163" s="39" t="s">
        <v>2405</v>
      </c>
      <c r="F1163" s="39"/>
      <c r="G1163" s="56" t="s">
        <v>822</v>
      </c>
      <c r="H1163" s="39" t="s">
        <v>1726</v>
      </c>
      <c r="I1163" s="39"/>
    </row>
    <row r="1164">
      <c r="A1164" s="39" t="s">
        <v>513</v>
      </c>
      <c r="B1164" s="39" t="s">
        <v>214</v>
      </c>
      <c r="C1164" s="39">
        <v>36.0</v>
      </c>
      <c r="D1164" s="39" t="s">
        <v>902</v>
      </c>
      <c r="E1164" s="39" t="s">
        <v>2406</v>
      </c>
      <c r="F1164" s="39"/>
      <c r="G1164" s="56" t="s">
        <v>801</v>
      </c>
      <c r="H1164" s="39" t="s">
        <v>1042</v>
      </c>
      <c r="I1164" s="39"/>
    </row>
    <row r="1165">
      <c r="A1165" s="39" t="s">
        <v>513</v>
      </c>
      <c r="B1165" s="39" t="s">
        <v>214</v>
      </c>
      <c r="C1165" s="39">
        <v>37.0</v>
      </c>
      <c r="D1165" s="39" t="s">
        <v>902</v>
      </c>
      <c r="E1165" s="39" t="s">
        <v>2407</v>
      </c>
      <c r="F1165" s="39"/>
      <c r="G1165" s="39" t="s">
        <v>809</v>
      </c>
      <c r="H1165" s="39" t="s">
        <v>2408</v>
      </c>
      <c r="I1165" s="39"/>
    </row>
    <row r="1166">
      <c r="A1166" s="39" t="s">
        <v>513</v>
      </c>
      <c r="B1166" s="39" t="s">
        <v>214</v>
      </c>
      <c r="C1166" s="39">
        <v>38.0</v>
      </c>
      <c r="D1166" s="39" t="s">
        <v>902</v>
      </c>
      <c r="E1166" s="39" t="s">
        <v>2409</v>
      </c>
      <c r="F1166" s="39"/>
      <c r="G1166" s="56" t="s">
        <v>825</v>
      </c>
      <c r="H1166" s="39" t="s">
        <v>1036</v>
      </c>
      <c r="I1166" s="39"/>
    </row>
    <row r="1167">
      <c r="A1167" s="39" t="s">
        <v>513</v>
      </c>
      <c r="B1167" s="39" t="s">
        <v>214</v>
      </c>
      <c r="C1167" s="39">
        <v>39.0</v>
      </c>
      <c r="D1167" s="39" t="s">
        <v>90</v>
      </c>
      <c r="E1167" s="39" t="s">
        <v>2410</v>
      </c>
      <c r="F1167" s="39"/>
      <c r="G1167" s="39" t="s">
        <v>927</v>
      </c>
      <c r="H1167" s="39"/>
      <c r="I1167" s="39"/>
    </row>
    <row r="1168">
      <c r="A1168" s="39" t="s">
        <v>513</v>
      </c>
      <c r="B1168" s="39" t="s">
        <v>214</v>
      </c>
      <c r="C1168" s="39">
        <v>40.0</v>
      </c>
      <c r="D1168" s="39" t="s">
        <v>90</v>
      </c>
      <c r="E1168" s="39" t="s">
        <v>2411</v>
      </c>
      <c r="F1168" s="39"/>
      <c r="G1168" s="39" t="s">
        <v>924</v>
      </c>
      <c r="H1168" s="39"/>
      <c r="I1168" s="39"/>
    </row>
    <row r="1169">
      <c r="A1169" s="39" t="s">
        <v>513</v>
      </c>
      <c r="B1169" s="39" t="s">
        <v>214</v>
      </c>
      <c r="C1169" s="39">
        <v>41.0</v>
      </c>
      <c r="D1169" s="39" t="s">
        <v>90</v>
      </c>
      <c r="E1169" s="39" t="s">
        <v>2412</v>
      </c>
      <c r="F1169" s="39"/>
      <c r="G1169" s="39" t="s">
        <v>930</v>
      </c>
      <c r="H1169" s="39"/>
      <c r="I1169" s="39"/>
    </row>
    <row r="1170">
      <c r="A1170" s="39" t="s">
        <v>513</v>
      </c>
      <c r="B1170" s="39" t="s">
        <v>214</v>
      </c>
      <c r="C1170" s="39">
        <v>42.0</v>
      </c>
      <c r="D1170" s="39" t="s">
        <v>90</v>
      </c>
      <c r="E1170" s="39" t="s">
        <v>2413</v>
      </c>
      <c r="F1170" s="39"/>
      <c r="G1170" s="56" t="s">
        <v>822</v>
      </c>
      <c r="H1170" s="39"/>
      <c r="I1170" s="39"/>
    </row>
    <row r="1171">
      <c r="A1171" s="39" t="s">
        <v>513</v>
      </c>
      <c r="B1171" s="39" t="s">
        <v>214</v>
      </c>
      <c r="C1171" s="39">
        <v>43.0</v>
      </c>
      <c r="D1171" s="39" t="s">
        <v>90</v>
      </c>
      <c r="E1171" s="39" t="s">
        <v>2414</v>
      </c>
      <c r="F1171" s="39"/>
      <c r="G1171" s="56" t="s">
        <v>836</v>
      </c>
      <c r="H1171" s="39"/>
      <c r="I1171" s="39"/>
    </row>
    <row r="1172">
      <c r="A1172" s="39" t="s">
        <v>513</v>
      </c>
      <c r="B1172" s="39" t="s">
        <v>214</v>
      </c>
      <c r="C1172" s="39">
        <v>44.0</v>
      </c>
      <c r="D1172" s="39" t="s">
        <v>90</v>
      </c>
      <c r="E1172" s="39" t="s">
        <v>2415</v>
      </c>
      <c r="F1172" s="39"/>
      <c r="G1172" s="56" t="s">
        <v>801</v>
      </c>
      <c r="H1172" s="39"/>
      <c r="I1172" s="39"/>
    </row>
    <row r="1173">
      <c r="A1173" s="39" t="s">
        <v>513</v>
      </c>
      <c r="B1173" s="39" t="s">
        <v>214</v>
      </c>
      <c r="C1173" s="39">
        <v>45.0</v>
      </c>
      <c r="D1173" s="39" t="s">
        <v>90</v>
      </c>
      <c r="E1173" s="39" t="s">
        <v>2416</v>
      </c>
      <c r="F1173" s="39"/>
      <c r="G1173" s="39" t="s">
        <v>939</v>
      </c>
      <c r="H1173" s="39"/>
      <c r="I1173" s="39"/>
    </row>
    <row r="1174">
      <c r="A1174" s="39" t="s">
        <v>513</v>
      </c>
      <c r="B1174" s="39" t="s">
        <v>214</v>
      </c>
      <c r="C1174" s="39">
        <v>46.0</v>
      </c>
      <c r="D1174" s="39" t="s">
        <v>92</v>
      </c>
      <c r="E1174" s="39" t="s">
        <v>2417</v>
      </c>
      <c r="F1174" s="39"/>
      <c r="G1174" s="39" t="s">
        <v>2418</v>
      </c>
      <c r="H1174" s="39" t="s">
        <v>2419</v>
      </c>
      <c r="I1174" s="39"/>
    </row>
    <row r="1175">
      <c r="A1175" s="39" t="s">
        <v>513</v>
      </c>
      <c r="B1175" s="39" t="s">
        <v>214</v>
      </c>
      <c r="C1175" s="39">
        <v>47.0</v>
      </c>
      <c r="D1175" s="39" t="s">
        <v>92</v>
      </c>
      <c r="E1175" s="39" t="s">
        <v>2420</v>
      </c>
      <c r="F1175" s="39"/>
      <c r="G1175" s="39" t="s">
        <v>2421</v>
      </c>
      <c r="H1175" s="39" t="s">
        <v>2422</v>
      </c>
      <c r="I1175" s="39"/>
    </row>
    <row r="1176">
      <c r="A1176" s="39" t="s">
        <v>513</v>
      </c>
      <c r="B1176" s="39" t="s">
        <v>214</v>
      </c>
      <c r="C1176" s="39">
        <v>48.0</v>
      </c>
      <c r="D1176" s="39" t="s">
        <v>92</v>
      </c>
      <c r="E1176" s="39" t="s">
        <v>2423</v>
      </c>
      <c r="F1176" s="39"/>
      <c r="G1176" s="39" t="s">
        <v>950</v>
      </c>
      <c r="H1176" s="39" t="s">
        <v>951</v>
      </c>
      <c r="I1176" s="39"/>
    </row>
    <row r="1177">
      <c r="A1177" s="39" t="s">
        <v>513</v>
      </c>
      <c r="B1177" s="39" t="s">
        <v>214</v>
      </c>
      <c r="C1177" s="39">
        <v>49.0</v>
      </c>
      <c r="D1177" s="39" t="s">
        <v>92</v>
      </c>
      <c r="E1177" s="39" t="s">
        <v>2424</v>
      </c>
      <c r="F1177" s="39"/>
      <c r="G1177" s="39" t="s">
        <v>947</v>
      </c>
      <c r="H1177" s="39"/>
      <c r="I1177" s="39"/>
    </row>
    <row r="1178">
      <c r="A1178" s="39" t="s">
        <v>513</v>
      </c>
      <c r="B1178" s="39" t="s">
        <v>214</v>
      </c>
      <c r="C1178" s="39">
        <v>50.0</v>
      </c>
      <c r="D1178" s="39" t="s">
        <v>91</v>
      </c>
      <c r="E1178" s="39" t="s">
        <v>2425</v>
      </c>
      <c r="F1178" s="39"/>
      <c r="G1178" s="56" t="s">
        <v>822</v>
      </c>
      <c r="H1178" s="39"/>
      <c r="I1178" s="39"/>
    </row>
    <row r="1179">
      <c r="A1179" s="39" t="s">
        <v>513</v>
      </c>
      <c r="B1179" s="39" t="s">
        <v>214</v>
      </c>
      <c r="C1179" s="39">
        <v>51.0</v>
      </c>
      <c r="D1179" s="39" t="s">
        <v>91</v>
      </c>
      <c r="E1179" s="39" t="s">
        <v>2426</v>
      </c>
      <c r="F1179" s="39"/>
      <c r="G1179" s="56" t="s">
        <v>806</v>
      </c>
      <c r="H1179" s="39"/>
      <c r="I1179" s="39"/>
    </row>
    <row r="1180">
      <c r="A1180" s="39" t="s">
        <v>513</v>
      </c>
      <c r="B1180" s="39" t="s">
        <v>214</v>
      </c>
      <c r="C1180" s="39">
        <v>52.0</v>
      </c>
      <c r="D1180" s="39" t="s">
        <v>92</v>
      </c>
      <c r="E1180" s="39" t="s">
        <v>2427</v>
      </c>
      <c r="F1180" s="39"/>
      <c r="G1180" s="39" t="s">
        <v>2428</v>
      </c>
      <c r="H1180" s="39"/>
      <c r="I1180" s="39"/>
    </row>
    <row r="1181">
      <c r="A1181" s="39" t="s">
        <v>513</v>
      </c>
      <c r="B1181" s="39" t="s">
        <v>214</v>
      </c>
      <c r="C1181" s="39">
        <v>53.0</v>
      </c>
      <c r="D1181" s="39" t="s">
        <v>92</v>
      </c>
      <c r="E1181" s="39" t="s">
        <v>2429</v>
      </c>
      <c r="F1181" s="39"/>
      <c r="G1181" s="39" t="s">
        <v>945</v>
      </c>
      <c r="H1181" s="39"/>
      <c r="I1181" s="39"/>
    </row>
    <row r="1182">
      <c r="A1182" s="39" t="s">
        <v>513</v>
      </c>
      <c r="B1182" s="39" t="s">
        <v>214</v>
      </c>
      <c r="C1182" s="39">
        <v>54.0</v>
      </c>
      <c r="D1182" s="39" t="s">
        <v>92</v>
      </c>
      <c r="E1182" s="39" t="s">
        <v>2430</v>
      </c>
      <c r="F1182" s="39"/>
      <c r="G1182" s="39" t="s">
        <v>1355</v>
      </c>
      <c r="H1182" s="39" t="s">
        <v>1356</v>
      </c>
      <c r="I1182" s="39"/>
    </row>
    <row r="1183">
      <c r="A1183" s="39" t="s">
        <v>513</v>
      </c>
      <c r="B1183" s="39" t="s">
        <v>214</v>
      </c>
      <c r="C1183" s="39">
        <v>55.0</v>
      </c>
      <c r="D1183" s="39" t="s">
        <v>91</v>
      </c>
      <c r="E1183" s="39" t="s">
        <v>2431</v>
      </c>
      <c r="F1183" s="39"/>
      <c r="G1183" s="56" t="s">
        <v>836</v>
      </c>
      <c r="H1183" s="39"/>
      <c r="I1183" s="39"/>
    </row>
    <row r="1184">
      <c r="A1184" s="39" t="s">
        <v>513</v>
      </c>
      <c r="B1184" s="39" t="s">
        <v>214</v>
      </c>
      <c r="C1184" s="39">
        <v>57.0</v>
      </c>
      <c r="D1184" s="39" t="s">
        <v>84</v>
      </c>
      <c r="E1184" s="59" t="s">
        <v>2432</v>
      </c>
      <c r="F1184" s="59"/>
      <c r="G1184" s="59" t="s">
        <v>2433</v>
      </c>
      <c r="H1184" s="39" t="s">
        <v>2434</v>
      </c>
      <c r="I1184" s="39"/>
    </row>
    <row r="1185">
      <c r="A1185" s="39" t="s">
        <v>513</v>
      </c>
      <c r="B1185" s="39" t="s">
        <v>214</v>
      </c>
      <c r="C1185" s="39">
        <v>62.0</v>
      </c>
      <c r="D1185" s="39" t="s">
        <v>839</v>
      </c>
      <c r="E1185" s="39" t="s">
        <v>2435</v>
      </c>
      <c r="F1185" s="39"/>
      <c r="G1185" s="39" t="str">
        <f>IFERROR(__xludf.DUMMYFUNCTION("IFS(REGEXMATCH(E1185, ""ammo_ar""), ""Daedalus AR Ammo"", REGEXMATCH(E1185, ""ammo_ps""), ""Daedalus Pistol Ammo"", REGEXMATCH(E1185, ""ammo_sg""), ""Daedalus Shotgun Ammo"", REGEXMATCH(E1185, ""ammo_sm""), ""Daedalus SMG Ammo"", REGEXMATCH(E1185, ""ammo_"&amp;"sr""), ""Daedalus SR Ammo"")"),"Daedalus Shotgun Ammo")</f>
        <v>Daedalus Shotgun Ammo</v>
      </c>
      <c r="H1185" s="39"/>
      <c r="I1185" s="39"/>
    </row>
    <row r="1186">
      <c r="A1186" s="39" t="s">
        <v>513</v>
      </c>
      <c r="B1186" s="39" t="s">
        <v>214</v>
      </c>
      <c r="C1186" s="39">
        <v>63.0</v>
      </c>
      <c r="D1186" s="39" t="s">
        <v>839</v>
      </c>
      <c r="E1186" s="39" t="s">
        <v>2436</v>
      </c>
      <c r="F1186" s="39"/>
      <c r="G1186" s="39" t="str">
        <f>IFERROR(__xludf.DUMMYFUNCTION("IFS(REGEXMATCH(E1186, ""ammo_ar""), ""Daedalus AR Ammo"", REGEXMATCH(E1186, ""ammo_ps""), ""Daedalus Pistol Ammo"", REGEXMATCH(E1186, ""ammo_sg""), ""Daedalus Shotgun Ammo"", REGEXMATCH(E1186, ""ammo_sm""), ""Daedalus SMG Ammo"", REGEXMATCH(E1186, ""ammo_"&amp;"sr""), ""Daedalus SR Ammo"")"),"Daedalus AR Ammo")</f>
        <v>Daedalus AR Ammo</v>
      </c>
      <c r="H1186" s="39"/>
      <c r="I1186" s="39"/>
    </row>
    <row r="1187">
      <c r="A1187" s="39" t="s">
        <v>513</v>
      </c>
      <c r="B1187" s="39" t="s">
        <v>214</v>
      </c>
      <c r="C1187" s="39">
        <v>64.0</v>
      </c>
      <c r="D1187" s="39" t="s">
        <v>839</v>
      </c>
      <c r="E1187" s="39" t="s">
        <v>2437</v>
      </c>
      <c r="F1187" s="39"/>
      <c r="G1187" s="39" t="str">
        <f>IFERROR(__xludf.DUMMYFUNCTION("IFS(REGEXMATCH(E1187, ""ammo_ar""), ""Daedalus AR Ammo"", REGEXMATCH(E1187, ""ammo_ps""), ""Daedalus Pistol Ammo"", REGEXMATCH(E1187, ""ammo_sg""), ""Daedalus Shotgun Ammo"", REGEXMATCH(E1187, ""ammo_sm""), ""Daedalus SMG Ammo"", REGEXMATCH(E1187, ""ammo_"&amp;"sr""), ""Daedalus SR Ammo"")"),"Daedalus Pistol Ammo")</f>
        <v>Daedalus Pistol Ammo</v>
      </c>
      <c r="H1187" s="39"/>
      <c r="I1187" s="39"/>
    </row>
    <row r="1188">
      <c r="A1188" s="39" t="s">
        <v>513</v>
      </c>
      <c r="B1188" s="39" t="s">
        <v>214</v>
      </c>
      <c r="C1188" s="39">
        <v>65.0</v>
      </c>
      <c r="D1188" s="39" t="s">
        <v>839</v>
      </c>
      <c r="E1188" s="39" t="s">
        <v>2438</v>
      </c>
      <c r="F1188" s="39"/>
      <c r="G1188" s="39" t="str">
        <f>IFERROR(__xludf.DUMMYFUNCTION("IFS(REGEXMATCH(E1188, ""ammo_ar""), ""Daedalus AR Ammo"", REGEXMATCH(E1188, ""ammo_ps""), ""Daedalus Pistol Ammo"", REGEXMATCH(E1188, ""ammo_sg""), ""Daedalus Shotgun Ammo"", REGEXMATCH(E1188, ""ammo_sm""), ""Daedalus SMG Ammo"", REGEXMATCH(E1188, ""ammo_"&amp;"sr""), ""Daedalus SR Ammo"")"),"Daedalus SR Ammo")</f>
        <v>Daedalus SR Ammo</v>
      </c>
      <c r="H1188" s="39"/>
      <c r="I1188" s="39"/>
    </row>
    <row r="1189">
      <c r="A1189" s="39" t="s">
        <v>513</v>
      </c>
      <c r="B1189" s="39" t="s">
        <v>214</v>
      </c>
      <c r="C1189" s="39">
        <v>66.0</v>
      </c>
      <c r="D1189" s="39" t="s">
        <v>819</v>
      </c>
      <c r="E1189" s="39" t="s">
        <v>2439</v>
      </c>
      <c r="F1189" s="39"/>
      <c r="G1189" s="56" t="s">
        <v>822</v>
      </c>
      <c r="H1189" s="39"/>
      <c r="I1189" s="39"/>
    </row>
    <row r="1190">
      <c r="A1190" s="39" t="s">
        <v>513</v>
      </c>
      <c r="B1190" s="39" t="s">
        <v>214</v>
      </c>
      <c r="C1190" s="39">
        <v>67.0</v>
      </c>
      <c r="D1190" s="39" t="s">
        <v>819</v>
      </c>
      <c r="E1190" s="39" t="s">
        <v>2440</v>
      </c>
      <c r="F1190" s="39"/>
      <c r="G1190" s="56" t="s">
        <v>801</v>
      </c>
      <c r="H1190" s="39"/>
      <c r="I1190" s="39"/>
    </row>
    <row r="1191">
      <c r="A1191" s="39" t="s">
        <v>513</v>
      </c>
      <c r="B1191" s="39" t="s">
        <v>214</v>
      </c>
      <c r="C1191" s="39">
        <v>68.0</v>
      </c>
      <c r="D1191" s="39" t="s">
        <v>819</v>
      </c>
      <c r="E1191" s="39" t="s">
        <v>2441</v>
      </c>
      <c r="F1191" s="39"/>
      <c r="G1191" s="56" t="s">
        <v>822</v>
      </c>
      <c r="H1191" s="39"/>
      <c r="I1191" s="39"/>
    </row>
    <row r="1192">
      <c r="A1192" s="39" t="s">
        <v>513</v>
      </c>
      <c r="B1192" s="39" t="s">
        <v>214</v>
      </c>
      <c r="C1192" s="39">
        <v>69.0</v>
      </c>
      <c r="D1192" s="39" t="s">
        <v>819</v>
      </c>
      <c r="E1192" s="39" t="s">
        <v>2442</v>
      </c>
      <c r="F1192" s="39"/>
      <c r="G1192" s="56" t="s">
        <v>806</v>
      </c>
      <c r="H1192" s="39"/>
      <c r="I1192" s="39"/>
    </row>
    <row r="1193">
      <c r="A1193" s="39" t="s">
        <v>513</v>
      </c>
      <c r="B1193" s="39" t="s">
        <v>214</v>
      </c>
      <c r="C1193" s="39">
        <v>70.0</v>
      </c>
      <c r="D1193" s="39" t="s">
        <v>819</v>
      </c>
      <c r="E1193" s="39" t="s">
        <v>2443</v>
      </c>
      <c r="F1193" s="39"/>
      <c r="G1193" s="56" t="s">
        <v>822</v>
      </c>
      <c r="H1193" s="39"/>
      <c r="I1193" s="39"/>
    </row>
    <row r="1194">
      <c r="A1194" s="39" t="s">
        <v>513</v>
      </c>
      <c r="B1194" s="39" t="s">
        <v>214</v>
      </c>
      <c r="C1194" s="39">
        <v>71.0</v>
      </c>
      <c r="D1194" s="39" t="s">
        <v>819</v>
      </c>
      <c r="E1194" s="39" t="s">
        <v>2444</v>
      </c>
      <c r="F1194" s="39"/>
      <c r="G1194" s="56" t="s">
        <v>806</v>
      </c>
      <c r="H1194" s="39"/>
      <c r="I1194" s="39"/>
    </row>
    <row r="1195">
      <c r="A1195" s="39" t="s">
        <v>513</v>
      </c>
      <c r="B1195" s="39" t="s">
        <v>214</v>
      </c>
      <c r="C1195" s="39">
        <v>72.0</v>
      </c>
      <c r="D1195" s="39" t="s">
        <v>819</v>
      </c>
      <c r="E1195" s="39" t="s">
        <v>2445</v>
      </c>
      <c r="F1195" s="39"/>
      <c r="G1195" s="56" t="s">
        <v>836</v>
      </c>
      <c r="H1195" s="39"/>
      <c r="I1195" s="39"/>
    </row>
    <row r="1196">
      <c r="A1196" s="39" t="s">
        <v>513</v>
      </c>
      <c r="B1196" s="39" t="s">
        <v>214</v>
      </c>
      <c r="C1196" s="39">
        <v>73.0</v>
      </c>
      <c r="D1196" s="39" t="s">
        <v>819</v>
      </c>
      <c r="E1196" s="39" t="s">
        <v>2446</v>
      </c>
      <c r="F1196" s="39"/>
      <c r="G1196" s="56" t="s">
        <v>836</v>
      </c>
      <c r="H1196" s="39"/>
      <c r="I1196" s="39"/>
    </row>
    <row r="1197">
      <c r="A1197" s="39" t="s">
        <v>513</v>
      </c>
      <c r="B1197" s="39" t="s">
        <v>214</v>
      </c>
      <c r="C1197" s="39">
        <v>74.0</v>
      </c>
      <c r="D1197" s="39" t="s">
        <v>839</v>
      </c>
      <c r="E1197" s="39" t="s">
        <v>2447</v>
      </c>
      <c r="F1197" s="39"/>
      <c r="G1197" s="39" t="s">
        <v>842</v>
      </c>
      <c r="H1197" s="39"/>
      <c r="I1197" s="39"/>
    </row>
    <row r="1198">
      <c r="A1198" s="39" t="s">
        <v>513</v>
      </c>
      <c r="B1198" s="39" t="s">
        <v>214</v>
      </c>
      <c r="C1198" s="39">
        <v>75.0</v>
      </c>
      <c r="D1198" s="39" t="s">
        <v>839</v>
      </c>
      <c r="E1198" s="39" t="s">
        <v>2448</v>
      </c>
      <c r="F1198" s="39"/>
      <c r="G1198" s="39" t="s">
        <v>845</v>
      </c>
      <c r="H1198" s="39"/>
      <c r="I1198" s="39"/>
    </row>
    <row r="1199">
      <c r="A1199" s="39" t="s">
        <v>513</v>
      </c>
      <c r="B1199" s="39" t="s">
        <v>214</v>
      </c>
      <c r="C1199" s="39">
        <v>76.0</v>
      </c>
      <c r="D1199" s="39" t="s">
        <v>839</v>
      </c>
      <c r="E1199" s="39" t="s">
        <v>2449</v>
      </c>
      <c r="F1199" s="39"/>
      <c r="G1199" s="39" t="s">
        <v>847</v>
      </c>
      <c r="H1199" s="39"/>
      <c r="I1199" s="39"/>
    </row>
    <row r="1200">
      <c r="A1200" s="39" t="s">
        <v>513</v>
      </c>
      <c r="B1200" s="39" t="s">
        <v>214</v>
      </c>
      <c r="C1200" s="39">
        <v>77.0</v>
      </c>
      <c r="D1200" s="39" t="s">
        <v>839</v>
      </c>
      <c r="E1200" s="39" t="s">
        <v>2450</v>
      </c>
      <c r="F1200" s="39"/>
      <c r="G1200" s="39" t="s">
        <v>850</v>
      </c>
      <c r="H1200" s="39"/>
      <c r="I1200" s="39"/>
    </row>
    <row r="1201">
      <c r="A1201" s="39" t="s">
        <v>513</v>
      </c>
      <c r="B1201" s="39" t="s">
        <v>214</v>
      </c>
      <c r="C1201" s="39">
        <v>78.0</v>
      </c>
      <c r="D1201" s="39" t="s">
        <v>839</v>
      </c>
      <c r="E1201" s="39" t="s">
        <v>2451</v>
      </c>
      <c r="F1201" s="39"/>
      <c r="G1201" s="39" t="s">
        <v>853</v>
      </c>
      <c r="H1201" s="39"/>
      <c r="I1201" s="39"/>
    </row>
    <row r="1202">
      <c r="A1202" s="39" t="s">
        <v>513</v>
      </c>
      <c r="B1202" s="39" t="s">
        <v>214</v>
      </c>
      <c r="C1202" s="39">
        <v>79.0</v>
      </c>
      <c r="D1202" s="39" t="s">
        <v>839</v>
      </c>
      <c r="E1202" s="39" t="s">
        <v>2452</v>
      </c>
      <c r="F1202" s="39"/>
      <c r="G1202" s="39" t="s">
        <v>856</v>
      </c>
      <c r="H1202" s="39"/>
      <c r="I1202" s="39"/>
    </row>
    <row r="1203">
      <c r="A1203" s="39" t="s">
        <v>513</v>
      </c>
      <c r="B1203" s="39" t="s">
        <v>214</v>
      </c>
      <c r="C1203" s="39">
        <v>80.0</v>
      </c>
      <c r="D1203" s="39" t="s">
        <v>839</v>
      </c>
      <c r="E1203" s="39" t="s">
        <v>2453</v>
      </c>
      <c r="F1203" s="39"/>
      <c r="G1203" s="39" t="s">
        <v>874</v>
      </c>
      <c r="H1203" s="39"/>
      <c r="I1203" s="39"/>
    </row>
    <row r="1204">
      <c r="A1204" s="39" t="s">
        <v>513</v>
      </c>
      <c r="B1204" s="39" t="s">
        <v>214</v>
      </c>
      <c r="C1204" s="39">
        <v>81.0</v>
      </c>
      <c r="D1204" s="39" t="s">
        <v>839</v>
      </c>
      <c r="E1204" s="39" t="s">
        <v>2454</v>
      </c>
      <c r="F1204" s="39"/>
      <c r="G1204" s="39" t="s">
        <v>880</v>
      </c>
      <c r="H1204" s="39"/>
      <c r="I1204" s="39"/>
    </row>
    <row r="1205">
      <c r="A1205" s="39" t="s">
        <v>513</v>
      </c>
      <c r="B1205" s="39" t="s">
        <v>1597</v>
      </c>
      <c r="C1205" s="39">
        <v>2.0</v>
      </c>
      <c r="D1205" s="39" t="s">
        <v>81</v>
      </c>
      <c r="E1205" s="39" t="s">
        <v>2455</v>
      </c>
      <c r="F1205" s="39"/>
      <c r="G1205" s="39" t="s">
        <v>797</v>
      </c>
      <c r="H1205" s="39"/>
      <c r="I1205" s="39"/>
    </row>
    <row r="1206">
      <c r="A1206" s="39" t="s">
        <v>513</v>
      </c>
      <c r="B1206" s="39" t="s">
        <v>1597</v>
      </c>
      <c r="C1206" s="39">
        <v>3.0</v>
      </c>
      <c r="D1206" s="39" t="s">
        <v>798</v>
      </c>
      <c r="E1206" s="39" t="s">
        <v>2456</v>
      </c>
      <c r="F1206" s="39"/>
      <c r="G1206" s="56" t="s">
        <v>801</v>
      </c>
      <c r="H1206" s="39"/>
      <c r="I1206" s="39"/>
    </row>
    <row r="1207">
      <c r="A1207" s="39" t="s">
        <v>513</v>
      </c>
      <c r="B1207" s="39" t="s">
        <v>1597</v>
      </c>
      <c r="C1207" s="39">
        <v>4.0</v>
      </c>
      <c r="D1207" s="39" t="s">
        <v>798</v>
      </c>
      <c r="E1207" s="39" t="s">
        <v>2457</v>
      </c>
      <c r="F1207" s="39"/>
      <c r="G1207" s="56" t="s">
        <v>1690</v>
      </c>
      <c r="H1207" s="39"/>
      <c r="I1207" s="39"/>
    </row>
    <row r="1208">
      <c r="A1208" s="39" t="s">
        <v>513</v>
      </c>
      <c r="B1208" s="39" t="s">
        <v>1597</v>
      </c>
      <c r="C1208" s="39">
        <v>5.0</v>
      </c>
      <c r="D1208" s="39" t="s">
        <v>798</v>
      </c>
      <c r="E1208" s="39" t="s">
        <v>2458</v>
      </c>
      <c r="F1208" s="39"/>
      <c r="G1208" s="39" t="s">
        <v>809</v>
      </c>
      <c r="H1208" s="39"/>
      <c r="I1208" s="39"/>
    </row>
    <row r="1209">
      <c r="A1209" s="39" t="s">
        <v>513</v>
      </c>
      <c r="B1209" s="39" t="s">
        <v>1597</v>
      </c>
      <c r="C1209" s="39">
        <v>6.0</v>
      </c>
      <c r="D1209" s="39" t="s">
        <v>798</v>
      </c>
      <c r="E1209" s="39" t="s">
        <v>2459</v>
      </c>
      <c r="F1209" s="39"/>
      <c r="G1209" s="39" t="s">
        <v>809</v>
      </c>
      <c r="H1209" s="39"/>
      <c r="I1209" s="39"/>
    </row>
    <row r="1210">
      <c r="A1210" s="39" t="s">
        <v>513</v>
      </c>
      <c r="B1210" s="39" t="s">
        <v>1597</v>
      </c>
      <c r="C1210" s="39">
        <v>7.0</v>
      </c>
      <c r="D1210" s="39" t="s">
        <v>84</v>
      </c>
      <c r="E1210" s="39" t="s">
        <v>2460</v>
      </c>
      <c r="F1210" s="39"/>
      <c r="G1210" s="39" t="s">
        <v>2461</v>
      </c>
      <c r="H1210" s="39"/>
      <c r="I1210" s="39"/>
    </row>
    <row r="1211">
      <c r="A1211" s="39" t="s">
        <v>513</v>
      </c>
      <c r="B1211" s="39" t="s">
        <v>1597</v>
      </c>
      <c r="C1211" s="39">
        <v>8.0</v>
      </c>
      <c r="D1211" s="39" t="s">
        <v>84</v>
      </c>
      <c r="E1211" s="39" t="s">
        <v>2462</v>
      </c>
      <c r="F1211" s="39"/>
      <c r="G1211" s="39" t="s">
        <v>2463</v>
      </c>
      <c r="H1211" s="39"/>
      <c r="I1211" s="39"/>
    </row>
    <row r="1212">
      <c r="A1212" s="39" t="s">
        <v>513</v>
      </c>
      <c r="B1212" s="39" t="s">
        <v>1597</v>
      </c>
      <c r="C1212" s="39">
        <v>9.0</v>
      </c>
      <c r="D1212" s="39" t="s">
        <v>839</v>
      </c>
      <c r="E1212" s="39" t="s">
        <v>2464</v>
      </c>
      <c r="F1212" s="39"/>
      <c r="G1212" s="39" t="s">
        <v>989</v>
      </c>
      <c r="H1212" s="39"/>
      <c r="I1212" s="39"/>
    </row>
    <row r="1213">
      <c r="A1213" s="39" t="s">
        <v>513</v>
      </c>
      <c r="B1213" s="39" t="s">
        <v>1597</v>
      </c>
      <c r="C1213" s="39">
        <v>10.0</v>
      </c>
      <c r="D1213" s="39" t="s">
        <v>839</v>
      </c>
      <c r="E1213" s="39" t="s">
        <v>2465</v>
      </c>
      <c r="F1213" s="39"/>
      <c r="G1213" s="39" t="s">
        <v>991</v>
      </c>
      <c r="H1213" s="39"/>
      <c r="I1213" s="39"/>
    </row>
    <row r="1214">
      <c r="A1214" s="39" t="s">
        <v>513</v>
      </c>
      <c r="B1214" s="39" t="s">
        <v>1597</v>
      </c>
      <c r="C1214" s="39">
        <v>11.0</v>
      </c>
      <c r="D1214" s="39" t="s">
        <v>839</v>
      </c>
      <c r="E1214" s="39" t="s">
        <v>2466</v>
      </c>
      <c r="F1214" s="39"/>
      <c r="G1214" s="39" t="s">
        <v>993</v>
      </c>
      <c r="H1214" s="39"/>
      <c r="I1214" s="39"/>
    </row>
    <row r="1215">
      <c r="A1215" s="39" t="s">
        <v>513</v>
      </c>
      <c r="B1215" s="39" t="s">
        <v>1597</v>
      </c>
      <c r="C1215" s="39">
        <v>12.0</v>
      </c>
      <c r="D1215" s="39" t="s">
        <v>839</v>
      </c>
      <c r="E1215" s="39" t="s">
        <v>2467</v>
      </c>
      <c r="F1215" s="39"/>
      <c r="G1215" s="39" t="s">
        <v>995</v>
      </c>
      <c r="H1215" s="39"/>
      <c r="I1215" s="39"/>
    </row>
    <row r="1216">
      <c r="A1216" s="39" t="s">
        <v>513</v>
      </c>
      <c r="B1216" s="39" t="s">
        <v>1597</v>
      </c>
      <c r="C1216" s="39">
        <v>13.0</v>
      </c>
      <c r="D1216" s="39" t="s">
        <v>87</v>
      </c>
      <c r="E1216" s="39" t="s">
        <v>2468</v>
      </c>
      <c r="F1216" s="39"/>
      <c r="G1216" s="39" t="s">
        <v>2469</v>
      </c>
      <c r="H1216" s="39"/>
      <c r="I1216" s="39"/>
    </row>
    <row r="1217">
      <c r="A1217" s="39" t="s">
        <v>513</v>
      </c>
      <c r="B1217" s="39" t="s">
        <v>1597</v>
      </c>
      <c r="C1217" s="39">
        <v>14.0</v>
      </c>
      <c r="D1217" s="39" t="s">
        <v>87</v>
      </c>
      <c r="E1217" s="39" t="s">
        <v>2470</v>
      </c>
      <c r="F1217" s="39"/>
      <c r="G1217" s="39" t="s">
        <v>2471</v>
      </c>
      <c r="H1217" s="39"/>
      <c r="I1217" s="39"/>
    </row>
    <row r="1218">
      <c r="A1218" s="39" t="s">
        <v>513</v>
      </c>
      <c r="B1218" s="39" t="s">
        <v>1597</v>
      </c>
      <c r="C1218" s="39">
        <v>15.0</v>
      </c>
      <c r="D1218" s="39" t="s">
        <v>87</v>
      </c>
      <c r="E1218" s="39" t="s">
        <v>2472</v>
      </c>
      <c r="F1218" s="39"/>
      <c r="G1218" s="39" t="s">
        <v>2473</v>
      </c>
      <c r="H1218" s="39"/>
      <c r="I1218" s="39"/>
    </row>
    <row r="1219">
      <c r="A1219" s="39" t="s">
        <v>513</v>
      </c>
      <c r="B1219" s="39" t="s">
        <v>1597</v>
      </c>
      <c r="C1219" s="39">
        <v>16.0</v>
      </c>
      <c r="D1219" s="39" t="s">
        <v>839</v>
      </c>
      <c r="E1219" s="39" t="s">
        <v>2474</v>
      </c>
      <c r="F1219" s="39"/>
      <c r="G1219" s="39" t="s">
        <v>874</v>
      </c>
      <c r="H1219" s="39"/>
      <c r="I1219" s="39"/>
    </row>
    <row r="1220">
      <c r="A1220" s="39" t="s">
        <v>513</v>
      </c>
      <c r="B1220" s="39" t="s">
        <v>1597</v>
      </c>
      <c r="C1220" s="39">
        <v>17.0</v>
      </c>
      <c r="D1220" s="39" t="s">
        <v>839</v>
      </c>
      <c r="E1220" s="39" t="s">
        <v>2475</v>
      </c>
      <c r="F1220" s="39"/>
      <c r="G1220" s="39" t="s">
        <v>880</v>
      </c>
      <c r="H1220" s="39"/>
      <c r="I1220" s="39"/>
    </row>
    <row r="1221">
      <c r="A1221" s="39" t="s">
        <v>513</v>
      </c>
      <c r="B1221" s="39" t="s">
        <v>1597</v>
      </c>
      <c r="C1221" s="39">
        <v>20.0</v>
      </c>
      <c r="D1221" s="39" t="s">
        <v>84</v>
      </c>
      <c r="E1221" s="39" t="s">
        <v>2476</v>
      </c>
      <c r="F1221" s="39"/>
      <c r="G1221" s="39" t="s">
        <v>2477</v>
      </c>
      <c r="H1221" s="39" t="s">
        <v>2478</v>
      </c>
      <c r="I1221" s="39"/>
    </row>
    <row r="1222">
      <c r="A1222" s="39" t="s">
        <v>513</v>
      </c>
      <c r="B1222" s="39" t="s">
        <v>1597</v>
      </c>
      <c r="C1222" s="39">
        <v>21.0</v>
      </c>
      <c r="D1222" s="39" t="s">
        <v>84</v>
      </c>
      <c r="E1222" s="39" t="s">
        <v>2479</v>
      </c>
      <c r="F1222" s="39"/>
      <c r="G1222" s="39" t="s">
        <v>2480</v>
      </c>
      <c r="H1222" s="39" t="s">
        <v>2481</v>
      </c>
      <c r="I1222" s="39"/>
    </row>
    <row r="1223">
      <c r="A1223" s="39" t="s">
        <v>513</v>
      </c>
      <c r="B1223" s="39" t="s">
        <v>1597</v>
      </c>
      <c r="C1223" s="39">
        <v>23.0</v>
      </c>
      <c r="D1223" s="39" t="s">
        <v>875</v>
      </c>
      <c r="E1223" s="39" t="s">
        <v>2482</v>
      </c>
      <c r="F1223" s="39"/>
      <c r="G1223" s="39" t="s">
        <v>1216</v>
      </c>
      <c r="H1223" s="39"/>
      <c r="I1223" s="39"/>
    </row>
    <row r="1224">
      <c r="A1224" s="39" t="s">
        <v>513</v>
      </c>
      <c r="B1224" s="39" t="s">
        <v>1597</v>
      </c>
      <c r="C1224" s="39">
        <v>24.0</v>
      </c>
      <c r="D1224" s="39" t="s">
        <v>875</v>
      </c>
      <c r="E1224" s="39" t="s">
        <v>2483</v>
      </c>
      <c r="F1224" s="39"/>
      <c r="G1224" s="39" t="s">
        <v>1216</v>
      </c>
      <c r="H1224" s="39"/>
      <c r="I1224" s="39"/>
    </row>
    <row r="1225">
      <c r="A1225" s="39" t="s">
        <v>513</v>
      </c>
      <c r="B1225" s="39" t="s">
        <v>1597</v>
      </c>
      <c r="C1225" s="39">
        <v>25.0</v>
      </c>
      <c r="D1225" s="39" t="s">
        <v>875</v>
      </c>
      <c r="E1225" s="39" t="s">
        <v>2484</v>
      </c>
      <c r="F1225" s="39"/>
      <c r="G1225" s="39" t="s">
        <v>2485</v>
      </c>
      <c r="H1225" s="39"/>
      <c r="I1225" s="39"/>
    </row>
    <row r="1226">
      <c r="A1226" s="39" t="s">
        <v>513</v>
      </c>
      <c r="B1226" s="39" t="s">
        <v>1597</v>
      </c>
      <c r="C1226" s="39">
        <v>26.0</v>
      </c>
      <c r="D1226" s="39" t="s">
        <v>88</v>
      </c>
      <c r="E1226" s="39" t="s">
        <v>2486</v>
      </c>
      <c r="F1226" s="39"/>
      <c r="G1226" s="39" t="s">
        <v>901</v>
      </c>
      <c r="H1226" s="39"/>
      <c r="I1226" s="39"/>
    </row>
    <row r="1227">
      <c r="A1227" s="39" t="s">
        <v>513</v>
      </c>
      <c r="B1227" s="39" t="s">
        <v>1597</v>
      </c>
      <c r="C1227" s="39">
        <v>27.0</v>
      </c>
      <c r="D1227" s="39" t="s">
        <v>88</v>
      </c>
      <c r="E1227" s="39" t="s">
        <v>2487</v>
      </c>
      <c r="F1227" s="39"/>
      <c r="G1227" s="39" t="s">
        <v>895</v>
      </c>
      <c r="H1227" s="39"/>
      <c r="I1227" s="39"/>
    </row>
    <row r="1228">
      <c r="A1228" s="39" t="s">
        <v>513</v>
      </c>
      <c r="B1228" s="39" t="s">
        <v>1597</v>
      </c>
      <c r="C1228" s="39">
        <v>28.0</v>
      </c>
      <c r="D1228" s="39" t="s">
        <v>88</v>
      </c>
      <c r="E1228" s="39" t="s">
        <v>2488</v>
      </c>
      <c r="F1228" s="39"/>
      <c r="G1228" s="39" t="s">
        <v>895</v>
      </c>
      <c r="H1228" s="39"/>
      <c r="I1228" s="39"/>
    </row>
    <row r="1229">
      <c r="A1229" s="39" t="s">
        <v>513</v>
      </c>
      <c r="B1229" s="39" t="s">
        <v>1597</v>
      </c>
      <c r="C1229" s="39">
        <v>29.0</v>
      </c>
      <c r="D1229" s="39" t="s">
        <v>88</v>
      </c>
      <c r="E1229" s="39" t="s">
        <v>2489</v>
      </c>
      <c r="F1229" s="39"/>
      <c r="G1229" s="39" t="s">
        <v>892</v>
      </c>
      <c r="H1229" s="39"/>
      <c r="I1229" s="39"/>
    </row>
    <row r="1230">
      <c r="A1230" s="39" t="s">
        <v>513</v>
      </c>
      <c r="B1230" s="39" t="s">
        <v>1597</v>
      </c>
      <c r="C1230" s="39">
        <v>30.0</v>
      </c>
      <c r="D1230" s="39" t="s">
        <v>88</v>
      </c>
      <c r="E1230" s="39" t="s">
        <v>2490</v>
      </c>
      <c r="F1230" s="39"/>
      <c r="G1230" s="39" t="s">
        <v>892</v>
      </c>
      <c r="H1230" s="39"/>
      <c r="I1230" s="39"/>
    </row>
    <row r="1231">
      <c r="A1231" s="39" t="s">
        <v>513</v>
      </c>
      <c r="B1231" s="39" t="s">
        <v>1597</v>
      </c>
      <c r="C1231" s="39">
        <v>31.0</v>
      </c>
      <c r="D1231" s="39" t="s">
        <v>902</v>
      </c>
      <c r="E1231" s="39" t="s">
        <v>2491</v>
      </c>
      <c r="F1231" s="39"/>
      <c r="G1231" s="56" t="s">
        <v>822</v>
      </c>
      <c r="H1231" s="39" t="s">
        <v>1036</v>
      </c>
      <c r="I1231" s="39"/>
    </row>
    <row r="1232">
      <c r="A1232" s="39" t="s">
        <v>513</v>
      </c>
      <c r="B1232" s="39" t="s">
        <v>1597</v>
      </c>
      <c r="C1232" s="39">
        <v>32.0</v>
      </c>
      <c r="D1232" s="39" t="s">
        <v>902</v>
      </c>
      <c r="E1232" s="39" t="s">
        <v>2492</v>
      </c>
      <c r="F1232" s="39"/>
      <c r="G1232" s="56" t="s">
        <v>801</v>
      </c>
      <c r="H1232" s="39" t="s">
        <v>2493</v>
      </c>
      <c r="I1232" s="39"/>
    </row>
    <row r="1233">
      <c r="A1233" s="39" t="s">
        <v>513</v>
      </c>
      <c r="B1233" s="39" t="s">
        <v>1597</v>
      </c>
      <c r="C1233" s="39">
        <v>33.0</v>
      </c>
      <c r="D1233" s="39" t="s">
        <v>902</v>
      </c>
      <c r="E1233" s="39" t="s">
        <v>2494</v>
      </c>
      <c r="F1233" s="39"/>
      <c r="G1233" s="39" t="s">
        <v>809</v>
      </c>
      <c r="H1233" s="39" t="s">
        <v>1726</v>
      </c>
      <c r="I1233" s="39"/>
    </row>
    <row r="1234">
      <c r="A1234" s="39" t="s">
        <v>513</v>
      </c>
      <c r="B1234" s="39" t="s">
        <v>1597</v>
      </c>
      <c r="C1234" s="39">
        <v>34.0</v>
      </c>
      <c r="D1234" s="39" t="s">
        <v>902</v>
      </c>
      <c r="E1234" s="39" t="s">
        <v>2495</v>
      </c>
      <c r="F1234" s="39"/>
      <c r="G1234" s="56" t="s">
        <v>825</v>
      </c>
      <c r="H1234" s="39" t="s">
        <v>2493</v>
      </c>
      <c r="I1234" s="39"/>
    </row>
    <row r="1235">
      <c r="A1235" s="39" t="s">
        <v>513</v>
      </c>
      <c r="B1235" s="39" t="s">
        <v>1597</v>
      </c>
      <c r="C1235" s="39">
        <v>35.0</v>
      </c>
      <c r="D1235" s="39" t="s">
        <v>902</v>
      </c>
      <c r="E1235" s="39" t="s">
        <v>2496</v>
      </c>
      <c r="F1235" s="39"/>
      <c r="G1235" s="56" t="s">
        <v>822</v>
      </c>
      <c r="H1235" s="39" t="s">
        <v>1036</v>
      </c>
      <c r="I1235" s="39"/>
    </row>
    <row r="1236">
      <c r="A1236" s="39" t="s">
        <v>513</v>
      </c>
      <c r="B1236" s="39" t="s">
        <v>1597</v>
      </c>
      <c r="C1236" s="39">
        <v>36.0</v>
      </c>
      <c r="D1236" s="39" t="s">
        <v>902</v>
      </c>
      <c r="E1236" s="39" t="s">
        <v>2497</v>
      </c>
      <c r="F1236" s="39"/>
      <c r="G1236" s="56" t="s">
        <v>801</v>
      </c>
      <c r="H1236" s="39" t="s">
        <v>2493</v>
      </c>
      <c r="I1236" s="39"/>
    </row>
    <row r="1237">
      <c r="A1237" s="39" t="s">
        <v>513</v>
      </c>
      <c r="B1237" s="39" t="s">
        <v>1597</v>
      </c>
      <c r="C1237" s="39">
        <v>37.0</v>
      </c>
      <c r="D1237" s="39" t="s">
        <v>902</v>
      </c>
      <c r="E1237" s="39" t="s">
        <v>2498</v>
      </c>
      <c r="F1237" s="39"/>
      <c r="G1237" s="39" t="s">
        <v>809</v>
      </c>
      <c r="H1237" s="39" t="s">
        <v>1036</v>
      </c>
      <c r="I1237" s="39"/>
    </row>
    <row r="1238">
      <c r="A1238" s="39" t="s">
        <v>513</v>
      </c>
      <c r="B1238" s="39" t="s">
        <v>1597</v>
      </c>
      <c r="C1238" s="39">
        <v>38.0</v>
      </c>
      <c r="D1238" s="39" t="s">
        <v>902</v>
      </c>
      <c r="E1238" s="39" t="s">
        <v>2499</v>
      </c>
      <c r="F1238" s="39"/>
      <c r="G1238" s="56" t="s">
        <v>825</v>
      </c>
      <c r="H1238" s="39" t="s">
        <v>2500</v>
      </c>
      <c r="I1238" s="39"/>
    </row>
    <row r="1239">
      <c r="A1239" s="39" t="s">
        <v>513</v>
      </c>
      <c r="B1239" s="39" t="s">
        <v>1597</v>
      </c>
      <c r="C1239" s="39">
        <v>39.0</v>
      </c>
      <c r="D1239" s="39" t="s">
        <v>90</v>
      </c>
      <c r="E1239" s="39" t="s">
        <v>2501</v>
      </c>
      <c r="F1239" s="39"/>
      <c r="G1239" s="39" t="s">
        <v>927</v>
      </c>
      <c r="H1239" s="39"/>
      <c r="I1239" s="39"/>
    </row>
    <row r="1240">
      <c r="A1240" s="39" t="s">
        <v>513</v>
      </c>
      <c r="B1240" s="39" t="s">
        <v>1597</v>
      </c>
      <c r="C1240" s="39">
        <v>40.0</v>
      </c>
      <c r="D1240" s="39" t="s">
        <v>90</v>
      </c>
      <c r="E1240" s="39" t="s">
        <v>2502</v>
      </c>
      <c r="F1240" s="39"/>
      <c r="G1240" s="39" t="s">
        <v>924</v>
      </c>
      <c r="H1240" s="39"/>
      <c r="I1240" s="39"/>
    </row>
    <row r="1241">
      <c r="A1241" s="39" t="s">
        <v>513</v>
      </c>
      <c r="B1241" s="39" t="s">
        <v>1597</v>
      </c>
      <c r="C1241" s="39">
        <v>41.0</v>
      </c>
      <c r="D1241" s="39" t="s">
        <v>90</v>
      </c>
      <c r="E1241" s="39" t="s">
        <v>2503</v>
      </c>
      <c r="F1241" s="39"/>
      <c r="G1241" s="39" t="s">
        <v>930</v>
      </c>
      <c r="H1241" s="39"/>
      <c r="I1241" s="39"/>
    </row>
    <row r="1242">
      <c r="A1242" s="39" t="s">
        <v>513</v>
      </c>
      <c r="B1242" s="39" t="s">
        <v>1597</v>
      </c>
      <c r="C1242" s="39">
        <v>42.0</v>
      </c>
      <c r="D1242" s="39" t="s">
        <v>90</v>
      </c>
      <c r="E1242" s="39" t="s">
        <v>2504</v>
      </c>
      <c r="F1242" s="39"/>
      <c r="G1242" s="39" t="s">
        <v>939</v>
      </c>
      <c r="H1242" s="39"/>
      <c r="I1242" s="39"/>
    </row>
    <row r="1243">
      <c r="A1243" s="39" t="s">
        <v>513</v>
      </c>
      <c r="B1243" s="39" t="s">
        <v>1597</v>
      </c>
      <c r="C1243" s="39">
        <v>43.0</v>
      </c>
      <c r="D1243" s="39" t="s">
        <v>90</v>
      </c>
      <c r="E1243" s="39" t="s">
        <v>2505</v>
      </c>
      <c r="F1243" s="39"/>
      <c r="G1243" s="56" t="s">
        <v>822</v>
      </c>
      <c r="H1243" s="39"/>
      <c r="I1243" s="39"/>
    </row>
    <row r="1244">
      <c r="A1244" s="39" t="s">
        <v>513</v>
      </c>
      <c r="B1244" s="39" t="s">
        <v>1597</v>
      </c>
      <c r="C1244" s="39">
        <v>44.0</v>
      </c>
      <c r="D1244" s="39" t="s">
        <v>90</v>
      </c>
      <c r="E1244" s="39" t="s">
        <v>2506</v>
      </c>
      <c r="F1244" s="39"/>
      <c r="G1244" s="56" t="s">
        <v>836</v>
      </c>
      <c r="H1244" s="39"/>
      <c r="I1244" s="39"/>
    </row>
    <row r="1245">
      <c r="A1245" s="39" t="s">
        <v>513</v>
      </c>
      <c r="B1245" s="39" t="s">
        <v>1597</v>
      </c>
      <c r="C1245" s="39">
        <v>45.0</v>
      </c>
      <c r="D1245" s="39" t="s">
        <v>90</v>
      </c>
      <c r="E1245" s="39" t="s">
        <v>2507</v>
      </c>
      <c r="F1245" s="39"/>
      <c r="G1245" s="56" t="s">
        <v>801</v>
      </c>
      <c r="H1245" s="39"/>
      <c r="I1245" s="39"/>
    </row>
    <row r="1246">
      <c r="A1246" s="39" t="s">
        <v>513</v>
      </c>
      <c r="B1246" s="39" t="s">
        <v>1597</v>
      </c>
      <c r="C1246" s="39">
        <v>46.0</v>
      </c>
      <c r="D1246" s="39" t="s">
        <v>92</v>
      </c>
      <c r="E1246" s="39" t="s">
        <v>2508</v>
      </c>
      <c r="F1246" s="39"/>
      <c r="G1246" s="39" t="s">
        <v>950</v>
      </c>
      <c r="H1246" s="39" t="s">
        <v>951</v>
      </c>
      <c r="I1246" s="39"/>
    </row>
    <row r="1247">
      <c r="A1247" s="39" t="s">
        <v>513</v>
      </c>
      <c r="B1247" s="39" t="s">
        <v>1597</v>
      </c>
      <c r="C1247" s="39">
        <v>47.0</v>
      </c>
      <c r="D1247" s="39" t="s">
        <v>92</v>
      </c>
      <c r="E1247" s="39" t="s">
        <v>2509</v>
      </c>
      <c r="F1247" s="39"/>
      <c r="G1247" s="39" t="s">
        <v>2034</v>
      </c>
      <c r="H1247" s="39"/>
      <c r="I1247" s="39"/>
    </row>
    <row r="1248">
      <c r="A1248" s="39" t="s">
        <v>513</v>
      </c>
      <c r="B1248" s="39" t="s">
        <v>1597</v>
      </c>
      <c r="C1248" s="39">
        <v>48.0</v>
      </c>
      <c r="D1248" s="39" t="s">
        <v>92</v>
      </c>
      <c r="E1248" s="39" t="s">
        <v>2510</v>
      </c>
      <c r="F1248" s="39"/>
      <c r="G1248" s="39" t="s">
        <v>2511</v>
      </c>
      <c r="H1248" s="39" t="s">
        <v>2512</v>
      </c>
      <c r="I1248" s="39"/>
    </row>
    <row r="1249">
      <c r="A1249" s="39" t="s">
        <v>513</v>
      </c>
      <c r="B1249" s="39" t="s">
        <v>1597</v>
      </c>
      <c r="C1249" s="39">
        <v>49.0</v>
      </c>
      <c r="D1249" s="39" t="s">
        <v>92</v>
      </c>
      <c r="E1249" s="39" t="s">
        <v>2513</v>
      </c>
      <c r="F1249" s="39"/>
      <c r="G1249" s="39" t="s">
        <v>947</v>
      </c>
      <c r="H1249" s="39"/>
      <c r="I1249" s="39"/>
    </row>
    <row r="1250">
      <c r="A1250" s="39" t="s">
        <v>513</v>
      </c>
      <c r="B1250" s="39" t="s">
        <v>1597</v>
      </c>
      <c r="C1250" s="39">
        <v>50.0</v>
      </c>
      <c r="D1250" s="39" t="s">
        <v>91</v>
      </c>
      <c r="E1250" s="39" t="s">
        <v>2514</v>
      </c>
      <c r="F1250" s="39"/>
      <c r="G1250" s="56" t="s">
        <v>822</v>
      </c>
      <c r="H1250" s="39"/>
      <c r="I1250" s="39"/>
    </row>
    <row r="1251">
      <c r="A1251" s="39" t="s">
        <v>513</v>
      </c>
      <c r="B1251" s="39" t="s">
        <v>1597</v>
      </c>
      <c r="C1251" s="39">
        <v>51.0</v>
      </c>
      <c r="D1251" s="39" t="s">
        <v>91</v>
      </c>
      <c r="E1251" s="39" t="s">
        <v>2515</v>
      </c>
      <c r="F1251" s="39"/>
      <c r="G1251" s="39" t="s">
        <v>809</v>
      </c>
      <c r="H1251" s="39"/>
      <c r="I1251" s="39"/>
    </row>
    <row r="1252">
      <c r="A1252" s="39" t="s">
        <v>513</v>
      </c>
      <c r="B1252" s="39" t="s">
        <v>1597</v>
      </c>
      <c r="C1252" s="39">
        <v>52.0</v>
      </c>
      <c r="D1252" s="39" t="s">
        <v>91</v>
      </c>
      <c r="E1252" s="39" t="s">
        <v>2516</v>
      </c>
      <c r="F1252" s="39"/>
      <c r="G1252" s="56" t="s">
        <v>836</v>
      </c>
      <c r="H1252" s="39"/>
      <c r="I1252" s="39"/>
    </row>
    <row r="1253">
      <c r="A1253" s="39" t="s">
        <v>513</v>
      </c>
      <c r="B1253" s="39" t="s">
        <v>1597</v>
      </c>
      <c r="C1253" s="39">
        <v>53.0</v>
      </c>
      <c r="D1253" s="39" t="s">
        <v>92</v>
      </c>
      <c r="E1253" s="39" t="s">
        <v>2517</v>
      </c>
      <c r="F1253" s="39"/>
      <c r="G1253" s="39" t="s">
        <v>1355</v>
      </c>
      <c r="H1253" s="39" t="s">
        <v>1356</v>
      </c>
      <c r="I1253" s="39"/>
    </row>
    <row r="1254">
      <c r="A1254" s="39" t="s">
        <v>513</v>
      </c>
      <c r="B1254" s="39" t="s">
        <v>1597</v>
      </c>
      <c r="C1254" s="39">
        <v>54.0</v>
      </c>
      <c r="D1254" s="39" t="s">
        <v>92</v>
      </c>
      <c r="E1254" s="39" t="s">
        <v>2518</v>
      </c>
      <c r="F1254" s="39"/>
      <c r="G1254" s="39" t="s">
        <v>945</v>
      </c>
      <c r="H1254" s="39"/>
      <c r="I1254" s="39"/>
    </row>
    <row r="1255">
      <c r="A1255" s="39" t="s">
        <v>513</v>
      </c>
      <c r="B1255" s="39" t="s">
        <v>1597</v>
      </c>
      <c r="C1255" s="39">
        <v>55.0</v>
      </c>
      <c r="D1255" s="39" t="s">
        <v>92</v>
      </c>
      <c r="E1255" s="39" t="s">
        <v>2519</v>
      </c>
      <c r="F1255" s="39"/>
      <c r="G1255" s="39" t="s">
        <v>2520</v>
      </c>
      <c r="H1255" s="39" t="s">
        <v>2521</v>
      </c>
      <c r="I1255" s="39"/>
    </row>
    <row r="1256">
      <c r="A1256" s="39" t="s">
        <v>513</v>
      </c>
      <c r="B1256" s="39" t="s">
        <v>1597</v>
      </c>
      <c r="C1256" s="39">
        <v>58.0</v>
      </c>
      <c r="D1256" s="39" t="s">
        <v>84</v>
      </c>
      <c r="E1256" s="59" t="s">
        <v>2522</v>
      </c>
      <c r="F1256" s="59"/>
      <c r="G1256" s="59" t="s">
        <v>2523</v>
      </c>
      <c r="H1256" s="59" t="s">
        <v>2524</v>
      </c>
      <c r="I1256" s="39"/>
    </row>
    <row r="1257">
      <c r="A1257" s="39" t="s">
        <v>513</v>
      </c>
      <c r="B1257" s="39" t="s">
        <v>1597</v>
      </c>
      <c r="C1257" s="39">
        <v>62.0</v>
      </c>
      <c r="D1257" s="39" t="s">
        <v>839</v>
      </c>
      <c r="E1257" s="39" t="s">
        <v>2525</v>
      </c>
      <c r="F1257" s="39"/>
      <c r="G1257" s="39" t="str">
        <f>IFERROR(__xludf.DUMMYFUNCTION("IFS(REGEXMATCH(E1257, ""ammo_ar""), ""Daedalus AR Ammo"", REGEXMATCH(E1257, ""ammo_ps""), ""Daedalus Pistol Ammo"", REGEXMATCH(E1257, ""ammo_sg""), ""Daedalus Shotgun Ammo"", REGEXMATCH(E1257, ""ammo_sm""), ""Daedalus SMG Ammo"", REGEXMATCH(E1257, ""ammo_"&amp;"sr""), ""Daedalus SR Ammo"")"),"Daedalus SMG Ammo")</f>
        <v>Daedalus SMG Ammo</v>
      </c>
      <c r="H1257" s="39"/>
      <c r="I1257" s="39"/>
    </row>
    <row r="1258">
      <c r="A1258" s="39" t="s">
        <v>513</v>
      </c>
      <c r="B1258" s="39" t="s">
        <v>1597</v>
      </c>
      <c r="C1258" s="39">
        <v>63.0</v>
      </c>
      <c r="D1258" s="39" t="s">
        <v>839</v>
      </c>
      <c r="E1258" s="39" t="s">
        <v>2526</v>
      </c>
      <c r="F1258" s="39"/>
      <c r="G1258" s="39" t="str">
        <f>IFERROR(__xludf.DUMMYFUNCTION("IFS(REGEXMATCH(E1258, ""ammo_ar""), ""Daedalus AR Ammo"", REGEXMATCH(E1258, ""ammo_ps""), ""Daedalus Pistol Ammo"", REGEXMATCH(E1258, ""ammo_sg""), ""Daedalus Shotgun Ammo"", REGEXMATCH(E1258, ""ammo_sm""), ""Daedalus SMG Ammo"", REGEXMATCH(E1258, ""ammo_"&amp;"sr""), ""Daedalus SR Ammo"")"),"Daedalus Shotgun Ammo")</f>
        <v>Daedalus Shotgun Ammo</v>
      </c>
      <c r="H1258" s="39"/>
      <c r="I1258" s="39"/>
    </row>
    <row r="1259">
      <c r="A1259" s="39" t="s">
        <v>513</v>
      </c>
      <c r="B1259" s="39" t="s">
        <v>1597</v>
      </c>
      <c r="C1259" s="39">
        <v>64.0</v>
      </c>
      <c r="D1259" s="39" t="s">
        <v>839</v>
      </c>
      <c r="E1259" s="39" t="s">
        <v>2527</v>
      </c>
      <c r="F1259" s="39"/>
      <c r="G1259" s="39" t="str">
        <f>IFERROR(__xludf.DUMMYFUNCTION("IFS(REGEXMATCH(E1259, ""ammo_ar""), ""Daedalus AR Ammo"", REGEXMATCH(E1259, ""ammo_ps""), ""Daedalus Pistol Ammo"", REGEXMATCH(E1259, ""ammo_sg""), ""Daedalus Shotgun Ammo"", REGEXMATCH(E1259, ""ammo_sm""), ""Daedalus SMG Ammo"", REGEXMATCH(E1259, ""ammo_"&amp;"sr""), ""Daedalus SR Ammo"")"),"Daedalus AR Ammo")</f>
        <v>Daedalus AR Ammo</v>
      </c>
      <c r="H1259" s="39"/>
      <c r="I1259" s="39"/>
    </row>
    <row r="1260">
      <c r="A1260" s="39" t="s">
        <v>513</v>
      </c>
      <c r="B1260" s="39" t="s">
        <v>1597</v>
      </c>
      <c r="C1260" s="39">
        <v>65.0</v>
      </c>
      <c r="D1260" s="39" t="s">
        <v>839</v>
      </c>
      <c r="E1260" s="39" t="s">
        <v>2528</v>
      </c>
      <c r="F1260" s="39"/>
      <c r="G1260" s="39" t="str">
        <f>IFERROR(__xludf.DUMMYFUNCTION("IFS(REGEXMATCH(E1260, ""ammo_ar""), ""Daedalus AR Ammo"", REGEXMATCH(E1260, ""ammo_ps""), ""Daedalus Pistol Ammo"", REGEXMATCH(E1260, ""ammo_sg""), ""Daedalus Shotgun Ammo"", REGEXMATCH(E1260, ""ammo_sm""), ""Daedalus SMG Ammo"", REGEXMATCH(E1260, ""ammo_"&amp;"sr""), ""Daedalus SR Ammo"")"),"Daedalus Pistol Ammo")</f>
        <v>Daedalus Pistol Ammo</v>
      </c>
      <c r="H1260" s="39"/>
      <c r="I1260" s="39"/>
    </row>
    <row r="1261">
      <c r="A1261" s="39" t="s">
        <v>513</v>
      </c>
      <c r="B1261" s="39" t="s">
        <v>1597</v>
      </c>
      <c r="C1261" s="39">
        <v>66.0</v>
      </c>
      <c r="D1261" s="39" t="s">
        <v>819</v>
      </c>
      <c r="E1261" s="39" t="s">
        <v>2529</v>
      </c>
      <c r="F1261" s="39"/>
      <c r="G1261" s="56" t="s">
        <v>822</v>
      </c>
      <c r="H1261" s="39"/>
      <c r="I1261" s="39"/>
    </row>
    <row r="1262">
      <c r="A1262" s="39" t="s">
        <v>513</v>
      </c>
      <c r="B1262" s="39" t="s">
        <v>1597</v>
      </c>
      <c r="C1262" s="39">
        <v>67.0</v>
      </c>
      <c r="D1262" s="39" t="s">
        <v>819</v>
      </c>
      <c r="E1262" s="39" t="s">
        <v>2530</v>
      </c>
      <c r="F1262" s="39"/>
      <c r="G1262" s="56" t="s">
        <v>801</v>
      </c>
      <c r="H1262" s="39"/>
      <c r="I1262" s="39"/>
    </row>
    <row r="1263">
      <c r="A1263" s="39" t="s">
        <v>513</v>
      </c>
      <c r="B1263" s="39" t="s">
        <v>1597</v>
      </c>
      <c r="C1263" s="39">
        <v>68.0</v>
      </c>
      <c r="D1263" s="39" t="s">
        <v>819</v>
      </c>
      <c r="E1263" s="39" t="s">
        <v>2531</v>
      </c>
      <c r="F1263" s="39"/>
      <c r="G1263" s="56" t="s">
        <v>822</v>
      </c>
      <c r="H1263" s="39"/>
      <c r="I1263" s="39"/>
    </row>
    <row r="1264">
      <c r="A1264" s="39" t="s">
        <v>513</v>
      </c>
      <c r="B1264" s="39" t="s">
        <v>1597</v>
      </c>
      <c r="C1264" s="39">
        <v>69.0</v>
      </c>
      <c r="D1264" s="39" t="s">
        <v>819</v>
      </c>
      <c r="E1264" s="39" t="s">
        <v>2532</v>
      </c>
      <c r="F1264" s="39"/>
      <c r="G1264" s="39" t="s">
        <v>809</v>
      </c>
      <c r="H1264" s="39"/>
      <c r="I1264" s="39"/>
    </row>
    <row r="1265">
      <c r="A1265" s="39" t="s">
        <v>513</v>
      </c>
      <c r="B1265" s="39" t="s">
        <v>1597</v>
      </c>
      <c r="C1265" s="39">
        <v>70.0</v>
      </c>
      <c r="D1265" s="39" t="s">
        <v>819</v>
      </c>
      <c r="E1265" s="39" t="s">
        <v>2533</v>
      </c>
      <c r="F1265" s="39"/>
      <c r="G1265" s="56" t="s">
        <v>822</v>
      </c>
      <c r="H1265" s="39"/>
      <c r="I1265" s="39"/>
    </row>
    <row r="1266">
      <c r="A1266" s="39" t="s">
        <v>513</v>
      </c>
      <c r="B1266" s="39" t="s">
        <v>1597</v>
      </c>
      <c r="C1266" s="39">
        <v>71.0</v>
      </c>
      <c r="D1266" s="39" t="s">
        <v>819</v>
      </c>
      <c r="E1266" s="39" t="s">
        <v>2534</v>
      </c>
      <c r="F1266" s="39"/>
      <c r="G1266" s="56" t="s">
        <v>806</v>
      </c>
      <c r="H1266" s="39"/>
      <c r="I1266" s="39"/>
    </row>
    <row r="1267">
      <c r="A1267" s="39" t="s">
        <v>513</v>
      </c>
      <c r="B1267" s="39" t="s">
        <v>1597</v>
      </c>
      <c r="C1267" s="39">
        <v>72.0</v>
      </c>
      <c r="D1267" s="39" t="s">
        <v>819</v>
      </c>
      <c r="E1267" s="39" t="s">
        <v>2535</v>
      </c>
      <c r="F1267" s="39"/>
      <c r="G1267" s="56" t="s">
        <v>836</v>
      </c>
      <c r="H1267" s="39"/>
      <c r="I1267" s="39"/>
    </row>
    <row r="1268">
      <c r="A1268" s="39" t="s">
        <v>513</v>
      </c>
      <c r="B1268" s="39" t="s">
        <v>1597</v>
      </c>
      <c r="C1268" s="39">
        <v>73.0</v>
      </c>
      <c r="D1268" s="39" t="s">
        <v>819</v>
      </c>
      <c r="E1268" s="39" t="s">
        <v>2536</v>
      </c>
      <c r="F1268" s="39"/>
      <c r="G1268" s="56" t="s">
        <v>836</v>
      </c>
      <c r="H1268" s="39"/>
      <c r="I1268" s="39"/>
    </row>
    <row r="1269">
      <c r="A1269" s="39" t="s">
        <v>513</v>
      </c>
      <c r="B1269" s="39" t="s">
        <v>1597</v>
      </c>
      <c r="C1269" s="39">
        <v>74.0</v>
      </c>
      <c r="D1269" s="39" t="s">
        <v>839</v>
      </c>
      <c r="E1269" s="39" t="s">
        <v>2537</v>
      </c>
      <c r="F1269" s="39"/>
      <c r="G1269" s="39" t="s">
        <v>842</v>
      </c>
      <c r="H1269" s="39"/>
      <c r="I1269" s="39"/>
    </row>
    <row r="1270">
      <c r="A1270" s="39" t="s">
        <v>513</v>
      </c>
      <c r="B1270" s="39" t="s">
        <v>1597</v>
      </c>
      <c r="C1270" s="39">
        <v>75.0</v>
      </c>
      <c r="D1270" s="39" t="s">
        <v>839</v>
      </c>
      <c r="E1270" s="39" t="s">
        <v>2538</v>
      </c>
      <c r="F1270" s="39"/>
      <c r="G1270" s="39" t="s">
        <v>845</v>
      </c>
      <c r="H1270" s="39"/>
      <c r="I1270" s="39"/>
    </row>
    <row r="1271">
      <c r="A1271" s="39" t="s">
        <v>513</v>
      </c>
      <c r="B1271" s="39" t="s">
        <v>1597</v>
      </c>
      <c r="C1271" s="39">
        <v>76.0</v>
      </c>
      <c r="D1271" s="39" t="s">
        <v>839</v>
      </c>
      <c r="E1271" s="39" t="s">
        <v>2539</v>
      </c>
      <c r="F1271" s="39"/>
      <c r="G1271" s="39" t="s">
        <v>847</v>
      </c>
      <c r="H1271" s="39"/>
      <c r="I1271" s="39"/>
    </row>
    <row r="1272">
      <c r="A1272" s="39" t="s">
        <v>513</v>
      </c>
      <c r="B1272" s="39" t="s">
        <v>1597</v>
      </c>
      <c r="C1272" s="39">
        <v>77.0</v>
      </c>
      <c r="D1272" s="39" t="s">
        <v>839</v>
      </c>
      <c r="E1272" s="39" t="s">
        <v>2540</v>
      </c>
      <c r="F1272" s="39"/>
      <c r="G1272" s="39" t="s">
        <v>850</v>
      </c>
      <c r="H1272" s="39"/>
      <c r="I1272" s="39"/>
    </row>
    <row r="1273">
      <c r="A1273" s="39" t="s">
        <v>513</v>
      </c>
      <c r="B1273" s="39" t="s">
        <v>1597</v>
      </c>
      <c r="C1273" s="39">
        <v>78.0</v>
      </c>
      <c r="D1273" s="39" t="s">
        <v>839</v>
      </c>
      <c r="E1273" s="39" t="s">
        <v>2541</v>
      </c>
      <c r="F1273" s="39"/>
      <c r="G1273" s="39" t="s">
        <v>853</v>
      </c>
      <c r="H1273" s="39"/>
      <c r="I1273" s="39"/>
    </row>
    <row r="1274">
      <c r="A1274" s="39" t="s">
        <v>513</v>
      </c>
      <c r="B1274" s="39" t="s">
        <v>1597</v>
      </c>
      <c r="C1274" s="39">
        <v>79.0</v>
      </c>
      <c r="D1274" s="39" t="s">
        <v>839</v>
      </c>
      <c r="E1274" s="39" t="s">
        <v>2542</v>
      </c>
      <c r="F1274" s="39"/>
      <c r="G1274" s="39" t="s">
        <v>989</v>
      </c>
      <c r="H1274" s="39"/>
      <c r="I1274" s="39"/>
    </row>
    <row r="1275">
      <c r="A1275" s="39" t="s">
        <v>513</v>
      </c>
      <c r="B1275" s="39" t="s">
        <v>1597</v>
      </c>
      <c r="C1275" s="39">
        <v>80.0</v>
      </c>
      <c r="D1275" s="39" t="s">
        <v>875</v>
      </c>
      <c r="E1275" s="39" t="s">
        <v>2543</v>
      </c>
      <c r="F1275" s="39"/>
      <c r="G1275" s="39" t="s">
        <v>883</v>
      </c>
      <c r="H1275" s="39"/>
      <c r="I1275" s="39"/>
    </row>
    <row r="1276">
      <c r="A1276" s="39" t="s">
        <v>513</v>
      </c>
      <c r="B1276" s="39" t="s">
        <v>1597</v>
      </c>
      <c r="C1276" s="39">
        <v>81.0</v>
      </c>
      <c r="D1276" s="39" t="s">
        <v>87</v>
      </c>
      <c r="E1276" s="39" t="s">
        <v>2544</v>
      </c>
      <c r="F1276" s="39"/>
      <c r="G1276" s="39" t="s">
        <v>2545</v>
      </c>
      <c r="H1276" s="39"/>
      <c r="I1276" s="39"/>
    </row>
    <row r="1277">
      <c r="A1277" s="39" t="s">
        <v>586</v>
      </c>
      <c r="B1277" s="39" t="s">
        <v>149</v>
      </c>
      <c r="C1277" s="39">
        <v>1.0</v>
      </c>
      <c r="D1277" s="39" t="s">
        <v>87</v>
      </c>
      <c r="E1277" s="39" t="s">
        <v>2546</v>
      </c>
      <c r="F1277" s="39"/>
      <c r="G1277" s="39" t="s">
        <v>2547</v>
      </c>
      <c r="H1277" s="39" t="s">
        <v>2548</v>
      </c>
      <c r="I1277" s="39"/>
    </row>
    <row r="1278">
      <c r="A1278" s="39" t="s">
        <v>586</v>
      </c>
      <c r="B1278" s="39" t="s">
        <v>149</v>
      </c>
      <c r="C1278" s="39">
        <v>2.0</v>
      </c>
      <c r="D1278" s="39" t="s">
        <v>81</v>
      </c>
      <c r="E1278" s="39" t="s">
        <v>2549</v>
      </c>
      <c r="F1278" s="39"/>
      <c r="G1278" s="39" t="s">
        <v>797</v>
      </c>
      <c r="H1278" s="39"/>
      <c r="I1278" s="39"/>
    </row>
    <row r="1279">
      <c r="A1279" s="39" t="s">
        <v>586</v>
      </c>
      <c r="B1279" s="39" t="s">
        <v>149</v>
      </c>
      <c r="C1279" s="39">
        <v>3.0</v>
      </c>
      <c r="D1279" s="39" t="s">
        <v>798</v>
      </c>
      <c r="E1279" s="39" t="s">
        <v>2550</v>
      </c>
      <c r="F1279" s="39"/>
      <c r="G1279" s="39" t="s">
        <v>809</v>
      </c>
      <c r="H1279" s="39"/>
      <c r="I1279" s="39"/>
    </row>
    <row r="1280">
      <c r="A1280" s="39" t="s">
        <v>586</v>
      </c>
      <c r="B1280" s="39" t="s">
        <v>149</v>
      </c>
      <c r="C1280" s="39">
        <v>4.0</v>
      </c>
      <c r="D1280" s="39" t="s">
        <v>798</v>
      </c>
      <c r="E1280" s="39" t="s">
        <v>2551</v>
      </c>
      <c r="F1280" s="39"/>
      <c r="G1280" s="56" t="s">
        <v>1690</v>
      </c>
      <c r="H1280" s="39"/>
      <c r="I1280" s="39"/>
    </row>
    <row r="1281">
      <c r="A1281" s="39" t="s">
        <v>586</v>
      </c>
      <c r="B1281" s="39" t="s">
        <v>149</v>
      </c>
      <c r="C1281" s="39">
        <v>5.0</v>
      </c>
      <c r="D1281" s="39" t="s">
        <v>798</v>
      </c>
      <c r="E1281" s="39" t="s">
        <v>2552</v>
      </c>
      <c r="F1281" s="39"/>
      <c r="G1281" s="56" t="s">
        <v>806</v>
      </c>
      <c r="H1281" s="39"/>
      <c r="I1281" s="39"/>
    </row>
    <row r="1282">
      <c r="A1282" s="39" t="s">
        <v>586</v>
      </c>
      <c r="B1282" s="39" t="s">
        <v>149</v>
      </c>
      <c r="C1282" s="39">
        <v>6.0</v>
      </c>
      <c r="D1282" s="39" t="s">
        <v>798</v>
      </c>
      <c r="E1282" s="39" t="s">
        <v>2553</v>
      </c>
      <c r="F1282" s="39"/>
      <c r="G1282" s="39" t="s">
        <v>809</v>
      </c>
      <c r="H1282" s="39"/>
      <c r="I1282" s="39"/>
    </row>
    <row r="1283">
      <c r="A1283" s="39" t="s">
        <v>586</v>
      </c>
      <c r="B1283" s="39" t="s">
        <v>149</v>
      </c>
      <c r="C1283" s="39">
        <v>7.0</v>
      </c>
      <c r="D1283" s="39" t="s">
        <v>84</v>
      </c>
      <c r="E1283" s="39" t="s">
        <v>2554</v>
      </c>
      <c r="F1283" s="39"/>
      <c r="G1283" s="39" t="s">
        <v>2555</v>
      </c>
      <c r="H1283" s="39"/>
      <c r="I1283" s="39"/>
    </row>
    <row r="1284">
      <c r="A1284" s="39" t="s">
        <v>586</v>
      </c>
      <c r="B1284" s="39" t="s">
        <v>149</v>
      </c>
      <c r="C1284" s="39">
        <v>8.0</v>
      </c>
      <c r="D1284" s="39" t="s">
        <v>84</v>
      </c>
      <c r="E1284" s="39" t="s">
        <v>2556</v>
      </c>
      <c r="F1284" s="39"/>
      <c r="G1284" s="39" t="s">
        <v>2557</v>
      </c>
      <c r="H1284" s="39"/>
      <c r="I1284" s="39"/>
    </row>
    <row r="1285">
      <c r="A1285" s="39" t="s">
        <v>586</v>
      </c>
      <c r="B1285" s="39" t="s">
        <v>149</v>
      </c>
      <c r="C1285" s="39">
        <v>9.0</v>
      </c>
      <c r="D1285" s="39" t="s">
        <v>839</v>
      </c>
      <c r="E1285" s="39" t="s">
        <v>2558</v>
      </c>
      <c r="F1285" s="39"/>
      <c r="G1285" s="39" t="s">
        <v>847</v>
      </c>
      <c r="H1285" s="39"/>
      <c r="I1285" s="39"/>
    </row>
    <row r="1286">
      <c r="A1286" s="39" t="s">
        <v>586</v>
      </c>
      <c r="B1286" s="39" t="s">
        <v>149</v>
      </c>
      <c r="C1286" s="39">
        <v>10.0</v>
      </c>
      <c r="D1286" s="39" t="s">
        <v>839</v>
      </c>
      <c r="E1286" s="39" t="s">
        <v>2559</v>
      </c>
      <c r="F1286" s="39"/>
      <c r="G1286" s="39" t="s">
        <v>850</v>
      </c>
      <c r="H1286" s="39"/>
      <c r="I1286" s="39"/>
    </row>
    <row r="1287">
      <c r="A1287" s="39" t="s">
        <v>586</v>
      </c>
      <c r="B1287" s="39" t="s">
        <v>149</v>
      </c>
      <c r="C1287" s="39">
        <v>11.0</v>
      </c>
      <c r="D1287" s="39" t="s">
        <v>839</v>
      </c>
      <c r="E1287" s="39" t="s">
        <v>2560</v>
      </c>
      <c r="F1287" s="39"/>
      <c r="G1287" s="39" t="s">
        <v>853</v>
      </c>
      <c r="H1287" s="39"/>
      <c r="I1287" s="39"/>
    </row>
    <row r="1288">
      <c r="A1288" s="39" t="s">
        <v>586</v>
      </c>
      <c r="B1288" s="39" t="s">
        <v>149</v>
      </c>
      <c r="C1288" s="39">
        <v>12.0</v>
      </c>
      <c r="D1288" s="39" t="s">
        <v>839</v>
      </c>
      <c r="E1288" s="39" t="s">
        <v>2561</v>
      </c>
      <c r="F1288" s="39"/>
      <c r="G1288" s="39" t="s">
        <v>2562</v>
      </c>
      <c r="H1288" s="39"/>
      <c r="I1288" s="39"/>
    </row>
    <row r="1289">
      <c r="A1289" s="39" t="s">
        <v>586</v>
      </c>
      <c r="B1289" s="39" t="s">
        <v>149</v>
      </c>
      <c r="C1289" s="39">
        <v>13.0</v>
      </c>
      <c r="D1289" s="39" t="s">
        <v>839</v>
      </c>
      <c r="E1289" s="39" t="s">
        <v>2563</v>
      </c>
      <c r="F1289" s="39"/>
      <c r="G1289" s="39" t="s">
        <v>809</v>
      </c>
      <c r="H1289" s="39"/>
      <c r="I1289" s="39"/>
    </row>
    <row r="1290">
      <c r="A1290" s="39" t="s">
        <v>586</v>
      </c>
      <c r="B1290" s="39" t="s">
        <v>149</v>
      </c>
      <c r="C1290" s="39">
        <v>14.0</v>
      </c>
      <c r="D1290" s="39" t="s">
        <v>839</v>
      </c>
      <c r="E1290" s="39" t="s">
        <v>2564</v>
      </c>
      <c r="F1290" s="39"/>
      <c r="G1290" s="39" t="s">
        <v>809</v>
      </c>
      <c r="H1290" s="39"/>
      <c r="I1290" s="39"/>
    </row>
    <row r="1291">
      <c r="A1291" s="39" t="s">
        <v>586</v>
      </c>
      <c r="B1291" s="39" t="s">
        <v>149</v>
      </c>
      <c r="C1291" s="39">
        <v>15.0</v>
      </c>
      <c r="D1291" s="39" t="s">
        <v>839</v>
      </c>
      <c r="E1291" s="39" t="s">
        <v>2565</v>
      </c>
      <c r="F1291" s="39"/>
      <c r="G1291" s="39" t="s">
        <v>809</v>
      </c>
      <c r="H1291" s="39"/>
      <c r="I1291" s="39"/>
    </row>
    <row r="1292">
      <c r="A1292" s="39" t="s">
        <v>586</v>
      </c>
      <c r="B1292" s="39" t="s">
        <v>149</v>
      </c>
      <c r="C1292" s="39">
        <v>16.0</v>
      </c>
      <c r="D1292" s="39" t="s">
        <v>839</v>
      </c>
      <c r="E1292" s="39" t="s">
        <v>2566</v>
      </c>
      <c r="F1292" s="39"/>
      <c r="G1292" s="39" t="s">
        <v>809</v>
      </c>
      <c r="H1292" s="39"/>
      <c r="I1292" s="39"/>
    </row>
    <row r="1293">
      <c r="A1293" s="39" t="s">
        <v>586</v>
      </c>
      <c r="B1293" s="39" t="s">
        <v>149</v>
      </c>
      <c r="C1293" s="39">
        <v>17.0</v>
      </c>
      <c r="D1293" s="39" t="s">
        <v>839</v>
      </c>
      <c r="E1293" s="39" t="s">
        <v>2567</v>
      </c>
      <c r="F1293" s="39"/>
      <c r="G1293" s="39" t="s">
        <v>989</v>
      </c>
      <c r="H1293" s="39"/>
      <c r="I1293" s="39"/>
    </row>
    <row r="1294">
      <c r="A1294" s="39" t="s">
        <v>586</v>
      </c>
      <c r="B1294" s="39" t="s">
        <v>149</v>
      </c>
      <c r="C1294" s="39">
        <v>18.0</v>
      </c>
      <c r="D1294" s="39" t="s">
        <v>839</v>
      </c>
      <c r="E1294" s="39" t="s">
        <v>2568</v>
      </c>
      <c r="F1294" s="39"/>
      <c r="G1294" s="39" t="s">
        <v>991</v>
      </c>
      <c r="H1294" s="39"/>
      <c r="I1294" s="39"/>
    </row>
    <row r="1295">
      <c r="A1295" s="39" t="s">
        <v>586</v>
      </c>
      <c r="B1295" s="39" t="s">
        <v>149</v>
      </c>
      <c r="C1295" s="39">
        <v>19.0</v>
      </c>
      <c r="D1295" s="39" t="s">
        <v>839</v>
      </c>
      <c r="E1295" s="39" t="s">
        <v>2569</v>
      </c>
      <c r="F1295" s="39"/>
      <c r="G1295" s="39" t="s">
        <v>993</v>
      </c>
      <c r="H1295" s="39"/>
      <c r="I1295" s="39"/>
    </row>
    <row r="1296">
      <c r="A1296" s="39" t="s">
        <v>586</v>
      </c>
      <c r="B1296" s="39" t="s">
        <v>149</v>
      </c>
      <c r="C1296" s="39">
        <v>20.0</v>
      </c>
      <c r="D1296" s="39" t="s">
        <v>839</v>
      </c>
      <c r="E1296" s="39" t="s">
        <v>2570</v>
      </c>
      <c r="F1296" s="39"/>
      <c r="G1296" s="39" t="s">
        <v>995</v>
      </c>
      <c r="H1296" s="39"/>
      <c r="I1296" s="39"/>
    </row>
    <row r="1297">
      <c r="A1297" s="39" t="s">
        <v>586</v>
      </c>
      <c r="B1297" s="39" t="s">
        <v>149</v>
      </c>
      <c r="C1297" s="39">
        <v>21.0</v>
      </c>
      <c r="D1297" s="39" t="s">
        <v>88</v>
      </c>
      <c r="E1297" s="39" t="s">
        <v>2571</v>
      </c>
      <c r="F1297" s="39"/>
      <c r="G1297" s="39" t="s">
        <v>892</v>
      </c>
      <c r="H1297" s="39" t="s">
        <v>892</v>
      </c>
      <c r="I1297" s="39"/>
    </row>
    <row r="1298">
      <c r="A1298" s="39" t="s">
        <v>586</v>
      </c>
      <c r="B1298" s="39" t="s">
        <v>149</v>
      </c>
      <c r="C1298" s="39">
        <v>22.0</v>
      </c>
      <c r="D1298" s="39" t="s">
        <v>88</v>
      </c>
      <c r="E1298" s="39" t="s">
        <v>2572</v>
      </c>
      <c r="F1298" s="39"/>
      <c r="G1298" s="39" t="s">
        <v>895</v>
      </c>
      <c r="H1298" s="39" t="s">
        <v>895</v>
      </c>
      <c r="I1298" s="39"/>
    </row>
    <row r="1299">
      <c r="A1299" s="39" t="s">
        <v>586</v>
      </c>
      <c r="B1299" s="39" t="s">
        <v>149</v>
      </c>
      <c r="C1299" s="39">
        <v>23.0</v>
      </c>
      <c r="D1299" s="39" t="s">
        <v>88</v>
      </c>
      <c r="E1299" s="39" t="s">
        <v>2573</v>
      </c>
      <c r="F1299" s="39"/>
      <c r="G1299" s="39" t="s">
        <v>901</v>
      </c>
      <c r="H1299" s="39" t="s">
        <v>901</v>
      </c>
      <c r="I1299" s="39"/>
    </row>
    <row r="1300">
      <c r="A1300" s="39" t="s">
        <v>586</v>
      </c>
      <c r="B1300" s="39" t="s">
        <v>149</v>
      </c>
      <c r="C1300" s="39">
        <v>24.0</v>
      </c>
      <c r="D1300" s="39" t="s">
        <v>88</v>
      </c>
      <c r="E1300" s="39" t="s">
        <v>2574</v>
      </c>
      <c r="F1300" s="39"/>
      <c r="G1300" s="39" t="s">
        <v>898</v>
      </c>
      <c r="H1300" s="39" t="s">
        <v>898</v>
      </c>
      <c r="I1300" s="39"/>
    </row>
    <row r="1301">
      <c r="A1301" s="39" t="s">
        <v>586</v>
      </c>
      <c r="B1301" s="39" t="s">
        <v>149</v>
      </c>
      <c r="C1301" s="39">
        <v>25.0</v>
      </c>
      <c r="D1301" s="39" t="s">
        <v>88</v>
      </c>
      <c r="E1301" s="39" t="s">
        <v>2575</v>
      </c>
      <c r="F1301" s="39"/>
      <c r="G1301" s="39" t="s">
        <v>901</v>
      </c>
      <c r="H1301" s="39" t="s">
        <v>901</v>
      </c>
      <c r="I1301" s="39"/>
    </row>
    <row r="1302">
      <c r="A1302" s="39" t="s">
        <v>586</v>
      </c>
      <c r="B1302" s="39" t="s">
        <v>149</v>
      </c>
      <c r="C1302" s="39">
        <v>26.0</v>
      </c>
      <c r="D1302" s="39" t="s">
        <v>902</v>
      </c>
      <c r="E1302" s="39" t="s">
        <v>2576</v>
      </c>
      <c r="F1302" s="39"/>
      <c r="G1302" s="56" t="s">
        <v>822</v>
      </c>
      <c r="H1302" s="39" t="s">
        <v>1726</v>
      </c>
      <c r="I1302" s="39"/>
    </row>
    <row r="1303">
      <c r="A1303" s="39" t="s">
        <v>586</v>
      </c>
      <c r="B1303" s="39" t="s">
        <v>149</v>
      </c>
      <c r="C1303" s="39">
        <v>27.0</v>
      </c>
      <c r="D1303" s="39" t="s">
        <v>902</v>
      </c>
      <c r="E1303" s="39" t="s">
        <v>2577</v>
      </c>
      <c r="F1303" s="39"/>
      <c r="G1303" s="56" t="s">
        <v>801</v>
      </c>
      <c r="H1303" s="39" t="s">
        <v>2578</v>
      </c>
      <c r="I1303" s="39"/>
    </row>
    <row r="1304">
      <c r="A1304" s="39" t="s">
        <v>586</v>
      </c>
      <c r="B1304" s="39" t="s">
        <v>149</v>
      </c>
      <c r="C1304" s="39">
        <v>28.0</v>
      </c>
      <c r="D1304" s="39" t="s">
        <v>902</v>
      </c>
      <c r="E1304" s="39" t="s">
        <v>2579</v>
      </c>
      <c r="F1304" s="39"/>
      <c r="G1304" s="39" t="s">
        <v>809</v>
      </c>
      <c r="H1304" s="39" t="s">
        <v>1036</v>
      </c>
      <c r="I1304" s="39"/>
    </row>
    <row r="1305">
      <c r="A1305" s="39" t="s">
        <v>586</v>
      </c>
      <c r="B1305" s="39" t="s">
        <v>149</v>
      </c>
      <c r="C1305" s="39">
        <v>29.0</v>
      </c>
      <c r="D1305" s="39" t="s">
        <v>902</v>
      </c>
      <c r="E1305" s="39" t="s">
        <v>2580</v>
      </c>
      <c r="F1305" s="39"/>
      <c r="G1305" s="56" t="s">
        <v>825</v>
      </c>
      <c r="H1305" s="39" t="s">
        <v>1042</v>
      </c>
      <c r="I1305" s="39"/>
    </row>
    <row r="1306">
      <c r="A1306" s="39" t="s">
        <v>586</v>
      </c>
      <c r="B1306" s="39" t="s">
        <v>149</v>
      </c>
      <c r="C1306" s="39">
        <v>30.0</v>
      </c>
      <c r="D1306" s="39" t="s">
        <v>902</v>
      </c>
      <c r="E1306" s="39" t="s">
        <v>2581</v>
      </c>
      <c r="F1306" s="39"/>
      <c r="G1306" s="56" t="s">
        <v>822</v>
      </c>
      <c r="H1306" s="39" t="s">
        <v>2582</v>
      </c>
      <c r="I1306" s="39"/>
    </row>
    <row r="1307">
      <c r="A1307" s="39" t="s">
        <v>586</v>
      </c>
      <c r="B1307" s="39" t="s">
        <v>149</v>
      </c>
      <c r="C1307" s="39">
        <v>31.0</v>
      </c>
      <c r="D1307" s="39" t="s">
        <v>902</v>
      </c>
      <c r="E1307" s="39" t="s">
        <v>2583</v>
      </c>
      <c r="F1307" s="39"/>
      <c r="G1307" s="56" t="s">
        <v>801</v>
      </c>
      <c r="H1307" s="39" t="s">
        <v>2578</v>
      </c>
      <c r="I1307" s="39"/>
    </row>
    <row r="1308">
      <c r="A1308" s="39" t="s">
        <v>586</v>
      </c>
      <c r="B1308" s="39" t="s">
        <v>149</v>
      </c>
      <c r="C1308" s="39">
        <v>32.0</v>
      </c>
      <c r="D1308" s="39" t="s">
        <v>902</v>
      </c>
      <c r="E1308" s="39" t="s">
        <v>2584</v>
      </c>
      <c r="F1308" s="39"/>
      <c r="G1308" s="39" t="s">
        <v>809</v>
      </c>
      <c r="H1308" s="39" t="s">
        <v>1042</v>
      </c>
      <c r="I1308" s="39"/>
    </row>
    <row r="1309">
      <c r="A1309" s="39" t="s">
        <v>586</v>
      </c>
      <c r="B1309" s="39" t="s">
        <v>149</v>
      </c>
      <c r="C1309" s="39">
        <v>33.0</v>
      </c>
      <c r="D1309" s="39" t="s">
        <v>902</v>
      </c>
      <c r="E1309" s="39" t="s">
        <v>2585</v>
      </c>
      <c r="F1309" s="39"/>
      <c r="G1309" s="56" t="s">
        <v>825</v>
      </c>
      <c r="H1309" s="39" t="s">
        <v>1726</v>
      </c>
      <c r="I1309" s="39"/>
    </row>
    <row r="1310">
      <c r="A1310" s="39" t="s">
        <v>586</v>
      </c>
      <c r="B1310" s="39" t="s">
        <v>149</v>
      </c>
      <c r="C1310" s="39">
        <v>34.0</v>
      </c>
      <c r="D1310" s="39" t="s">
        <v>84</v>
      </c>
      <c r="E1310" s="39" t="s">
        <v>2586</v>
      </c>
      <c r="F1310" s="39"/>
      <c r="G1310" s="39" t="s">
        <v>2587</v>
      </c>
      <c r="H1310" s="39"/>
      <c r="I1310" s="39"/>
    </row>
    <row r="1311">
      <c r="A1311" s="39" t="s">
        <v>586</v>
      </c>
      <c r="B1311" s="39" t="s">
        <v>149</v>
      </c>
      <c r="C1311" s="39">
        <v>39.0</v>
      </c>
      <c r="D1311" s="39" t="s">
        <v>84</v>
      </c>
      <c r="E1311" s="39" t="s">
        <v>2588</v>
      </c>
      <c r="F1311" s="39"/>
      <c r="G1311" s="39" t="s">
        <v>2589</v>
      </c>
      <c r="H1311" s="39" t="s">
        <v>2590</v>
      </c>
      <c r="I1311" s="39"/>
    </row>
    <row r="1312">
      <c r="A1312" s="39" t="s">
        <v>586</v>
      </c>
      <c r="B1312" s="39" t="s">
        <v>149</v>
      </c>
      <c r="C1312" s="39">
        <v>40.0</v>
      </c>
      <c r="D1312" s="39" t="s">
        <v>839</v>
      </c>
      <c r="E1312" s="39" t="s">
        <v>2591</v>
      </c>
      <c r="F1312" s="39"/>
      <c r="G1312" s="39" t="s">
        <v>2562</v>
      </c>
      <c r="H1312" s="39"/>
      <c r="I1312" s="39"/>
    </row>
    <row r="1313">
      <c r="A1313" s="39" t="s">
        <v>586</v>
      </c>
      <c r="B1313" s="39" t="s">
        <v>149</v>
      </c>
      <c r="C1313" s="39">
        <v>41.0</v>
      </c>
      <c r="D1313" s="39" t="s">
        <v>90</v>
      </c>
      <c r="E1313" s="39" t="s">
        <v>2592</v>
      </c>
      <c r="F1313" s="39"/>
      <c r="G1313" s="39" t="s">
        <v>927</v>
      </c>
      <c r="H1313" s="39"/>
      <c r="I1313" s="39"/>
    </row>
    <row r="1314">
      <c r="A1314" s="39" t="s">
        <v>586</v>
      </c>
      <c r="B1314" s="39" t="s">
        <v>149</v>
      </c>
      <c r="C1314" s="39">
        <v>42.0</v>
      </c>
      <c r="D1314" s="39" t="s">
        <v>90</v>
      </c>
      <c r="E1314" s="39" t="s">
        <v>2593</v>
      </c>
      <c r="F1314" s="39"/>
      <c r="G1314" s="39" t="s">
        <v>924</v>
      </c>
      <c r="H1314" s="39"/>
      <c r="I1314" s="39"/>
    </row>
    <row r="1315">
      <c r="A1315" s="39" t="s">
        <v>586</v>
      </c>
      <c r="B1315" s="39" t="s">
        <v>149</v>
      </c>
      <c r="C1315" s="39">
        <v>43.0</v>
      </c>
      <c r="D1315" s="39" t="s">
        <v>90</v>
      </c>
      <c r="E1315" s="39" t="s">
        <v>2594</v>
      </c>
      <c r="F1315" s="39"/>
      <c r="G1315" s="39" t="s">
        <v>930</v>
      </c>
      <c r="H1315" s="39"/>
      <c r="I1315" s="39"/>
    </row>
    <row r="1316">
      <c r="A1316" s="39" t="s">
        <v>586</v>
      </c>
      <c r="B1316" s="39" t="s">
        <v>149</v>
      </c>
      <c r="C1316" s="39">
        <v>44.0</v>
      </c>
      <c r="D1316" s="39" t="s">
        <v>90</v>
      </c>
      <c r="E1316" s="39" t="s">
        <v>2595</v>
      </c>
      <c r="F1316" s="39"/>
      <c r="G1316" s="39" t="s">
        <v>939</v>
      </c>
      <c r="H1316" s="39"/>
      <c r="I1316" s="39"/>
    </row>
    <row r="1317">
      <c r="A1317" s="39" t="s">
        <v>586</v>
      </c>
      <c r="B1317" s="39" t="s">
        <v>149</v>
      </c>
      <c r="C1317" s="39">
        <v>45.0</v>
      </c>
      <c r="D1317" s="39" t="s">
        <v>90</v>
      </c>
      <c r="E1317" s="39" t="s">
        <v>2596</v>
      </c>
      <c r="F1317" s="39"/>
      <c r="G1317" s="56" t="s">
        <v>822</v>
      </c>
      <c r="H1317" s="39"/>
      <c r="I1317" s="39"/>
    </row>
    <row r="1318">
      <c r="A1318" s="39" t="s">
        <v>586</v>
      </c>
      <c r="B1318" s="39" t="s">
        <v>149</v>
      </c>
      <c r="C1318" s="39">
        <v>46.0</v>
      </c>
      <c r="D1318" s="39" t="s">
        <v>90</v>
      </c>
      <c r="E1318" s="39" t="s">
        <v>2597</v>
      </c>
      <c r="F1318" s="39"/>
      <c r="G1318" s="56" t="s">
        <v>836</v>
      </c>
      <c r="H1318" s="39"/>
      <c r="I1318" s="39"/>
    </row>
    <row r="1319">
      <c r="A1319" s="39" t="s">
        <v>586</v>
      </c>
      <c r="B1319" s="39" t="s">
        <v>149</v>
      </c>
      <c r="C1319" s="39">
        <v>47.0</v>
      </c>
      <c r="D1319" s="39" t="s">
        <v>90</v>
      </c>
      <c r="E1319" s="39" t="s">
        <v>2598</v>
      </c>
      <c r="F1319" s="39"/>
      <c r="G1319" s="56" t="s">
        <v>1690</v>
      </c>
      <c r="H1319" s="39"/>
      <c r="I1319" s="39"/>
    </row>
    <row r="1320">
      <c r="A1320" s="39" t="s">
        <v>586</v>
      </c>
      <c r="B1320" s="39" t="s">
        <v>149</v>
      </c>
      <c r="C1320" s="39">
        <v>48.0</v>
      </c>
      <c r="D1320" s="39" t="s">
        <v>90</v>
      </c>
      <c r="E1320" s="39" t="s">
        <v>2599</v>
      </c>
      <c r="F1320" s="39"/>
      <c r="G1320" s="39" t="s">
        <v>927</v>
      </c>
      <c r="H1320" s="39"/>
      <c r="I1320" s="39"/>
    </row>
    <row r="1321">
      <c r="A1321" s="39" t="s">
        <v>586</v>
      </c>
      <c r="B1321" s="39" t="s">
        <v>149</v>
      </c>
      <c r="C1321" s="39">
        <v>49.0</v>
      </c>
      <c r="D1321" s="39" t="s">
        <v>839</v>
      </c>
      <c r="E1321" s="39" t="s">
        <v>2600</v>
      </c>
      <c r="F1321" s="39"/>
      <c r="G1321" s="39" t="s">
        <v>2601</v>
      </c>
      <c r="H1321" s="39"/>
      <c r="I1321" s="39"/>
    </row>
    <row r="1322">
      <c r="A1322" s="39" t="s">
        <v>586</v>
      </c>
      <c r="B1322" s="39" t="s">
        <v>149</v>
      </c>
      <c r="C1322" s="39">
        <v>50.0</v>
      </c>
      <c r="D1322" s="39" t="s">
        <v>839</v>
      </c>
      <c r="E1322" s="39" t="s">
        <v>2602</v>
      </c>
      <c r="F1322" s="39"/>
      <c r="G1322" s="39" t="s">
        <v>2603</v>
      </c>
      <c r="H1322" s="39"/>
      <c r="I1322" s="39"/>
    </row>
    <row r="1323">
      <c r="A1323" s="39" t="s">
        <v>586</v>
      </c>
      <c r="B1323" s="39" t="s">
        <v>149</v>
      </c>
      <c r="C1323" s="39">
        <v>51.0</v>
      </c>
      <c r="D1323" s="39" t="s">
        <v>819</v>
      </c>
      <c r="E1323" s="39" t="s">
        <v>2604</v>
      </c>
      <c r="F1323" s="39"/>
      <c r="G1323" s="56" t="s">
        <v>822</v>
      </c>
      <c r="H1323" s="39"/>
      <c r="I1323" s="39"/>
    </row>
    <row r="1324">
      <c r="A1324" s="39" t="s">
        <v>586</v>
      </c>
      <c r="B1324" s="39" t="s">
        <v>149</v>
      </c>
      <c r="C1324" s="39">
        <v>52.0</v>
      </c>
      <c r="D1324" s="39" t="s">
        <v>819</v>
      </c>
      <c r="E1324" s="39" t="s">
        <v>2605</v>
      </c>
      <c r="F1324" s="39"/>
      <c r="G1324" s="56" t="s">
        <v>1690</v>
      </c>
      <c r="H1324" s="39"/>
      <c r="I1324" s="39"/>
    </row>
    <row r="1325">
      <c r="A1325" s="39" t="s">
        <v>586</v>
      </c>
      <c r="B1325" s="39" t="s">
        <v>149</v>
      </c>
      <c r="C1325" s="39">
        <v>53.0</v>
      </c>
      <c r="D1325" s="39" t="s">
        <v>819</v>
      </c>
      <c r="E1325" s="39" t="s">
        <v>2606</v>
      </c>
      <c r="F1325" s="39"/>
      <c r="G1325" s="56" t="s">
        <v>1690</v>
      </c>
      <c r="H1325" s="39"/>
      <c r="I1325" s="39"/>
    </row>
    <row r="1326">
      <c r="A1326" s="39" t="s">
        <v>586</v>
      </c>
      <c r="B1326" s="39" t="s">
        <v>149</v>
      </c>
      <c r="C1326" s="39">
        <v>54.0</v>
      </c>
      <c r="D1326" s="39" t="s">
        <v>819</v>
      </c>
      <c r="E1326" s="39" t="s">
        <v>2607</v>
      </c>
      <c r="F1326" s="39"/>
      <c r="G1326" s="56" t="s">
        <v>806</v>
      </c>
      <c r="H1326" s="39"/>
      <c r="I1326" s="39"/>
    </row>
    <row r="1327">
      <c r="A1327" s="39" t="s">
        <v>586</v>
      </c>
      <c r="B1327" s="39" t="s">
        <v>149</v>
      </c>
      <c r="C1327" s="39">
        <v>55.0</v>
      </c>
      <c r="D1327" s="39" t="s">
        <v>819</v>
      </c>
      <c r="E1327" s="39" t="s">
        <v>2608</v>
      </c>
      <c r="F1327" s="39"/>
      <c r="G1327" s="56" t="s">
        <v>822</v>
      </c>
      <c r="H1327" s="39"/>
      <c r="I1327" s="39"/>
    </row>
    <row r="1328">
      <c r="A1328" s="39" t="s">
        <v>586</v>
      </c>
      <c r="B1328" s="39" t="s">
        <v>149</v>
      </c>
      <c r="C1328" s="39">
        <v>56.0</v>
      </c>
      <c r="D1328" s="39" t="s">
        <v>819</v>
      </c>
      <c r="E1328" s="39" t="s">
        <v>2609</v>
      </c>
      <c r="F1328" s="39"/>
      <c r="G1328" s="56" t="s">
        <v>806</v>
      </c>
      <c r="H1328" s="39"/>
      <c r="I1328" s="39"/>
    </row>
    <row r="1329">
      <c r="A1329" s="39" t="s">
        <v>586</v>
      </c>
      <c r="B1329" s="39" t="s">
        <v>149</v>
      </c>
      <c r="C1329" s="39">
        <v>57.0</v>
      </c>
      <c r="D1329" s="39" t="s">
        <v>819</v>
      </c>
      <c r="E1329" s="39" t="s">
        <v>2610</v>
      </c>
      <c r="F1329" s="39"/>
      <c r="G1329" s="56" t="s">
        <v>836</v>
      </c>
      <c r="H1329" s="39"/>
      <c r="I1329" s="39"/>
    </row>
    <row r="1330">
      <c r="A1330" s="39" t="s">
        <v>586</v>
      </c>
      <c r="B1330" s="39" t="s">
        <v>149</v>
      </c>
      <c r="C1330" s="39">
        <v>58.0</v>
      </c>
      <c r="D1330" s="39" t="s">
        <v>819</v>
      </c>
      <c r="E1330" s="39" t="s">
        <v>2611</v>
      </c>
      <c r="F1330" s="39"/>
      <c r="G1330" s="56" t="s">
        <v>836</v>
      </c>
      <c r="H1330" s="39"/>
      <c r="I1330" s="39"/>
    </row>
    <row r="1331">
      <c r="A1331" s="39" t="s">
        <v>586</v>
      </c>
      <c r="B1331" s="39" t="s">
        <v>149</v>
      </c>
      <c r="C1331" s="39">
        <v>59.0</v>
      </c>
      <c r="D1331" s="39" t="s">
        <v>839</v>
      </c>
      <c r="E1331" s="39" t="s">
        <v>2612</v>
      </c>
      <c r="F1331" s="39"/>
      <c r="G1331" s="39" t="s">
        <v>842</v>
      </c>
      <c r="H1331" s="39"/>
      <c r="I1331" s="39"/>
    </row>
    <row r="1332">
      <c r="A1332" s="39" t="s">
        <v>586</v>
      </c>
      <c r="B1332" s="39" t="s">
        <v>149</v>
      </c>
      <c r="C1332" s="39">
        <v>60.0</v>
      </c>
      <c r="D1332" s="39" t="s">
        <v>839</v>
      </c>
      <c r="E1332" s="39" t="s">
        <v>2613</v>
      </c>
      <c r="F1332" s="39"/>
      <c r="G1332" s="39" t="s">
        <v>856</v>
      </c>
      <c r="H1332" s="39"/>
      <c r="I1332" s="39"/>
    </row>
    <row r="1333">
      <c r="A1333" s="39" t="s">
        <v>586</v>
      </c>
      <c r="B1333" s="39" t="s">
        <v>149</v>
      </c>
      <c r="C1333" s="39">
        <v>61.0</v>
      </c>
      <c r="D1333" s="39" t="s">
        <v>839</v>
      </c>
      <c r="E1333" s="39" t="s">
        <v>2614</v>
      </c>
      <c r="F1333" s="39"/>
      <c r="G1333" s="39" t="s">
        <v>809</v>
      </c>
      <c r="H1333" s="39"/>
      <c r="I1333" s="39"/>
    </row>
    <row r="1334">
      <c r="A1334" s="39" t="s">
        <v>586</v>
      </c>
      <c r="B1334" s="39" t="s">
        <v>149</v>
      </c>
      <c r="C1334" s="39">
        <v>62.0</v>
      </c>
      <c r="D1334" s="39" t="s">
        <v>92</v>
      </c>
      <c r="E1334" s="39" t="s">
        <v>2615</v>
      </c>
      <c r="F1334" s="39"/>
      <c r="G1334" s="39" t="s">
        <v>945</v>
      </c>
      <c r="H1334" s="39"/>
      <c r="I1334" s="39"/>
    </row>
    <row r="1335">
      <c r="A1335" s="39" t="s">
        <v>586</v>
      </c>
      <c r="B1335" s="39" t="s">
        <v>149</v>
      </c>
      <c r="C1335" s="39">
        <v>63.0</v>
      </c>
      <c r="D1335" s="39" t="s">
        <v>92</v>
      </c>
      <c r="E1335" s="39" t="s">
        <v>2616</v>
      </c>
      <c r="F1335" s="39"/>
      <c r="G1335" s="39" t="s">
        <v>947</v>
      </c>
      <c r="H1335" s="39"/>
      <c r="I1335" s="39"/>
    </row>
    <row r="1336">
      <c r="A1336" s="39" t="s">
        <v>586</v>
      </c>
      <c r="B1336" s="39" t="s">
        <v>149</v>
      </c>
      <c r="C1336" s="39">
        <v>64.0</v>
      </c>
      <c r="D1336" s="39" t="s">
        <v>92</v>
      </c>
      <c r="E1336" s="39" t="s">
        <v>2617</v>
      </c>
      <c r="F1336" s="39"/>
      <c r="G1336" s="39" t="s">
        <v>2618</v>
      </c>
      <c r="H1336" s="39" t="s">
        <v>2619</v>
      </c>
      <c r="I1336" s="39"/>
    </row>
    <row r="1337">
      <c r="A1337" s="39" t="s">
        <v>586</v>
      </c>
      <c r="B1337" s="39" t="s">
        <v>149</v>
      </c>
      <c r="C1337" s="39">
        <v>65.0</v>
      </c>
      <c r="D1337" s="39" t="s">
        <v>92</v>
      </c>
      <c r="E1337" s="39" t="s">
        <v>2620</v>
      </c>
      <c r="F1337" s="39"/>
      <c r="G1337" s="39" t="s">
        <v>954</v>
      </c>
      <c r="H1337" s="39"/>
      <c r="I1337" s="39"/>
    </row>
    <row r="1338">
      <c r="A1338" s="39" t="s">
        <v>586</v>
      </c>
      <c r="B1338" s="39" t="s">
        <v>149</v>
      </c>
      <c r="C1338" s="39">
        <v>66.0</v>
      </c>
      <c r="D1338" s="39" t="s">
        <v>91</v>
      </c>
      <c r="E1338" s="39" t="s">
        <v>2621</v>
      </c>
      <c r="F1338" s="39"/>
      <c r="G1338" s="56" t="s">
        <v>822</v>
      </c>
      <c r="H1338" s="39"/>
      <c r="I1338" s="39"/>
    </row>
    <row r="1339">
      <c r="A1339" s="39" t="s">
        <v>586</v>
      </c>
      <c r="B1339" s="39" t="s">
        <v>149</v>
      </c>
      <c r="C1339" s="39">
        <v>67.0</v>
      </c>
      <c r="D1339" s="39" t="s">
        <v>91</v>
      </c>
      <c r="E1339" s="39" t="s">
        <v>2622</v>
      </c>
      <c r="F1339" s="39"/>
      <c r="G1339" s="56" t="s">
        <v>806</v>
      </c>
      <c r="H1339" s="39"/>
      <c r="I1339" s="39"/>
    </row>
    <row r="1340">
      <c r="A1340" s="39" t="s">
        <v>586</v>
      </c>
      <c r="B1340" s="39" t="s">
        <v>149</v>
      </c>
      <c r="C1340" s="39">
        <v>68.0</v>
      </c>
      <c r="D1340" s="39" t="s">
        <v>92</v>
      </c>
      <c r="E1340" s="39" t="s">
        <v>2623</v>
      </c>
      <c r="F1340" s="39"/>
      <c r="G1340" s="39" t="s">
        <v>2624</v>
      </c>
      <c r="H1340" s="39"/>
      <c r="I1340" s="39"/>
    </row>
    <row r="1341">
      <c r="A1341" s="39" t="s">
        <v>586</v>
      </c>
      <c r="B1341" s="39" t="s">
        <v>149</v>
      </c>
      <c r="C1341" s="39">
        <v>69.0</v>
      </c>
      <c r="D1341" s="39" t="s">
        <v>92</v>
      </c>
      <c r="E1341" s="39" t="s">
        <v>2625</v>
      </c>
      <c r="F1341" s="39"/>
      <c r="G1341" s="39" t="s">
        <v>950</v>
      </c>
      <c r="H1341" s="39" t="s">
        <v>951</v>
      </c>
      <c r="I1341" s="39"/>
    </row>
    <row r="1342">
      <c r="A1342" s="39" t="s">
        <v>586</v>
      </c>
      <c r="B1342" s="39" t="s">
        <v>149</v>
      </c>
      <c r="C1342" s="39">
        <v>70.0</v>
      </c>
      <c r="D1342" s="39" t="s">
        <v>92</v>
      </c>
      <c r="E1342" s="39" t="s">
        <v>2626</v>
      </c>
      <c r="F1342" s="39"/>
      <c r="G1342" s="39" t="s">
        <v>1355</v>
      </c>
      <c r="H1342" s="39" t="s">
        <v>1356</v>
      </c>
      <c r="I1342" s="39"/>
    </row>
    <row r="1343">
      <c r="A1343" s="39" t="s">
        <v>586</v>
      </c>
      <c r="B1343" s="39" t="s">
        <v>149</v>
      </c>
      <c r="C1343" s="39">
        <v>71.0</v>
      </c>
      <c r="D1343" s="39" t="s">
        <v>91</v>
      </c>
      <c r="E1343" s="39" t="s">
        <v>2627</v>
      </c>
      <c r="F1343" s="39"/>
      <c r="G1343" s="56" t="s">
        <v>836</v>
      </c>
      <c r="H1343" s="39"/>
      <c r="I1343" s="39"/>
    </row>
    <row r="1344">
      <c r="A1344" s="39" t="s">
        <v>586</v>
      </c>
      <c r="B1344" s="39" t="s">
        <v>149</v>
      </c>
      <c r="C1344" s="39">
        <v>72.0</v>
      </c>
      <c r="D1344" s="39" t="s">
        <v>839</v>
      </c>
      <c r="E1344" s="39" t="s">
        <v>2628</v>
      </c>
      <c r="F1344" s="39"/>
      <c r="G1344" s="39" t="str">
        <f>IFERROR(__xludf.DUMMYFUNCTION("IFS(REGEXMATCH(E1344, ""ammo_ar""), ""Daedalus AR Ammo"", REGEXMATCH(E1344, ""ammo_ps""), ""Daedalus Pistol Ammo"", REGEXMATCH(E1344, ""ammo_sg""), ""Daedalus Shotgun Ammo"", REGEXMATCH(E1344, ""ammo_sm""), ""Daedalus SMG Ammo"", REGEXMATCH(E1344, ""ammo_"&amp;"sr""), ""Daedalus SR Ammo"")"),"Daedalus SMG Ammo")</f>
        <v>Daedalus SMG Ammo</v>
      </c>
      <c r="H1344" s="39"/>
      <c r="I1344" s="39"/>
    </row>
    <row r="1345">
      <c r="A1345" s="39" t="s">
        <v>586</v>
      </c>
      <c r="B1345" s="39" t="s">
        <v>149</v>
      </c>
      <c r="C1345" s="39">
        <v>73.0</v>
      </c>
      <c r="D1345" s="39" t="s">
        <v>839</v>
      </c>
      <c r="E1345" s="39" t="s">
        <v>2629</v>
      </c>
      <c r="F1345" s="39"/>
      <c r="G1345" s="39" t="str">
        <f>IFERROR(__xludf.DUMMYFUNCTION("IFS(REGEXMATCH(E1345, ""ammo_ar""), ""Daedalus AR Ammo"", REGEXMATCH(E1345, ""ammo_ps""), ""Daedalus Pistol Ammo"", REGEXMATCH(E1345, ""ammo_sg""), ""Daedalus Shotgun Ammo"", REGEXMATCH(E1345, ""ammo_sm""), ""Daedalus SMG Ammo"", REGEXMATCH(E1345, ""ammo_"&amp;"sr""), ""Daedalus SR Ammo"")"),"Daedalus Shotgun Ammo")</f>
        <v>Daedalus Shotgun Ammo</v>
      </c>
      <c r="H1345" s="39"/>
      <c r="I1345" s="39"/>
    </row>
    <row r="1346">
      <c r="A1346" s="39" t="s">
        <v>586</v>
      </c>
      <c r="B1346" s="39" t="s">
        <v>149</v>
      </c>
      <c r="C1346" s="39">
        <v>74.0</v>
      </c>
      <c r="D1346" s="39" t="s">
        <v>839</v>
      </c>
      <c r="E1346" s="39" t="s">
        <v>2630</v>
      </c>
      <c r="F1346" s="39"/>
      <c r="G1346" s="39" t="str">
        <f>IFERROR(__xludf.DUMMYFUNCTION("IFS(REGEXMATCH(E1346, ""ammo_ar""), ""Daedalus AR Ammo"", REGEXMATCH(E1346, ""ammo_ps""), ""Daedalus Pistol Ammo"", REGEXMATCH(E1346, ""ammo_sg""), ""Daedalus Shotgun Ammo"", REGEXMATCH(E1346, ""ammo_sm""), ""Daedalus SMG Ammo"", REGEXMATCH(E1346, ""ammo_"&amp;"sr""), ""Daedalus SR Ammo"")"),"Daedalus Pistol Ammo")</f>
        <v>Daedalus Pistol Ammo</v>
      </c>
      <c r="H1346" s="39"/>
      <c r="I1346" s="39"/>
    </row>
    <row r="1347">
      <c r="A1347" s="39" t="s">
        <v>586</v>
      </c>
      <c r="B1347" s="39" t="s">
        <v>149</v>
      </c>
      <c r="C1347" s="39">
        <v>75.0</v>
      </c>
      <c r="D1347" s="39" t="s">
        <v>839</v>
      </c>
      <c r="E1347" s="39" t="s">
        <v>2631</v>
      </c>
      <c r="F1347" s="39"/>
      <c r="G1347" s="39" t="str">
        <f>IFERROR(__xludf.DUMMYFUNCTION("IFS(REGEXMATCH(E1347, ""ammo_ar""), ""Daedalus AR Ammo"", REGEXMATCH(E1347, ""ammo_ps""), ""Daedalus Pistol Ammo"", REGEXMATCH(E1347, ""ammo_sg""), ""Daedalus Shotgun Ammo"", REGEXMATCH(E1347, ""ammo_sm""), ""Daedalus SMG Ammo"", REGEXMATCH(E1347, ""ammo_"&amp;"sr""), ""Daedalus SR Ammo"")"),"Daedalus SR Ammo")</f>
        <v>Daedalus SR Ammo</v>
      </c>
      <c r="H1347" s="39"/>
      <c r="I1347" s="39"/>
    </row>
    <row r="1348">
      <c r="A1348" s="39" t="s">
        <v>586</v>
      </c>
      <c r="B1348" s="39" t="s">
        <v>149</v>
      </c>
      <c r="C1348" s="39">
        <v>76.0</v>
      </c>
      <c r="D1348" s="39" t="s">
        <v>84</v>
      </c>
      <c r="E1348" s="39" t="s">
        <v>2632</v>
      </c>
      <c r="F1348" s="39"/>
      <c r="G1348" s="39" t="s">
        <v>2633</v>
      </c>
      <c r="H1348" s="39" t="s">
        <v>2634</v>
      </c>
      <c r="I1348" s="39"/>
    </row>
    <row r="1349">
      <c r="A1349" s="39" t="s">
        <v>586</v>
      </c>
      <c r="B1349" s="39" t="s">
        <v>149</v>
      </c>
      <c r="C1349" s="39">
        <v>82.0</v>
      </c>
      <c r="D1349" s="39" t="s">
        <v>87</v>
      </c>
      <c r="E1349" s="39" t="s">
        <v>2635</v>
      </c>
      <c r="F1349" s="39"/>
      <c r="G1349" s="39" t="s">
        <v>2636</v>
      </c>
      <c r="H1349" s="39"/>
      <c r="I1349" s="39"/>
    </row>
    <row r="1350">
      <c r="A1350" s="39" t="s">
        <v>586</v>
      </c>
      <c r="B1350" s="39" t="s">
        <v>149</v>
      </c>
      <c r="C1350" s="39">
        <v>83.0</v>
      </c>
      <c r="D1350" s="39" t="s">
        <v>87</v>
      </c>
      <c r="E1350" s="39" t="s">
        <v>2637</v>
      </c>
      <c r="F1350" s="39"/>
      <c r="G1350" s="39" t="s">
        <v>2638</v>
      </c>
      <c r="H1350" s="39"/>
      <c r="I1350" s="39"/>
    </row>
    <row r="1351">
      <c r="A1351" s="39" t="s">
        <v>586</v>
      </c>
      <c r="B1351" s="39" t="s">
        <v>149</v>
      </c>
      <c r="C1351" s="39">
        <v>84.0</v>
      </c>
      <c r="D1351" s="39" t="s">
        <v>87</v>
      </c>
      <c r="E1351" s="39" t="s">
        <v>2639</v>
      </c>
      <c r="F1351" s="39"/>
      <c r="G1351" s="39" t="s">
        <v>1208</v>
      </c>
      <c r="H1351" s="39"/>
      <c r="I1351" s="39"/>
    </row>
    <row r="1352">
      <c r="A1352" s="39" t="s">
        <v>586</v>
      </c>
      <c r="B1352" s="39" t="s">
        <v>149</v>
      </c>
      <c r="C1352" s="39">
        <v>85.0</v>
      </c>
      <c r="D1352" s="39" t="s">
        <v>87</v>
      </c>
      <c r="E1352" s="39" t="s">
        <v>2640</v>
      </c>
      <c r="F1352" s="39"/>
      <c r="G1352" s="39" t="s">
        <v>2641</v>
      </c>
      <c r="H1352" s="39"/>
      <c r="I1352" s="39"/>
    </row>
    <row r="1353">
      <c r="A1353" s="39" t="s">
        <v>586</v>
      </c>
      <c r="B1353" s="39" t="s">
        <v>149</v>
      </c>
      <c r="C1353" s="39">
        <v>86.0</v>
      </c>
      <c r="D1353" s="39" t="s">
        <v>87</v>
      </c>
      <c r="E1353" s="39" t="s">
        <v>2642</v>
      </c>
      <c r="F1353" s="39"/>
      <c r="G1353" s="39" t="s">
        <v>2643</v>
      </c>
      <c r="H1353" s="39"/>
      <c r="I1353" s="39"/>
    </row>
    <row r="1354">
      <c r="A1354" s="39" t="s">
        <v>586</v>
      </c>
      <c r="B1354" s="39" t="s">
        <v>149</v>
      </c>
      <c r="C1354" s="39">
        <v>87.0</v>
      </c>
      <c r="D1354" s="39" t="s">
        <v>839</v>
      </c>
      <c r="E1354" s="39" t="s">
        <v>2644</v>
      </c>
      <c r="F1354" s="39"/>
      <c r="G1354" s="39" t="s">
        <v>874</v>
      </c>
      <c r="H1354" s="39"/>
      <c r="I1354" s="39"/>
    </row>
    <row r="1355">
      <c r="A1355" s="39" t="s">
        <v>586</v>
      </c>
      <c r="B1355" s="39" t="s">
        <v>149</v>
      </c>
      <c r="C1355" s="39">
        <v>88.0</v>
      </c>
      <c r="D1355" s="39" t="s">
        <v>839</v>
      </c>
      <c r="E1355" s="39" t="s">
        <v>2645</v>
      </c>
      <c r="F1355" s="39"/>
      <c r="G1355" s="39" t="s">
        <v>880</v>
      </c>
      <c r="H1355" s="39"/>
      <c r="I1355" s="39"/>
    </row>
    <row r="1356">
      <c r="A1356" s="39" t="s">
        <v>586</v>
      </c>
      <c r="B1356" s="39" t="s">
        <v>177</v>
      </c>
      <c r="C1356" s="39">
        <v>2.0</v>
      </c>
      <c r="D1356" s="39" t="s">
        <v>81</v>
      </c>
      <c r="E1356" s="39" t="s">
        <v>2646</v>
      </c>
      <c r="F1356" s="39"/>
      <c r="G1356" s="39" t="s">
        <v>797</v>
      </c>
      <c r="H1356" s="39"/>
      <c r="I1356" s="39"/>
    </row>
    <row r="1357">
      <c r="A1357" s="39" t="s">
        <v>586</v>
      </c>
      <c r="B1357" s="39" t="s">
        <v>177</v>
      </c>
      <c r="C1357" s="39">
        <v>3.0</v>
      </c>
      <c r="D1357" s="39" t="s">
        <v>798</v>
      </c>
      <c r="E1357" s="39" t="s">
        <v>2647</v>
      </c>
      <c r="F1357" s="39"/>
      <c r="G1357" s="39" t="s">
        <v>809</v>
      </c>
      <c r="H1357" s="39"/>
      <c r="I1357" s="39"/>
    </row>
    <row r="1358">
      <c r="A1358" s="39" t="s">
        <v>586</v>
      </c>
      <c r="B1358" s="39" t="s">
        <v>177</v>
      </c>
      <c r="C1358" s="39">
        <v>4.0</v>
      </c>
      <c r="D1358" s="39" t="s">
        <v>798</v>
      </c>
      <c r="E1358" s="39" t="s">
        <v>2648</v>
      </c>
      <c r="F1358" s="39"/>
      <c r="G1358" s="56" t="s">
        <v>1690</v>
      </c>
      <c r="H1358" s="39"/>
      <c r="I1358" s="39"/>
    </row>
    <row r="1359">
      <c r="A1359" s="39" t="s">
        <v>586</v>
      </c>
      <c r="B1359" s="39" t="s">
        <v>177</v>
      </c>
      <c r="C1359" s="39">
        <v>5.0</v>
      </c>
      <c r="D1359" s="39" t="s">
        <v>798</v>
      </c>
      <c r="E1359" s="39" t="s">
        <v>2649</v>
      </c>
      <c r="F1359" s="39"/>
      <c r="G1359" s="56" t="s">
        <v>806</v>
      </c>
      <c r="H1359" s="39"/>
      <c r="I1359" s="39"/>
    </row>
    <row r="1360">
      <c r="A1360" s="39" t="s">
        <v>586</v>
      </c>
      <c r="B1360" s="39" t="s">
        <v>177</v>
      </c>
      <c r="C1360" s="39">
        <v>6.0</v>
      </c>
      <c r="D1360" s="39" t="s">
        <v>798</v>
      </c>
      <c r="E1360" s="39" t="s">
        <v>2650</v>
      </c>
      <c r="F1360" s="39"/>
      <c r="G1360" s="39" t="s">
        <v>809</v>
      </c>
      <c r="H1360" s="39"/>
      <c r="I1360" s="39"/>
    </row>
    <row r="1361">
      <c r="A1361" s="39" t="s">
        <v>586</v>
      </c>
      <c r="B1361" s="39" t="s">
        <v>177</v>
      </c>
      <c r="C1361" s="39">
        <v>7.0</v>
      </c>
      <c r="D1361" s="39" t="s">
        <v>84</v>
      </c>
      <c r="E1361" s="39" t="s">
        <v>2651</v>
      </c>
      <c r="F1361" s="39"/>
      <c r="G1361" s="39" t="s">
        <v>2652</v>
      </c>
      <c r="H1361" s="39"/>
      <c r="I1361" s="39"/>
    </row>
    <row r="1362">
      <c r="A1362" s="39" t="s">
        <v>586</v>
      </c>
      <c r="B1362" s="39" t="s">
        <v>177</v>
      </c>
      <c r="C1362" s="39">
        <v>8.0</v>
      </c>
      <c r="D1362" s="39" t="s">
        <v>84</v>
      </c>
      <c r="E1362" s="39" t="s">
        <v>2653</v>
      </c>
      <c r="F1362" s="39"/>
      <c r="G1362" s="39" t="s">
        <v>2654</v>
      </c>
      <c r="H1362" s="39"/>
      <c r="I1362" s="39"/>
    </row>
    <row r="1363">
      <c r="A1363" s="39" t="s">
        <v>586</v>
      </c>
      <c r="B1363" s="39" t="s">
        <v>177</v>
      </c>
      <c r="C1363" s="39">
        <v>9.0</v>
      </c>
      <c r="D1363" s="39" t="s">
        <v>839</v>
      </c>
      <c r="E1363" s="39" t="s">
        <v>2655</v>
      </c>
      <c r="F1363" s="39"/>
      <c r="G1363" s="39" t="s">
        <v>847</v>
      </c>
      <c r="H1363" s="39"/>
      <c r="I1363" s="39"/>
    </row>
    <row r="1364">
      <c r="A1364" s="39" t="s">
        <v>586</v>
      </c>
      <c r="B1364" s="39" t="s">
        <v>177</v>
      </c>
      <c r="C1364" s="39">
        <v>10.0</v>
      </c>
      <c r="D1364" s="39" t="s">
        <v>839</v>
      </c>
      <c r="E1364" s="39" t="s">
        <v>2656</v>
      </c>
      <c r="F1364" s="39"/>
      <c r="G1364" s="39" t="s">
        <v>850</v>
      </c>
      <c r="H1364" s="39"/>
      <c r="I1364" s="39"/>
    </row>
    <row r="1365">
      <c r="A1365" s="39" t="s">
        <v>586</v>
      </c>
      <c r="B1365" s="39" t="s">
        <v>177</v>
      </c>
      <c r="C1365" s="39">
        <v>11.0</v>
      </c>
      <c r="D1365" s="39" t="s">
        <v>839</v>
      </c>
      <c r="E1365" s="39" t="s">
        <v>2657</v>
      </c>
      <c r="F1365" s="39"/>
      <c r="G1365" s="39" t="s">
        <v>853</v>
      </c>
      <c r="H1365" s="39"/>
      <c r="I1365" s="39"/>
    </row>
    <row r="1366">
      <c r="A1366" s="39" t="s">
        <v>586</v>
      </c>
      <c r="B1366" s="39" t="s">
        <v>177</v>
      </c>
      <c r="C1366" s="39">
        <v>12.0</v>
      </c>
      <c r="D1366" s="39" t="s">
        <v>839</v>
      </c>
      <c r="E1366" s="39" t="s">
        <v>2658</v>
      </c>
      <c r="F1366" s="39"/>
      <c r="G1366" s="39" t="s">
        <v>2562</v>
      </c>
      <c r="H1366" s="39"/>
      <c r="I1366" s="39"/>
    </row>
    <row r="1367">
      <c r="A1367" s="39" t="s">
        <v>586</v>
      </c>
      <c r="B1367" s="39" t="s">
        <v>177</v>
      </c>
      <c r="C1367" s="39">
        <v>14.0</v>
      </c>
      <c r="D1367" s="39" t="s">
        <v>839</v>
      </c>
      <c r="E1367" s="39" t="s">
        <v>2659</v>
      </c>
      <c r="F1367" s="39"/>
      <c r="G1367" s="39" t="s">
        <v>809</v>
      </c>
      <c r="H1367" s="39"/>
      <c r="I1367" s="39"/>
    </row>
    <row r="1368">
      <c r="A1368" s="39" t="s">
        <v>586</v>
      </c>
      <c r="B1368" s="39" t="s">
        <v>177</v>
      </c>
      <c r="C1368" s="39">
        <v>15.0</v>
      </c>
      <c r="D1368" s="39" t="s">
        <v>839</v>
      </c>
      <c r="E1368" s="39" t="s">
        <v>2660</v>
      </c>
      <c r="F1368" s="39"/>
      <c r="G1368" s="39" t="s">
        <v>809</v>
      </c>
      <c r="H1368" s="39"/>
      <c r="I1368" s="39"/>
    </row>
    <row r="1369">
      <c r="A1369" s="39" t="s">
        <v>586</v>
      </c>
      <c r="B1369" s="39" t="s">
        <v>177</v>
      </c>
      <c r="C1369" s="39">
        <v>16.0</v>
      </c>
      <c r="D1369" s="39" t="s">
        <v>839</v>
      </c>
      <c r="E1369" s="39" t="s">
        <v>2661</v>
      </c>
      <c r="F1369" s="39"/>
      <c r="G1369" s="39" t="s">
        <v>809</v>
      </c>
      <c r="H1369" s="39"/>
      <c r="I1369" s="39"/>
    </row>
    <row r="1370">
      <c r="A1370" s="39" t="s">
        <v>586</v>
      </c>
      <c r="B1370" s="39" t="s">
        <v>177</v>
      </c>
      <c r="C1370" s="39">
        <v>17.0</v>
      </c>
      <c r="D1370" s="39" t="s">
        <v>839</v>
      </c>
      <c r="E1370" s="39" t="s">
        <v>2662</v>
      </c>
      <c r="F1370" s="39"/>
      <c r="G1370" s="39" t="s">
        <v>809</v>
      </c>
      <c r="H1370" s="39"/>
      <c r="I1370" s="39"/>
    </row>
    <row r="1371">
      <c r="A1371" s="39" t="s">
        <v>586</v>
      </c>
      <c r="B1371" s="39" t="s">
        <v>177</v>
      </c>
      <c r="C1371" s="39">
        <v>18.0</v>
      </c>
      <c r="D1371" s="39" t="s">
        <v>839</v>
      </c>
      <c r="E1371" s="39" t="s">
        <v>2663</v>
      </c>
      <c r="F1371" s="39"/>
      <c r="G1371" s="39" t="s">
        <v>989</v>
      </c>
      <c r="H1371" s="39"/>
      <c r="I1371" s="39"/>
    </row>
    <row r="1372">
      <c r="A1372" s="39" t="s">
        <v>586</v>
      </c>
      <c r="B1372" s="39" t="s">
        <v>177</v>
      </c>
      <c r="C1372" s="39">
        <v>19.0</v>
      </c>
      <c r="D1372" s="39" t="s">
        <v>839</v>
      </c>
      <c r="E1372" s="39" t="s">
        <v>2664</v>
      </c>
      <c r="F1372" s="39"/>
      <c r="G1372" s="39" t="s">
        <v>991</v>
      </c>
      <c r="H1372" s="39"/>
      <c r="I1372" s="39"/>
    </row>
    <row r="1373">
      <c r="A1373" s="39" t="s">
        <v>586</v>
      </c>
      <c r="B1373" s="39" t="s">
        <v>177</v>
      </c>
      <c r="C1373" s="39">
        <v>20.0</v>
      </c>
      <c r="D1373" s="39" t="s">
        <v>839</v>
      </c>
      <c r="E1373" s="39" t="s">
        <v>2665</v>
      </c>
      <c r="F1373" s="39"/>
      <c r="G1373" s="39" t="s">
        <v>993</v>
      </c>
      <c r="H1373" s="39"/>
      <c r="I1373" s="39"/>
    </row>
    <row r="1374">
      <c r="A1374" s="39" t="s">
        <v>586</v>
      </c>
      <c r="B1374" s="39" t="s">
        <v>177</v>
      </c>
      <c r="C1374" s="39">
        <v>21.0</v>
      </c>
      <c r="D1374" s="39" t="s">
        <v>839</v>
      </c>
      <c r="E1374" s="39" t="s">
        <v>2666</v>
      </c>
      <c r="F1374" s="39"/>
      <c r="G1374" s="39" t="s">
        <v>995</v>
      </c>
      <c r="H1374" s="39"/>
      <c r="I1374" s="39"/>
    </row>
    <row r="1375">
      <c r="A1375" s="39" t="s">
        <v>586</v>
      </c>
      <c r="B1375" s="39" t="s">
        <v>177</v>
      </c>
      <c r="C1375" s="39">
        <v>22.0</v>
      </c>
      <c r="D1375" s="39" t="s">
        <v>87</v>
      </c>
      <c r="E1375" s="39" t="s">
        <v>2667</v>
      </c>
      <c r="F1375" s="39"/>
      <c r="G1375" s="39" t="s">
        <v>2668</v>
      </c>
      <c r="H1375" s="39"/>
      <c r="I1375" s="39"/>
    </row>
    <row r="1376">
      <c r="A1376" s="39" t="s">
        <v>586</v>
      </c>
      <c r="B1376" s="39" t="s">
        <v>177</v>
      </c>
      <c r="C1376" s="39">
        <v>23.0</v>
      </c>
      <c r="D1376" s="39" t="s">
        <v>87</v>
      </c>
      <c r="E1376" s="39" t="s">
        <v>2669</v>
      </c>
      <c r="F1376" s="39"/>
      <c r="G1376" s="39" t="s">
        <v>2670</v>
      </c>
      <c r="H1376" s="39"/>
      <c r="I1376" s="39"/>
    </row>
    <row r="1377">
      <c r="A1377" s="39" t="s">
        <v>586</v>
      </c>
      <c r="B1377" s="39" t="s">
        <v>177</v>
      </c>
      <c r="C1377" s="39">
        <v>24.0</v>
      </c>
      <c r="D1377" s="39" t="s">
        <v>87</v>
      </c>
      <c r="E1377" s="39" t="s">
        <v>2671</v>
      </c>
      <c r="F1377" s="39"/>
      <c r="G1377" s="39" t="s">
        <v>2672</v>
      </c>
      <c r="H1377" s="39"/>
      <c r="I1377" s="39"/>
    </row>
    <row r="1378">
      <c r="A1378" s="39" t="s">
        <v>586</v>
      </c>
      <c r="B1378" s="39" t="s">
        <v>177</v>
      </c>
      <c r="C1378" s="39">
        <v>25.0</v>
      </c>
      <c r="D1378" s="39" t="s">
        <v>87</v>
      </c>
      <c r="E1378" s="39" t="s">
        <v>2673</v>
      </c>
      <c r="F1378" s="39"/>
      <c r="G1378" s="39" t="s">
        <v>2674</v>
      </c>
      <c r="H1378" s="39"/>
      <c r="I1378" s="39"/>
    </row>
    <row r="1379">
      <c r="A1379" s="39" t="s">
        <v>586</v>
      </c>
      <c r="B1379" s="39" t="s">
        <v>177</v>
      </c>
      <c r="C1379" s="39">
        <v>26.0</v>
      </c>
      <c r="D1379" s="39" t="s">
        <v>87</v>
      </c>
      <c r="E1379" s="39" t="s">
        <v>2675</v>
      </c>
      <c r="F1379" s="39"/>
      <c r="G1379" s="39" t="s">
        <v>2676</v>
      </c>
      <c r="H1379" s="39"/>
      <c r="I1379" s="39"/>
    </row>
    <row r="1380">
      <c r="A1380" s="39" t="s">
        <v>586</v>
      </c>
      <c r="B1380" s="39" t="s">
        <v>177</v>
      </c>
      <c r="C1380" s="39">
        <v>27.0</v>
      </c>
      <c r="D1380" s="39" t="s">
        <v>839</v>
      </c>
      <c r="E1380" s="39" t="s">
        <v>2677</v>
      </c>
      <c r="F1380" s="39"/>
      <c r="G1380" s="39" t="s">
        <v>874</v>
      </c>
      <c r="H1380" s="39"/>
      <c r="I1380" s="39"/>
    </row>
    <row r="1381">
      <c r="A1381" s="39" t="s">
        <v>586</v>
      </c>
      <c r="B1381" s="39" t="s">
        <v>177</v>
      </c>
      <c r="C1381" s="39">
        <v>28.0</v>
      </c>
      <c r="D1381" s="39" t="s">
        <v>839</v>
      </c>
      <c r="E1381" s="39" t="s">
        <v>2678</v>
      </c>
      <c r="F1381" s="39"/>
      <c r="G1381" s="39" t="s">
        <v>880</v>
      </c>
      <c r="H1381" s="39"/>
      <c r="I1381" s="39"/>
    </row>
    <row r="1382">
      <c r="A1382" s="39" t="s">
        <v>586</v>
      </c>
      <c r="B1382" s="39" t="s">
        <v>177</v>
      </c>
      <c r="C1382" s="39">
        <v>29.0</v>
      </c>
      <c r="D1382" s="39" t="s">
        <v>88</v>
      </c>
      <c r="E1382" s="39" t="s">
        <v>2679</v>
      </c>
      <c r="F1382" s="39"/>
      <c r="G1382" s="39" t="s">
        <v>901</v>
      </c>
      <c r="H1382" s="39"/>
      <c r="I1382" s="39"/>
    </row>
    <row r="1383">
      <c r="A1383" s="39" t="s">
        <v>586</v>
      </c>
      <c r="B1383" s="39" t="s">
        <v>177</v>
      </c>
      <c r="C1383" s="39">
        <v>30.0</v>
      </c>
      <c r="D1383" s="39" t="s">
        <v>88</v>
      </c>
      <c r="E1383" s="39" t="s">
        <v>2680</v>
      </c>
      <c r="F1383" s="39"/>
      <c r="G1383" s="39" t="s">
        <v>895</v>
      </c>
      <c r="H1383" s="39"/>
      <c r="I1383" s="39"/>
    </row>
    <row r="1384">
      <c r="A1384" s="39" t="s">
        <v>586</v>
      </c>
      <c r="B1384" s="39" t="s">
        <v>177</v>
      </c>
      <c r="C1384" s="39">
        <v>31.0</v>
      </c>
      <c r="D1384" s="39" t="s">
        <v>88</v>
      </c>
      <c r="E1384" s="39" t="s">
        <v>2681</v>
      </c>
      <c r="F1384" s="39"/>
      <c r="G1384" s="39" t="s">
        <v>892</v>
      </c>
      <c r="H1384" s="39"/>
      <c r="I1384" s="39"/>
    </row>
    <row r="1385">
      <c r="A1385" s="39" t="s">
        <v>586</v>
      </c>
      <c r="B1385" s="39" t="s">
        <v>177</v>
      </c>
      <c r="C1385" s="39">
        <v>32.0</v>
      </c>
      <c r="D1385" s="39" t="s">
        <v>88</v>
      </c>
      <c r="E1385" s="39" t="s">
        <v>2682</v>
      </c>
      <c r="F1385" s="39"/>
      <c r="G1385" s="39" t="s">
        <v>898</v>
      </c>
      <c r="H1385" s="39"/>
      <c r="I1385" s="39"/>
    </row>
    <row r="1386">
      <c r="A1386" s="39" t="s">
        <v>586</v>
      </c>
      <c r="B1386" s="39" t="s">
        <v>177</v>
      </c>
      <c r="C1386" s="39">
        <v>33.0</v>
      </c>
      <c r="D1386" s="39" t="s">
        <v>88</v>
      </c>
      <c r="E1386" s="39" t="s">
        <v>2683</v>
      </c>
      <c r="F1386" s="39"/>
      <c r="G1386" s="39" t="s">
        <v>898</v>
      </c>
      <c r="H1386" s="39"/>
      <c r="I1386" s="39"/>
    </row>
    <row r="1387">
      <c r="A1387" s="39" t="s">
        <v>586</v>
      </c>
      <c r="B1387" s="39" t="s">
        <v>177</v>
      </c>
      <c r="C1387" s="39">
        <v>34.0</v>
      </c>
      <c r="D1387" s="39" t="s">
        <v>902</v>
      </c>
      <c r="E1387" s="39" t="s">
        <v>2684</v>
      </c>
      <c r="F1387" s="39"/>
      <c r="G1387" s="56" t="s">
        <v>822</v>
      </c>
      <c r="H1387" s="39" t="s">
        <v>1044</v>
      </c>
      <c r="I1387" s="39"/>
    </row>
    <row r="1388">
      <c r="A1388" s="39" t="s">
        <v>586</v>
      </c>
      <c r="B1388" s="39" t="s">
        <v>177</v>
      </c>
      <c r="C1388" s="39">
        <v>35.0</v>
      </c>
      <c r="D1388" s="39" t="s">
        <v>902</v>
      </c>
      <c r="E1388" s="39" t="s">
        <v>2685</v>
      </c>
      <c r="F1388" s="39"/>
      <c r="G1388" s="56" t="s">
        <v>801</v>
      </c>
      <c r="H1388" s="39" t="s">
        <v>2686</v>
      </c>
      <c r="I1388" s="39"/>
    </row>
    <row r="1389">
      <c r="A1389" s="39" t="s">
        <v>586</v>
      </c>
      <c r="B1389" s="39" t="s">
        <v>177</v>
      </c>
      <c r="C1389" s="39">
        <v>36.0</v>
      </c>
      <c r="D1389" s="39" t="s">
        <v>902</v>
      </c>
      <c r="E1389" s="39" t="s">
        <v>2687</v>
      </c>
      <c r="F1389" s="39"/>
      <c r="G1389" s="39" t="s">
        <v>809</v>
      </c>
      <c r="H1389" s="39" t="s">
        <v>1044</v>
      </c>
      <c r="I1389" s="39"/>
    </row>
    <row r="1390">
      <c r="A1390" s="39" t="s">
        <v>586</v>
      </c>
      <c r="B1390" s="39" t="s">
        <v>177</v>
      </c>
      <c r="C1390" s="39">
        <v>37.0</v>
      </c>
      <c r="D1390" s="39" t="s">
        <v>902</v>
      </c>
      <c r="E1390" s="39" t="s">
        <v>2688</v>
      </c>
      <c r="F1390" s="39"/>
      <c r="G1390" s="56" t="s">
        <v>825</v>
      </c>
      <c r="H1390" s="56" t="s">
        <v>2689</v>
      </c>
      <c r="I1390" s="39"/>
    </row>
    <row r="1391">
      <c r="A1391" s="39" t="s">
        <v>586</v>
      </c>
      <c r="B1391" s="39" t="s">
        <v>177</v>
      </c>
      <c r="C1391" s="39">
        <v>38.0</v>
      </c>
      <c r="D1391" s="39" t="s">
        <v>902</v>
      </c>
      <c r="E1391" s="39" t="s">
        <v>2690</v>
      </c>
      <c r="F1391" s="39"/>
      <c r="G1391" s="56" t="s">
        <v>822</v>
      </c>
      <c r="H1391" s="39" t="s">
        <v>1044</v>
      </c>
      <c r="I1391" s="39"/>
    </row>
    <row r="1392">
      <c r="A1392" s="39" t="s">
        <v>586</v>
      </c>
      <c r="B1392" s="39" t="s">
        <v>177</v>
      </c>
      <c r="C1392" s="39">
        <v>39.0</v>
      </c>
      <c r="D1392" s="39" t="s">
        <v>902</v>
      </c>
      <c r="E1392" s="39" t="s">
        <v>2691</v>
      </c>
      <c r="F1392" s="39"/>
      <c r="G1392" s="56" t="s">
        <v>801</v>
      </c>
      <c r="H1392" s="39" t="s">
        <v>2692</v>
      </c>
      <c r="I1392" s="39"/>
    </row>
    <row r="1393">
      <c r="A1393" s="39" t="s">
        <v>586</v>
      </c>
      <c r="B1393" s="39" t="s">
        <v>177</v>
      </c>
      <c r="C1393" s="39">
        <v>40.0</v>
      </c>
      <c r="D1393" s="39" t="s">
        <v>902</v>
      </c>
      <c r="E1393" s="39" t="s">
        <v>2693</v>
      </c>
      <c r="F1393" s="39"/>
      <c r="G1393" s="39" t="s">
        <v>809</v>
      </c>
      <c r="H1393" s="39" t="s">
        <v>1042</v>
      </c>
      <c r="I1393" s="39"/>
    </row>
    <row r="1394">
      <c r="A1394" s="39" t="s">
        <v>586</v>
      </c>
      <c r="B1394" s="39" t="s">
        <v>177</v>
      </c>
      <c r="C1394" s="39">
        <v>41.0</v>
      </c>
      <c r="D1394" s="39" t="s">
        <v>902</v>
      </c>
      <c r="E1394" s="39" t="s">
        <v>2694</v>
      </c>
      <c r="F1394" s="39"/>
      <c r="G1394" s="56" t="s">
        <v>825</v>
      </c>
      <c r="H1394" s="39" t="s">
        <v>1726</v>
      </c>
      <c r="I1394" s="39"/>
    </row>
    <row r="1395">
      <c r="A1395" s="39" t="s">
        <v>586</v>
      </c>
      <c r="B1395" s="39" t="s">
        <v>177</v>
      </c>
      <c r="C1395" s="39">
        <v>42.0</v>
      </c>
      <c r="D1395" s="39" t="s">
        <v>90</v>
      </c>
      <c r="E1395" s="39" t="s">
        <v>2695</v>
      </c>
      <c r="F1395" s="39"/>
      <c r="G1395" s="39" t="s">
        <v>924</v>
      </c>
      <c r="H1395" s="39"/>
      <c r="I1395" s="39"/>
    </row>
    <row r="1396">
      <c r="A1396" s="39" t="s">
        <v>586</v>
      </c>
      <c r="B1396" s="39" t="s">
        <v>177</v>
      </c>
      <c r="C1396" s="39">
        <v>43.0</v>
      </c>
      <c r="D1396" s="39" t="s">
        <v>90</v>
      </c>
      <c r="E1396" s="39" t="s">
        <v>2696</v>
      </c>
      <c r="F1396" s="39"/>
      <c r="G1396" s="39" t="s">
        <v>930</v>
      </c>
      <c r="H1396" s="39"/>
      <c r="I1396" s="39"/>
    </row>
    <row r="1397">
      <c r="A1397" s="39" t="s">
        <v>586</v>
      </c>
      <c r="B1397" s="39" t="s">
        <v>177</v>
      </c>
      <c r="C1397" s="39">
        <v>44.0</v>
      </c>
      <c r="D1397" s="39" t="s">
        <v>90</v>
      </c>
      <c r="E1397" s="39" t="s">
        <v>2697</v>
      </c>
      <c r="F1397" s="39"/>
      <c r="G1397" s="39" t="s">
        <v>927</v>
      </c>
      <c r="H1397" s="39"/>
      <c r="I1397" s="39"/>
    </row>
    <row r="1398">
      <c r="A1398" s="39" t="s">
        <v>586</v>
      </c>
      <c r="B1398" s="39" t="s">
        <v>177</v>
      </c>
      <c r="C1398" s="39">
        <v>45.0</v>
      </c>
      <c r="D1398" s="39" t="s">
        <v>90</v>
      </c>
      <c r="E1398" s="39" t="s">
        <v>2698</v>
      </c>
      <c r="F1398" s="39"/>
      <c r="G1398" s="39" t="s">
        <v>939</v>
      </c>
      <c r="H1398" s="39"/>
      <c r="I1398" s="39"/>
    </row>
    <row r="1399">
      <c r="A1399" s="39" t="s">
        <v>586</v>
      </c>
      <c r="B1399" s="39" t="s">
        <v>177</v>
      </c>
      <c r="C1399" s="39">
        <v>46.0</v>
      </c>
      <c r="D1399" s="39" t="s">
        <v>90</v>
      </c>
      <c r="E1399" s="39" t="s">
        <v>2699</v>
      </c>
      <c r="F1399" s="39"/>
      <c r="G1399" s="56" t="s">
        <v>822</v>
      </c>
      <c r="H1399" s="39"/>
      <c r="I1399" s="39"/>
    </row>
    <row r="1400">
      <c r="A1400" s="39" t="s">
        <v>586</v>
      </c>
      <c r="B1400" s="39" t="s">
        <v>177</v>
      </c>
      <c r="C1400" s="39">
        <v>47.0</v>
      </c>
      <c r="D1400" s="39" t="s">
        <v>90</v>
      </c>
      <c r="E1400" s="39" t="s">
        <v>2700</v>
      </c>
      <c r="F1400" s="39"/>
      <c r="G1400" s="56" t="s">
        <v>836</v>
      </c>
      <c r="H1400" s="39"/>
      <c r="I1400" s="39"/>
    </row>
    <row r="1401">
      <c r="A1401" s="39" t="s">
        <v>586</v>
      </c>
      <c r="B1401" s="39" t="s">
        <v>177</v>
      </c>
      <c r="C1401" s="39">
        <v>48.0</v>
      </c>
      <c r="D1401" s="39" t="s">
        <v>90</v>
      </c>
      <c r="E1401" s="39" t="s">
        <v>2701</v>
      </c>
      <c r="F1401" s="39"/>
      <c r="G1401" s="56" t="s">
        <v>1690</v>
      </c>
      <c r="H1401" s="39"/>
      <c r="I1401" s="39"/>
    </row>
    <row r="1402">
      <c r="A1402" s="39" t="s">
        <v>586</v>
      </c>
      <c r="B1402" s="39" t="s">
        <v>177</v>
      </c>
      <c r="C1402" s="39">
        <v>49.0</v>
      </c>
      <c r="D1402" s="39" t="s">
        <v>92</v>
      </c>
      <c r="E1402" s="39" t="s">
        <v>2702</v>
      </c>
      <c r="F1402" s="39"/>
      <c r="G1402" s="39" t="s">
        <v>1355</v>
      </c>
      <c r="H1402" s="39" t="s">
        <v>1356</v>
      </c>
      <c r="I1402" s="39"/>
    </row>
    <row r="1403">
      <c r="A1403" s="39" t="s">
        <v>586</v>
      </c>
      <c r="B1403" s="39" t="s">
        <v>177</v>
      </c>
      <c r="C1403" s="39">
        <v>50.0</v>
      </c>
      <c r="D1403" s="39" t="s">
        <v>92</v>
      </c>
      <c r="E1403" s="39" t="s">
        <v>2703</v>
      </c>
      <c r="F1403" s="39"/>
      <c r="G1403" s="39" t="s">
        <v>2704</v>
      </c>
      <c r="H1403" s="39"/>
      <c r="I1403" s="39"/>
    </row>
    <row r="1404">
      <c r="A1404" s="39" t="s">
        <v>586</v>
      </c>
      <c r="B1404" s="39" t="s">
        <v>177</v>
      </c>
      <c r="C1404" s="39">
        <v>51.0</v>
      </c>
      <c r="D1404" s="39" t="s">
        <v>92</v>
      </c>
      <c r="E1404" s="39" t="s">
        <v>2705</v>
      </c>
      <c r="F1404" s="39"/>
      <c r="G1404" s="39" t="s">
        <v>950</v>
      </c>
      <c r="H1404" s="39" t="s">
        <v>951</v>
      </c>
      <c r="I1404" s="39"/>
    </row>
    <row r="1405">
      <c r="A1405" s="39" t="s">
        <v>586</v>
      </c>
      <c r="B1405" s="39" t="s">
        <v>177</v>
      </c>
      <c r="C1405" s="39">
        <v>52.0</v>
      </c>
      <c r="D1405" s="39" t="s">
        <v>92</v>
      </c>
      <c r="E1405" s="39" t="s">
        <v>2706</v>
      </c>
      <c r="F1405" s="39"/>
      <c r="G1405" s="39" t="s">
        <v>945</v>
      </c>
      <c r="H1405" s="39"/>
      <c r="I1405" s="39"/>
    </row>
    <row r="1406">
      <c r="A1406" s="39" t="s">
        <v>586</v>
      </c>
      <c r="B1406" s="39" t="s">
        <v>177</v>
      </c>
      <c r="C1406" s="39">
        <v>53.0</v>
      </c>
      <c r="D1406" s="39" t="s">
        <v>91</v>
      </c>
      <c r="E1406" s="39" t="s">
        <v>2707</v>
      </c>
      <c r="F1406" s="39"/>
      <c r="G1406" s="56" t="s">
        <v>822</v>
      </c>
      <c r="H1406" s="39"/>
      <c r="I1406" s="39"/>
    </row>
    <row r="1407">
      <c r="A1407" s="39" t="s">
        <v>586</v>
      </c>
      <c r="B1407" s="39" t="s">
        <v>177</v>
      </c>
      <c r="C1407" s="39">
        <v>54.0</v>
      </c>
      <c r="D1407" s="39" t="s">
        <v>91</v>
      </c>
      <c r="E1407" s="39" t="s">
        <v>2708</v>
      </c>
      <c r="F1407" s="39"/>
      <c r="G1407" s="56" t="s">
        <v>806</v>
      </c>
      <c r="H1407" s="39"/>
      <c r="I1407" s="39"/>
    </row>
    <row r="1408">
      <c r="A1408" s="39" t="s">
        <v>586</v>
      </c>
      <c r="B1408" s="39" t="s">
        <v>177</v>
      </c>
      <c r="C1408" s="39">
        <v>55.0</v>
      </c>
      <c r="D1408" s="39" t="s">
        <v>839</v>
      </c>
      <c r="E1408" s="39" t="s">
        <v>2709</v>
      </c>
      <c r="F1408" s="39"/>
      <c r="G1408" s="39" t="s">
        <v>2562</v>
      </c>
      <c r="H1408" s="39"/>
      <c r="I1408" s="39"/>
    </row>
    <row r="1409">
      <c r="A1409" s="39" t="s">
        <v>586</v>
      </c>
      <c r="B1409" s="39" t="s">
        <v>177</v>
      </c>
      <c r="C1409" s="39">
        <v>56.0</v>
      </c>
      <c r="D1409" s="39" t="s">
        <v>90</v>
      </c>
      <c r="E1409" s="39" t="s">
        <v>2710</v>
      </c>
      <c r="F1409" s="39"/>
      <c r="G1409" s="39" t="s">
        <v>617</v>
      </c>
      <c r="H1409" s="39"/>
      <c r="I1409" s="39"/>
    </row>
    <row r="1410">
      <c r="A1410" s="39" t="s">
        <v>586</v>
      </c>
      <c r="B1410" s="39" t="s">
        <v>177</v>
      </c>
      <c r="C1410" s="39">
        <v>57.0</v>
      </c>
      <c r="D1410" s="39" t="s">
        <v>90</v>
      </c>
      <c r="E1410" s="39" t="s">
        <v>2711</v>
      </c>
      <c r="F1410" s="39"/>
      <c r="G1410" s="39" t="s">
        <v>617</v>
      </c>
      <c r="H1410" s="39"/>
      <c r="I1410" s="39"/>
    </row>
    <row r="1411">
      <c r="A1411" s="39" t="s">
        <v>586</v>
      </c>
      <c r="B1411" s="39" t="s">
        <v>177</v>
      </c>
      <c r="C1411" s="39">
        <v>58.0</v>
      </c>
      <c r="D1411" s="39" t="s">
        <v>839</v>
      </c>
      <c r="E1411" s="39" t="s">
        <v>2712</v>
      </c>
      <c r="F1411" s="39"/>
      <c r="G1411" s="39" t="s">
        <v>617</v>
      </c>
      <c r="H1411" s="39" t="s">
        <v>2713</v>
      </c>
      <c r="I1411" s="39"/>
    </row>
    <row r="1412">
      <c r="A1412" s="39" t="s">
        <v>586</v>
      </c>
      <c r="B1412" s="39" t="s">
        <v>177</v>
      </c>
      <c r="C1412" s="39">
        <v>59.0</v>
      </c>
      <c r="D1412" s="39" t="s">
        <v>84</v>
      </c>
      <c r="E1412" s="39" t="s">
        <v>2714</v>
      </c>
      <c r="F1412" s="39"/>
      <c r="G1412" s="39" t="s">
        <v>2715</v>
      </c>
      <c r="H1412" s="39" t="s">
        <v>2716</v>
      </c>
      <c r="I1412" s="39"/>
    </row>
    <row r="1413">
      <c r="A1413" s="39" t="s">
        <v>586</v>
      </c>
      <c r="B1413" s="39" t="s">
        <v>177</v>
      </c>
      <c r="C1413" s="39">
        <v>61.0</v>
      </c>
      <c r="D1413" s="39" t="s">
        <v>839</v>
      </c>
      <c r="E1413" s="39" t="s">
        <v>2717</v>
      </c>
      <c r="F1413" s="39"/>
      <c r="G1413" s="39" t="str">
        <f>IFERROR(__xludf.DUMMYFUNCTION("IFS(REGEXMATCH(E1413, ""ammo_ar""), ""Daedalus AR Ammo"", REGEXMATCH(E1413, ""ammo_ps""), ""Daedalus Pistol Ammo"", REGEXMATCH(E1413, ""ammo_sg""), ""Daedalus Shotgun Ammo"", REGEXMATCH(E1413, ""ammo_sm""), ""Daedalus SMG Ammo"", REGEXMATCH(E1413, ""ammo_"&amp;"sr""), ""Daedalus SR Ammo"")"),"Daedalus SMG Ammo")</f>
        <v>Daedalus SMG Ammo</v>
      </c>
      <c r="H1413" s="39"/>
      <c r="I1413" s="39"/>
    </row>
    <row r="1414">
      <c r="A1414" s="39" t="s">
        <v>586</v>
      </c>
      <c r="B1414" s="39" t="s">
        <v>177</v>
      </c>
      <c r="C1414" s="39">
        <v>62.0</v>
      </c>
      <c r="D1414" s="39" t="s">
        <v>839</v>
      </c>
      <c r="E1414" s="39" t="s">
        <v>2718</v>
      </c>
      <c r="F1414" s="39"/>
      <c r="G1414" s="39" t="str">
        <f>IFERROR(__xludf.DUMMYFUNCTION("IFS(REGEXMATCH(E1414, ""ammo_ar""), ""Daedalus AR Ammo"", REGEXMATCH(E1414, ""ammo_ps""), ""Daedalus Pistol Ammo"", REGEXMATCH(E1414, ""ammo_sg""), ""Daedalus Shotgun Ammo"", REGEXMATCH(E1414, ""ammo_sm""), ""Daedalus SMG Ammo"", REGEXMATCH(E1414, ""ammo_"&amp;"sr""), ""Daedalus SR Ammo"")"),"Daedalus Shotgun Ammo")</f>
        <v>Daedalus Shotgun Ammo</v>
      </c>
      <c r="H1414" s="39"/>
      <c r="I1414" s="39"/>
    </row>
    <row r="1415">
      <c r="A1415" s="39" t="s">
        <v>586</v>
      </c>
      <c r="B1415" s="39" t="s">
        <v>177</v>
      </c>
      <c r="C1415" s="39">
        <v>63.0</v>
      </c>
      <c r="D1415" s="39" t="s">
        <v>839</v>
      </c>
      <c r="E1415" s="39" t="s">
        <v>2719</v>
      </c>
      <c r="F1415" s="39"/>
      <c r="G1415" s="39" t="str">
        <f>IFERROR(__xludf.DUMMYFUNCTION("IFS(REGEXMATCH(E1415, ""ammo_ar""), ""Daedalus AR Ammo"", REGEXMATCH(E1415, ""ammo_ps""), ""Daedalus Pistol Ammo"", REGEXMATCH(E1415, ""ammo_sg""), ""Daedalus Shotgun Ammo"", REGEXMATCH(E1415, ""ammo_sm""), ""Daedalus SMG Ammo"", REGEXMATCH(E1415, ""ammo_"&amp;"sr""), ""Daedalus SR Ammo"")"),"Daedalus AR Ammo")</f>
        <v>Daedalus AR Ammo</v>
      </c>
      <c r="H1415" s="39"/>
      <c r="I1415" s="39"/>
    </row>
    <row r="1416">
      <c r="A1416" s="39" t="s">
        <v>586</v>
      </c>
      <c r="B1416" s="39" t="s">
        <v>177</v>
      </c>
      <c r="C1416" s="39">
        <v>64.0</v>
      </c>
      <c r="D1416" s="39" t="s">
        <v>839</v>
      </c>
      <c r="E1416" s="39" t="s">
        <v>2720</v>
      </c>
      <c r="F1416" s="39"/>
      <c r="G1416" s="39" t="str">
        <f>IFERROR(__xludf.DUMMYFUNCTION("IFS(REGEXMATCH(E1416, ""ammo_ar""), ""Daedalus AR Ammo"", REGEXMATCH(E1416, ""ammo_ps""), ""Daedalus Pistol Ammo"", REGEXMATCH(E1416, ""ammo_sg""), ""Daedalus Shotgun Ammo"", REGEXMATCH(E1416, ""ammo_sm""), ""Daedalus SMG Ammo"", REGEXMATCH(E1416, ""ammo_"&amp;"sr""), ""Daedalus SR Ammo"")"),"Daedalus SR Ammo")</f>
        <v>Daedalus SR Ammo</v>
      </c>
      <c r="H1416" s="39"/>
      <c r="I1416" s="39"/>
    </row>
    <row r="1417">
      <c r="A1417" s="39" t="s">
        <v>586</v>
      </c>
      <c r="B1417" s="39" t="s">
        <v>177</v>
      </c>
      <c r="C1417" s="39">
        <v>65.0</v>
      </c>
      <c r="D1417" s="39" t="s">
        <v>84</v>
      </c>
      <c r="E1417" s="39" t="s">
        <v>2721</v>
      </c>
      <c r="F1417" s="39"/>
      <c r="G1417" s="39" t="s">
        <v>2722</v>
      </c>
      <c r="H1417" s="39" t="s">
        <v>2723</v>
      </c>
      <c r="I1417" s="39"/>
    </row>
    <row r="1418">
      <c r="A1418" s="39" t="s">
        <v>586</v>
      </c>
      <c r="B1418" s="39" t="s">
        <v>177</v>
      </c>
      <c r="C1418" s="39">
        <v>67.0</v>
      </c>
      <c r="D1418" s="39" t="s">
        <v>84</v>
      </c>
      <c r="E1418" s="39" t="s">
        <v>2724</v>
      </c>
      <c r="F1418" s="39"/>
      <c r="G1418" s="39" t="s">
        <v>2725</v>
      </c>
      <c r="H1418" s="39" t="s">
        <v>2726</v>
      </c>
      <c r="I1418" s="39"/>
    </row>
    <row r="1419">
      <c r="A1419" s="39" t="s">
        <v>586</v>
      </c>
      <c r="B1419" s="39" t="s">
        <v>177</v>
      </c>
      <c r="C1419" s="39">
        <v>68.0</v>
      </c>
      <c r="D1419" s="39" t="s">
        <v>819</v>
      </c>
      <c r="E1419" s="39" t="s">
        <v>2727</v>
      </c>
      <c r="F1419" s="39"/>
      <c r="G1419" s="56" t="s">
        <v>822</v>
      </c>
      <c r="H1419" s="39"/>
      <c r="I1419" s="39"/>
    </row>
    <row r="1420">
      <c r="A1420" s="39" t="s">
        <v>586</v>
      </c>
      <c r="B1420" s="39" t="s">
        <v>177</v>
      </c>
      <c r="C1420" s="39">
        <v>69.0</v>
      </c>
      <c r="D1420" s="39" t="s">
        <v>819</v>
      </c>
      <c r="E1420" s="39" t="s">
        <v>2728</v>
      </c>
      <c r="F1420" s="39"/>
      <c r="G1420" s="56" t="s">
        <v>1690</v>
      </c>
      <c r="H1420" s="39"/>
      <c r="I1420" s="39"/>
    </row>
    <row r="1421">
      <c r="A1421" s="39" t="s">
        <v>586</v>
      </c>
      <c r="B1421" s="39" t="s">
        <v>177</v>
      </c>
      <c r="C1421" s="39">
        <v>70.0</v>
      </c>
      <c r="D1421" s="39" t="s">
        <v>819</v>
      </c>
      <c r="E1421" s="39" t="s">
        <v>2729</v>
      </c>
      <c r="F1421" s="39"/>
      <c r="G1421" s="56" t="s">
        <v>1690</v>
      </c>
      <c r="H1421" s="39"/>
      <c r="I1421" s="39"/>
    </row>
    <row r="1422">
      <c r="A1422" s="39" t="s">
        <v>586</v>
      </c>
      <c r="B1422" s="39" t="s">
        <v>177</v>
      </c>
      <c r="C1422" s="39">
        <v>71.0</v>
      </c>
      <c r="D1422" s="39" t="s">
        <v>819</v>
      </c>
      <c r="E1422" s="39" t="s">
        <v>2730</v>
      </c>
      <c r="F1422" s="39"/>
      <c r="G1422" s="56" t="s">
        <v>806</v>
      </c>
      <c r="H1422" s="39"/>
      <c r="I1422" s="39"/>
    </row>
    <row r="1423">
      <c r="A1423" s="39" t="s">
        <v>586</v>
      </c>
      <c r="B1423" s="39" t="s">
        <v>177</v>
      </c>
      <c r="C1423" s="39">
        <v>72.0</v>
      </c>
      <c r="D1423" s="39" t="s">
        <v>819</v>
      </c>
      <c r="E1423" s="39" t="s">
        <v>2731</v>
      </c>
      <c r="F1423" s="39"/>
      <c r="G1423" s="56" t="s">
        <v>822</v>
      </c>
      <c r="H1423" s="39"/>
      <c r="I1423" s="39"/>
    </row>
    <row r="1424">
      <c r="A1424" s="39" t="s">
        <v>586</v>
      </c>
      <c r="B1424" s="39" t="s">
        <v>177</v>
      </c>
      <c r="C1424" s="39">
        <v>73.0</v>
      </c>
      <c r="D1424" s="39" t="s">
        <v>819</v>
      </c>
      <c r="E1424" s="39" t="s">
        <v>2732</v>
      </c>
      <c r="F1424" s="39"/>
      <c r="G1424" s="56" t="s">
        <v>806</v>
      </c>
      <c r="H1424" s="39"/>
      <c r="I1424" s="39"/>
    </row>
    <row r="1425">
      <c r="A1425" s="39" t="s">
        <v>586</v>
      </c>
      <c r="B1425" s="39" t="s">
        <v>177</v>
      </c>
      <c r="C1425" s="39">
        <v>74.0</v>
      </c>
      <c r="D1425" s="39" t="s">
        <v>819</v>
      </c>
      <c r="E1425" s="39" t="s">
        <v>2733</v>
      </c>
      <c r="F1425" s="39"/>
      <c r="G1425" s="56" t="s">
        <v>836</v>
      </c>
      <c r="H1425" s="39"/>
      <c r="I1425" s="39"/>
    </row>
    <row r="1426">
      <c r="A1426" s="39" t="s">
        <v>586</v>
      </c>
      <c r="B1426" s="39" t="s">
        <v>177</v>
      </c>
      <c r="C1426" s="39">
        <v>75.0</v>
      </c>
      <c r="D1426" s="39" t="s">
        <v>819</v>
      </c>
      <c r="E1426" s="39" t="s">
        <v>2734</v>
      </c>
      <c r="F1426" s="39"/>
      <c r="G1426" s="56" t="s">
        <v>836</v>
      </c>
      <c r="H1426" s="39"/>
      <c r="I1426" s="39"/>
    </row>
    <row r="1427">
      <c r="A1427" s="39" t="s">
        <v>586</v>
      </c>
      <c r="B1427" s="39" t="s">
        <v>177</v>
      </c>
      <c r="C1427" s="39">
        <v>76.0</v>
      </c>
      <c r="D1427" s="39" t="s">
        <v>839</v>
      </c>
      <c r="E1427" s="39" t="s">
        <v>2735</v>
      </c>
      <c r="F1427" s="39"/>
      <c r="G1427" s="39" t="s">
        <v>842</v>
      </c>
      <c r="H1427" s="39"/>
      <c r="I1427" s="39"/>
    </row>
    <row r="1428">
      <c r="A1428" s="39" t="s">
        <v>586</v>
      </c>
      <c r="B1428" s="39" t="s">
        <v>177</v>
      </c>
      <c r="C1428" s="39">
        <v>77.0</v>
      </c>
      <c r="D1428" s="39" t="s">
        <v>839</v>
      </c>
      <c r="E1428" s="39" t="s">
        <v>2736</v>
      </c>
      <c r="F1428" s="39"/>
      <c r="G1428" s="39" t="s">
        <v>856</v>
      </c>
      <c r="H1428" s="39"/>
      <c r="I1428" s="39"/>
    </row>
    <row r="1429">
      <c r="A1429" s="39" t="s">
        <v>586</v>
      </c>
      <c r="B1429" s="39" t="s">
        <v>177</v>
      </c>
      <c r="C1429" s="39">
        <v>78.0</v>
      </c>
      <c r="D1429" s="39" t="s">
        <v>839</v>
      </c>
      <c r="E1429" s="39" t="s">
        <v>2737</v>
      </c>
      <c r="F1429" s="39"/>
      <c r="G1429" s="39" t="s">
        <v>809</v>
      </c>
      <c r="H1429" s="39" t="s">
        <v>2713</v>
      </c>
      <c r="I1429" s="39"/>
    </row>
    <row r="1430">
      <c r="A1430" s="39" t="s">
        <v>586</v>
      </c>
      <c r="B1430" s="39" t="s">
        <v>177</v>
      </c>
      <c r="C1430" s="39">
        <v>79.0</v>
      </c>
      <c r="D1430" s="39" t="s">
        <v>92</v>
      </c>
      <c r="E1430" s="39" t="s">
        <v>2738</v>
      </c>
      <c r="F1430" s="39"/>
      <c r="G1430" s="39" t="s">
        <v>1432</v>
      </c>
      <c r="H1430" s="39"/>
      <c r="I1430" s="39"/>
    </row>
    <row r="1431">
      <c r="A1431" s="39" t="s">
        <v>586</v>
      </c>
      <c r="B1431" s="39" t="s">
        <v>177</v>
      </c>
      <c r="C1431" s="39">
        <v>80.0</v>
      </c>
      <c r="D1431" s="39" t="s">
        <v>92</v>
      </c>
      <c r="E1431" s="39" t="s">
        <v>2739</v>
      </c>
      <c r="F1431" s="39"/>
      <c r="G1431" s="39" t="s">
        <v>2740</v>
      </c>
      <c r="H1431" s="39"/>
      <c r="I1431" s="39"/>
    </row>
    <row r="1432">
      <c r="A1432" s="39" t="s">
        <v>586</v>
      </c>
      <c r="B1432" s="39" t="s">
        <v>177</v>
      </c>
      <c r="C1432" s="39">
        <v>81.0</v>
      </c>
      <c r="D1432" s="39" t="s">
        <v>92</v>
      </c>
      <c r="E1432" s="39" t="s">
        <v>2741</v>
      </c>
      <c r="F1432" s="39"/>
      <c r="G1432" s="39" t="s">
        <v>947</v>
      </c>
      <c r="H1432" s="39"/>
      <c r="I1432" s="39"/>
    </row>
    <row r="1433">
      <c r="A1433" s="39" t="s">
        <v>586</v>
      </c>
      <c r="B1433" s="39" t="s">
        <v>177</v>
      </c>
      <c r="C1433" s="39">
        <v>82.0</v>
      </c>
      <c r="D1433" s="39" t="s">
        <v>91</v>
      </c>
      <c r="E1433" s="39" t="s">
        <v>2742</v>
      </c>
      <c r="F1433" s="39"/>
      <c r="G1433" s="56" t="s">
        <v>836</v>
      </c>
      <c r="H1433" s="39"/>
      <c r="I1433" s="39"/>
    </row>
    <row r="1434">
      <c r="A1434" s="39" t="s">
        <v>586</v>
      </c>
      <c r="B1434" s="39" t="s">
        <v>177</v>
      </c>
      <c r="C1434" s="39">
        <v>83.0</v>
      </c>
      <c r="D1434" s="39" t="s">
        <v>90</v>
      </c>
      <c r="E1434" s="39" t="s">
        <v>2743</v>
      </c>
      <c r="F1434" s="39"/>
      <c r="G1434" s="39" t="s">
        <v>927</v>
      </c>
      <c r="H1434" s="39"/>
      <c r="I1434" s="39"/>
    </row>
    <row r="1435">
      <c r="A1435" s="39" t="s">
        <v>586</v>
      </c>
      <c r="B1435" s="39" t="s">
        <v>177</v>
      </c>
      <c r="C1435" s="39">
        <v>85.0</v>
      </c>
      <c r="D1435" s="39" t="s">
        <v>84</v>
      </c>
      <c r="E1435" s="59" t="s">
        <v>2744</v>
      </c>
      <c r="F1435" s="59"/>
      <c r="G1435" s="59" t="s">
        <v>2745</v>
      </c>
      <c r="H1435" s="39" t="s">
        <v>2746</v>
      </c>
      <c r="I1435" s="39"/>
    </row>
    <row r="1436">
      <c r="A1436" s="39" t="s">
        <v>586</v>
      </c>
      <c r="B1436" s="39" t="s">
        <v>203</v>
      </c>
      <c r="C1436" s="39">
        <v>2.0</v>
      </c>
      <c r="D1436" s="39" t="s">
        <v>81</v>
      </c>
      <c r="E1436" s="39" t="s">
        <v>2747</v>
      </c>
      <c r="F1436" s="39"/>
      <c r="G1436" s="39" t="s">
        <v>797</v>
      </c>
      <c r="H1436" s="39"/>
      <c r="I1436" s="39"/>
    </row>
    <row r="1437">
      <c r="A1437" s="39" t="s">
        <v>586</v>
      </c>
      <c r="B1437" s="39" t="s">
        <v>203</v>
      </c>
      <c r="C1437" s="39">
        <v>3.0</v>
      </c>
      <c r="D1437" s="39" t="s">
        <v>798</v>
      </c>
      <c r="E1437" s="39" t="s">
        <v>2748</v>
      </c>
      <c r="F1437" s="39"/>
      <c r="G1437" s="39" t="s">
        <v>809</v>
      </c>
      <c r="H1437" s="39"/>
      <c r="I1437" s="39"/>
    </row>
    <row r="1438">
      <c r="A1438" s="39" t="s">
        <v>586</v>
      </c>
      <c r="B1438" s="39" t="s">
        <v>203</v>
      </c>
      <c r="C1438" s="39">
        <v>4.0</v>
      </c>
      <c r="D1438" s="39" t="s">
        <v>798</v>
      </c>
      <c r="E1438" s="39" t="s">
        <v>2749</v>
      </c>
      <c r="F1438" s="39"/>
      <c r="G1438" s="56" t="s">
        <v>1690</v>
      </c>
      <c r="H1438" s="39"/>
      <c r="I1438" s="39"/>
    </row>
    <row r="1439">
      <c r="A1439" s="39" t="s">
        <v>586</v>
      </c>
      <c r="B1439" s="39" t="s">
        <v>203</v>
      </c>
      <c r="C1439" s="39">
        <v>5.0</v>
      </c>
      <c r="D1439" s="39" t="s">
        <v>798</v>
      </c>
      <c r="E1439" s="39" t="s">
        <v>2750</v>
      </c>
      <c r="F1439" s="39"/>
      <c r="G1439" s="56" t="s">
        <v>806</v>
      </c>
      <c r="H1439" s="39"/>
      <c r="I1439" s="39"/>
    </row>
    <row r="1440">
      <c r="A1440" s="39" t="s">
        <v>586</v>
      </c>
      <c r="B1440" s="39" t="s">
        <v>203</v>
      </c>
      <c r="C1440" s="39">
        <v>6.0</v>
      </c>
      <c r="D1440" s="39" t="s">
        <v>798</v>
      </c>
      <c r="E1440" s="39" t="s">
        <v>2751</v>
      </c>
      <c r="F1440" s="39"/>
      <c r="G1440" s="39" t="s">
        <v>809</v>
      </c>
      <c r="H1440" s="39"/>
      <c r="I1440" s="39"/>
    </row>
    <row r="1441">
      <c r="A1441" s="39" t="s">
        <v>586</v>
      </c>
      <c r="B1441" s="39" t="s">
        <v>203</v>
      </c>
      <c r="C1441" s="39">
        <v>7.0</v>
      </c>
      <c r="D1441" s="39" t="s">
        <v>84</v>
      </c>
      <c r="E1441" s="39" t="s">
        <v>2752</v>
      </c>
      <c r="F1441" s="39"/>
      <c r="G1441" s="39" t="s">
        <v>2753</v>
      </c>
      <c r="H1441" s="39"/>
      <c r="I1441" s="39"/>
    </row>
    <row r="1442">
      <c r="A1442" s="39" t="s">
        <v>586</v>
      </c>
      <c r="B1442" s="39" t="s">
        <v>203</v>
      </c>
      <c r="C1442" s="39">
        <v>8.0</v>
      </c>
      <c r="D1442" s="39" t="s">
        <v>84</v>
      </c>
      <c r="E1442" s="39" t="s">
        <v>2754</v>
      </c>
      <c r="F1442" s="39"/>
      <c r="G1442" s="39" t="s">
        <v>2755</v>
      </c>
      <c r="H1442" s="39"/>
      <c r="I1442" s="39"/>
    </row>
    <row r="1443">
      <c r="A1443" s="39" t="s">
        <v>586</v>
      </c>
      <c r="B1443" s="39" t="s">
        <v>203</v>
      </c>
      <c r="C1443" s="39">
        <v>9.0</v>
      </c>
      <c r="D1443" s="39" t="s">
        <v>839</v>
      </c>
      <c r="E1443" s="39" t="s">
        <v>2756</v>
      </c>
      <c r="F1443" s="39"/>
      <c r="G1443" s="39" t="s">
        <v>847</v>
      </c>
      <c r="H1443" s="39"/>
      <c r="I1443" s="39"/>
    </row>
    <row r="1444">
      <c r="A1444" s="39" t="s">
        <v>586</v>
      </c>
      <c r="B1444" s="39" t="s">
        <v>203</v>
      </c>
      <c r="C1444" s="39">
        <v>10.0</v>
      </c>
      <c r="D1444" s="39" t="s">
        <v>839</v>
      </c>
      <c r="E1444" s="39" t="s">
        <v>2757</v>
      </c>
      <c r="F1444" s="39"/>
      <c r="G1444" s="39" t="s">
        <v>850</v>
      </c>
      <c r="H1444" s="39"/>
      <c r="I1444" s="39"/>
    </row>
    <row r="1445">
      <c r="A1445" s="39" t="s">
        <v>586</v>
      </c>
      <c r="B1445" s="39" t="s">
        <v>203</v>
      </c>
      <c r="C1445" s="39">
        <v>11.0</v>
      </c>
      <c r="D1445" s="39" t="s">
        <v>839</v>
      </c>
      <c r="E1445" s="39" t="s">
        <v>2758</v>
      </c>
      <c r="F1445" s="39"/>
      <c r="G1445" s="39" t="s">
        <v>853</v>
      </c>
      <c r="H1445" s="39"/>
      <c r="I1445" s="39"/>
    </row>
    <row r="1446">
      <c r="A1446" s="39" t="s">
        <v>586</v>
      </c>
      <c r="B1446" s="39" t="s">
        <v>203</v>
      </c>
      <c r="C1446" s="39">
        <v>12.0</v>
      </c>
      <c r="D1446" s="39" t="s">
        <v>839</v>
      </c>
      <c r="E1446" s="39" t="s">
        <v>2759</v>
      </c>
      <c r="F1446" s="39"/>
      <c r="G1446" s="39" t="s">
        <v>2562</v>
      </c>
      <c r="H1446" s="39" t="s">
        <v>2760</v>
      </c>
      <c r="I1446" s="39"/>
    </row>
    <row r="1447">
      <c r="A1447" s="39" t="s">
        <v>586</v>
      </c>
      <c r="B1447" s="39" t="s">
        <v>203</v>
      </c>
      <c r="C1447" s="39">
        <v>13.0</v>
      </c>
      <c r="D1447" s="39" t="s">
        <v>839</v>
      </c>
      <c r="E1447" s="39" t="s">
        <v>2761</v>
      </c>
      <c r="F1447" s="39"/>
      <c r="G1447" s="39" t="s">
        <v>809</v>
      </c>
      <c r="H1447" s="39"/>
      <c r="I1447" s="39"/>
    </row>
    <row r="1448">
      <c r="A1448" s="39" t="s">
        <v>586</v>
      </c>
      <c r="B1448" s="39" t="s">
        <v>203</v>
      </c>
      <c r="C1448" s="39">
        <v>14.0</v>
      </c>
      <c r="D1448" s="39" t="s">
        <v>839</v>
      </c>
      <c r="E1448" s="39" t="s">
        <v>2762</v>
      </c>
      <c r="F1448" s="39"/>
      <c r="G1448" s="39" t="s">
        <v>809</v>
      </c>
      <c r="H1448" s="39"/>
      <c r="I1448" s="39"/>
    </row>
    <row r="1449">
      <c r="A1449" s="39" t="s">
        <v>586</v>
      </c>
      <c r="B1449" s="39" t="s">
        <v>203</v>
      </c>
      <c r="C1449" s="39">
        <v>15.0</v>
      </c>
      <c r="D1449" s="39" t="s">
        <v>839</v>
      </c>
      <c r="E1449" s="39" t="s">
        <v>2763</v>
      </c>
      <c r="F1449" s="39"/>
      <c r="G1449" s="39" t="s">
        <v>809</v>
      </c>
      <c r="H1449" s="39"/>
      <c r="I1449" s="39"/>
    </row>
    <row r="1450">
      <c r="A1450" s="39" t="s">
        <v>586</v>
      </c>
      <c r="B1450" s="39" t="s">
        <v>203</v>
      </c>
      <c r="C1450" s="39">
        <v>16.0</v>
      </c>
      <c r="D1450" s="39" t="s">
        <v>839</v>
      </c>
      <c r="E1450" s="39" t="s">
        <v>2764</v>
      </c>
      <c r="F1450" s="39"/>
      <c r="G1450" s="39" t="s">
        <v>809</v>
      </c>
      <c r="H1450" s="39"/>
      <c r="I1450" s="39"/>
    </row>
    <row r="1451">
      <c r="A1451" s="39" t="s">
        <v>586</v>
      </c>
      <c r="B1451" s="39" t="s">
        <v>203</v>
      </c>
      <c r="C1451" s="39">
        <v>17.0</v>
      </c>
      <c r="D1451" s="39" t="s">
        <v>839</v>
      </c>
      <c r="E1451" s="39" t="s">
        <v>2765</v>
      </c>
      <c r="F1451" s="39"/>
      <c r="G1451" s="39" t="s">
        <v>989</v>
      </c>
      <c r="H1451" s="39"/>
      <c r="I1451" s="39"/>
    </row>
    <row r="1452">
      <c r="A1452" s="39" t="s">
        <v>586</v>
      </c>
      <c r="B1452" s="39" t="s">
        <v>203</v>
      </c>
      <c r="C1452" s="39">
        <v>18.0</v>
      </c>
      <c r="D1452" s="39" t="s">
        <v>839</v>
      </c>
      <c r="E1452" s="39" t="s">
        <v>2766</v>
      </c>
      <c r="F1452" s="39"/>
      <c r="G1452" s="39" t="s">
        <v>991</v>
      </c>
      <c r="H1452" s="39"/>
      <c r="I1452" s="39"/>
    </row>
    <row r="1453">
      <c r="A1453" s="39" t="s">
        <v>586</v>
      </c>
      <c r="B1453" s="39" t="s">
        <v>203</v>
      </c>
      <c r="C1453" s="39">
        <v>19.0</v>
      </c>
      <c r="D1453" s="39" t="s">
        <v>839</v>
      </c>
      <c r="E1453" s="39" t="s">
        <v>2767</v>
      </c>
      <c r="F1453" s="39"/>
      <c r="G1453" s="39" t="s">
        <v>993</v>
      </c>
      <c r="H1453" s="39"/>
      <c r="I1453" s="39"/>
    </row>
    <row r="1454">
      <c r="A1454" s="39" t="s">
        <v>586</v>
      </c>
      <c r="B1454" s="39" t="s">
        <v>203</v>
      </c>
      <c r="C1454" s="39">
        <v>20.0</v>
      </c>
      <c r="D1454" s="39" t="s">
        <v>839</v>
      </c>
      <c r="E1454" s="39" t="s">
        <v>2768</v>
      </c>
      <c r="F1454" s="39"/>
      <c r="G1454" s="39" t="s">
        <v>995</v>
      </c>
      <c r="H1454" s="39"/>
      <c r="I1454" s="39"/>
    </row>
    <row r="1455">
      <c r="A1455" s="39" t="s">
        <v>586</v>
      </c>
      <c r="B1455" s="39" t="s">
        <v>203</v>
      </c>
      <c r="C1455" s="39">
        <v>21.0</v>
      </c>
      <c r="D1455" s="39" t="s">
        <v>87</v>
      </c>
      <c r="E1455" s="39" t="s">
        <v>2769</v>
      </c>
      <c r="F1455" s="39"/>
      <c r="G1455" s="39" t="s">
        <v>2770</v>
      </c>
      <c r="H1455" s="39"/>
      <c r="I1455" s="39"/>
    </row>
    <row r="1456">
      <c r="A1456" s="39" t="s">
        <v>586</v>
      </c>
      <c r="B1456" s="39" t="s">
        <v>203</v>
      </c>
      <c r="C1456" s="39">
        <v>22.0</v>
      </c>
      <c r="D1456" s="39" t="s">
        <v>87</v>
      </c>
      <c r="E1456" s="39" t="s">
        <v>2771</v>
      </c>
      <c r="F1456" s="39"/>
      <c r="G1456" s="39" t="s">
        <v>2772</v>
      </c>
      <c r="H1456" s="39"/>
      <c r="I1456" s="39"/>
    </row>
    <row r="1457">
      <c r="A1457" s="39" t="s">
        <v>586</v>
      </c>
      <c r="B1457" s="39" t="s">
        <v>203</v>
      </c>
      <c r="C1457" s="39">
        <v>23.0</v>
      </c>
      <c r="D1457" s="39" t="s">
        <v>87</v>
      </c>
      <c r="E1457" s="39" t="s">
        <v>2773</v>
      </c>
      <c r="F1457" s="39"/>
      <c r="G1457" s="39" t="s">
        <v>2774</v>
      </c>
      <c r="H1457" s="39"/>
      <c r="I1457" s="39"/>
    </row>
    <row r="1458">
      <c r="A1458" s="39" t="s">
        <v>586</v>
      </c>
      <c r="B1458" s="39" t="s">
        <v>203</v>
      </c>
      <c r="C1458" s="39">
        <v>24.0</v>
      </c>
      <c r="D1458" s="39" t="s">
        <v>87</v>
      </c>
      <c r="E1458" s="39" t="s">
        <v>2775</v>
      </c>
      <c r="F1458" s="39"/>
      <c r="G1458" s="39" t="s">
        <v>2776</v>
      </c>
      <c r="H1458" s="39"/>
      <c r="I1458" s="39"/>
    </row>
    <row r="1459">
      <c r="A1459" s="39" t="s">
        <v>586</v>
      </c>
      <c r="B1459" s="39" t="s">
        <v>203</v>
      </c>
      <c r="C1459" s="39">
        <v>25.0</v>
      </c>
      <c r="D1459" s="39" t="s">
        <v>87</v>
      </c>
      <c r="E1459" s="39" t="s">
        <v>2777</v>
      </c>
      <c r="F1459" s="39"/>
      <c r="G1459" s="39" t="s">
        <v>2778</v>
      </c>
      <c r="H1459" s="39"/>
      <c r="I1459" s="39"/>
    </row>
    <row r="1460">
      <c r="A1460" s="39" t="s">
        <v>586</v>
      </c>
      <c r="B1460" s="39" t="s">
        <v>203</v>
      </c>
      <c r="C1460" s="39">
        <v>26.0</v>
      </c>
      <c r="D1460" s="39" t="s">
        <v>839</v>
      </c>
      <c r="E1460" s="39" t="s">
        <v>2779</v>
      </c>
      <c r="F1460" s="39"/>
      <c r="G1460" s="39" t="s">
        <v>874</v>
      </c>
      <c r="H1460" s="39"/>
      <c r="I1460" s="39"/>
    </row>
    <row r="1461">
      <c r="A1461" s="39" t="s">
        <v>586</v>
      </c>
      <c r="B1461" s="39" t="s">
        <v>203</v>
      </c>
      <c r="C1461" s="39">
        <v>27.0</v>
      </c>
      <c r="D1461" s="39" t="s">
        <v>839</v>
      </c>
      <c r="E1461" s="39" t="s">
        <v>2780</v>
      </c>
      <c r="F1461" s="39"/>
      <c r="G1461" s="39" t="s">
        <v>880</v>
      </c>
      <c r="H1461" s="39"/>
      <c r="I1461" s="39"/>
    </row>
    <row r="1462">
      <c r="A1462" s="39" t="s">
        <v>586</v>
      </c>
      <c r="B1462" s="39" t="s">
        <v>203</v>
      </c>
      <c r="C1462" s="39">
        <v>28.0</v>
      </c>
      <c r="D1462" s="39" t="s">
        <v>88</v>
      </c>
      <c r="E1462" s="39" t="s">
        <v>2781</v>
      </c>
      <c r="F1462" s="39"/>
      <c r="G1462" s="39" t="s">
        <v>901</v>
      </c>
      <c r="H1462" s="39"/>
      <c r="I1462" s="39"/>
    </row>
    <row r="1463">
      <c r="A1463" s="39" t="s">
        <v>586</v>
      </c>
      <c r="B1463" s="39" t="s">
        <v>203</v>
      </c>
      <c r="C1463" s="39">
        <v>29.0</v>
      </c>
      <c r="D1463" s="39" t="s">
        <v>88</v>
      </c>
      <c r="E1463" s="39" t="s">
        <v>2782</v>
      </c>
      <c r="F1463" s="39"/>
      <c r="G1463" s="39" t="s">
        <v>892</v>
      </c>
      <c r="H1463" s="39"/>
      <c r="I1463" s="39"/>
    </row>
    <row r="1464">
      <c r="A1464" s="39" t="s">
        <v>586</v>
      </c>
      <c r="B1464" s="39" t="s">
        <v>203</v>
      </c>
      <c r="C1464" s="39">
        <v>30.0</v>
      </c>
      <c r="D1464" s="39" t="s">
        <v>88</v>
      </c>
      <c r="E1464" s="39" t="s">
        <v>2783</v>
      </c>
      <c r="F1464" s="39"/>
      <c r="G1464" s="39" t="s">
        <v>895</v>
      </c>
      <c r="H1464" s="39"/>
      <c r="I1464" s="39"/>
    </row>
    <row r="1465">
      <c r="A1465" s="39" t="s">
        <v>586</v>
      </c>
      <c r="B1465" s="39" t="s">
        <v>203</v>
      </c>
      <c r="C1465" s="39">
        <v>31.0</v>
      </c>
      <c r="D1465" s="39" t="s">
        <v>88</v>
      </c>
      <c r="E1465" s="39" t="s">
        <v>2784</v>
      </c>
      <c r="F1465" s="39"/>
      <c r="G1465" s="39" t="s">
        <v>898</v>
      </c>
      <c r="H1465" s="39"/>
      <c r="I1465" s="39"/>
    </row>
    <row r="1466">
      <c r="A1466" s="39" t="s">
        <v>586</v>
      </c>
      <c r="B1466" s="39" t="s">
        <v>203</v>
      </c>
      <c r="C1466" s="39">
        <v>32.0</v>
      </c>
      <c r="D1466" s="39" t="s">
        <v>88</v>
      </c>
      <c r="E1466" s="39" t="s">
        <v>2785</v>
      </c>
      <c r="F1466" s="39"/>
      <c r="G1466" s="39" t="s">
        <v>895</v>
      </c>
      <c r="H1466" s="39"/>
      <c r="I1466" s="39"/>
    </row>
    <row r="1467">
      <c r="A1467" s="39" t="s">
        <v>586</v>
      </c>
      <c r="B1467" s="39" t="s">
        <v>203</v>
      </c>
      <c r="C1467" s="39">
        <v>33.0</v>
      </c>
      <c r="D1467" s="39" t="s">
        <v>902</v>
      </c>
      <c r="E1467" s="39" t="s">
        <v>2786</v>
      </c>
      <c r="F1467" s="39"/>
      <c r="G1467" s="56" t="s">
        <v>822</v>
      </c>
      <c r="H1467" s="39" t="s">
        <v>1139</v>
      </c>
      <c r="I1467" s="39"/>
    </row>
    <row r="1468">
      <c r="A1468" s="39" t="s">
        <v>586</v>
      </c>
      <c r="B1468" s="39" t="s">
        <v>203</v>
      </c>
      <c r="C1468" s="39">
        <v>34.0</v>
      </c>
      <c r="D1468" s="39" t="s">
        <v>902</v>
      </c>
      <c r="E1468" s="39" t="s">
        <v>2787</v>
      </c>
      <c r="F1468" s="39"/>
      <c r="G1468" s="56" t="s">
        <v>801</v>
      </c>
      <c r="H1468" s="39" t="s">
        <v>1042</v>
      </c>
      <c r="I1468" s="39"/>
    </row>
    <row r="1469">
      <c r="A1469" s="39" t="s">
        <v>586</v>
      </c>
      <c r="B1469" s="39" t="s">
        <v>203</v>
      </c>
      <c r="C1469" s="39">
        <v>35.0</v>
      </c>
      <c r="D1469" s="39" t="s">
        <v>902</v>
      </c>
      <c r="E1469" s="39" t="s">
        <v>2788</v>
      </c>
      <c r="F1469" s="39"/>
      <c r="G1469" s="39" t="s">
        <v>809</v>
      </c>
      <c r="H1469" s="39" t="s">
        <v>2789</v>
      </c>
      <c r="I1469" s="39"/>
    </row>
    <row r="1470">
      <c r="A1470" s="39" t="s">
        <v>586</v>
      </c>
      <c r="B1470" s="39" t="s">
        <v>203</v>
      </c>
      <c r="C1470" s="39">
        <v>36.0</v>
      </c>
      <c r="D1470" s="39" t="s">
        <v>902</v>
      </c>
      <c r="E1470" s="39" t="s">
        <v>2790</v>
      </c>
      <c r="F1470" s="39"/>
      <c r="G1470" s="56" t="s">
        <v>825</v>
      </c>
      <c r="H1470" s="39" t="s">
        <v>1042</v>
      </c>
      <c r="I1470" s="39"/>
    </row>
    <row r="1471">
      <c r="A1471" s="39" t="s">
        <v>586</v>
      </c>
      <c r="B1471" s="39" t="s">
        <v>203</v>
      </c>
      <c r="C1471" s="39">
        <v>37.0</v>
      </c>
      <c r="D1471" s="39" t="s">
        <v>902</v>
      </c>
      <c r="E1471" s="39" t="s">
        <v>2791</v>
      </c>
      <c r="F1471" s="39"/>
      <c r="G1471" s="56" t="s">
        <v>822</v>
      </c>
      <c r="H1471" s="39" t="s">
        <v>2692</v>
      </c>
      <c r="I1471" s="39"/>
    </row>
    <row r="1472">
      <c r="A1472" s="39" t="s">
        <v>586</v>
      </c>
      <c r="B1472" s="39" t="s">
        <v>203</v>
      </c>
      <c r="C1472" s="39">
        <v>38.0</v>
      </c>
      <c r="D1472" s="39" t="s">
        <v>902</v>
      </c>
      <c r="E1472" s="39" t="s">
        <v>2792</v>
      </c>
      <c r="F1472" s="39"/>
      <c r="G1472" s="56" t="s">
        <v>801</v>
      </c>
      <c r="H1472" s="39" t="s">
        <v>1042</v>
      </c>
      <c r="I1472" s="39"/>
    </row>
    <row r="1473">
      <c r="A1473" s="39" t="s">
        <v>586</v>
      </c>
      <c r="B1473" s="39" t="s">
        <v>203</v>
      </c>
      <c r="C1473" s="39">
        <v>39.0</v>
      </c>
      <c r="D1473" s="39" t="s">
        <v>902</v>
      </c>
      <c r="E1473" s="39" t="s">
        <v>2793</v>
      </c>
      <c r="F1473" s="39"/>
      <c r="G1473" s="39" t="s">
        <v>809</v>
      </c>
      <c r="H1473" s="39" t="s">
        <v>1832</v>
      </c>
      <c r="I1473" s="39"/>
    </row>
    <row r="1474">
      <c r="A1474" s="39" t="s">
        <v>586</v>
      </c>
      <c r="B1474" s="39" t="s">
        <v>203</v>
      </c>
      <c r="C1474" s="39">
        <v>40.0</v>
      </c>
      <c r="D1474" s="39" t="s">
        <v>902</v>
      </c>
      <c r="E1474" s="39" t="s">
        <v>2794</v>
      </c>
      <c r="F1474" s="39"/>
      <c r="G1474" s="56" t="s">
        <v>825</v>
      </c>
      <c r="H1474" s="39" t="s">
        <v>1042</v>
      </c>
      <c r="I1474" s="39"/>
    </row>
    <row r="1475">
      <c r="A1475" s="39" t="s">
        <v>586</v>
      </c>
      <c r="B1475" s="39" t="s">
        <v>203</v>
      </c>
      <c r="C1475" s="39">
        <v>41.0</v>
      </c>
      <c r="D1475" s="39" t="s">
        <v>90</v>
      </c>
      <c r="E1475" s="39" t="s">
        <v>2795</v>
      </c>
      <c r="F1475" s="39"/>
      <c r="G1475" s="39" t="s">
        <v>927</v>
      </c>
      <c r="H1475" s="39"/>
      <c r="I1475" s="39"/>
    </row>
    <row r="1476">
      <c r="A1476" s="39" t="s">
        <v>586</v>
      </c>
      <c r="B1476" s="39" t="s">
        <v>203</v>
      </c>
      <c r="C1476" s="39">
        <v>42.0</v>
      </c>
      <c r="D1476" s="39" t="s">
        <v>90</v>
      </c>
      <c r="E1476" s="39" t="s">
        <v>2796</v>
      </c>
      <c r="F1476" s="39"/>
      <c r="G1476" s="39" t="s">
        <v>924</v>
      </c>
      <c r="H1476" s="39"/>
      <c r="I1476" s="39"/>
    </row>
    <row r="1477">
      <c r="A1477" s="39" t="s">
        <v>586</v>
      </c>
      <c r="B1477" s="39" t="s">
        <v>203</v>
      </c>
      <c r="C1477" s="39">
        <v>43.0</v>
      </c>
      <c r="D1477" s="39" t="s">
        <v>90</v>
      </c>
      <c r="E1477" s="39" t="s">
        <v>2797</v>
      </c>
      <c r="F1477" s="39"/>
      <c r="G1477" s="39" t="s">
        <v>930</v>
      </c>
      <c r="H1477" s="39"/>
      <c r="I1477" s="39"/>
    </row>
    <row r="1478">
      <c r="A1478" s="39" t="s">
        <v>586</v>
      </c>
      <c r="B1478" s="39" t="s">
        <v>203</v>
      </c>
      <c r="C1478" s="39">
        <v>44.0</v>
      </c>
      <c r="D1478" s="39" t="s">
        <v>90</v>
      </c>
      <c r="E1478" s="39" t="s">
        <v>2798</v>
      </c>
      <c r="F1478" s="39"/>
      <c r="G1478" s="39" t="s">
        <v>939</v>
      </c>
      <c r="H1478" s="39"/>
      <c r="I1478" s="39"/>
    </row>
    <row r="1479">
      <c r="A1479" s="39" t="s">
        <v>586</v>
      </c>
      <c r="B1479" s="39" t="s">
        <v>203</v>
      </c>
      <c r="C1479" s="39">
        <v>45.0</v>
      </c>
      <c r="D1479" s="39" t="s">
        <v>90</v>
      </c>
      <c r="E1479" s="39" t="s">
        <v>2799</v>
      </c>
      <c r="F1479" s="39"/>
      <c r="G1479" s="56" t="s">
        <v>822</v>
      </c>
      <c r="H1479" s="39"/>
      <c r="I1479" s="39"/>
    </row>
    <row r="1480">
      <c r="A1480" s="39" t="s">
        <v>586</v>
      </c>
      <c r="B1480" s="39" t="s">
        <v>203</v>
      </c>
      <c r="C1480" s="39">
        <v>46.0</v>
      </c>
      <c r="D1480" s="39" t="s">
        <v>90</v>
      </c>
      <c r="E1480" s="39" t="s">
        <v>2800</v>
      </c>
      <c r="F1480" s="39"/>
      <c r="G1480" s="56" t="s">
        <v>836</v>
      </c>
      <c r="I1480" s="39"/>
    </row>
    <row r="1481">
      <c r="A1481" s="39" t="s">
        <v>586</v>
      </c>
      <c r="B1481" s="39" t="s">
        <v>203</v>
      </c>
      <c r="C1481" s="39">
        <v>47.0</v>
      </c>
      <c r="D1481" s="39" t="s">
        <v>90</v>
      </c>
      <c r="E1481" s="39" t="s">
        <v>2801</v>
      </c>
      <c r="F1481" s="39"/>
      <c r="G1481" s="56" t="s">
        <v>1690</v>
      </c>
      <c r="H1481" s="39"/>
      <c r="I1481" s="39"/>
    </row>
    <row r="1482">
      <c r="A1482" s="39" t="s">
        <v>586</v>
      </c>
      <c r="B1482" s="39" t="s">
        <v>203</v>
      </c>
      <c r="C1482" s="39">
        <v>48.0</v>
      </c>
      <c r="D1482" s="39" t="s">
        <v>92</v>
      </c>
      <c r="E1482" s="39" t="s">
        <v>2802</v>
      </c>
      <c r="F1482" s="39"/>
      <c r="G1482" s="39" t="s">
        <v>947</v>
      </c>
      <c r="H1482" s="39"/>
      <c r="I1482" s="39"/>
    </row>
    <row r="1483">
      <c r="A1483" s="39" t="s">
        <v>586</v>
      </c>
      <c r="B1483" s="39" t="s">
        <v>203</v>
      </c>
      <c r="C1483" s="39">
        <v>49.0</v>
      </c>
      <c r="D1483" s="39" t="s">
        <v>92</v>
      </c>
      <c r="E1483" s="39" t="s">
        <v>2803</v>
      </c>
      <c r="F1483" s="39"/>
      <c r="G1483" s="39" t="s">
        <v>945</v>
      </c>
      <c r="H1483" s="39"/>
      <c r="I1483" s="39"/>
    </row>
    <row r="1484">
      <c r="A1484" s="39" t="s">
        <v>586</v>
      </c>
      <c r="B1484" s="39" t="s">
        <v>203</v>
      </c>
      <c r="C1484" s="39">
        <v>50.0</v>
      </c>
      <c r="D1484" s="39" t="s">
        <v>92</v>
      </c>
      <c r="E1484" s="39" t="s">
        <v>2804</v>
      </c>
      <c r="F1484" s="39"/>
      <c r="G1484" s="39" t="s">
        <v>2805</v>
      </c>
      <c r="H1484" s="39" t="s">
        <v>2806</v>
      </c>
      <c r="I1484" s="39"/>
    </row>
    <row r="1485">
      <c r="A1485" s="39" t="s">
        <v>586</v>
      </c>
      <c r="B1485" s="39" t="s">
        <v>203</v>
      </c>
      <c r="C1485" s="39">
        <v>51.0</v>
      </c>
      <c r="D1485" s="39" t="s">
        <v>92</v>
      </c>
      <c r="E1485" s="39" t="s">
        <v>2807</v>
      </c>
      <c r="F1485" s="39"/>
      <c r="G1485" s="39" t="s">
        <v>2808</v>
      </c>
      <c r="H1485" s="39"/>
      <c r="I1485" s="39"/>
    </row>
    <row r="1486">
      <c r="A1486" s="39" t="s">
        <v>586</v>
      </c>
      <c r="B1486" s="39" t="s">
        <v>203</v>
      </c>
      <c r="C1486" s="39">
        <v>52.0</v>
      </c>
      <c r="D1486" s="39" t="s">
        <v>91</v>
      </c>
      <c r="E1486" s="39" t="s">
        <v>2809</v>
      </c>
      <c r="F1486" s="39"/>
      <c r="G1486" s="56" t="s">
        <v>822</v>
      </c>
      <c r="H1486" s="39"/>
      <c r="I1486" s="39"/>
    </row>
    <row r="1487">
      <c r="A1487" s="39" t="s">
        <v>586</v>
      </c>
      <c r="B1487" s="39" t="s">
        <v>203</v>
      </c>
      <c r="C1487" s="39">
        <v>53.0</v>
      </c>
      <c r="D1487" s="39" t="s">
        <v>91</v>
      </c>
      <c r="E1487" s="39" t="s">
        <v>2810</v>
      </c>
      <c r="F1487" s="39"/>
      <c r="G1487" s="56" t="s">
        <v>806</v>
      </c>
      <c r="H1487" s="39"/>
      <c r="I1487" s="39"/>
    </row>
    <row r="1488">
      <c r="A1488" s="39" t="s">
        <v>586</v>
      </c>
      <c r="B1488" s="39" t="s">
        <v>203</v>
      </c>
      <c r="C1488" s="39">
        <v>54.0</v>
      </c>
      <c r="D1488" s="39" t="s">
        <v>91</v>
      </c>
      <c r="E1488" s="39" t="s">
        <v>2811</v>
      </c>
      <c r="F1488" s="39"/>
      <c r="G1488" s="56" t="s">
        <v>836</v>
      </c>
      <c r="I1488" s="39"/>
    </row>
    <row r="1489">
      <c r="A1489" s="39" t="s">
        <v>586</v>
      </c>
      <c r="B1489" s="39" t="s">
        <v>203</v>
      </c>
      <c r="C1489" s="39">
        <v>55.0</v>
      </c>
      <c r="D1489" s="39" t="s">
        <v>92</v>
      </c>
      <c r="E1489" s="39" t="s">
        <v>2812</v>
      </c>
      <c r="F1489" s="39"/>
      <c r="G1489" s="39" t="s">
        <v>1355</v>
      </c>
      <c r="H1489" s="39" t="s">
        <v>1356</v>
      </c>
      <c r="I1489" s="39"/>
    </row>
    <row r="1490">
      <c r="A1490" s="39" t="s">
        <v>586</v>
      </c>
      <c r="B1490" s="39" t="s">
        <v>203</v>
      </c>
      <c r="C1490" s="39">
        <v>56.0</v>
      </c>
      <c r="D1490" s="39" t="s">
        <v>92</v>
      </c>
      <c r="E1490" s="39" t="s">
        <v>2813</v>
      </c>
      <c r="F1490" s="39"/>
      <c r="G1490" s="39" t="s">
        <v>950</v>
      </c>
      <c r="H1490" s="39" t="s">
        <v>951</v>
      </c>
      <c r="I1490" s="39"/>
    </row>
    <row r="1491">
      <c r="A1491" s="39" t="s">
        <v>586</v>
      </c>
      <c r="B1491" s="39" t="s">
        <v>203</v>
      </c>
      <c r="C1491" s="39">
        <v>57.0</v>
      </c>
      <c r="D1491" s="39" t="s">
        <v>92</v>
      </c>
      <c r="E1491" s="39" t="s">
        <v>2814</v>
      </c>
      <c r="F1491" s="39"/>
      <c r="G1491" s="39" t="s">
        <v>2815</v>
      </c>
      <c r="H1491" s="39" t="s">
        <v>2816</v>
      </c>
      <c r="I1491" s="39"/>
    </row>
    <row r="1492">
      <c r="A1492" s="39" t="s">
        <v>586</v>
      </c>
      <c r="B1492" s="39" t="s">
        <v>203</v>
      </c>
      <c r="C1492" s="39">
        <v>58.0</v>
      </c>
      <c r="D1492" s="39" t="s">
        <v>839</v>
      </c>
      <c r="E1492" s="39" t="s">
        <v>2817</v>
      </c>
      <c r="F1492" s="39"/>
      <c r="G1492" s="39" t="str">
        <f>IFERROR(__xludf.DUMMYFUNCTION("IFS(REGEXMATCH(E1492, ""ammo_ar""), ""Daedalus AR Ammo"", REGEXMATCH(E1492, ""ammo_ps""), ""Daedalus Pistol Ammo"", REGEXMATCH(E1492, ""ammo_sg""), ""Daedalus Shotgun Ammo"", REGEXMATCH(E1492, ""ammo_sm""), ""Daedalus SMG Ammo"", REGEXMATCH(E1492, ""ammo_"&amp;"sr""), ""Daedalus SR Ammo"")"),"Daedalus SMG Ammo")</f>
        <v>Daedalus SMG Ammo</v>
      </c>
      <c r="H1492" s="39"/>
      <c r="I1492" s="39"/>
    </row>
    <row r="1493">
      <c r="A1493" s="39" t="s">
        <v>586</v>
      </c>
      <c r="B1493" s="39" t="s">
        <v>203</v>
      </c>
      <c r="C1493" s="39">
        <v>59.0</v>
      </c>
      <c r="D1493" s="39" t="s">
        <v>839</v>
      </c>
      <c r="E1493" s="39" t="s">
        <v>2818</v>
      </c>
      <c r="F1493" s="39"/>
      <c r="G1493" s="39" t="str">
        <f>IFERROR(__xludf.DUMMYFUNCTION("IFS(REGEXMATCH(E1493, ""ammo_ar""), ""Daedalus AR Ammo"", REGEXMATCH(E1493, ""ammo_ps""), ""Daedalus Pistol Ammo"", REGEXMATCH(E1493, ""ammo_sg""), ""Daedalus Shotgun Ammo"", REGEXMATCH(E1493, ""ammo_sm""), ""Daedalus SMG Ammo"", REGEXMATCH(E1493, ""ammo_"&amp;"sr""), ""Daedalus SR Ammo"")"),"Daedalus Pistol Ammo")</f>
        <v>Daedalus Pistol Ammo</v>
      </c>
      <c r="H1493" s="39"/>
      <c r="I1493" s="39"/>
    </row>
    <row r="1494">
      <c r="A1494" s="39" t="s">
        <v>586</v>
      </c>
      <c r="B1494" s="39" t="s">
        <v>203</v>
      </c>
      <c r="C1494" s="39">
        <v>60.0</v>
      </c>
      <c r="D1494" s="39" t="s">
        <v>839</v>
      </c>
      <c r="E1494" s="39" t="s">
        <v>2819</v>
      </c>
      <c r="F1494" s="39"/>
      <c r="G1494" s="39" t="str">
        <f>IFERROR(__xludf.DUMMYFUNCTION("IFS(REGEXMATCH(E1494, ""ammo_ar""), ""Daedalus AR Ammo"", REGEXMATCH(E1494, ""ammo_ps""), ""Daedalus Pistol Ammo"", REGEXMATCH(E1494, ""ammo_sg""), ""Daedalus Shotgun Ammo"", REGEXMATCH(E1494, ""ammo_sm""), ""Daedalus SMG Ammo"", REGEXMATCH(E1494, ""ammo_"&amp;"sr""), ""Daedalus SR Ammo"")"),"Daedalus AR Ammo")</f>
        <v>Daedalus AR Ammo</v>
      </c>
      <c r="H1494" s="39"/>
      <c r="I1494" s="39"/>
    </row>
    <row r="1495">
      <c r="A1495" s="39" t="s">
        <v>586</v>
      </c>
      <c r="B1495" s="39" t="s">
        <v>203</v>
      </c>
      <c r="C1495" s="39">
        <v>61.0</v>
      </c>
      <c r="D1495" s="39" t="s">
        <v>839</v>
      </c>
      <c r="E1495" s="39" t="s">
        <v>2820</v>
      </c>
      <c r="F1495" s="39"/>
      <c r="G1495" s="39" t="str">
        <f>IFERROR(__xludf.DUMMYFUNCTION("IFS(REGEXMATCH(E1495, ""ammo_ar""), ""Daedalus AR Ammo"", REGEXMATCH(E1495, ""ammo_ps""), ""Daedalus Pistol Ammo"", REGEXMATCH(E1495, ""ammo_sg""), ""Daedalus Shotgun Ammo"", REGEXMATCH(E1495, ""ammo_sm""), ""Daedalus SMG Ammo"", REGEXMATCH(E1495, ""ammo_"&amp;"sr""), ""Daedalus SR Ammo"")"),"Daedalus SR Ammo")</f>
        <v>Daedalus SR Ammo</v>
      </c>
      <c r="H1495" s="39"/>
      <c r="I1495" s="39"/>
    </row>
    <row r="1496">
      <c r="A1496" s="39" t="s">
        <v>586</v>
      </c>
      <c r="B1496" s="39" t="s">
        <v>203</v>
      </c>
      <c r="C1496" s="39">
        <v>62.0</v>
      </c>
      <c r="D1496" s="39" t="s">
        <v>819</v>
      </c>
      <c r="E1496" s="39" t="s">
        <v>2821</v>
      </c>
      <c r="F1496" s="39"/>
      <c r="G1496" s="56" t="s">
        <v>822</v>
      </c>
      <c r="H1496" s="39"/>
      <c r="I1496" s="39"/>
    </row>
    <row r="1497">
      <c r="A1497" s="39" t="s">
        <v>586</v>
      </c>
      <c r="B1497" s="39" t="s">
        <v>203</v>
      </c>
      <c r="C1497" s="39">
        <v>63.0</v>
      </c>
      <c r="D1497" s="39" t="s">
        <v>819</v>
      </c>
      <c r="E1497" s="39" t="s">
        <v>2822</v>
      </c>
      <c r="F1497" s="39"/>
      <c r="G1497" s="56" t="s">
        <v>1690</v>
      </c>
      <c r="H1497" s="39"/>
      <c r="I1497" s="39"/>
    </row>
    <row r="1498">
      <c r="A1498" s="39" t="s">
        <v>586</v>
      </c>
      <c r="B1498" s="39" t="s">
        <v>203</v>
      </c>
      <c r="C1498" s="39">
        <v>64.0</v>
      </c>
      <c r="D1498" s="39" t="s">
        <v>819</v>
      </c>
      <c r="E1498" s="39" t="s">
        <v>2823</v>
      </c>
      <c r="F1498" s="39"/>
      <c r="G1498" s="56" t="s">
        <v>1690</v>
      </c>
      <c r="H1498" s="39"/>
      <c r="I1498" s="39"/>
    </row>
    <row r="1499">
      <c r="A1499" s="39" t="s">
        <v>586</v>
      </c>
      <c r="B1499" s="39" t="s">
        <v>203</v>
      </c>
      <c r="C1499" s="39">
        <v>65.0</v>
      </c>
      <c r="D1499" s="39" t="s">
        <v>819</v>
      </c>
      <c r="E1499" s="39" t="s">
        <v>2824</v>
      </c>
      <c r="F1499" s="39"/>
      <c r="G1499" s="56" t="s">
        <v>806</v>
      </c>
      <c r="H1499" s="39"/>
      <c r="I1499" s="39"/>
    </row>
    <row r="1500">
      <c r="A1500" s="39" t="s">
        <v>586</v>
      </c>
      <c r="B1500" s="39" t="s">
        <v>203</v>
      </c>
      <c r="C1500" s="39">
        <v>66.0</v>
      </c>
      <c r="D1500" s="39" t="s">
        <v>819</v>
      </c>
      <c r="E1500" s="39" t="s">
        <v>2825</v>
      </c>
      <c r="F1500" s="39"/>
      <c r="G1500" s="56" t="s">
        <v>822</v>
      </c>
      <c r="H1500" s="39"/>
      <c r="I1500" s="39"/>
    </row>
    <row r="1501">
      <c r="A1501" s="39" t="s">
        <v>586</v>
      </c>
      <c r="B1501" s="39" t="s">
        <v>203</v>
      </c>
      <c r="C1501" s="39">
        <v>67.0</v>
      </c>
      <c r="D1501" s="39" t="s">
        <v>819</v>
      </c>
      <c r="E1501" s="39" t="s">
        <v>2826</v>
      </c>
      <c r="F1501" s="39"/>
      <c r="G1501" s="56" t="s">
        <v>806</v>
      </c>
      <c r="H1501" s="39"/>
      <c r="I1501" s="39"/>
    </row>
    <row r="1502">
      <c r="A1502" s="39" t="s">
        <v>586</v>
      </c>
      <c r="B1502" s="39" t="s">
        <v>203</v>
      </c>
      <c r="C1502" s="39">
        <v>68.0</v>
      </c>
      <c r="D1502" s="39" t="s">
        <v>819</v>
      </c>
      <c r="E1502" s="39" t="s">
        <v>2827</v>
      </c>
      <c r="F1502" s="39"/>
      <c r="G1502" s="56" t="s">
        <v>836</v>
      </c>
      <c r="H1502" s="39"/>
      <c r="I1502" s="39"/>
    </row>
    <row r="1503">
      <c r="A1503" s="39" t="s">
        <v>586</v>
      </c>
      <c r="B1503" s="39" t="s">
        <v>203</v>
      </c>
      <c r="C1503" s="39">
        <v>69.0</v>
      </c>
      <c r="D1503" s="39" t="s">
        <v>819</v>
      </c>
      <c r="E1503" s="39" t="s">
        <v>2828</v>
      </c>
      <c r="F1503" s="39"/>
      <c r="G1503" s="56" t="s">
        <v>836</v>
      </c>
      <c r="H1503" s="39"/>
      <c r="I1503" s="39"/>
    </row>
    <row r="1504">
      <c r="A1504" s="39" t="s">
        <v>586</v>
      </c>
      <c r="B1504" s="39" t="s">
        <v>203</v>
      </c>
      <c r="C1504" s="39">
        <v>70.0</v>
      </c>
      <c r="D1504" s="39" t="s">
        <v>839</v>
      </c>
      <c r="E1504" s="39" t="s">
        <v>2829</v>
      </c>
      <c r="F1504" s="39"/>
      <c r="G1504" s="39" t="s">
        <v>842</v>
      </c>
      <c r="H1504" s="39"/>
      <c r="I1504" s="39"/>
    </row>
    <row r="1505">
      <c r="A1505" s="39" t="s">
        <v>586</v>
      </c>
      <c r="B1505" s="39" t="s">
        <v>203</v>
      </c>
      <c r="C1505" s="39">
        <v>71.0</v>
      </c>
      <c r="D1505" s="39" t="s">
        <v>839</v>
      </c>
      <c r="E1505" s="39" t="s">
        <v>2830</v>
      </c>
      <c r="F1505" s="39"/>
      <c r="G1505" s="39" t="s">
        <v>856</v>
      </c>
      <c r="H1505" s="39"/>
      <c r="I1505" s="39"/>
    </row>
    <row r="1506">
      <c r="A1506" s="39" t="s">
        <v>586</v>
      </c>
      <c r="B1506" s="39" t="s">
        <v>203</v>
      </c>
      <c r="C1506" s="39">
        <v>72.0</v>
      </c>
      <c r="D1506" s="39" t="s">
        <v>839</v>
      </c>
      <c r="E1506" s="39" t="s">
        <v>2831</v>
      </c>
      <c r="F1506" s="39"/>
      <c r="G1506" s="39" t="s">
        <v>809</v>
      </c>
      <c r="H1506" s="39"/>
      <c r="I1506" s="39"/>
    </row>
    <row r="1507">
      <c r="A1507" s="39" t="s">
        <v>586</v>
      </c>
      <c r="B1507" s="39" t="s">
        <v>203</v>
      </c>
      <c r="C1507" s="39">
        <v>73.0</v>
      </c>
      <c r="D1507" s="39" t="s">
        <v>90</v>
      </c>
      <c r="E1507" s="39" t="s">
        <v>2832</v>
      </c>
      <c r="F1507" s="39"/>
      <c r="G1507" s="39" t="s">
        <v>927</v>
      </c>
      <c r="H1507" s="39"/>
      <c r="I1507" s="39"/>
    </row>
    <row r="1508">
      <c r="A1508" s="39" t="s">
        <v>586</v>
      </c>
      <c r="B1508" s="39" t="s">
        <v>203</v>
      </c>
      <c r="C1508" s="39">
        <v>74.0</v>
      </c>
      <c r="D1508" s="39" t="s">
        <v>839</v>
      </c>
      <c r="E1508" s="39" t="s">
        <v>2833</v>
      </c>
      <c r="F1508" s="39"/>
      <c r="G1508" s="39" t="s">
        <v>809</v>
      </c>
      <c r="H1508" s="39"/>
      <c r="I1508" s="39"/>
    </row>
    <row r="1509">
      <c r="A1509" s="39" t="s">
        <v>586</v>
      </c>
      <c r="B1509" s="39" t="s">
        <v>203</v>
      </c>
      <c r="C1509" s="39">
        <v>75.0</v>
      </c>
      <c r="D1509" s="39" t="s">
        <v>84</v>
      </c>
      <c r="E1509" s="39" t="s">
        <v>2834</v>
      </c>
      <c r="F1509" s="39"/>
      <c r="G1509" s="39" t="s">
        <v>2835</v>
      </c>
      <c r="H1509" s="39"/>
      <c r="I1509" s="39"/>
    </row>
    <row r="1510">
      <c r="A1510" s="39" t="s">
        <v>586</v>
      </c>
      <c r="B1510" s="39" t="s">
        <v>203</v>
      </c>
      <c r="C1510" s="39">
        <v>77.0</v>
      </c>
      <c r="D1510" s="39" t="s">
        <v>84</v>
      </c>
      <c r="E1510" s="39" t="s">
        <v>2836</v>
      </c>
      <c r="F1510" s="39"/>
      <c r="G1510" s="39" t="s">
        <v>2837</v>
      </c>
      <c r="H1510" s="39"/>
      <c r="I1510" s="39"/>
    </row>
    <row r="1511">
      <c r="A1511" s="39" t="s">
        <v>586</v>
      </c>
      <c r="B1511" s="39" t="s">
        <v>203</v>
      </c>
      <c r="C1511" s="39">
        <v>79.0</v>
      </c>
      <c r="D1511" s="39" t="s">
        <v>92</v>
      </c>
      <c r="E1511" s="39" t="s">
        <v>2838</v>
      </c>
      <c r="F1511" s="39"/>
      <c r="G1511" s="39" t="s">
        <v>2839</v>
      </c>
      <c r="H1511" s="39" t="s">
        <v>2840</v>
      </c>
      <c r="I1511" s="39"/>
    </row>
    <row r="1512">
      <c r="A1512" s="39" t="s">
        <v>648</v>
      </c>
      <c r="B1512" s="39" t="s">
        <v>149</v>
      </c>
      <c r="C1512" s="39">
        <v>3.0</v>
      </c>
      <c r="D1512" s="39" t="s">
        <v>798</v>
      </c>
      <c r="E1512" s="39" t="s">
        <v>2841</v>
      </c>
      <c r="F1512" s="39"/>
      <c r="G1512" s="56" t="s">
        <v>801</v>
      </c>
      <c r="H1512" s="39"/>
      <c r="I1512" s="39"/>
    </row>
    <row r="1513">
      <c r="A1513" s="39" t="s">
        <v>648</v>
      </c>
      <c r="B1513" s="39" t="s">
        <v>149</v>
      </c>
      <c r="C1513" s="39">
        <v>4.0</v>
      </c>
      <c r="D1513" s="39" t="s">
        <v>798</v>
      </c>
      <c r="E1513" s="39" t="s">
        <v>2842</v>
      </c>
      <c r="F1513" s="39"/>
      <c r="G1513" s="56" t="s">
        <v>822</v>
      </c>
      <c r="H1513" s="39"/>
      <c r="I1513" s="39"/>
    </row>
    <row r="1514">
      <c r="A1514" s="39" t="s">
        <v>648</v>
      </c>
      <c r="B1514" s="39" t="s">
        <v>149</v>
      </c>
      <c r="C1514" s="39">
        <v>5.0</v>
      </c>
      <c r="D1514" s="39" t="s">
        <v>798</v>
      </c>
      <c r="E1514" s="39" t="s">
        <v>2843</v>
      </c>
      <c r="F1514" s="39"/>
      <c r="G1514" s="56" t="s">
        <v>806</v>
      </c>
      <c r="H1514" s="39"/>
      <c r="I1514" s="39"/>
    </row>
    <row r="1515">
      <c r="A1515" s="39" t="s">
        <v>648</v>
      </c>
      <c r="B1515" s="39" t="s">
        <v>149</v>
      </c>
      <c r="C1515" s="39">
        <v>6.0</v>
      </c>
      <c r="D1515" s="39" t="s">
        <v>798</v>
      </c>
      <c r="E1515" s="39" t="s">
        <v>2844</v>
      </c>
      <c r="F1515" s="39"/>
      <c r="G1515" s="39" t="s">
        <v>809</v>
      </c>
      <c r="H1515" s="39"/>
      <c r="I1515" s="39"/>
    </row>
    <row r="1516">
      <c r="A1516" s="39" t="s">
        <v>648</v>
      </c>
      <c r="B1516" s="39" t="s">
        <v>149</v>
      </c>
      <c r="C1516" s="39">
        <v>7.0</v>
      </c>
      <c r="D1516" s="39" t="s">
        <v>84</v>
      </c>
      <c r="E1516" s="39" t="s">
        <v>2845</v>
      </c>
      <c r="F1516" s="39"/>
      <c r="G1516" s="39" t="s">
        <v>2846</v>
      </c>
      <c r="H1516" s="39"/>
      <c r="I1516" s="39"/>
    </row>
    <row r="1517">
      <c r="A1517" s="39" t="s">
        <v>648</v>
      </c>
      <c r="B1517" s="39" t="s">
        <v>149</v>
      </c>
      <c r="C1517" s="39">
        <v>8.0</v>
      </c>
      <c r="D1517" s="39" t="s">
        <v>84</v>
      </c>
      <c r="E1517" s="39" t="s">
        <v>2847</v>
      </c>
      <c r="F1517" s="39"/>
      <c r="G1517" s="39" t="s">
        <v>2848</v>
      </c>
      <c r="H1517" s="39"/>
      <c r="I1517" s="39"/>
    </row>
    <row r="1518">
      <c r="A1518" s="39" t="s">
        <v>648</v>
      </c>
      <c r="B1518" s="39" t="s">
        <v>149</v>
      </c>
      <c r="C1518" s="39">
        <v>9.0</v>
      </c>
      <c r="D1518" s="39" t="s">
        <v>839</v>
      </c>
      <c r="E1518" s="39" t="s">
        <v>2849</v>
      </c>
      <c r="F1518" s="39"/>
      <c r="G1518" s="39" t="s">
        <v>989</v>
      </c>
      <c r="H1518" s="39"/>
      <c r="I1518" s="39"/>
    </row>
    <row r="1519">
      <c r="A1519" s="39" t="s">
        <v>648</v>
      </c>
      <c r="B1519" s="39" t="s">
        <v>149</v>
      </c>
      <c r="C1519" s="39">
        <v>10.0</v>
      </c>
      <c r="D1519" s="39" t="s">
        <v>839</v>
      </c>
      <c r="E1519" s="39" t="s">
        <v>2850</v>
      </c>
      <c r="F1519" s="39"/>
      <c r="G1519" s="39" t="s">
        <v>991</v>
      </c>
      <c r="H1519" s="39"/>
      <c r="I1519" s="39"/>
    </row>
    <row r="1520">
      <c r="A1520" s="39" t="s">
        <v>648</v>
      </c>
      <c r="B1520" s="39" t="s">
        <v>149</v>
      </c>
      <c r="C1520" s="39">
        <v>11.0</v>
      </c>
      <c r="D1520" s="39" t="s">
        <v>839</v>
      </c>
      <c r="E1520" s="39" t="s">
        <v>2851</v>
      </c>
      <c r="F1520" s="39"/>
      <c r="G1520" s="39" t="s">
        <v>993</v>
      </c>
      <c r="H1520" s="39"/>
      <c r="I1520" s="39"/>
    </row>
    <row r="1521">
      <c r="A1521" s="39" t="s">
        <v>648</v>
      </c>
      <c r="B1521" s="39" t="s">
        <v>149</v>
      </c>
      <c r="C1521" s="39">
        <v>12.0</v>
      </c>
      <c r="D1521" s="39" t="s">
        <v>839</v>
      </c>
      <c r="E1521" s="39" t="s">
        <v>2852</v>
      </c>
      <c r="F1521" s="39"/>
      <c r="G1521" s="39" t="s">
        <v>995</v>
      </c>
      <c r="H1521" s="39"/>
      <c r="I1521" s="39"/>
    </row>
    <row r="1522">
      <c r="A1522" s="39" t="s">
        <v>648</v>
      </c>
      <c r="B1522" s="39" t="s">
        <v>149</v>
      </c>
      <c r="C1522" s="39">
        <v>13.0</v>
      </c>
      <c r="D1522" s="39" t="s">
        <v>87</v>
      </c>
      <c r="E1522" s="39" t="s">
        <v>2853</v>
      </c>
      <c r="F1522" s="39"/>
      <c r="G1522" s="39" t="s">
        <v>2854</v>
      </c>
      <c r="H1522" s="39"/>
      <c r="I1522" s="39"/>
    </row>
    <row r="1523">
      <c r="A1523" s="39" t="s">
        <v>648</v>
      </c>
      <c r="B1523" s="39" t="s">
        <v>149</v>
      </c>
      <c r="C1523" s="39">
        <v>14.0</v>
      </c>
      <c r="D1523" s="39" t="s">
        <v>87</v>
      </c>
      <c r="E1523" s="39" t="s">
        <v>2855</v>
      </c>
      <c r="F1523" s="39"/>
      <c r="G1523" s="39" t="s">
        <v>2856</v>
      </c>
      <c r="H1523" s="39"/>
      <c r="I1523" s="39"/>
    </row>
    <row r="1524">
      <c r="A1524" s="39" t="s">
        <v>648</v>
      </c>
      <c r="B1524" s="39" t="s">
        <v>149</v>
      </c>
      <c r="C1524" s="39">
        <v>15.0</v>
      </c>
      <c r="D1524" s="39" t="s">
        <v>87</v>
      </c>
      <c r="E1524" s="39" t="s">
        <v>2857</v>
      </c>
      <c r="F1524" s="39"/>
      <c r="G1524" s="39" t="s">
        <v>2858</v>
      </c>
      <c r="H1524" s="39"/>
      <c r="I1524" s="39"/>
    </row>
    <row r="1525">
      <c r="A1525" s="39" t="s">
        <v>648</v>
      </c>
      <c r="B1525" s="39" t="s">
        <v>149</v>
      </c>
      <c r="C1525" s="39">
        <v>16.0</v>
      </c>
      <c r="D1525" s="39" t="s">
        <v>87</v>
      </c>
      <c r="E1525" s="39" t="s">
        <v>2859</v>
      </c>
      <c r="F1525" s="39"/>
      <c r="G1525" s="39" t="s">
        <v>2860</v>
      </c>
      <c r="H1525" s="39"/>
      <c r="I1525" s="39"/>
    </row>
    <row r="1526">
      <c r="A1526" s="39" t="s">
        <v>648</v>
      </c>
      <c r="B1526" s="39" t="s">
        <v>149</v>
      </c>
      <c r="C1526" s="39">
        <v>17.0</v>
      </c>
      <c r="D1526" s="39" t="s">
        <v>875</v>
      </c>
      <c r="E1526" s="39" t="s">
        <v>2861</v>
      </c>
      <c r="F1526" s="39"/>
      <c r="G1526" s="39" t="s">
        <v>877</v>
      </c>
      <c r="H1526" s="39"/>
      <c r="I1526" s="39"/>
    </row>
    <row r="1527">
      <c r="A1527" s="39" t="s">
        <v>648</v>
      </c>
      <c r="B1527" s="39" t="s">
        <v>149</v>
      </c>
      <c r="C1527" s="39">
        <v>18.0</v>
      </c>
      <c r="D1527" s="39" t="s">
        <v>875</v>
      </c>
      <c r="E1527" s="39" t="s">
        <v>2862</v>
      </c>
      <c r="F1527" s="39"/>
      <c r="G1527" s="39" t="s">
        <v>877</v>
      </c>
      <c r="H1527" s="39"/>
      <c r="I1527" s="39"/>
    </row>
    <row r="1528">
      <c r="A1528" s="39" t="s">
        <v>648</v>
      </c>
      <c r="B1528" s="39" t="s">
        <v>149</v>
      </c>
      <c r="C1528" s="39">
        <v>19.0</v>
      </c>
      <c r="D1528" s="39" t="s">
        <v>875</v>
      </c>
      <c r="E1528" s="39" t="s">
        <v>2863</v>
      </c>
      <c r="F1528" s="39"/>
      <c r="G1528" s="39" t="s">
        <v>883</v>
      </c>
      <c r="H1528" s="39"/>
      <c r="I1528" s="39"/>
    </row>
    <row r="1529">
      <c r="A1529" s="39" t="s">
        <v>648</v>
      </c>
      <c r="B1529" s="39" t="s">
        <v>149</v>
      </c>
      <c r="C1529" s="39">
        <v>20.0</v>
      </c>
      <c r="D1529" s="39" t="s">
        <v>875</v>
      </c>
      <c r="E1529" s="39" t="s">
        <v>2864</v>
      </c>
      <c r="F1529" s="39"/>
      <c r="G1529" s="39" t="s">
        <v>883</v>
      </c>
      <c r="H1529" s="39"/>
      <c r="I1529" s="39"/>
    </row>
    <row r="1530">
      <c r="A1530" s="39" t="s">
        <v>648</v>
      </c>
      <c r="B1530" s="39" t="s">
        <v>149</v>
      </c>
      <c r="C1530" s="39">
        <v>21.0</v>
      </c>
      <c r="D1530" s="39" t="s">
        <v>88</v>
      </c>
      <c r="E1530" s="39" t="s">
        <v>2865</v>
      </c>
      <c r="F1530" s="39"/>
      <c r="G1530" s="39" t="s">
        <v>901</v>
      </c>
      <c r="H1530" s="39"/>
      <c r="I1530" s="39"/>
    </row>
    <row r="1531">
      <c r="A1531" s="39" t="s">
        <v>648</v>
      </c>
      <c r="B1531" s="39" t="s">
        <v>149</v>
      </c>
      <c r="C1531" s="39">
        <v>22.0</v>
      </c>
      <c r="D1531" s="39" t="s">
        <v>88</v>
      </c>
      <c r="E1531" s="39" t="s">
        <v>2866</v>
      </c>
      <c r="F1531" s="39"/>
      <c r="G1531" s="39" t="s">
        <v>901</v>
      </c>
      <c r="H1531" s="39" t="s">
        <v>1832</v>
      </c>
      <c r="I1531" s="39"/>
    </row>
    <row r="1532">
      <c r="A1532" s="39" t="s">
        <v>648</v>
      </c>
      <c r="B1532" s="39" t="s">
        <v>149</v>
      </c>
      <c r="C1532" s="39">
        <v>23.0</v>
      </c>
      <c r="D1532" s="39" t="s">
        <v>88</v>
      </c>
      <c r="E1532" s="39" t="s">
        <v>2867</v>
      </c>
      <c r="F1532" s="39"/>
      <c r="G1532" s="39" t="s">
        <v>898</v>
      </c>
      <c r="H1532" s="39"/>
      <c r="I1532" s="39"/>
    </row>
    <row r="1533">
      <c r="A1533" s="39" t="s">
        <v>648</v>
      </c>
      <c r="B1533" s="39" t="s">
        <v>149</v>
      </c>
      <c r="C1533" s="39">
        <v>24.0</v>
      </c>
      <c r="D1533" s="39" t="s">
        <v>88</v>
      </c>
      <c r="E1533" s="39" t="s">
        <v>2868</v>
      </c>
      <c r="F1533" s="39"/>
      <c r="G1533" s="39" t="s">
        <v>895</v>
      </c>
      <c r="H1533" s="39"/>
      <c r="I1533" s="39"/>
    </row>
    <row r="1534">
      <c r="A1534" s="39" t="s">
        <v>648</v>
      </c>
      <c r="B1534" s="39" t="s">
        <v>149</v>
      </c>
      <c r="C1534" s="39">
        <v>25.0</v>
      </c>
      <c r="D1534" s="39" t="s">
        <v>88</v>
      </c>
      <c r="E1534" s="39" t="s">
        <v>2869</v>
      </c>
      <c r="F1534" s="39"/>
      <c r="G1534" s="39" t="s">
        <v>895</v>
      </c>
      <c r="H1534" s="39"/>
      <c r="I1534" s="39"/>
    </row>
    <row r="1535">
      <c r="A1535" s="39" t="s">
        <v>648</v>
      </c>
      <c r="B1535" s="39" t="s">
        <v>149</v>
      </c>
      <c r="C1535" s="39">
        <v>26.0</v>
      </c>
      <c r="D1535" s="39" t="s">
        <v>902</v>
      </c>
      <c r="E1535" s="39" t="s">
        <v>2870</v>
      </c>
      <c r="F1535" s="39"/>
      <c r="G1535" s="56" t="s">
        <v>822</v>
      </c>
      <c r="H1535" s="39" t="s">
        <v>1036</v>
      </c>
      <c r="I1535" s="39"/>
    </row>
    <row r="1536">
      <c r="A1536" s="39" t="s">
        <v>648</v>
      </c>
      <c r="B1536" s="39" t="s">
        <v>149</v>
      </c>
      <c r="C1536" s="39">
        <v>27.0</v>
      </c>
      <c r="D1536" s="39" t="s">
        <v>902</v>
      </c>
      <c r="E1536" s="39" t="s">
        <v>2871</v>
      </c>
      <c r="F1536" s="39"/>
      <c r="G1536" s="56" t="s">
        <v>801</v>
      </c>
      <c r="H1536" s="39"/>
      <c r="I1536" s="39"/>
    </row>
    <row r="1537">
      <c r="A1537" s="39" t="s">
        <v>648</v>
      </c>
      <c r="B1537" s="39" t="s">
        <v>149</v>
      </c>
      <c r="C1537" s="39">
        <v>28.0</v>
      </c>
      <c r="D1537" s="39" t="s">
        <v>902</v>
      </c>
      <c r="E1537" s="39" t="s">
        <v>2872</v>
      </c>
      <c r="F1537" s="39"/>
      <c r="G1537" s="39" t="s">
        <v>809</v>
      </c>
      <c r="H1537" s="39" t="s">
        <v>1832</v>
      </c>
      <c r="I1537" s="39"/>
    </row>
    <row r="1538">
      <c r="A1538" s="39" t="s">
        <v>648</v>
      </c>
      <c r="B1538" s="39" t="s">
        <v>149</v>
      </c>
      <c r="C1538" s="39">
        <v>29.0</v>
      </c>
      <c r="D1538" s="39" t="s">
        <v>902</v>
      </c>
      <c r="E1538" s="39" t="s">
        <v>2873</v>
      </c>
      <c r="F1538" s="39"/>
      <c r="G1538" s="56" t="s">
        <v>2874</v>
      </c>
      <c r="H1538" s="39" t="s">
        <v>2310</v>
      </c>
      <c r="I1538" s="39"/>
    </row>
    <row r="1539">
      <c r="A1539" s="39" t="s">
        <v>648</v>
      </c>
      <c r="B1539" s="39" t="s">
        <v>149</v>
      </c>
      <c r="C1539" s="39">
        <v>30.0</v>
      </c>
      <c r="D1539" s="39" t="s">
        <v>902</v>
      </c>
      <c r="E1539" s="39" t="s">
        <v>2875</v>
      </c>
      <c r="F1539" s="39"/>
      <c r="G1539" s="56" t="s">
        <v>822</v>
      </c>
      <c r="H1539" s="39" t="s">
        <v>1036</v>
      </c>
      <c r="I1539" s="39"/>
    </row>
    <row r="1540">
      <c r="A1540" s="39" t="s">
        <v>648</v>
      </c>
      <c r="B1540" s="39" t="s">
        <v>149</v>
      </c>
      <c r="C1540" s="39">
        <v>31.0</v>
      </c>
      <c r="D1540" s="39" t="s">
        <v>902</v>
      </c>
      <c r="E1540" s="39" t="s">
        <v>2876</v>
      </c>
      <c r="F1540" s="39"/>
      <c r="G1540" s="56" t="s">
        <v>801</v>
      </c>
      <c r="H1540" s="39" t="s">
        <v>2310</v>
      </c>
      <c r="I1540" s="39"/>
    </row>
    <row r="1541">
      <c r="A1541" s="39" t="s">
        <v>648</v>
      </c>
      <c r="B1541" s="39" t="s">
        <v>149</v>
      </c>
      <c r="C1541" s="39">
        <v>32.0</v>
      </c>
      <c r="D1541" s="39" t="s">
        <v>902</v>
      </c>
      <c r="E1541" s="39" t="s">
        <v>2877</v>
      </c>
      <c r="F1541" s="39"/>
      <c r="G1541" s="39" t="s">
        <v>809</v>
      </c>
      <c r="H1541" s="39" t="s">
        <v>2878</v>
      </c>
      <c r="I1541" s="39"/>
    </row>
    <row r="1542">
      <c r="A1542" s="39" t="s">
        <v>648</v>
      </c>
      <c r="B1542" s="39" t="s">
        <v>149</v>
      </c>
      <c r="C1542" s="39">
        <v>33.0</v>
      </c>
      <c r="D1542" s="39" t="s">
        <v>902</v>
      </c>
      <c r="E1542" s="39" t="s">
        <v>2879</v>
      </c>
      <c r="F1542" s="39"/>
      <c r="G1542" s="56" t="s">
        <v>2874</v>
      </c>
      <c r="H1542" s="39" t="s">
        <v>2880</v>
      </c>
      <c r="I1542" s="39"/>
    </row>
    <row r="1543">
      <c r="A1543" s="39" t="s">
        <v>648</v>
      </c>
      <c r="B1543" s="39" t="s">
        <v>149</v>
      </c>
      <c r="C1543" s="39">
        <v>34.0</v>
      </c>
      <c r="D1543" s="39" t="s">
        <v>90</v>
      </c>
      <c r="E1543" s="39" t="s">
        <v>2881</v>
      </c>
      <c r="F1543" s="39"/>
      <c r="G1543" s="39" t="s">
        <v>927</v>
      </c>
      <c r="H1543" s="39"/>
      <c r="I1543" s="39"/>
    </row>
    <row r="1544">
      <c r="A1544" s="39" t="s">
        <v>648</v>
      </c>
      <c r="B1544" s="39" t="s">
        <v>149</v>
      </c>
      <c r="C1544" s="39">
        <v>35.0</v>
      </c>
      <c r="D1544" s="39" t="s">
        <v>90</v>
      </c>
      <c r="E1544" s="39" t="s">
        <v>2882</v>
      </c>
      <c r="F1544" s="39"/>
      <c r="G1544" s="39" t="s">
        <v>924</v>
      </c>
      <c r="H1544" s="39"/>
      <c r="I1544" s="39"/>
    </row>
    <row r="1545">
      <c r="A1545" s="39" t="s">
        <v>648</v>
      </c>
      <c r="B1545" s="39" t="s">
        <v>149</v>
      </c>
      <c r="C1545" s="39">
        <v>36.0</v>
      </c>
      <c r="D1545" s="39" t="s">
        <v>90</v>
      </c>
      <c r="E1545" s="39" t="s">
        <v>2883</v>
      </c>
      <c r="F1545" s="39"/>
      <c r="G1545" s="39" t="s">
        <v>930</v>
      </c>
      <c r="H1545" s="39"/>
      <c r="I1545" s="39"/>
    </row>
    <row r="1546">
      <c r="A1546" s="39" t="s">
        <v>648</v>
      </c>
      <c r="B1546" s="39" t="s">
        <v>149</v>
      </c>
      <c r="C1546" s="39">
        <v>37.0</v>
      </c>
      <c r="D1546" s="39" t="s">
        <v>90</v>
      </c>
      <c r="E1546" s="39" t="s">
        <v>2884</v>
      </c>
      <c r="F1546" s="39"/>
      <c r="G1546" s="56" t="s">
        <v>822</v>
      </c>
      <c r="H1546" s="39"/>
      <c r="I1546" s="39"/>
    </row>
    <row r="1547">
      <c r="A1547" s="39" t="s">
        <v>648</v>
      </c>
      <c r="B1547" s="39" t="s">
        <v>149</v>
      </c>
      <c r="C1547" s="39">
        <v>38.0</v>
      </c>
      <c r="D1547" s="39" t="s">
        <v>90</v>
      </c>
      <c r="E1547" s="39" t="s">
        <v>2885</v>
      </c>
      <c r="F1547" s="39"/>
      <c r="G1547" s="56" t="s">
        <v>836</v>
      </c>
      <c r="H1547" s="39"/>
      <c r="I1547" s="39"/>
    </row>
    <row r="1548">
      <c r="A1548" s="39" t="s">
        <v>648</v>
      </c>
      <c r="B1548" s="39" t="s">
        <v>149</v>
      </c>
      <c r="C1548" s="39">
        <v>39.0</v>
      </c>
      <c r="D1548" s="39" t="s">
        <v>90</v>
      </c>
      <c r="E1548" s="39" t="s">
        <v>2886</v>
      </c>
      <c r="F1548" s="39"/>
      <c r="G1548" s="56" t="s">
        <v>801</v>
      </c>
      <c r="H1548" s="39"/>
      <c r="I1548" s="39"/>
    </row>
    <row r="1549">
      <c r="A1549" s="39" t="s">
        <v>648</v>
      </c>
      <c r="B1549" s="39" t="s">
        <v>149</v>
      </c>
      <c r="C1549" s="39">
        <v>40.0</v>
      </c>
      <c r="D1549" s="39" t="s">
        <v>90</v>
      </c>
      <c r="E1549" s="39" t="s">
        <v>2887</v>
      </c>
      <c r="F1549" s="39"/>
      <c r="G1549" s="39" t="s">
        <v>939</v>
      </c>
      <c r="H1549" s="39"/>
      <c r="I1549" s="39"/>
    </row>
    <row r="1550">
      <c r="A1550" s="39" t="s">
        <v>648</v>
      </c>
      <c r="B1550" s="39" t="s">
        <v>149</v>
      </c>
      <c r="C1550" s="39">
        <v>41.0</v>
      </c>
      <c r="D1550" s="39" t="s">
        <v>92</v>
      </c>
      <c r="E1550" s="39" t="s">
        <v>2888</v>
      </c>
      <c r="F1550" s="39"/>
      <c r="G1550" s="39" t="s">
        <v>1355</v>
      </c>
      <c r="H1550" s="39" t="s">
        <v>1356</v>
      </c>
      <c r="I1550" s="39"/>
    </row>
    <row r="1551">
      <c r="A1551" s="39" t="s">
        <v>648</v>
      </c>
      <c r="B1551" s="39" t="s">
        <v>149</v>
      </c>
      <c r="C1551" s="39">
        <v>42.0</v>
      </c>
      <c r="D1551" s="39" t="s">
        <v>92</v>
      </c>
      <c r="E1551" s="39" t="s">
        <v>2889</v>
      </c>
      <c r="F1551" s="39"/>
      <c r="G1551" s="39" t="s">
        <v>950</v>
      </c>
      <c r="H1551" s="39" t="s">
        <v>951</v>
      </c>
      <c r="I1551" s="39"/>
    </row>
    <row r="1552">
      <c r="A1552" s="39" t="s">
        <v>648</v>
      </c>
      <c r="B1552" s="39" t="s">
        <v>149</v>
      </c>
      <c r="C1552" s="39">
        <v>43.0</v>
      </c>
      <c r="D1552" s="39" t="s">
        <v>92</v>
      </c>
      <c r="E1552" s="39" t="s">
        <v>2890</v>
      </c>
      <c r="F1552" s="39"/>
      <c r="G1552" s="39" t="s">
        <v>2891</v>
      </c>
      <c r="H1552" s="39"/>
      <c r="I1552" s="39"/>
    </row>
    <row r="1553">
      <c r="A1553" s="39" t="s">
        <v>648</v>
      </c>
      <c r="B1553" s="39" t="s">
        <v>149</v>
      </c>
      <c r="C1553" s="39">
        <v>44.0</v>
      </c>
      <c r="D1553" s="39" t="s">
        <v>92</v>
      </c>
      <c r="E1553" s="39" t="s">
        <v>2892</v>
      </c>
      <c r="F1553" s="39"/>
      <c r="G1553" s="39" t="s">
        <v>945</v>
      </c>
      <c r="H1553" s="39"/>
      <c r="I1553" s="39"/>
    </row>
    <row r="1554">
      <c r="A1554" s="39" t="s">
        <v>648</v>
      </c>
      <c r="B1554" s="39" t="s">
        <v>149</v>
      </c>
      <c r="C1554" s="39">
        <v>45.0</v>
      </c>
      <c r="D1554" s="39" t="s">
        <v>92</v>
      </c>
      <c r="E1554" s="39" t="s">
        <v>2893</v>
      </c>
      <c r="F1554" s="39"/>
      <c r="G1554" s="39" t="s">
        <v>2894</v>
      </c>
      <c r="H1554" s="39"/>
      <c r="I1554" s="39"/>
    </row>
    <row r="1555">
      <c r="A1555" s="39" t="s">
        <v>648</v>
      </c>
      <c r="B1555" s="39" t="s">
        <v>149</v>
      </c>
      <c r="C1555" s="39">
        <v>46.0</v>
      </c>
      <c r="D1555" s="39" t="s">
        <v>91</v>
      </c>
      <c r="E1555" s="39" t="s">
        <v>2895</v>
      </c>
      <c r="F1555" s="39"/>
      <c r="G1555" s="56" t="s">
        <v>836</v>
      </c>
      <c r="H1555" s="39"/>
      <c r="I1555" s="39"/>
    </row>
    <row r="1556">
      <c r="A1556" s="39" t="s">
        <v>648</v>
      </c>
      <c r="B1556" s="39" t="s">
        <v>149</v>
      </c>
      <c r="C1556" s="39">
        <v>47.0</v>
      </c>
      <c r="D1556" s="39" t="s">
        <v>91</v>
      </c>
      <c r="E1556" s="39" t="s">
        <v>2896</v>
      </c>
      <c r="F1556" s="39"/>
      <c r="G1556" s="56" t="s">
        <v>2874</v>
      </c>
      <c r="H1556" s="39"/>
      <c r="I1556" s="39"/>
    </row>
    <row r="1557">
      <c r="A1557" s="39" t="s">
        <v>648</v>
      </c>
      <c r="B1557" s="39" t="s">
        <v>149</v>
      </c>
      <c r="C1557" s="39">
        <v>48.0</v>
      </c>
      <c r="D1557" s="39" t="s">
        <v>839</v>
      </c>
      <c r="E1557" s="39" t="s">
        <v>2897</v>
      </c>
      <c r="F1557" s="39"/>
      <c r="G1557" s="39" t="str">
        <f>IFERROR(__xludf.DUMMYFUNCTION("IFS(REGEXMATCH(E1557, ""ammo_ar""), ""Daedalus AR Ammo"", REGEXMATCH(E1557, ""ammo_ps""), ""Daedalus Pistol Ammo"", REGEXMATCH(E1557, ""ammo_sg""), ""Daedalus Shotgun Ammo"", REGEXMATCH(E1557, ""ammo_sm""), ""Daedalus SMG Ammo"", REGEXMATCH(E1557, ""ammo_"&amp;"sr""), ""Daedalus SR Ammo"")"),"Daedalus SMG Ammo")</f>
        <v>Daedalus SMG Ammo</v>
      </c>
      <c r="H1557" s="39"/>
      <c r="I1557" s="39"/>
    </row>
    <row r="1558">
      <c r="A1558" s="39" t="s">
        <v>648</v>
      </c>
      <c r="B1558" s="39" t="s">
        <v>149</v>
      </c>
      <c r="C1558" s="39">
        <v>49.0</v>
      </c>
      <c r="D1558" s="39" t="s">
        <v>839</v>
      </c>
      <c r="E1558" s="39" t="s">
        <v>2898</v>
      </c>
      <c r="F1558" s="39"/>
      <c r="G1558" s="39" t="str">
        <f>IFERROR(__xludf.DUMMYFUNCTION("IFS(REGEXMATCH(E1558, ""ammo_ar""), ""Daedalus AR Ammo"", REGEXMATCH(E1558, ""ammo_ps""), ""Daedalus Pistol Ammo"", REGEXMATCH(E1558, ""ammo_sg""), ""Daedalus Shotgun Ammo"", REGEXMATCH(E1558, ""ammo_sm""), ""Daedalus SMG Ammo"", REGEXMATCH(E1558, ""ammo_"&amp;"sr""), ""Daedalus SR Ammo"")"),"Daedalus Shotgun Ammo")</f>
        <v>Daedalus Shotgun Ammo</v>
      </c>
      <c r="H1558" s="39"/>
      <c r="I1558" s="39"/>
    </row>
    <row r="1559">
      <c r="A1559" s="39" t="s">
        <v>648</v>
      </c>
      <c r="B1559" s="39" t="s">
        <v>149</v>
      </c>
      <c r="C1559" s="39">
        <v>50.0</v>
      </c>
      <c r="D1559" s="39" t="s">
        <v>839</v>
      </c>
      <c r="E1559" s="39" t="s">
        <v>2899</v>
      </c>
      <c r="F1559" s="39"/>
      <c r="G1559" s="39" t="str">
        <f>IFERROR(__xludf.DUMMYFUNCTION("IFS(REGEXMATCH(E1559, ""ammo_ar""), ""Daedalus AR Ammo"", REGEXMATCH(E1559, ""ammo_ps""), ""Daedalus Pistol Ammo"", REGEXMATCH(E1559, ""ammo_sg""), ""Daedalus Shotgun Ammo"", REGEXMATCH(E1559, ""ammo_sm""), ""Daedalus SMG Ammo"", REGEXMATCH(E1559, ""ammo_"&amp;"sr""), ""Daedalus SR Ammo"")"),"Daedalus Pistol Ammo")</f>
        <v>Daedalus Pistol Ammo</v>
      </c>
      <c r="H1559" s="39"/>
      <c r="I1559" s="39"/>
    </row>
    <row r="1560">
      <c r="A1560" s="39" t="s">
        <v>648</v>
      </c>
      <c r="B1560" s="39" t="s">
        <v>149</v>
      </c>
      <c r="C1560" s="39">
        <v>51.0</v>
      </c>
      <c r="D1560" s="39" t="s">
        <v>839</v>
      </c>
      <c r="E1560" s="39" t="s">
        <v>2900</v>
      </c>
      <c r="F1560" s="39"/>
      <c r="G1560" s="39" t="str">
        <f>IFERROR(__xludf.DUMMYFUNCTION("IFS(REGEXMATCH(E1560, ""ammo_ar""), ""Daedalus AR Ammo"", REGEXMATCH(E1560, ""ammo_ps""), ""Daedalus Pistol Ammo"", REGEXMATCH(E1560, ""ammo_sg""), ""Daedalus Shotgun Ammo"", REGEXMATCH(E1560, ""ammo_sm""), ""Daedalus SMG Ammo"", REGEXMATCH(E1560, ""ammo_"&amp;"sr""), ""Daedalus SR Ammo"")"),"Daedalus SR Ammo")</f>
        <v>Daedalus SR Ammo</v>
      </c>
      <c r="H1560" s="39"/>
      <c r="I1560" s="39"/>
    </row>
    <row r="1561">
      <c r="A1561" s="39" t="s">
        <v>648</v>
      </c>
      <c r="B1561" s="39" t="s">
        <v>149</v>
      </c>
      <c r="C1561" s="39">
        <v>52.0</v>
      </c>
      <c r="D1561" s="39" t="s">
        <v>81</v>
      </c>
      <c r="E1561" s="39" t="s">
        <v>2901</v>
      </c>
      <c r="F1561" s="39"/>
      <c r="G1561" s="39" t="s">
        <v>797</v>
      </c>
      <c r="H1561" s="39"/>
      <c r="I1561" s="39"/>
    </row>
    <row r="1562">
      <c r="A1562" s="39" t="s">
        <v>648</v>
      </c>
      <c r="B1562" s="39" t="s">
        <v>149</v>
      </c>
      <c r="C1562" s="39">
        <v>54.0</v>
      </c>
      <c r="D1562" s="39" t="s">
        <v>84</v>
      </c>
      <c r="E1562" s="39" t="s">
        <v>2902</v>
      </c>
      <c r="F1562" s="39"/>
      <c r="G1562" s="39" t="s">
        <v>2903</v>
      </c>
      <c r="H1562" s="39" t="s">
        <v>2904</v>
      </c>
      <c r="I1562" s="39"/>
    </row>
    <row r="1563">
      <c r="A1563" s="39" t="s">
        <v>648</v>
      </c>
      <c r="B1563" s="39" t="s">
        <v>149</v>
      </c>
      <c r="C1563" s="39">
        <v>55.0</v>
      </c>
      <c r="D1563" s="39" t="s">
        <v>84</v>
      </c>
      <c r="E1563" s="39" t="s">
        <v>2905</v>
      </c>
      <c r="F1563" s="39"/>
      <c r="G1563" s="39" t="s">
        <v>2906</v>
      </c>
      <c r="H1563" s="39" t="s">
        <v>2907</v>
      </c>
      <c r="I1563" s="39"/>
    </row>
    <row r="1564">
      <c r="A1564" s="39" t="s">
        <v>648</v>
      </c>
      <c r="B1564" s="39" t="s">
        <v>149</v>
      </c>
      <c r="C1564" s="39">
        <v>57.0</v>
      </c>
      <c r="D1564" s="39" t="s">
        <v>91</v>
      </c>
      <c r="E1564" s="39" t="s">
        <v>2908</v>
      </c>
      <c r="F1564" s="39"/>
      <c r="G1564" s="56" t="s">
        <v>822</v>
      </c>
      <c r="H1564" s="39"/>
      <c r="I1564" s="39"/>
    </row>
    <row r="1565">
      <c r="A1565" s="39" t="s">
        <v>648</v>
      </c>
      <c r="B1565" s="39" t="s">
        <v>149</v>
      </c>
      <c r="C1565" s="39">
        <v>58.0</v>
      </c>
      <c r="D1565" s="39" t="s">
        <v>819</v>
      </c>
      <c r="E1565" s="39" t="s">
        <v>2909</v>
      </c>
      <c r="F1565" s="39"/>
      <c r="G1565" s="56" t="s">
        <v>822</v>
      </c>
      <c r="H1565" s="39"/>
      <c r="I1565" s="39"/>
    </row>
    <row r="1566">
      <c r="A1566" s="39" t="s">
        <v>648</v>
      </c>
      <c r="B1566" s="39" t="s">
        <v>149</v>
      </c>
      <c r="C1566" s="39">
        <v>59.0</v>
      </c>
      <c r="D1566" s="39" t="s">
        <v>819</v>
      </c>
      <c r="E1566" s="39" t="s">
        <v>2910</v>
      </c>
      <c r="F1566" s="39"/>
      <c r="G1566" s="56" t="s">
        <v>822</v>
      </c>
      <c r="H1566" s="39"/>
      <c r="I1566" s="39"/>
    </row>
    <row r="1567">
      <c r="A1567" s="39" t="s">
        <v>648</v>
      </c>
      <c r="B1567" s="39" t="s">
        <v>149</v>
      </c>
      <c r="C1567" s="39">
        <v>60.0</v>
      </c>
      <c r="D1567" s="39" t="s">
        <v>819</v>
      </c>
      <c r="E1567" s="39" t="s">
        <v>2911</v>
      </c>
      <c r="F1567" s="39"/>
      <c r="G1567" s="56" t="s">
        <v>2874</v>
      </c>
      <c r="H1567" s="39"/>
      <c r="I1567" s="39"/>
    </row>
    <row r="1568">
      <c r="A1568" s="39" t="s">
        <v>648</v>
      </c>
      <c r="B1568" s="39" t="s">
        <v>149</v>
      </c>
      <c r="C1568" s="39">
        <v>61.0</v>
      </c>
      <c r="D1568" s="39" t="s">
        <v>819</v>
      </c>
      <c r="E1568" s="39" t="s">
        <v>2912</v>
      </c>
      <c r="F1568" s="39"/>
      <c r="G1568" s="56" t="s">
        <v>806</v>
      </c>
      <c r="H1568" s="39"/>
      <c r="I1568" s="39"/>
    </row>
    <row r="1569">
      <c r="A1569" s="39" t="s">
        <v>648</v>
      </c>
      <c r="B1569" s="39" t="s">
        <v>149</v>
      </c>
      <c r="C1569" s="39">
        <v>62.0</v>
      </c>
      <c r="D1569" s="39" t="s">
        <v>819</v>
      </c>
      <c r="E1569" s="39" t="s">
        <v>2913</v>
      </c>
      <c r="F1569" s="39"/>
      <c r="G1569" s="56" t="s">
        <v>822</v>
      </c>
      <c r="H1569" s="39"/>
      <c r="I1569" s="39"/>
    </row>
    <row r="1570">
      <c r="A1570" s="39" t="s">
        <v>648</v>
      </c>
      <c r="B1570" s="39" t="s">
        <v>149</v>
      </c>
      <c r="C1570" s="39">
        <v>63.0</v>
      </c>
      <c r="D1570" s="39" t="s">
        <v>819</v>
      </c>
      <c r="E1570" s="39" t="s">
        <v>2914</v>
      </c>
      <c r="F1570" s="39"/>
      <c r="G1570" s="56" t="s">
        <v>806</v>
      </c>
      <c r="H1570" s="39"/>
      <c r="I1570" s="39"/>
    </row>
    <row r="1571">
      <c r="A1571" s="39" t="s">
        <v>648</v>
      </c>
      <c r="B1571" s="39" t="s">
        <v>149</v>
      </c>
      <c r="C1571" s="39">
        <v>64.0</v>
      </c>
      <c r="D1571" s="39" t="s">
        <v>819</v>
      </c>
      <c r="E1571" s="39" t="s">
        <v>2915</v>
      </c>
      <c r="F1571" s="39"/>
      <c r="G1571" s="56" t="s">
        <v>836</v>
      </c>
      <c r="H1571" s="39"/>
      <c r="I1571" s="39"/>
    </row>
    <row r="1572">
      <c r="A1572" s="39" t="s">
        <v>648</v>
      </c>
      <c r="B1572" s="39" t="s">
        <v>149</v>
      </c>
      <c r="C1572" s="39">
        <v>65.0</v>
      </c>
      <c r="D1572" s="39" t="s">
        <v>819</v>
      </c>
      <c r="E1572" s="39" t="s">
        <v>2916</v>
      </c>
      <c r="F1572" s="39"/>
      <c r="G1572" s="56" t="s">
        <v>836</v>
      </c>
      <c r="H1572" s="39"/>
      <c r="I1572" s="39"/>
    </row>
    <row r="1573">
      <c r="A1573" s="39" t="s">
        <v>648</v>
      </c>
      <c r="B1573" s="39" t="s">
        <v>149</v>
      </c>
      <c r="C1573" s="39">
        <v>66.0</v>
      </c>
      <c r="D1573" s="39" t="s">
        <v>839</v>
      </c>
      <c r="E1573" s="39" t="s">
        <v>2917</v>
      </c>
      <c r="F1573" s="39"/>
      <c r="G1573" s="39" t="s">
        <v>842</v>
      </c>
      <c r="H1573" s="39"/>
      <c r="I1573" s="39"/>
    </row>
    <row r="1574">
      <c r="A1574" s="39" t="s">
        <v>648</v>
      </c>
      <c r="B1574" s="39" t="s">
        <v>149</v>
      </c>
      <c r="C1574" s="39">
        <v>67.0</v>
      </c>
      <c r="D1574" s="39" t="s">
        <v>839</v>
      </c>
      <c r="E1574" s="39" t="s">
        <v>2918</v>
      </c>
      <c r="F1574" s="39"/>
      <c r="G1574" s="39" t="s">
        <v>845</v>
      </c>
      <c r="H1574" s="39"/>
      <c r="I1574" s="39"/>
    </row>
    <row r="1575">
      <c r="A1575" s="39" t="s">
        <v>648</v>
      </c>
      <c r="B1575" s="39" t="s">
        <v>149</v>
      </c>
      <c r="C1575" s="39">
        <v>68.0</v>
      </c>
      <c r="D1575" s="39" t="s">
        <v>839</v>
      </c>
      <c r="E1575" s="39" t="s">
        <v>2919</v>
      </c>
      <c r="F1575" s="39"/>
      <c r="G1575" s="39" t="s">
        <v>847</v>
      </c>
      <c r="H1575" s="39"/>
      <c r="I1575" s="39"/>
    </row>
    <row r="1576">
      <c r="A1576" s="39" t="s">
        <v>648</v>
      </c>
      <c r="B1576" s="39" t="s">
        <v>149</v>
      </c>
      <c r="C1576" s="39">
        <v>69.0</v>
      </c>
      <c r="D1576" s="39" t="s">
        <v>839</v>
      </c>
      <c r="E1576" s="39" t="s">
        <v>2920</v>
      </c>
      <c r="F1576" s="39"/>
      <c r="G1576" s="39" t="s">
        <v>850</v>
      </c>
      <c r="H1576" s="39"/>
      <c r="I1576" s="39"/>
    </row>
    <row r="1577">
      <c r="A1577" s="39" t="s">
        <v>648</v>
      </c>
      <c r="B1577" s="39" t="s">
        <v>149</v>
      </c>
      <c r="C1577" s="39">
        <v>70.0</v>
      </c>
      <c r="D1577" s="39" t="s">
        <v>839</v>
      </c>
      <c r="E1577" s="39" t="s">
        <v>2921</v>
      </c>
      <c r="F1577" s="39"/>
      <c r="G1577" s="39" t="s">
        <v>853</v>
      </c>
      <c r="H1577" s="39"/>
      <c r="I1577" s="39"/>
    </row>
    <row r="1578">
      <c r="A1578" s="39" t="s">
        <v>648</v>
      </c>
      <c r="B1578" s="39" t="s">
        <v>149</v>
      </c>
      <c r="C1578" s="39">
        <v>71.0</v>
      </c>
      <c r="D1578" s="39" t="s">
        <v>839</v>
      </c>
      <c r="E1578" s="39" t="s">
        <v>2922</v>
      </c>
      <c r="F1578" s="39"/>
      <c r="G1578" s="39" t="s">
        <v>856</v>
      </c>
      <c r="H1578" s="39"/>
      <c r="I1578" s="39"/>
    </row>
    <row r="1579">
      <c r="A1579" s="39" t="s">
        <v>648</v>
      </c>
      <c r="B1579" s="39" t="s">
        <v>149</v>
      </c>
      <c r="C1579" s="39">
        <v>72.0</v>
      </c>
      <c r="D1579" s="39" t="s">
        <v>92</v>
      </c>
      <c r="E1579" s="39" t="s">
        <v>2923</v>
      </c>
      <c r="F1579" s="39"/>
      <c r="G1579" s="39" t="s">
        <v>2924</v>
      </c>
      <c r="H1579" s="39"/>
      <c r="I1579" s="39"/>
    </row>
    <row r="1580">
      <c r="A1580" s="39" t="s">
        <v>648</v>
      </c>
      <c r="B1580" s="39" t="s">
        <v>149</v>
      </c>
      <c r="C1580" s="39">
        <v>73.0</v>
      </c>
      <c r="D1580" s="39" t="s">
        <v>92</v>
      </c>
      <c r="E1580" s="39" t="s">
        <v>2925</v>
      </c>
      <c r="F1580" s="39"/>
      <c r="G1580" s="39" t="s">
        <v>947</v>
      </c>
      <c r="H1580" s="39"/>
      <c r="I1580" s="39"/>
    </row>
    <row r="1581">
      <c r="A1581" s="39" t="s">
        <v>648</v>
      </c>
      <c r="B1581" s="39" t="s">
        <v>149</v>
      </c>
      <c r="C1581" s="39">
        <v>74.0</v>
      </c>
      <c r="D1581" s="39" t="s">
        <v>91</v>
      </c>
      <c r="E1581" s="39" t="s">
        <v>2926</v>
      </c>
      <c r="F1581" s="39"/>
      <c r="G1581" s="56" t="s">
        <v>822</v>
      </c>
      <c r="H1581" s="39"/>
      <c r="I1581" s="39"/>
    </row>
    <row r="1582">
      <c r="A1582" s="39" t="s">
        <v>648</v>
      </c>
      <c r="B1582" s="39" t="s">
        <v>149</v>
      </c>
      <c r="C1582" s="39">
        <v>75.0</v>
      </c>
      <c r="D1582" s="39" t="s">
        <v>91</v>
      </c>
      <c r="E1582" s="39" t="s">
        <v>2927</v>
      </c>
      <c r="F1582" s="39"/>
      <c r="G1582" s="56" t="s">
        <v>2874</v>
      </c>
      <c r="H1582" s="39"/>
      <c r="I1582" s="39"/>
    </row>
    <row r="1583">
      <c r="A1583" s="39" t="s">
        <v>648</v>
      </c>
      <c r="B1583" s="39" t="s">
        <v>149</v>
      </c>
      <c r="C1583" s="39">
        <v>76.0</v>
      </c>
      <c r="D1583" s="39" t="s">
        <v>91</v>
      </c>
      <c r="E1583" s="39" t="s">
        <v>2928</v>
      </c>
      <c r="F1583" s="39"/>
      <c r="G1583" s="56" t="s">
        <v>836</v>
      </c>
      <c r="H1583" s="39"/>
      <c r="I1583" s="39"/>
    </row>
    <row r="1584">
      <c r="A1584" s="39" t="s">
        <v>648</v>
      </c>
      <c r="B1584" s="39" t="s">
        <v>149</v>
      </c>
      <c r="C1584" s="39">
        <v>77.0</v>
      </c>
      <c r="D1584" s="39" t="s">
        <v>84</v>
      </c>
      <c r="E1584" s="39" t="s">
        <v>2929</v>
      </c>
      <c r="F1584" s="39"/>
      <c r="G1584" s="39" t="s">
        <v>2930</v>
      </c>
      <c r="H1584" s="39" t="s">
        <v>2931</v>
      </c>
      <c r="I1584" s="39"/>
    </row>
    <row r="1585">
      <c r="A1585" s="39" t="s">
        <v>648</v>
      </c>
      <c r="B1585" s="39" t="s">
        <v>177</v>
      </c>
      <c r="C1585" s="39">
        <v>2.0</v>
      </c>
      <c r="D1585" s="39" t="s">
        <v>81</v>
      </c>
      <c r="E1585" s="39" t="s">
        <v>2932</v>
      </c>
      <c r="F1585" s="39"/>
      <c r="G1585" s="39" t="s">
        <v>797</v>
      </c>
      <c r="H1585" s="39"/>
      <c r="I1585" s="39"/>
    </row>
    <row r="1586">
      <c r="A1586" s="39" t="s">
        <v>648</v>
      </c>
      <c r="B1586" s="39" t="s">
        <v>177</v>
      </c>
      <c r="C1586" s="39">
        <v>3.0</v>
      </c>
      <c r="D1586" s="39" t="s">
        <v>798</v>
      </c>
      <c r="E1586" s="39" t="s">
        <v>2933</v>
      </c>
      <c r="F1586" s="39"/>
      <c r="G1586" s="56" t="s">
        <v>801</v>
      </c>
      <c r="H1586" s="39"/>
      <c r="I1586" s="39"/>
    </row>
    <row r="1587">
      <c r="A1587" s="39" t="s">
        <v>648</v>
      </c>
      <c r="B1587" s="39" t="s">
        <v>177</v>
      </c>
      <c r="C1587" s="39">
        <v>4.0</v>
      </c>
      <c r="D1587" s="39" t="s">
        <v>798</v>
      </c>
      <c r="E1587" s="39" t="s">
        <v>2934</v>
      </c>
      <c r="F1587" s="39"/>
      <c r="G1587" s="56" t="s">
        <v>822</v>
      </c>
      <c r="H1587" s="39"/>
      <c r="I1587" s="39"/>
    </row>
    <row r="1588">
      <c r="A1588" s="39" t="s">
        <v>648</v>
      </c>
      <c r="B1588" s="39" t="s">
        <v>177</v>
      </c>
      <c r="C1588" s="39">
        <v>5.0</v>
      </c>
      <c r="D1588" s="39" t="s">
        <v>798</v>
      </c>
      <c r="E1588" s="39" t="s">
        <v>2935</v>
      </c>
      <c r="F1588" s="39"/>
      <c r="G1588" s="56" t="s">
        <v>806</v>
      </c>
      <c r="H1588" s="39"/>
      <c r="I1588" s="39"/>
    </row>
    <row r="1589">
      <c r="A1589" s="39" t="s">
        <v>648</v>
      </c>
      <c r="B1589" s="39" t="s">
        <v>177</v>
      </c>
      <c r="C1589" s="39">
        <v>6.0</v>
      </c>
      <c r="D1589" s="39" t="s">
        <v>798</v>
      </c>
      <c r="E1589" s="39" t="s">
        <v>2936</v>
      </c>
      <c r="F1589" s="39"/>
      <c r="G1589" s="39" t="s">
        <v>809</v>
      </c>
      <c r="H1589" s="39"/>
      <c r="I1589" s="39"/>
    </row>
    <row r="1590">
      <c r="A1590" s="39" t="s">
        <v>648</v>
      </c>
      <c r="B1590" s="39" t="s">
        <v>177</v>
      </c>
      <c r="C1590" s="39">
        <v>7.0</v>
      </c>
      <c r="D1590" s="39" t="s">
        <v>84</v>
      </c>
      <c r="E1590" s="39" t="s">
        <v>2937</v>
      </c>
      <c r="F1590" s="39"/>
      <c r="G1590" s="39" t="s">
        <v>2938</v>
      </c>
      <c r="H1590" s="39"/>
      <c r="I1590" s="39"/>
    </row>
    <row r="1591">
      <c r="A1591" s="39" t="s">
        <v>648</v>
      </c>
      <c r="B1591" s="39" t="s">
        <v>177</v>
      </c>
      <c r="C1591" s="39">
        <v>8.0</v>
      </c>
      <c r="D1591" s="39" t="s">
        <v>84</v>
      </c>
      <c r="E1591" s="39" t="s">
        <v>2939</v>
      </c>
      <c r="F1591" s="39"/>
      <c r="G1591" s="39" t="s">
        <v>2940</v>
      </c>
      <c r="H1591" s="39"/>
      <c r="I1591" s="39"/>
    </row>
    <row r="1592">
      <c r="A1592" s="39" t="s">
        <v>648</v>
      </c>
      <c r="B1592" s="39" t="s">
        <v>177</v>
      </c>
      <c r="C1592" s="39">
        <v>9.0</v>
      </c>
      <c r="D1592" s="39" t="s">
        <v>839</v>
      </c>
      <c r="E1592" s="39" t="s">
        <v>2941</v>
      </c>
      <c r="F1592" s="39"/>
      <c r="G1592" s="39" t="s">
        <v>989</v>
      </c>
      <c r="H1592" s="39"/>
      <c r="I1592" s="39"/>
    </row>
    <row r="1593">
      <c r="A1593" s="39" t="s">
        <v>648</v>
      </c>
      <c r="B1593" s="39" t="s">
        <v>177</v>
      </c>
      <c r="C1593" s="39">
        <v>10.0</v>
      </c>
      <c r="D1593" s="39" t="s">
        <v>839</v>
      </c>
      <c r="E1593" s="39" t="s">
        <v>2942</v>
      </c>
      <c r="F1593" s="39"/>
      <c r="G1593" s="39" t="s">
        <v>991</v>
      </c>
      <c r="H1593" s="39"/>
      <c r="I1593" s="39"/>
    </row>
    <row r="1594">
      <c r="A1594" s="39" t="s">
        <v>648</v>
      </c>
      <c r="B1594" s="39" t="s">
        <v>177</v>
      </c>
      <c r="C1594" s="39">
        <v>11.0</v>
      </c>
      <c r="D1594" s="39" t="s">
        <v>839</v>
      </c>
      <c r="E1594" s="39" t="s">
        <v>2943</v>
      </c>
      <c r="F1594" s="39"/>
      <c r="G1594" s="39" t="s">
        <v>993</v>
      </c>
      <c r="H1594" s="39"/>
      <c r="I1594" s="39"/>
    </row>
    <row r="1595">
      <c r="A1595" s="39" t="s">
        <v>648</v>
      </c>
      <c r="B1595" s="39" t="s">
        <v>177</v>
      </c>
      <c r="C1595" s="39">
        <v>12.0</v>
      </c>
      <c r="D1595" s="39" t="s">
        <v>839</v>
      </c>
      <c r="E1595" s="39" t="s">
        <v>2944</v>
      </c>
      <c r="F1595" s="39"/>
      <c r="G1595" s="39" t="s">
        <v>995</v>
      </c>
      <c r="H1595" s="39"/>
      <c r="I1595" s="39"/>
    </row>
    <row r="1596">
      <c r="A1596" s="39" t="s">
        <v>648</v>
      </c>
      <c r="B1596" s="39" t="s">
        <v>177</v>
      </c>
      <c r="C1596" s="39">
        <v>13.0</v>
      </c>
      <c r="D1596" s="39" t="s">
        <v>87</v>
      </c>
      <c r="E1596" s="39" t="s">
        <v>2945</v>
      </c>
      <c r="F1596" s="39"/>
      <c r="G1596" s="39" t="s">
        <v>2946</v>
      </c>
      <c r="H1596" s="39"/>
      <c r="I1596" s="39"/>
    </row>
    <row r="1597">
      <c r="A1597" s="39" t="s">
        <v>648</v>
      </c>
      <c r="B1597" s="39" t="s">
        <v>177</v>
      </c>
      <c r="C1597" s="39">
        <v>14.0</v>
      </c>
      <c r="D1597" s="39" t="s">
        <v>87</v>
      </c>
      <c r="E1597" s="39" t="s">
        <v>2947</v>
      </c>
      <c r="F1597" s="39"/>
      <c r="G1597" s="39" t="s">
        <v>2948</v>
      </c>
      <c r="H1597" s="39"/>
      <c r="I1597" s="39"/>
    </row>
    <row r="1598">
      <c r="A1598" s="39" t="s">
        <v>648</v>
      </c>
      <c r="B1598" s="39" t="s">
        <v>177</v>
      </c>
      <c r="C1598" s="39">
        <v>15.0</v>
      </c>
      <c r="D1598" s="39" t="s">
        <v>87</v>
      </c>
      <c r="E1598" s="39" t="s">
        <v>2949</v>
      </c>
      <c r="F1598" s="39"/>
      <c r="G1598" s="39" t="s">
        <v>1708</v>
      </c>
      <c r="H1598" s="39"/>
      <c r="I1598" s="39"/>
    </row>
    <row r="1599">
      <c r="A1599" s="39" t="s">
        <v>648</v>
      </c>
      <c r="B1599" s="39" t="s">
        <v>177</v>
      </c>
      <c r="C1599" s="39">
        <v>16.0</v>
      </c>
      <c r="D1599" s="39" t="s">
        <v>87</v>
      </c>
      <c r="E1599" s="39" t="s">
        <v>2950</v>
      </c>
      <c r="F1599" s="39"/>
      <c r="G1599" s="39" t="s">
        <v>2951</v>
      </c>
      <c r="H1599" s="39"/>
      <c r="I1599" s="39"/>
    </row>
    <row r="1600">
      <c r="A1600" s="39" t="s">
        <v>648</v>
      </c>
      <c r="B1600" s="39" t="s">
        <v>177</v>
      </c>
      <c r="C1600" s="39">
        <v>17.0</v>
      </c>
      <c r="D1600" s="39" t="s">
        <v>875</v>
      </c>
      <c r="E1600" s="39" t="s">
        <v>2952</v>
      </c>
      <c r="F1600" s="39"/>
      <c r="G1600" s="39" t="s">
        <v>877</v>
      </c>
      <c r="H1600" s="39"/>
      <c r="I1600" s="39"/>
    </row>
    <row r="1601">
      <c r="A1601" s="39" t="s">
        <v>648</v>
      </c>
      <c r="B1601" s="39" t="s">
        <v>177</v>
      </c>
      <c r="C1601" s="39">
        <v>18.0</v>
      </c>
      <c r="D1601" s="39" t="s">
        <v>875</v>
      </c>
      <c r="E1601" s="39" t="s">
        <v>2953</v>
      </c>
      <c r="F1601" s="39"/>
      <c r="G1601" s="39" t="s">
        <v>877</v>
      </c>
      <c r="H1601" s="39"/>
      <c r="I1601" s="39"/>
    </row>
    <row r="1602">
      <c r="A1602" s="39" t="s">
        <v>648</v>
      </c>
      <c r="B1602" s="39" t="s">
        <v>177</v>
      </c>
      <c r="C1602" s="39">
        <v>19.0</v>
      </c>
      <c r="D1602" s="39" t="s">
        <v>875</v>
      </c>
      <c r="E1602" s="39" t="s">
        <v>2954</v>
      </c>
      <c r="F1602" s="39"/>
      <c r="G1602" s="39" t="s">
        <v>883</v>
      </c>
      <c r="H1602" s="39"/>
      <c r="I1602" s="39"/>
    </row>
    <row r="1603">
      <c r="A1603" s="39" t="s">
        <v>648</v>
      </c>
      <c r="B1603" s="39" t="s">
        <v>177</v>
      </c>
      <c r="C1603" s="39">
        <v>20.0</v>
      </c>
      <c r="D1603" s="39" t="s">
        <v>875</v>
      </c>
      <c r="E1603" s="39" t="s">
        <v>2955</v>
      </c>
      <c r="F1603" s="39"/>
      <c r="G1603" s="39" t="s">
        <v>883</v>
      </c>
      <c r="H1603" s="39"/>
      <c r="I1603" s="39"/>
    </row>
    <row r="1604">
      <c r="A1604" s="39" t="s">
        <v>648</v>
      </c>
      <c r="B1604" s="39" t="s">
        <v>177</v>
      </c>
      <c r="C1604" s="39">
        <v>21.0</v>
      </c>
      <c r="D1604" s="39" t="s">
        <v>88</v>
      </c>
      <c r="E1604" s="39" t="s">
        <v>2956</v>
      </c>
      <c r="F1604" s="39"/>
      <c r="G1604" s="39" t="s">
        <v>901</v>
      </c>
      <c r="H1604" s="39"/>
      <c r="I1604" s="39"/>
    </row>
    <row r="1605">
      <c r="A1605" s="39" t="s">
        <v>648</v>
      </c>
      <c r="B1605" s="39" t="s">
        <v>177</v>
      </c>
      <c r="C1605" s="39">
        <v>22.0</v>
      </c>
      <c r="D1605" s="39" t="s">
        <v>88</v>
      </c>
      <c r="E1605" s="39" t="s">
        <v>2957</v>
      </c>
      <c r="F1605" s="39"/>
      <c r="G1605" s="39" t="s">
        <v>901</v>
      </c>
      <c r="H1605" s="39"/>
      <c r="I1605" s="39"/>
    </row>
    <row r="1606">
      <c r="A1606" s="39" t="s">
        <v>648</v>
      </c>
      <c r="B1606" s="39" t="s">
        <v>177</v>
      </c>
      <c r="C1606" s="39">
        <v>23.0</v>
      </c>
      <c r="D1606" s="39" t="s">
        <v>88</v>
      </c>
      <c r="E1606" s="39" t="s">
        <v>2958</v>
      </c>
      <c r="F1606" s="39"/>
      <c r="G1606" s="39" t="s">
        <v>898</v>
      </c>
      <c r="H1606" s="39"/>
      <c r="I1606" s="39"/>
    </row>
    <row r="1607">
      <c r="A1607" s="39" t="s">
        <v>648</v>
      </c>
      <c r="B1607" s="39" t="s">
        <v>177</v>
      </c>
      <c r="C1607" s="39">
        <v>24.0</v>
      </c>
      <c r="D1607" s="39" t="s">
        <v>88</v>
      </c>
      <c r="E1607" s="39" t="s">
        <v>2959</v>
      </c>
      <c r="F1607" s="39"/>
      <c r="G1607" s="39" t="s">
        <v>895</v>
      </c>
      <c r="H1607" s="39"/>
      <c r="I1607" s="39"/>
    </row>
    <row r="1608">
      <c r="A1608" s="39" t="s">
        <v>648</v>
      </c>
      <c r="B1608" s="39" t="s">
        <v>177</v>
      </c>
      <c r="C1608" s="39">
        <v>25.0</v>
      </c>
      <c r="D1608" s="39" t="s">
        <v>88</v>
      </c>
      <c r="E1608" s="39" t="s">
        <v>2960</v>
      </c>
      <c r="F1608" s="39"/>
      <c r="G1608" s="39" t="s">
        <v>892</v>
      </c>
      <c r="H1608" s="39"/>
      <c r="I1608" s="39"/>
    </row>
    <row r="1609">
      <c r="A1609" s="39" t="s">
        <v>648</v>
      </c>
      <c r="B1609" s="39" t="s">
        <v>177</v>
      </c>
      <c r="C1609" s="39">
        <v>26.0</v>
      </c>
      <c r="D1609" s="39" t="s">
        <v>902</v>
      </c>
      <c r="E1609" s="39" t="s">
        <v>2961</v>
      </c>
      <c r="F1609" s="39"/>
      <c r="G1609" s="56" t="s">
        <v>822</v>
      </c>
      <c r="H1609" s="39" t="s">
        <v>1827</v>
      </c>
      <c r="I1609" s="39"/>
    </row>
    <row r="1610">
      <c r="A1610" s="39" t="s">
        <v>648</v>
      </c>
      <c r="B1610" s="39" t="s">
        <v>177</v>
      </c>
      <c r="C1610" s="39">
        <v>27.0</v>
      </c>
      <c r="D1610" s="39" t="s">
        <v>902</v>
      </c>
      <c r="E1610" s="39" t="s">
        <v>2962</v>
      </c>
      <c r="F1610" s="39"/>
      <c r="G1610" s="56" t="s">
        <v>801</v>
      </c>
      <c r="H1610" s="39" t="s">
        <v>1726</v>
      </c>
      <c r="I1610" s="39"/>
    </row>
    <row r="1611">
      <c r="A1611" s="39" t="s">
        <v>648</v>
      </c>
      <c r="B1611" s="39" t="s">
        <v>177</v>
      </c>
      <c r="C1611" s="39">
        <v>28.0</v>
      </c>
      <c r="D1611" s="39" t="s">
        <v>902</v>
      </c>
      <c r="E1611" s="39" t="s">
        <v>2963</v>
      </c>
      <c r="F1611" s="39"/>
      <c r="G1611" s="39" t="s">
        <v>809</v>
      </c>
      <c r="H1611" s="39" t="s">
        <v>1832</v>
      </c>
      <c r="I1611" s="39"/>
    </row>
    <row r="1612">
      <c r="A1612" s="39" t="s">
        <v>648</v>
      </c>
      <c r="B1612" s="39" t="s">
        <v>177</v>
      </c>
      <c r="C1612" s="39">
        <v>29.0</v>
      </c>
      <c r="D1612" s="39" t="s">
        <v>902</v>
      </c>
      <c r="E1612" s="39" t="s">
        <v>2964</v>
      </c>
      <c r="F1612" s="39"/>
      <c r="G1612" s="56" t="s">
        <v>2874</v>
      </c>
      <c r="H1612" s="39" t="s">
        <v>2310</v>
      </c>
      <c r="I1612" s="39"/>
    </row>
    <row r="1613">
      <c r="A1613" s="39" t="s">
        <v>648</v>
      </c>
      <c r="B1613" s="39" t="s">
        <v>177</v>
      </c>
      <c r="C1613" s="39">
        <v>30.0</v>
      </c>
      <c r="D1613" s="39" t="s">
        <v>902</v>
      </c>
      <c r="E1613" s="39" t="s">
        <v>2965</v>
      </c>
      <c r="F1613" s="39"/>
      <c r="G1613" s="56" t="s">
        <v>822</v>
      </c>
      <c r="H1613" s="39" t="s">
        <v>1832</v>
      </c>
      <c r="I1613" s="39"/>
    </row>
    <row r="1614">
      <c r="A1614" s="39" t="s">
        <v>648</v>
      </c>
      <c r="B1614" s="39" t="s">
        <v>177</v>
      </c>
      <c r="C1614" s="39">
        <v>31.0</v>
      </c>
      <c r="D1614" s="39" t="s">
        <v>902</v>
      </c>
      <c r="E1614" s="39" t="s">
        <v>2966</v>
      </c>
      <c r="F1614" s="39"/>
      <c r="G1614" s="56" t="s">
        <v>801</v>
      </c>
      <c r="H1614" s="39" t="s">
        <v>2967</v>
      </c>
      <c r="I1614" s="39"/>
    </row>
    <row r="1615">
      <c r="A1615" s="39" t="s">
        <v>648</v>
      </c>
      <c r="B1615" s="39" t="s">
        <v>177</v>
      </c>
      <c r="C1615" s="39">
        <v>32.0</v>
      </c>
      <c r="D1615" s="39" t="s">
        <v>902</v>
      </c>
      <c r="E1615" s="39" t="s">
        <v>2968</v>
      </c>
      <c r="F1615" s="39"/>
      <c r="G1615" s="39" t="s">
        <v>809</v>
      </c>
      <c r="H1615" s="39" t="s">
        <v>2969</v>
      </c>
      <c r="I1615" s="39"/>
    </row>
    <row r="1616">
      <c r="A1616" s="39" t="s">
        <v>648</v>
      </c>
      <c r="B1616" s="39" t="s">
        <v>177</v>
      </c>
      <c r="C1616" s="39">
        <v>33.0</v>
      </c>
      <c r="D1616" s="39" t="s">
        <v>902</v>
      </c>
      <c r="E1616" s="39" t="s">
        <v>2970</v>
      </c>
      <c r="F1616" s="39"/>
      <c r="G1616" s="56" t="s">
        <v>2874</v>
      </c>
      <c r="H1616" s="39" t="s">
        <v>2971</v>
      </c>
      <c r="I1616" s="39"/>
    </row>
    <row r="1617">
      <c r="A1617" s="39" t="s">
        <v>648</v>
      </c>
      <c r="B1617" s="39" t="s">
        <v>177</v>
      </c>
      <c r="C1617" s="39">
        <v>34.0</v>
      </c>
      <c r="D1617" s="39" t="s">
        <v>90</v>
      </c>
      <c r="E1617" s="39" t="s">
        <v>2972</v>
      </c>
      <c r="F1617" s="39"/>
      <c r="G1617" s="39" t="s">
        <v>930</v>
      </c>
      <c r="H1617" s="39"/>
      <c r="I1617" s="39"/>
    </row>
    <row r="1618">
      <c r="A1618" s="39" t="s">
        <v>648</v>
      </c>
      <c r="B1618" s="39" t="s">
        <v>177</v>
      </c>
      <c r="C1618" s="39">
        <v>35.0</v>
      </c>
      <c r="D1618" s="39" t="s">
        <v>90</v>
      </c>
      <c r="E1618" s="39" t="s">
        <v>2973</v>
      </c>
      <c r="F1618" s="39"/>
      <c r="G1618" s="39" t="s">
        <v>924</v>
      </c>
      <c r="H1618" s="39"/>
      <c r="I1618" s="39"/>
    </row>
    <row r="1619">
      <c r="A1619" s="39" t="s">
        <v>648</v>
      </c>
      <c r="B1619" s="39" t="s">
        <v>177</v>
      </c>
      <c r="C1619" s="39">
        <v>36.0</v>
      </c>
      <c r="D1619" s="39" t="s">
        <v>90</v>
      </c>
      <c r="E1619" s="39" t="s">
        <v>2974</v>
      </c>
      <c r="F1619" s="39"/>
      <c r="G1619" s="39" t="s">
        <v>927</v>
      </c>
      <c r="H1619" s="39"/>
      <c r="I1619" s="39"/>
    </row>
    <row r="1620">
      <c r="A1620" s="39" t="s">
        <v>648</v>
      </c>
      <c r="B1620" s="39" t="s">
        <v>177</v>
      </c>
      <c r="C1620" s="39">
        <v>37.0</v>
      </c>
      <c r="D1620" s="39" t="s">
        <v>90</v>
      </c>
      <c r="E1620" s="39" t="s">
        <v>2975</v>
      </c>
      <c r="F1620" s="39"/>
      <c r="G1620" s="56" t="s">
        <v>822</v>
      </c>
      <c r="H1620" s="39"/>
      <c r="I1620" s="39"/>
    </row>
    <row r="1621">
      <c r="A1621" s="39" t="s">
        <v>648</v>
      </c>
      <c r="B1621" s="39" t="s">
        <v>177</v>
      </c>
      <c r="C1621" s="39">
        <v>38.0</v>
      </c>
      <c r="D1621" s="39" t="s">
        <v>90</v>
      </c>
      <c r="E1621" s="39" t="s">
        <v>2976</v>
      </c>
      <c r="F1621" s="39"/>
      <c r="G1621" s="56" t="s">
        <v>836</v>
      </c>
      <c r="H1621" s="39"/>
      <c r="I1621" s="39"/>
    </row>
    <row r="1622">
      <c r="A1622" s="39" t="s">
        <v>648</v>
      </c>
      <c r="B1622" s="39" t="s">
        <v>177</v>
      </c>
      <c r="C1622" s="39">
        <v>39.0</v>
      </c>
      <c r="D1622" s="39" t="s">
        <v>90</v>
      </c>
      <c r="E1622" s="39" t="s">
        <v>2977</v>
      </c>
      <c r="F1622" s="39"/>
      <c r="G1622" s="56" t="s">
        <v>801</v>
      </c>
      <c r="H1622" s="39"/>
      <c r="I1622" s="39"/>
    </row>
    <row r="1623">
      <c r="A1623" s="39" t="s">
        <v>648</v>
      </c>
      <c r="B1623" s="39" t="s">
        <v>177</v>
      </c>
      <c r="C1623" s="39">
        <v>40.0</v>
      </c>
      <c r="D1623" s="39" t="s">
        <v>90</v>
      </c>
      <c r="E1623" s="39" t="s">
        <v>2978</v>
      </c>
      <c r="F1623" s="39"/>
      <c r="G1623" s="39" t="s">
        <v>939</v>
      </c>
      <c r="H1623" s="39"/>
      <c r="I1623" s="39"/>
    </row>
    <row r="1624">
      <c r="A1624" s="39" t="s">
        <v>648</v>
      </c>
      <c r="B1624" s="39" t="s">
        <v>177</v>
      </c>
      <c r="C1624" s="39">
        <v>41.0</v>
      </c>
      <c r="D1624" s="39" t="s">
        <v>92</v>
      </c>
      <c r="E1624" s="39" t="s">
        <v>2979</v>
      </c>
      <c r="F1624" s="39"/>
      <c r="G1624" s="39" t="s">
        <v>1355</v>
      </c>
      <c r="H1624" s="39" t="s">
        <v>1356</v>
      </c>
      <c r="I1624" s="39"/>
    </row>
    <row r="1625">
      <c r="A1625" s="39" t="s">
        <v>648</v>
      </c>
      <c r="B1625" s="39" t="s">
        <v>177</v>
      </c>
      <c r="C1625" s="39">
        <v>42.0</v>
      </c>
      <c r="D1625" s="39" t="s">
        <v>92</v>
      </c>
      <c r="E1625" s="39" t="s">
        <v>2980</v>
      </c>
      <c r="F1625" s="39"/>
      <c r="G1625" s="39" t="s">
        <v>950</v>
      </c>
      <c r="H1625" s="39" t="s">
        <v>951</v>
      </c>
      <c r="I1625" s="39"/>
    </row>
    <row r="1626">
      <c r="A1626" s="39" t="s">
        <v>648</v>
      </c>
      <c r="B1626" s="39" t="s">
        <v>177</v>
      </c>
      <c r="C1626" s="39">
        <v>43.0</v>
      </c>
      <c r="D1626" s="39" t="s">
        <v>92</v>
      </c>
      <c r="E1626" s="39" t="s">
        <v>2981</v>
      </c>
      <c r="F1626" s="39"/>
      <c r="G1626" s="39" t="s">
        <v>945</v>
      </c>
      <c r="H1626" s="39"/>
      <c r="I1626" s="39"/>
    </row>
    <row r="1627">
      <c r="A1627" s="39" t="s">
        <v>648</v>
      </c>
      <c r="B1627" s="39" t="s">
        <v>177</v>
      </c>
      <c r="C1627" s="39">
        <v>44.0</v>
      </c>
      <c r="D1627" s="39" t="s">
        <v>92</v>
      </c>
      <c r="E1627" s="39" t="s">
        <v>2982</v>
      </c>
      <c r="F1627" s="39"/>
      <c r="G1627" s="39" t="s">
        <v>2983</v>
      </c>
      <c r="H1627" s="39"/>
      <c r="I1627" s="39"/>
    </row>
    <row r="1628">
      <c r="A1628" s="39" t="s">
        <v>648</v>
      </c>
      <c r="B1628" s="39" t="s">
        <v>177</v>
      </c>
      <c r="C1628" s="39">
        <v>45.0</v>
      </c>
      <c r="D1628" s="39" t="s">
        <v>92</v>
      </c>
      <c r="E1628" s="39" t="s">
        <v>2984</v>
      </c>
      <c r="F1628" s="39"/>
      <c r="G1628" s="39" t="s">
        <v>2985</v>
      </c>
      <c r="H1628" s="39"/>
      <c r="I1628" s="39"/>
    </row>
    <row r="1629">
      <c r="A1629" s="39" t="s">
        <v>648</v>
      </c>
      <c r="B1629" s="39" t="s">
        <v>177</v>
      </c>
      <c r="C1629" s="39">
        <v>46.0</v>
      </c>
      <c r="D1629" s="39" t="s">
        <v>91</v>
      </c>
      <c r="E1629" s="39" t="s">
        <v>2986</v>
      </c>
      <c r="F1629" s="39"/>
      <c r="G1629" s="56" t="s">
        <v>836</v>
      </c>
      <c r="H1629" s="39" t="s">
        <v>2987</v>
      </c>
      <c r="I1629" s="39"/>
    </row>
    <row r="1630">
      <c r="A1630" s="39" t="s">
        <v>648</v>
      </c>
      <c r="B1630" s="39" t="s">
        <v>177</v>
      </c>
      <c r="C1630" s="39">
        <v>47.0</v>
      </c>
      <c r="D1630" s="39" t="s">
        <v>91</v>
      </c>
      <c r="E1630" s="39" t="s">
        <v>2988</v>
      </c>
      <c r="F1630" s="39"/>
      <c r="G1630" s="56" t="s">
        <v>2874</v>
      </c>
      <c r="H1630" s="39"/>
      <c r="I1630" s="39"/>
    </row>
    <row r="1631">
      <c r="A1631" s="39" t="s">
        <v>648</v>
      </c>
      <c r="B1631" s="39" t="s">
        <v>177</v>
      </c>
      <c r="C1631" s="39">
        <v>48.0</v>
      </c>
      <c r="D1631" s="39" t="s">
        <v>839</v>
      </c>
      <c r="E1631" s="39" t="s">
        <v>2989</v>
      </c>
      <c r="F1631" s="39"/>
      <c r="G1631" s="39" t="str">
        <f>IFERROR(__xludf.DUMMYFUNCTION("IFS(REGEXMATCH(E1631, ""ammo_ar""), ""Daedalus AR Ammo"", REGEXMATCH(E1631, ""ammo_ps""), ""Daedalus Pistol Ammo"", REGEXMATCH(E1631, ""ammo_sg""), ""Daedalus Shotgun Ammo"", REGEXMATCH(E1631, ""ammo_sm""), ""Daedalus SMG Ammo"", REGEXMATCH(E1631, ""ammo_"&amp;"sr""), ""Daedalus SR Ammo"")"),"Daedalus SMG Ammo")</f>
        <v>Daedalus SMG Ammo</v>
      </c>
      <c r="H1631" s="39"/>
      <c r="I1631" s="39"/>
    </row>
    <row r="1632">
      <c r="A1632" s="39" t="s">
        <v>648</v>
      </c>
      <c r="B1632" s="39" t="s">
        <v>177</v>
      </c>
      <c r="C1632" s="39">
        <v>49.0</v>
      </c>
      <c r="D1632" s="39" t="s">
        <v>839</v>
      </c>
      <c r="E1632" s="39" t="s">
        <v>2990</v>
      </c>
      <c r="F1632" s="39"/>
      <c r="G1632" s="39" t="str">
        <f>IFERROR(__xludf.DUMMYFUNCTION("IFS(REGEXMATCH(E1632, ""ammo_ar""), ""Daedalus AR Ammo"", REGEXMATCH(E1632, ""ammo_ps""), ""Daedalus Pistol Ammo"", REGEXMATCH(E1632, ""ammo_sg""), ""Daedalus Shotgun Ammo"", REGEXMATCH(E1632, ""ammo_sm""), ""Daedalus SMG Ammo"", REGEXMATCH(E1632, ""ammo_"&amp;"sr""), ""Daedalus SR Ammo"")"),"Daedalus Shotgun Ammo")</f>
        <v>Daedalus Shotgun Ammo</v>
      </c>
      <c r="H1632" s="39"/>
      <c r="I1632" s="39"/>
    </row>
    <row r="1633">
      <c r="A1633" s="39" t="s">
        <v>648</v>
      </c>
      <c r="B1633" s="39" t="s">
        <v>177</v>
      </c>
      <c r="C1633" s="39">
        <v>50.0</v>
      </c>
      <c r="D1633" s="39" t="s">
        <v>839</v>
      </c>
      <c r="E1633" s="39" t="s">
        <v>2991</v>
      </c>
      <c r="F1633" s="39"/>
      <c r="G1633" s="39" t="str">
        <f>IFERROR(__xludf.DUMMYFUNCTION("IFS(REGEXMATCH(E1633, ""ammo_ar""), ""Daedalus AR Ammo"", REGEXMATCH(E1633, ""ammo_ps""), ""Daedalus Pistol Ammo"", REGEXMATCH(E1633, ""ammo_sg""), ""Daedalus Shotgun Ammo"", REGEXMATCH(E1633, ""ammo_sm""), ""Daedalus SMG Ammo"", REGEXMATCH(E1633, ""ammo_"&amp;"sr""), ""Daedalus SR Ammo"")"),"Daedalus AR Ammo")</f>
        <v>Daedalus AR Ammo</v>
      </c>
      <c r="H1633" s="39"/>
      <c r="I1633" s="39"/>
    </row>
    <row r="1634">
      <c r="A1634" s="39" t="s">
        <v>648</v>
      </c>
      <c r="B1634" s="39" t="s">
        <v>177</v>
      </c>
      <c r="C1634" s="39">
        <v>51.0</v>
      </c>
      <c r="D1634" s="39" t="s">
        <v>839</v>
      </c>
      <c r="E1634" s="39" t="s">
        <v>2992</v>
      </c>
      <c r="F1634" s="39"/>
      <c r="G1634" s="39" t="str">
        <f>IFERROR(__xludf.DUMMYFUNCTION("IFS(REGEXMATCH(E1634, ""ammo_ar""), ""Daedalus AR Ammo"", REGEXMATCH(E1634, ""ammo_ps""), ""Daedalus Pistol Ammo"", REGEXMATCH(E1634, ""ammo_sg""), ""Daedalus Shotgun Ammo"", REGEXMATCH(E1634, ""ammo_sm""), ""Daedalus SMG Ammo"", REGEXMATCH(E1634, ""ammo_"&amp;"sr""), ""Daedalus SR Ammo"")"),"Daedalus SR Ammo")</f>
        <v>Daedalus SR Ammo</v>
      </c>
      <c r="H1634" s="39"/>
      <c r="I1634" s="39"/>
    </row>
    <row r="1635">
      <c r="A1635" s="39" t="s">
        <v>648</v>
      </c>
      <c r="B1635" s="39" t="s">
        <v>177</v>
      </c>
      <c r="C1635" s="39">
        <v>52.0</v>
      </c>
      <c r="D1635" s="39" t="s">
        <v>84</v>
      </c>
      <c r="E1635" s="39" t="s">
        <v>2993</v>
      </c>
      <c r="F1635" s="39"/>
      <c r="G1635" s="39" t="s">
        <v>2994</v>
      </c>
      <c r="H1635" s="39" t="s">
        <v>2995</v>
      </c>
      <c r="I1635" s="39"/>
    </row>
    <row r="1636">
      <c r="A1636" s="39" t="s">
        <v>648</v>
      </c>
      <c r="B1636" s="39" t="s">
        <v>177</v>
      </c>
      <c r="C1636" s="39">
        <v>54.0</v>
      </c>
      <c r="D1636" s="39" t="s">
        <v>84</v>
      </c>
      <c r="E1636" s="39" t="s">
        <v>2996</v>
      </c>
      <c r="F1636" s="39"/>
      <c r="G1636" s="39" t="s">
        <v>2997</v>
      </c>
      <c r="H1636" s="39" t="s">
        <v>2998</v>
      </c>
      <c r="I1636" s="39"/>
    </row>
    <row r="1637">
      <c r="A1637" s="39" t="s">
        <v>648</v>
      </c>
      <c r="B1637" s="39" t="s">
        <v>177</v>
      </c>
      <c r="C1637" s="39">
        <v>58.0</v>
      </c>
      <c r="D1637" s="39" t="s">
        <v>84</v>
      </c>
      <c r="E1637" s="59" t="s">
        <v>2999</v>
      </c>
      <c r="F1637" s="59"/>
      <c r="G1637" s="59" t="s">
        <v>3000</v>
      </c>
      <c r="H1637" s="39" t="s">
        <v>3001</v>
      </c>
      <c r="I1637" s="39"/>
    </row>
    <row r="1638">
      <c r="A1638" s="39" t="s">
        <v>648</v>
      </c>
      <c r="B1638" s="39" t="s">
        <v>177</v>
      </c>
      <c r="C1638" s="39">
        <v>60.0</v>
      </c>
      <c r="D1638" s="39" t="s">
        <v>819</v>
      </c>
      <c r="E1638" s="39" t="s">
        <v>3002</v>
      </c>
      <c r="F1638" s="39"/>
      <c r="G1638" s="56" t="s">
        <v>822</v>
      </c>
      <c r="H1638" s="39"/>
      <c r="I1638" s="39"/>
    </row>
    <row r="1639">
      <c r="A1639" s="39" t="s">
        <v>648</v>
      </c>
      <c r="B1639" s="39" t="s">
        <v>177</v>
      </c>
      <c r="C1639" s="39">
        <v>61.0</v>
      </c>
      <c r="D1639" s="39" t="s">
        <v>819</v>
      </c>
      <c r="E1639" s="39" t="s">
        <v>3003</v>
      </c>
      <c r="F1639" s="39"/>
      <c r="G1639" s="56" t="s">
        <v>822</v>
      </c>
      <c r="H1639" s="39"/>
      <c r="I1639" s="39"/>
    </row>
    <row r="1640">
      <c r="A1640" s="39" t="s">
        <v>648</v>
      </c>
      <c r="B1640" s="39" t="s">
        <v>177</v>
      </c>
      <c r="C1640" s="39">
        <v>62.0</v>
      </c>
      <c r="D1640" s="39" t="s">
        <v>819</v>
      </c>
      <c r="E1640" s="39" t="s">
        <v>3004</v>
      </c>
      <c r="F1640" s="39"/>
      <c r="G1640" s="56" t="s">
        <v>2874</v>
      </c>
      <c r="H1640" s="39"/>
      <c r="I1640" s="39"/>
    </row>
    <row r="1641">
      <c r="A1641" s="39" t="s">
        <v>648</v>
      </c>
      <c r="B1641" s="39" t="s">
        <v>177</v>
      </c>
      <c r="C1641" s="39">
        <v>63.0</v>
      </c>
      <c r="D1641" s="39" t="s">
        <v>819</v>
      </c>
      <c r="E1641" s="39" t="s">
        <v>3005</v>
      </c>
      <c r="F1641" s="39"/>
      <c r="G1641" s="56" t="s">
        <v>806</v>
      </c>
      <c r="H1641" s="39"/>
      <c r="I1641" s="39"/>
    </row>
    <row r="1642">
      <c r="A1642" s="39" t="s">
        <v>648</v>
      </c>
      <c r="B1642" s="39" t="s">
        <v>177</v>
      </c>
      <c r="C1642" s="39">
        <v>64.0</v>
      </c>
      <c r="D1642" s="39" t="s">
        <v>819</v>
      </c>
      <c r="E1642" s="39" t="s">
        <v>3006</v>
      </c>
      <c r="F1642" s="39"/>
      <c r="G1642" s="56" t="s">
        <v>822</v>
      </c>
      <c r="H1642" s="39"/>
      <c r="I1642" s="39"/>
    </row>
    <row r="1643">
      <c r="A1643" s="39" t="s">
        <v>648</v>
      </c>
      <c r="B1643" s="39" t="s">
        <v>177</v>
      </c>
      <c r="C1643" s="39">
        <v>65.0</v>
      </c>
      <c r="D1643" s="39" t="s">
        <v>819</v>
      </c>
      <c r="E1643" s="39" t="s">
        <v>3007</v>
      </c>
      <c r="F1643" s="39"/>
      <c r="G1643" s="56" t="s">
        <v>806</v>
      </c>
      <c r="H1643" s="39"/>
      <c r="I1643" s="39"/>
    </row>
    <row r="1644">
      <c r="A1644" s="39" t="s">
        <v>648</v>
      </c>
      <c r="B1644" s="39" t="s">
        <v>177</v>
      </c>
      <c r="C1644" s="39">
        <v>66.0</v>
      </c>
      <c r="D1644" s="39" t="s">
        <v>819</v>
      </c>
      <c r="E1644" s="39" t="s">
        <v>3008</v>
      </c>
      <c r="F1644" s="39"/>
      <c r="G1644" s="56" t="s">
        <v>836</v>
      </c>
      <c r="I1644" s="39"/>
    </row>
    <row r="1645">
      <c r="A1645" s="39" t="s">
        <v>648</v>
      </c>
      <c r="B1645" s="39" t="s">
        <v>177</v>
      </c>
      <c r="C1645" s="39">
        <v>67.0</v>
      </c>
      <c r="D1645" s="39" t="s">
        <v>819</v>
      </c>
      <c r="E1645" s="39" t="s">
        <v>3009</v>
      </c>
      <c r="F1645" s="39"/>
      <c r="G1645" s="56" t="s">
        <v>836</v>
      </c>
      <c r="I1645" s="39"/>
    </row>
    <row r="1646">
      <c r="A1646" s="39" t="s">
        <v>648</v>
      </c>
      <c r="B1646" s="39" t="s">
        <v>177</v>
      </c>
      <c r="C1646" s="39">
        <v>68.0</v>
      </c>
      <c r="D1646" s="39" t="s">
        <v>839</v>
      </c>
      <c r="E1646" s="39" t="s">
        <v>3010</v>
      </c>
      <c r="F1646" s="39"/>
      <c r="G1646" s="39" t="s">
        <v>842</v>
      </c>
      <c r="H1646" s="39"/>
      <c r="I1646" s="39"/>
    </row>
    <row r="1647">
      <c r="A1647" s="39" t="s">
        <v>648</v>
      </c>
      <c r="B1647" s="39" t="s">
        <v>177</v>
      </c>
      <c r="C1647" s="39">
        <v>69.0</v>
      </c>
      <c r="D1647" s="39" t="s">
        <v>839</v>
      </c>
      <c r="E1647" s="39" t="s">
        <v>3011</v>
      </c>
      <c r="F1647" s="39"/>
      <c r="G1647" s="39" t="s">
        <v>845</v>
      </c>
      <c r="H1647" s="39"/>
      <c r="I1647" s="39"/>
    </row>
    <row r="1648">
      <c r="A1648" s="39" t="s">
        <v>648</v>
      </c>
      <c r="B1648" s="39" t="s">
        <v>177</v>
      </c>
      <c r="C1648" s="39">
        <v>70.0</v>
      </c>
      <c r="D1648" s="39" t="s">
        <v>839</v>
      </c>
      <c r="E1648" s="39" t="s">
        <v>3012</v>
      </c>
      <c r="F1648" s="39"/>
      <c r="G1648" s="39" t="s">
        <v>847</v>
      </c>
      <c r="H1648" s="39"/>
      <c r="I1648" s="39"/>
    </row>
    <row r="1649">
      <c r="A1649" s="39" t="s">
        <v>648</v>
      </c>
      <c r="B1649" s="39" t="s">
        <v>177</v>
      </c>
      <c r="C1649" s="39">
        <v>71.0</v>
      </c>
      <c r="D1649" s="39" t="s">
        <v>839</v>
      </c>
      <c r="E1649" s="39" t="s">
        <v>3013</v>
      </c>
      <c r="F1649" s="39"/>
      <c r="G1649" s="39" t="s">
        <v>850</v>
      </c>
      <c r="H1649" s="39"/>
      <c r="I1649" s="39"/>
    </row>
    <row r="1650">
      <c r="A1650" s="39" t="s">
        <v>648</v>
      </c>
      <c r="B1650" s="39" t="s">
        <v>177</v>
      </c>
      <c r="C1650" s="39">
        <v>72.0</v>
      </c>
      <c r="D1650" s="39" t="s">
        <v>839</v>
      </c>
      <c r="E1650" s="39" t="s">
        <v>3014</v>
      </c>
      <c r="F1650" s="39"/>
      <c r="G1650" s="39" t="s">
        <v>853</v>
      </c>
      <c r="H1650" s="39"/>
      <c r="I1650" s="39"/>
    </row>
    <row r="1651">
      <c r="A1651" s="39" t="s">
        <v>648</v>
      </c>
      <c r="B1651" s="39" t="s">
        <v>177</v>
      </c>
      <c r="C1651" s="39">
        <v>73.0</v>
      </c>
      <c r="D1651" s="39" t="s">
        <v>839</v>
      </c>
      <c r="E1651" s="39" t="s">
        <v>3015</v>
      </c>
      <c r="F1651" s="39"/>
      <c r="G1651" s="39" t="s">
        <v>939</v>
      </c>
      <c r="H1651" s="39"/>
      <c r="I1651" s="39"/>
    </row>
    <row r="1652">
      <c r="A1652" s="39" t="s">
        <v>648</v>
      </c>
      <c r="B1652" s="39" t="s">
        <v>177</v>
      </c>
      <c r="C1652" s="39">
        <v>74.0</v>
      </c>
      <c r="D1652" s="39" t="s">
        <v>92</v>
      </c>
      <c r="E1652" s="39" t="s">
        <v>3016</v>
      </c>
      <c r="F1652" s="39"/>
      <c r="G1652" s="39" t="s">
        <v>947</v>
      </c>
      <c r="H1652" s="39"/>
      <c r="I1652" s="39"/>
    </row>
    <row r="1653">
      <c r="A1653" s="39" t="s">
        <v>648</v>
      </c>
      <c r="B1653" s="39" t="s">
        <v>177</v>
      </c>
      <c r="C1653" s="39">
        <v>75.0</v>
      </c>
      <c r="D1653" s="39" t="s">
        <v>92</v>
      </c>
      <c r="E1653" s="39" t="s">
        <v>3017</v>
      </c>
      <c r="F1653" s="39"/>
      <c r="G1653" s="39" t="s">
        <v>3018</v>
      </c>
      <c r="H1653" s="39"/>
      <c r="I1653" s="39"/>
    </row>
    <row r="1654">
      <c r="A1654" s="39" t="s">
        <v>648</v>
      </c>
      <c r="B1654" s="39" t="s">
        <v>177</v>
      </c>
      <c r="C1654" s="39">
        <v>76.0</v>
      </c>
      <c r="D1654" s="39" t="s">
        <v>91</v>
      </c>
      <c r="E1654" s="39" t="s">
        <v>3019</v>
      </c>
      <c r="F1654" s="39"/>
      <c r="G1654" s="56" t="s">
        <v>822</v>
      </c>
      <c r="H1654" s="39"/>
      <c r="I1654" s="39"/>
    </row>
    <row r="1655">
      <c r="A1655" s="39" t="s">
        <v>648</v>
      </c>
      <c r="B1655" s="39" t="s">
        <v>203</v>
      </c>
      <c r="C1655" s="39">
        <v>2.0</v>
      </c>
      <c r="D1655" s="39" t="s">
        <v>81</v>
      </c>
      <c r="E1655" s="39" t="s">
        <v>3020</v>
      </c>
      <c r="F1655" s="39"/>
      <c r="G1655" s="39" t="s">
        <v>797</v>
      </c>
      <c r="H1655" s="39"/>
      <c r="I1655" s="39"/>
    </row>
    <row r="1656">
      <c r="A1656" s="39" t="s">
        <v>648</v>
      </c>
      <c r="B1656" s="39" t="s">
        <v>203</v>
      </c>
      <c r="C1656" s="39">
        <v>3.0</v>
      </c>
      <c r="D1656" s="39" t="s">
        <v>798</v>
      </c>
      <c r="E1656" s="39" t="s">
        <v>3021</v>
      </c>
      <c r="F1656" s="39"/>
      <c r="G1656" s="56" t="s">
        <v>801</v>
      </c>
      <c r="H1656" s="39"/>
      <c r="I1656" s="39"/>
    </row>
    <row r="1657">
      <c r="A1657" s="39" t="s">
        <v>648</v>
      </c>
      <c r="B1657" s="39" t="s">
        <v>203</v>
      </c>
      <c r="C1657" s="39">
        <v>4.0</v>
      </c>
      <c r="D1657" s="39" t="s">
        <v>798</v>
      </c>
      <c r="E1657" s="39" t="s">
        <v>3022</v>
      </c>
      <c r="F1657" s="39"/>
      <c r="G1657" s="56" t="s">
        <v>822</v>
      </c>
      <c r="H1657" s="39"/>
      <c r="I1657" s="39"/>
    </row>
    <row r="1658">
      <c r="A1658" s="39" t="s">
        <v>648</v>
      </c>
      <c r="B1658" s="39" t="s">
        <v>203</v>
      </c>
      <c r="C1658" s="39">
        <v>5.0</v>
      </c>
      <c r="D1658" s="39" t="s">
        <v>798</v>
      </c>
      <c r="E1658" s="39" t="s">
        <v>3023</v>
      </c>
      <c r="F1658" s="39"/>
      <c r="G1658" s="56" t="s">
        <v>806</v>
      </c>
      <c r="H1658" s="39"/>
      <c r="I1658" s="39"/>
    </row>
    <row r="1659">
      <c r="A1659" s="39" t="s">
        <v>648</v>
      </c>
      <c r="B1659" s="39" t="s">
        <v>203</v>
      </c>
      <c r="C1659" s="39">
        <v>6.0</v>
      </c>
      <c r="D1659" s="39" t="s">
        <v>798</v>
      </c>
      <c r="E1659" s="39" t="s">
        <v>3024</v>
      </c>
      <c r="F1659" s="39"/>
      <c r="G1659" s="39" t="s">
        <v>809</v>
      </c>
      <c r="H1659" s="39"/>
      <c r="I1659" s="39"/>
    </row>
    <row r="1660">
      <c r="A1660" s="39" t="s">
        <v>648</v>
      </c>
      <c r="B1660" s="39" t="s">
        <v>203</v>
      </c>
      <c r="C1660" s="39">
        <v>7.0</v>
      </c>
      <c r="D1660" s="39" t="s">
        <v>84</v>
      </c>
      <c r="E1660" s="39" t="s">
        <v>3025</v>
      </c>
      <c r="F1660" s="39"/>
      <c r="G1660" s="39" t="s">
        <v>3026</v>
      </c>
      <c r="H1660" s="39"/>
      <c r="I1660" s="39"/>
    </row>
    <row r="1661">
      <c r="A1661" s="39" t="s">
        <v>648</v>
      </c>
      <c r="B1661" s="39" t="s">
        <v>203</v>
      </c>
      <c r="C1661" s="39">
        <v>8.0</v>
      </c>
      <c r="D1661" s="39" t="s">
        <v>84</v>
      </c>
      <c r="E1661" s="39" t="s">
        <v>3027</v>
      </c>
      <c r="F1661" s="39"/>
      <c r="G1661" s="39" t="s">
        <v>3028</v>
      </c>
      <c r="H1661" s="39"/>
      <c r="I1661" s="39"/>
    </row>
    <row r="1662">
      <c r="A1662" s="39" t="s">
        <v>648</v>
      </c>
      <c r="B1662" s="39" t="s">
        <v>203</v>
      </c>
      <c r="C1662" s="39">
        <v>9.0</v>
      </c>
      <c r="D1662" s="39" t="s">
        <v>839</v>
      </c>
      <c r="E1662" s="39" t="s">
        <v>3029</v>
      </c>
      <c r="F1662" s="39"/>
      <c r="G1662" s="39" t="s">
        <v>989</v>
      </c>
      <c r="H1662" s="39"/>
      <c r="I1662" s="39"/>
    </row>
    <row r="1663">
      <c r="A1663" s="39" t="s">
        <v>648</v>
      </c>
      <c r="B1663" s="39" t="s">
        <v>203</v>
      </c>
      <c r="C1663" s="39">
        <v>10.0</v>
      </c>
      <c r="D1663" s="39" t="s">
        <v>839</v>
      </c>
      <c r="E1663" s="39" t="s">
        <v>3030</v>
      </c>
      <c r="F1663" s="39"/>
      <c r="G1663" s="39" t="s">
        <v>991</v>
      </c>
      <c r="H1663" s="39"/>
      <c r="I1663" s="39"/>
    </row>
    <row r="1664">
      <c r="A1664" s="39" t="s">
        <v>648</v>
      </c>
      <c r="B1664" s="39" t="s">
        <v>203</v>
      </c>
      <c r="C1664" s="39">
        <v>11.0</v>
      </c>
      <c r="D1664" s="39" t="s">
        <v>839</v>
      </c>
      <c r="E1664" s="39" t="s">
        <v>3031</v>
      </c>
      <c r="F1664" s="39"/>
      <c r="G1664" s="39" t="s">
        <v>993</v>
      </c>
      <c r="H1664" s="39"/>
      <c r="I1664" s="39"/>
    </row>
    <row r="1665">
      <c r="A1665" s="39" t="s">
        <v>648</v>
      </c>
      <c r="B1665" s="39" t="s">
        <v>203</v>
      </c>
      <c r="C1665" s="39">
        <v>12.0</v>
      </c>
      <c r="D1665" s="39" t="s">
        <v>839</v>
      </c>
      <c r="E1665" s="39" t="s">
        <v>3032</v>
      </c>
      <c r="F1665" s="39"/>
      <c r="G1665" s="39" t="s">
        <v>995</v>
      </c>
      <c r="H1665" s="39"/>
      <c r="I1665" s="39"/>
    </row>
    <row r="1666">
      <c r="A1666" s="39" t="s">
        <v>648</v>
      </c>
      <c r="B1666" s="39" t="s">
        <v>203</v>
      </c>
      <c r="C1666" s="39">
        <v>13.0</v>
      </c>
      <c r="D1666" s="39" t="s">
        <v>87</v>
      </c>
      <c r="E1666" s="39" t="s">
        <v>3033</v>
      </c>
      <c r="F1666" s="39"/>
      <c r="G1666" s="39" t="s">
        <v>3034</v>
      </c>
      <c r="H1666" s="39"/>
      <c r="I1666" s="39"/>
    </row>
    <row r="1667">
      <c r="A1667" s="39" t="s">
        <v>648</v>
      </c>
      <c r="B1667" s="39" t="s">
        <v>203</v>
      </c>
      <c r="C1667" s="39">
        <v>14.0</v>
      </c>
      <c r="D1667" s="39" t="s">
        <v>87</v>
      </c>
      <c r="E1667" s="39" t="s">
        <v>3035</v>
      </c>
      <c r="F1667" s="39"/>
      <c r="G1667" s="39" t="s">
        <v>3036</v>
      </c>
      <c r="H1667" s="39"/>
      <c r="I1667" s="39"/>
    </row>
    <row r="1668">
      <c r="A1668" s="39" t="s">
        <v>648</v>
      </c>
      <c r="B1668" s="39" t="s">
        <v>203</v>
      </c>
      <c r="C1668" s="39">
        <v>15.0</v>
      </c>
      <c r="D1668" s="39" t="s">
        <v>87</v>
      </c>
      <c r="E1668" s="39" t="s">
        <v>3037</v>
      </c>
      <c r="F1668" s="39"/>
      <c r="G1668" s="39" t="s">
        <v>3038</v>
      </c>
      <c r="H1668" s="39"/>
      <c r="I1668" s="39"/>
    </row>
    <row r="1669">
      <c r="A1669" s="39" t="s">
        <v>648</v>
      </c>
      <c r="B1669" s="39" t="s">
        <v>203</v>
      </c>
      <c r="C1669" s="39">
        <v>16.0</v>
      </c>
      <c r="D1669" s="39" t="s">
        <v>87</v>
      </c>
      <c r="E1669" s="39" t="s">
        <v>3039</v>
      </c>
      <c r="F1669" s="39"/>
      <c r="G1669" s="39" t="s">
        <v>3040</v>
      </c>
      <c r="H1669" s="39"/>
      <c r="I1669" s="39"/>
    </row>
    <row r="1670">
      <c r="A1670" s="39" t="s">
        <v>648</v>
      </c>
      <c r="B1670" s="39" t="s">
        <v>203</v>
      </c>
      <c r="C1670" s="39">
        <v>17.0</v>
      </c>
      <c r="D1670" s="39" t="s">
        <v>875</v>
      </c>
      <c r="E1670" s="39" t="s">
        <v>3041</v>
      </c>
      <c r="F1670" s="39"/>
      <c r="G1670" s="39" t="s">
        <v>877</v>
      </c>
      <c r="H1670" s="39"/>
      <c r="I1670" s="39"/>
    </row>
    <row r="1671">
      <c r="A1671" s="39" t="s">
        <v>648</v>
      </c>
      <c r="B1671" s="39" t="s">
        <v>203</v>
      </c>
      <c r="C1671" s="39">
        <v>18.0</v>
      </c>
      <c r="D1671" s="39" t="s">
        <v>875</v>
      </c>
      <c r="E1671" s="39" t="s">
        <v>3042</v>
      </c>
      <c r="F1671" s="39"/>
      <c r="G1671" s="39" t="s">
        <v>877</v>
      </c>
      <c r="H1671" s="39"/>
      <c r="I1671" s="39"/>
    </row>
    <row r="1672">
      <c r="A1672" s="39" t="s">
        <v>648</v>
      </c>
      <c r="B1672" s="39" t="s">
        <v>203</v>
      </c>
      <c r="C1672" s="39">
        <v>19.0</v>
      </c>
      <c r="D1672" s="39" t="s">
        <v>875</v>
      </c>
      <c r="E1672" s="39" t="s">
        <v>3043</v>
      </c>
      <c r="F1672" s="39"/>
      <c r="G1672" s="39" t="s">
        <v>883</v>
      </c>
      <c r="H1672" s="39"/>
      <c r="I1672" s="39"/>
    </row>
    <row r="1673">
      <c r="A1673" s="39" t="s">
        <v>648</v>
      </c>
      <c r="B1673" s="39" t="s">
        <v>203</v>
      </c>
      <c r="C1673" s="39">
        <v>20.0</v>
      </c>
      <c r="D1673" s="39" t="s">
        <v>875</v>
      </c>
      <c r="E1673" s="39" t="s">
        <v>3044</v>
      </c>
      <c r="F1673" s="39"/>
      <c r="G1673" s="39" t="s">
        <v>883</v>
      </c>
      <c r="H1673" s="39"/>
      <c r="I1673" s="39"/>
    </row>
    <row r="1674">
      <c r="A1674" s="39" t="s">
        <v>648</v>
      </c>
      <c r="B1674" s="39" t="s">
        <v>203</v>
      </c>
      <c r="C1674" s="39">
        <v>21.0</v>
      </c>
      <c r="D1674" s="39" t="s">
        <v>88</v>
      </c>
      <c r="E1674" s="39" t="s">
        <v>3045</v>
      </c>
      <c r="F1674" s="39"/>
      <c r="G1674" s="39" t="s">
        <v>901</v>
      </c>
      <c r="H1674" s="39"/>
      <c r="I1674" s="39"/>
    </row>
    <row r="1675">
      <c r="A1675" s="39" t="s">
        <v>648</v>
      </c>
      <c r="B1675" s="39" t="s">
        <v>203</v>
      </c>
      <c r="C1675" s="39">
        <v>22.0</v>
      </c>
      <c r="D1675" s="39" t="s">
        <v>88</v>
      </c>
      <c r="E1675" s="39" t="s">
        <v>3046</v>
      </c>
      <c r="F1675" s="39"/>
      <c r="G1675" s="39" t="s">
        <v>901</v>
      </c>
      <c r="H1675" s="39"/>
      <c r="I1675" s="39"/>
    </row>
    <row r="1676">
      <c r="A1676" s="39" t="s">
        <v>648</v>
      </c>
      <c r="B1676" s="39" t="s">
        <v>203</v>
      </c>
      <c r="C1676" s="39">
        <v>23.0</v>
      </c>
      <c r="D1676" s="39" t="s">
        <v>88</v>
      </c>
      <c r="E1676" s="39" t="s">
        <v>3047</v>
      </c>
      <c r="F1676" s="39"/>
      <c r="G1676" s="39" t="s">
        <v>898</v>
      </c>
      <c r="H1676" s="39"/>
      <c r="I1676" s="39"/>
    </row>
    <row r="1677">
      <c r="A1677" s="39" t="s">
        <v>648</v>
      </c>
      <c r="B1677" s="39" t="s">
        <v>203</v>
      </c>
      <c r="C1677" s="39">
        <v>24.0</v>
      </c>
      <c r="D1677" s="39" t="s">
        <v>88</v>
      </c>
      <c r="E1677" s="39" t="s">
        <v>3048</v>
      </c>
      <c r="F1677" s="39"/>
      <c r="G1677" s="39" t="s">
        <v>898</v>
      </c>
      <c r="H1677" s="39"/>
      <c r="I1677" s="39"/>
    </row>
    <row r="1678">
      <c r="A1678" s="39" t="s">
        <v>648</v>
      </c>
      <c r="B1678" s="39" t="s">
        <v>203</v>
      </c>
      <c r="C1678" s="39">
        <v>25.0</v>
      </c>
      <c r="D1678" s="39" t="s">
        <v>88</v>
      </c>
      <c r="E1678" s="39" t="s">
        <v>3049</v>
      </c>
      <c r="F1678" s="39"/>
      <c r="G1678" s="39" t="s">
        <v>898</v>
      </c>
      <c r="H1678" s="39"/>
      <c r="I1678" s="39"/>
    </row>
    <row r="1679">
      <c r="A1679" s="39" t="s">
        <v>648</v>
      </c>
      <c r="B1679" s="39" t="s">
        <v>203</v>
      </c>
      <c r="C1679" s="39">
        <v>26.0</v>
      </c>
      <c r="D1679" s="39" t="s">
        <v>902</v>
      </c>
      <c r="E1679" s="39" t="s">
        <v>3050</v>
      </c>
      <c r="F1679" s="39"/>
      <c r="G1679" s="56" t="s">
        <v>822</v>
      </c>
      <c r="H1679" s="39" t="s">
        <v>1036</v>
      </c>
      <c r="I1679" s="39"/>
    </row>
    <row r="1680">
      <c r="A1680" s="39" t="s">
        <v>648</v>
      </c>
      <c r="B1680" s="39" t="s">
        <v>203</v>
      </c>
      <c r="C1680" s="39">
        <v>27.0</v>
      </c>
      <c r="D1680" s="39" t="s">
        <v>902</v>
      </c>
      <c r="E1680" s="39" t="s">
        <v>3051</v>
      </c>
      <c r="F1680" s="39"/>
      <c r="G1680" s="56" t="s">
        <v>801</v>
      </c>
      <c r="H1680" s="39" t="s">
        <v>1832</v>
      </c>
      <c r="I1680" s="39"/>
    </row>
    <row r="1681">
      <c r="A1681" s="39" t="s">
        <v>648</v>
      </c>
      <c r="B1681" s="39" t="s">
        <v>203</v>
      </c>
      <c r="C1681" s="39">
        <v>28.0</v>
      </c>
      <c r="D1681" s="39" t="s">
        <v>902</v>
      </c>
      <c r="E1681" s="39" t="s">
        <v>3052</v>
      </c>
      <c r="F1681" s="39"/>
      <c r="G1681" s="39" t="s">
        <v>809</v>
      </c>
      <c r="H1681" s="39" t="s">
        <v>1036</v>
      </c>
      <c r="I1681" s="39"/>
    </row>
    <row r="1682">
      <c r="A1682" s="39" t="s">
        <v>648</v>
      </c>
      <c r="B1682" s="39" t="s">
        <v>203</v>
      </c>
      <c r="C1682" s="39">
        <v>29.0</v>
      </c>
      <c r="D1682" s="39" t="s">
        <v>902</v>
      </c>
      <c r="E1682" s="39" t="s">
        <v>3053</v>
      </c>
      <c r="F1682" s="39"/>
      <c r="G1682" s="56" t="s">
        <v>2874</v>
      </c>
      <c r="H1682" s="39" t="s">
        <v>2971</v>
      </c>
      <c r="I1682" s="39"/>
    </row>
    <row r="1683">
      <c r="A1683" s="39" t="s">
        <v>648</v>
      </c>
      <c r="B1683" s="39" t="s">
        <v>203</v>
      </c>
      <c r="C1683" s="39">
        <v>30.0</v>
      </c>
      <c r="D1683" s="39" t="s">
        <v>902</v>
      </c>
      <c r="E1683" s="39" t="s">
        <v>3054</v>
      </c>
      <c r="F1683" s="39"/>
      <c r="G1683" s="56" t="s">
        <v>822</v>
      </c>
      <c r="H1683" s="39" t="s">
        <v>1036</v>
      </c>
      <c r="I1683" s="39"/>
    </row>
    <row r="1684">
      <c r="A1684" s="39" t="s">
        <v>648</v>
      </c>
      <c r="B1684" s="39" t="s">
        <v>203</v>
      </c>
      <c r="C1684" s="39">
        <v>31.0</v>
      </c>
      <c r="D1684" s="39" t="s">
        <v>902</v>
      </c>
      <c r="E1684" s="39" t="s">
        <v>3055</v>
      </c>
      <c r="F1684" s="39"/>
      <c r="G1684" s="56" t="s">
        <v>801</v>
      </c>
      <c r="H1684" s="39" t="s">
        <v>1832</v>
      </c>
      <c r="I1684" s="39"/>
    </row>
    <row r="1685">
      <c r="A1685" s="39" t="s">
        <v>648</v>
      </c>
      <c r="B1685" s="39" t="s">
        <v>203</v>
      </c>
      <c r="C1685" s="39">
        <v>32.0</v>
      </c>
      <c r="D1685" s="39" t="s">
        <v>902</v>
      </c>
      <c r="E1685" s="39" t="s">
        <v>3056</v>
      </c>
      <c r="F1685" s="39"/>
      <c r="G1685" s="39" t="s">
        <v>809</v>
      </c>
      <c r="H1685" s="39" t="s">
        <v>2971</v>
      </c>
      <c r="I1685" s="39"/>
    </row>
    <row r="1686">
      <c r="A1686" s="39" t="s">
        <v>648</v>
      </c>
      <c r="B1686" s="39" t="s">
        <v>203</v>
      </c>
      <c r="C1686" s="39">
        <v>33.0</v>
      </c>
      <c r="D1686" s="39" t="s">
        <v>902</v>
      </c>
      <c r="E1686" s="39" t="s">
        <v>3057</v>
      </c>
      <c r="F1686" s="39"/>
      <c r="G1686" s="56" t="s">
        <v>2874</v>
      </c>
      <c r="H1686" s="39" t="s">
        <v>1139</v>
      </c>
      <c r="I1686" s="39"/>
    </row>
    <row r="1687">
      <c r="A1687" s="39" t="s">
        <v>648</v>
      </c>
      <c r="B1687" s="39" t="s">
        <v>203</v>
      </c>
      <c r="C1687" s="39">
        <v>34.0</v>
      </c>
      <c r="D1687" s="39" t="s">
        <v>90</v>
      </c>
      <c r="E1687" s="39" t="s">
        <v>3058</v>
      </c>
      <c r="F1687" s="39"/>
      <c r="G1687" s="39" t="s">
        <v>924</v>
      </c>
      <c r="H1687" s="39"/>
      <c r="I1687" s="39"/>
    </row>
    <row r="1688">
      <c r="A1688" s="39" t="s">
        <v>648</v>
      </c>
      <c r="B1688" s="39" t="s">
        <v>203</v>
      </c>
      <c r="C1688" s="39">
        <v>35.0</v>
      </c>
      <c r="D1688" s="39" t="s">
        <v>90</v>
      </c>
      <c r="E1688" s="39" t="s">
        <v>3059</v>
      </c>
      <c r="F1688" s="39"/>
      <c r="G1688" s="39" t="s">
        <v>930</v>
      </c>
      <c r="H1688" s="39"/>
      <c r="I1688" s="39"/>
    </row>
    <row r="1689">
      <c r="A1689" s="39" t="s">
        <v>648</v>
      </c>
      <c r="B1689" s="39" t="s">
        <v>203</v>
      </c>
      <c r="C1689" s="39">
        <v>36.0</v>
      </c>
      <c r="D1689" s="39" t="s">
        <v>90</v>
      </c>
      <c r="E1689" s="39" t="s">
        <v>3060</v>
      </c>
      <c r="F1689" s="39"/>
      <c r="G1689" s="39" t="s">
        <v>927</v>
      </c>
      <c r="H1689" s="39"/>
      <c r="I1689" s="39"/>
    </row>
    <row r="1690">
      <c r="A1690" s="39" t="s">
        <v>648</v>
      </c>
      <c r="B1690" s="39" t="s">
        <v>203</v>
      </c>
      <c r="C1690" s="39">
        <v>37.0</v>
      </c>
      <c r="D1690" s="39" t="s">
        <v>90</v>
      </c>
      <c r="E1690" s="39" t="s">
        <v>3061</v>
      </c>
      <c r="F1690" s="39"/>
      <c r="G1690" s="56" t="s">
        <v>822</v>
      </c>
      <c r="H1690" s="39"/>
      <c r="I1690" s="39"/>
    </row>
    <row r="1691">
      <c r="A1691" s="39" t="s">
        <v>648</v>
      </c>
      <c r="B1691" s="39" t="s">
        <v>203</v>
      </c>
      <c r="C1691" s="39">
        <v>38.0</v>
      </c>
      <c r="D1691" s="39" t="s">
        <v>90</v>
      </c>
      <c r="E1691" s="39" t="s">
        <v>3062</v>
      </c>
      <c r="F1691" s="39"/>
      <c r="G1691" s="56" t="s">
        <v>836</v>
      </c>
      <c r="H1691" s="39"/>
      <c r="I1691" s="39"/>
    </row>
    <row r="1692">
      <c r="A1692" s="39" t="s">
        <v>648</v>
      </c>
      <c r="B1692" s="39" t="s">
        <v>203</v>
      </c>
      <c r="C1692" s="39">
        <v>39.0</v>
      </c>
      <c r="D1692" s="39" t="s">
        <v>90</v>
      </c>
      <c r="E1692" s="39" t="s">
        <v>3063</v>
      </c>
      <c r="F1692" s="39"/>
      <c r="G1692" s="56" t="s">
        <v>801</v>
      </c>
      <c r="H1692" s="39"/>
      <c r="I1692" s="39"/>
    </row>
    <row r="1693">
      <c r="A1693" s="39" t="s">
        <v>648</v>
      </c>
      <c r="B1693" s="39" t="s">
        <v>203</v>
      </c>
      <c r="C1693" s="39">
        <v>40.0</v>
      </c>
      <c r="D1693" s="39" t="s">
        <v>90</v>
      </c>
      <c r="E1693" s="39" t="s">
        <v>3064</v>
      </c>
      <c r="F1693" s="39"/>
      <c r="G1693" s="39" t="s">
        <v>939</v>
      </c>
      <c r="H1693" s="39"/>
      <c r="I1693" s="39"/>
    </row>
    <row r="1694">
      <c r="A1694" s="39" t="s">
        <v>648</v>
      </c>
      <c r="B1694" s="39" t="s">
        <v>203</v>
      </c>
      <c r="C1694" s="39">
        <v>41.0</v>
      </c>
      <c r="D1694" s="39" t="s">
        <v>92</v>
      </c>
      <c r="E1694" s="39" t="s">
        <v>3065</v>
      </c>
      <c r="F1694" s="39"/>
      <c r="G1694" s="39" t="s">
        <v>1355</v>
      </c>
      <c r="H1694" s="39" t="s">
        <v>1356</v>
      </c>
      <c r="I1694" s="39"/>
    </row>
    <row r="1695">
      <c r="A1695" s="39" t="s">
        <v>648</v>
      </c>
      <c r="B1695" s="39" t="s">
        <v>203</v>
      </c>
      <c r="C1695" s="39">
        <v>42.0</v>
      </c>
      <c r="D1695" s="39" t="s">
        <v>92</v>
      </c>
      <c r="E1695" s="39" t="s">
        <v>3066</v>
      </c>
      <c r="F1695" s="39"/>
      <c r="G1695" s="39" t="s">
        <v>950</v>
      </c>
      <c r="H1695" s="39" t="s">
        <v>951</v>
      </c>
      <c r="I1695" s="39"/>
    </row>
    <row r="1696">
      <c r="A1696" s="39" t="s">
        <v>648</v>
      </c>
      <c r="B1696" s="39" t="s">
        <v>203</v>
      </c>
      <c r="C1696" s="39">
        <v>43.0</v>
      </c>
      <c r="D1696" s="39" t="s">
        <v>92</v>
      </c>
      <c r="E1696" s="39" t="s">
        <v>3067</v>
      </c>
      <c r="F1696" s="39"/>
      <c r="G1696" s="39" t="s">
        <v>2034</v>
      </c>
      <c r="H1696" s="39"/>
      <c r="I1696" s="39"/>
    </row>
    <row r="1697">
      <c r="A1697" s="39" t="s">
        <v>648</v>
      </c>
      <c r="B1697" s="39" t="s">
        <v>203</v>
      </c>
      <c r="C1697" s="39">
        <v>44.0</v>
      </c>
      <c r="D1697" s="39" t="s">
        <v>92</v>
      </c>
      <c r="E1697" s="39" t="s">
        <v>3068</v>
      </c>
      <c r="F1697" s="39"/>
      <c r="G1697" s="39" t="s">
        <v>3069</v>
      </c>
      <c r="H1697" s="39"/>
      <c r="I1697" s="39"/>
    </row>
    <row r="1698">
      <c r="A1698" s="39" t="s">
        <v>648</v>
      </c>
      <c r="B1698" s="39" t="s">
        <v>203</v>
      </c>
      <c r="C1698" s="39">
        <v>45.0</v>
      </c>
      <c r="D1698" s="39" t="s">
        <v>92</v>
      </c>
      <c r="E1698" s="39" t="s">
        <v>3070</v>
      </c>
      <c r="F1698" s="39"/>
      <c r="G1698" s="39" t="s">
        <v>947</v>
      </c>
      <c r="H1698" s="39"/>
      <c r="I1698" s="39"/>
    </row>
    <row r="1699">
      <c r="A1699" s="39" t="s">
        <v>648</v>
      </c>
      <c r="B1699" s="39" t="s">
        <v>203</v>
      </c>
      <c r="C1699" s="39">
        <v>46.0</v>
      </c>
      <c r="D1699" s="39" t="s">
        <v>91</v>
      </c>
      <c r="E1699" s="39" t="s">
        <v>3071</v>
      </c>
      <c r="F1699" s="39"/>
      <c r="G1699" s="56" t="s">
        <v>836</v>
      </c>
      <c r="H1699" s="39"/>
      <c r="I1699" s="39"/>
    </row>
    <row r="1700">
      <c r="A1700" s="39" t="s">
        <v>648</v>
      </c>
      <c r="B1700" s="39" t="s">
        <v>203</v>
      </c>
      <c r="C1700" s="39">
        <v>47.0</v>
      </c>
      <c r="D1700" s="39" t="s">
        <v>91</v>
      </c>
      <c r="E1700" s="39" t="s">
        <v>3072</v>
      </c>
      <c r="F1700" s="39"/>
      <c r="G1700" s="56" t="s">
        <v>2874</v>
      </c>
      <c r="H1700" s="39"/>
      <c r="I1700" s="39"/>
    </row>
    <row r="1701">
      <c r="A1701" s="39" t="s">
        <v>648</v>
      </c>
      <c r="B1701" s="39" t="s">
        <v>203</v>
      </c>
      <c r="C1701" s="39">
        <v>48.0</v>
      </c>
      <c r="D1701" s="39" t="s">
        <v>91</v>
      </c>
      <c r="E1701" s="39" t="s">
        <v>3073</v>
      </c>
      <c r="F1701" s="39"/>
      <c r="G1701" s="56" t="s">
        <v>822</v>
      </c>
      <c r="H1701" s="39"/>
      <c r="I1701" s="39"/>
    </row>
    <row r="1702">
      <c r="A1702" s="39" t="s">
        <v>648</v>
      </c>
      <c r="B1702" s="39" t="s">
        <v>203</v>
      </c>
      <c r="C1702" s="39">
        <v>49.0</v>
      </c>
      <c r="D1702" s="39" t="s">
        <v>92</v>
      </c>
      <c r="E1702" s="39" t="s">
        <v>3074</v>
      </c>
      <c r="F1702" s="39"/>
      <c r="G1702" s="39" t="s">
        <v>945</v>
      </c>
      <c r="H1702" s="39"/>
      <c r="I1702" s="39"/>
    </row>
    <row r="1703">
      <c r="A1703" s="39" t="s">
        <v>648</v>
      </c>
      <c r="B1703" s="39" t="s">
        <v>203</v>
      </c>
      <c r="C1703" s="39">
        <v>50.0</v>
      </c>
      <c r="D1703" s="39" t="s">
        <v>92</v>
      </c>
      <c r="E1703" s="39" t="s">
        <v>3075</v>
      </c>
      <c r="F1703" s="39"/>
      <c r="G1703" s="39" t="s">
        <v>3076</v>
      </c>
      <c r="H1703" s="39"/>
      <c r="I1703" s="39"/>
    </row>
    <row r="1704">
      <c r="A1704" s="39" t="s">
        <v>648</v>
      </c>
      <c r="B1704" s="39" t="s">
        <v>203</v>
      </c>
      <c r="C1704" s="39">
        <v>51.0</v>
      </c>
      <c r="D1704" s="39" t="s">
        <v>839</v>
      </c>
      <c r="E1704" s="39" t="s">
        <v>3077</v>
      </c>
      <c r="F1704" s="39"/>
      <c r="G1704" s="39" t="str">
        <f>IFERROR(__xludf.DUMMYFUNCTION("IFS(REGEXMATCH(E1704, ""ammo_ar""), ""Daedalus AR Ammo"", REGEXMATCH(E1704, ""ammo_ps""), ""Daedalus Pistol Ammo"", REGEXMATCH(E1704, ""ammo_sg""), ""Daedalus Shotgun Ammo"", REGEXMATCH(E1704, ""ammo_sm""), ""Daedalus SMG Ammo"", REGEXMATCH(E1704, ""ammo_"&amp;"sr""), ""Daedalus SR Ammo"")"),"Daedalus SMG Ammo")</f>
        <v>Daedalus SMG Ammo</v>
      </c>
      <c r="H1704" s="39"/>
      <c r="I1704" s="39"/>
    </row>
    <row r="1705">
      <c r="A1705" s="39" t="s">
        <v>648</v>
      </c>
      <c r="B1705" s="39" t="s">
        <v>203</v>
      </c>
      <c r="C1705" s="39">
        <v>52.0</v>
      </c>
      <c r="D1705" s="39" t="s">
        <v>839</v>
      </c>
      <c r="E1705" s="39" t="s">
        <v>3078</v>
      </c>
      <c r="F1705" s="39"/>
      <c r="G1705" s="39" t="str">
        <f>IFERROR(__xludf.DUMMYFUNCTION("IFS(REGEXMATCH(E1705, ""ammo_ar""), ""Daedalus AR Ammo"", REGEXMATCH(E1705, ""ammo_ps""), ""Daedalus Pistol Ammo"", REGEXMATCH(E1705, ""ammo_sg""), ""Daedalus Shotgun Ammo"", REGEXMATCH(E1705, ""ammo_sm""), ""Daedalus SMG Ammo"", REGEXMATCH(E1705, ""ammo_"&amp;"sr""), ""Daedalus SR Ammo"")"),"Daedalus Pistol Ammo")</f>
        <v>Daedalus Pistol Ammo</v>
      </c>
      <c r="H1705" s="39"/>
      <c r="I1705" s="39"/>
    </row>
    <row r="1706">
      <c r="A1706" s="39" t="s">
        <v>648</v>
      </c>
      <c r="B1706" s="39" t="s">
        <v>203</v>
      </c>
      <c r="C1706" s="39">
        <v>53.0</v>
      </c>
      <c r="D1706" s="39" t="s">
        <v>839</v>
      </c>
      <c r="E1706" s="39" t="s">
        <v>3079</v>
      </c>
      <c r="F1706" s="39"/>
      <c r="G1706" s="39" t="str">
        <f>IFERROR(__xludf.DUMMYFUNCTION("IFS(REGEXMATCH(E1706, ""ammo_ar""), ""Daedalus AR Ammo"", REGEXMATCH(E1706, ""ammo_ps""), ""Daedalus Pistol Ammo"", REGEXMATCH(E1706, ""ammo_sg""), ""Daedalus Shotgun Ammo"", REGEXMATCH(E1706, ""ammo_sm""), ""Daedalus SMG Ammo"", REGEXMATCH(E1706, ""ammo_"&amp;"sr""), ""Daedalus SR Ammo"")"),"Daedalus AR Ammo")</f>
        <v>Daedalus AR Ammo</v>
      </c>
      <c r="H1706" s="39"/>
      <c r="I1706" s="39"/>
    </row>
    <row r="1707">
      <c r="A1707" s="39" t="s">
        <v>648</v>
      </c>
      <c r="B1707" s="39" t="s">
        <v>203</v>
      </c>
      <c r="C1707" s="39">
        <v>54.0</v>
      </c>
      <c r="D1707" s="39" t="s">
        <v>839</v>
      </c>
      <c r="E1707" s="39" t="s">
        <v>3080</v>
      </c>
      <c r="F1707" s="39"/>
      <c r="G1707" s="39" t="str">
        <f>IFERROR(__xludf.DUMMYFUNCTION("IFS(REGEXMATCH(E1707, ""ammo_ar""), ""Daedalus AR Ammo"", REGEXMATCH(E1707, ""ammo_ps""), ""Daedalus Pistol Ammo"", REGEXMATCH(E1707, ""ammo_sg""), ""Daedalus Shotgun Ammo"", REGEXMATCH(E1707, ""ammo_sm""), ""Daedalus SMG Ammo"", REGEXMATCH(E1707, ""ammo_"&amp;"sr""), ""Daedalus SR Ammo"")"),"Daedalus SR Ammo")</f>
        <v>Daedalus SR Ammo</v>
      </c>
      <c r="H1707" s="39"/>
      <c r="I1707" s="39"/>
    </row>
    <row r="1708">
      <c r="A1708" s="39" t="s">
        <v>648</v>
      </c>
      <c r="B1708" s="39" t="s">
        <v>203</v>
      </c>
      <c r="C1708" s="39">
        <v>56.0</v>
      </c>
      <c r="D1708" s="39" t="s">
        <v>84</v>
      </c>
      <c r="E1708" s="39" t="s">
        <v>3081</v>
      </c>
      <c r="F1708" s="39"/>
      <c r="G1708" s="39" t="s">
        <v>3082</v>
      </c>
      <c r="H1708" s="39" t="s">
        <v>3083</v>
      </c>
      <c r="I1708" s="39"/>
    </row>
    <row r="1709">
      <c r="A1709" s="39" t="s">
        <v>648</v>
      </c>
      <c r="B1709" s="39" t="s">
        <v>203</v>
      </c>
      <c r="C1709" s="39">
        <v>58.0</v>
      </c>
      <c r="D1709" s="39" t="s">
        <v>84</v>
      </c>
      <c r="E1709" s="39" t="s">
        <v>3084</v>
      </c>
      <c r="F1709" s="39"/>
      <c r="G1709" s="39" t="s">
        <v>3085</v>
      </c>
      <c r="H1709" s="39" t="s">
        <v>3086</v>
      </c>
      <c r="I1709" s="39"/>
    </row>
    <row r="1710">
      <c r="A1710" s="39" t="s">
        <v>648</v>
      </c>
      <c r="B1710" s="39" t="s">
        <v>203</v>
      </c>
      <c r="C1710" s="39">
        <v>61.0</v>
      </c>
      <c r="D1710" s="39" t="s">
        <v>819</v>
      </c>
      <c r="E1710" s="39" t="s">
        <v>3087</v>
      </c>
      <c r="F1710" s="39"/>
      <c r="G1710" s="56" t="s">
        <v>822</v>
      </c>
      <c r="H1710" s="39"/>
      <c r="I1710" s="39"/>
    </row>
    <row r="1711">
      <c r="A1711" s="39" t="s">
        <v>648</v>
      </c>
      <c r="B1711" s="39" t="s">
        <v>203</v>
      </c>
      <c r="C1711" s="39">
        <v>62.0</v>
      </c>
      <c r="D1711" s="39" t="s">
        <v>819</v>
      </c>
      <c r="E1711" s="39" t="s">
        <v>3088</v>
      </c>
      <c r="F1711" s="39"/>
      <c r="G1711" s="56" t="s">
        <v>822</v>
      </c>
      <c r="H1711" s="39"/>
      <c r="I1711" s="39"/>
    </row>
    <row r="1712">
      <c r="A1712" s="39" t="s">
        <v>648</v>
      </c>
      <c r="B1712" s="39" t="s">
        <v>203</v>
      </c>
      <c r="C1712" s="39">
        <v>63.0</v>
      </c>
      <c r="D1712" s="39" t="s">
        <v>819</v>
      </c>
      <c r="E1712" s="39" t="s">
        <v>3089</v>
      </c>
      <c r="F1712" s="39"/>
      <c r="G1712" s="56" t="s">
        <v>2874</v>
      </c>
      <c r="H1712" s="39"/>
      <c r="I1712" s="39"/>
    </row>
    <row r="1713">
      <c r="A1713" s="39" t="s">
        <v>648</v>
      </c>
      <c r="B1713" s="39" t="s">
        <v>203</v>
      </c>
      <c r="C1713" s="39">
        <v>64.0</v>
      </c>
      <c r="D1713" s="39" t="s">
        <v>819</v>
      </c>
      <c r="E1713" s="39" t="s">
        <v>3090</v>
      </c>
      <c r="F1713" s="39"/>
      <c r="G1713" s="56" t="s">
        <v>806</v>
      </c>
      <c r="H1713" s="39"/>
      <c r="I1713" s="39"/>
    </row>
    <row r="1714">
      <c r="A1714" s="39" t="s">
        <v>648</v>
      </c>
      <c r="B1714" s="39" t="s">
        <v>203</v>
      </c>
      <c r="C1714" s="39">
        <v>65.0</v>
      </c>
      <c r="D1714" s="39" t="s">
        <v>819</v>
      </c>
      <c r="E1714" s="39" t="s">
        <v>3091</v>
      </c>
      <c r="F1714" s="39"/>
      <c r="G1714" s="56" t="s">
        <v>822</v>
      </c>
      <c r="H1714" s="39"/>
      <c r="I1714" s="39"/>
    </row>
    <row r="1715">
      <c r="A1715" s="39" t="s">
        <v>648</v>
      </c>
      <c r="B1715" s="39" t="s">
        <v>203</v>
      </c>
      <c r="C1715" s="39">
        <v>66.0</v>
      </c>
      <c r="D1715" s="39" t="s">
        <v>819</v>
      </c>
      <c r="E1715" s="39" t="s">
        <v>3092</v>
      </c>
      <c r="F1715" s="39"/>
      <c r="G1715" s="56" t="s">
        <v>806</v>
      </c>
      <c r="H1715" s="39"/>
      <c r="I1715" s="39"/>
    </row>
    <row r="1716">
      <c r="A1716" s="39" t="s">
        <v>648</v>
      </c>
      <c r="B1716" s="39" t="s">
        <v>203</v>
      </c>
      <c r="C1716" s="39">
        <v>67.0</v>
      </c>
      <c r="D1716" s="39" t="s">
        <v>819</v>
      </c>
      <c r="E1716" s="39" t="s">
        <v>3093</v>
      </c>
      <c r="F1716" s="39"/>
      <c r="G1716" s="56" t="s">
        <v>836</v>
      </c>
      <c r="I1716" s="39"/>
    </row>
    <row r="1717">
      <c r="A1717" s="39" t="s">
        <v>648</v>
      </c>
      <c r="B1717" s="39" t="s">
        <v>203</v>
      </c>
      <c r="C1717" s="39">
        <v>68.0</v>
      </c>
      <c r="D1717" s="39" t="s">
        <v>819</v>
      </c>
      <c r="E1717" s="39" t="s">
        <v>3094</v>
      </c>
      <c r="F1717" s="39"/>
      <c r="G1717" s="56" t="s">
        <v>836</v>
      </c>
      <c r="I1717" s="39"/>
    </row>
    <row r="1718">
      <c r="A1718" s="39" t="s">
        <v>648</v>
      </c>
      <c r="B1718" s="39" t="s">
        <v>203</v>
      </c>
      <c r="C1718" s="39">
        <v>69.0</v>
      </c>
      <c r="D1718" s="39" t="s">
        <v>839</v>
      </c>
      <c r="E1718" s="39" t="s">
        <v>3095</v>
      </c>
      <c r="F1718" s="39"/>
      <c r="G1718" s="39" t="s">
        <v>842</v>
      </c>
      <c r="H1718" s="39"/>
      <c r="I1718" s="39"/>
    </row>
    <row r="1719">
      <c r="A1719" s="39" t="s">
        <v>648</v>
      </c>
      <c r="B1719" s="39" t="s">
        <v>203</v>
      </c>
      <c r="C1719" s="39">
        <v>70.0</v>
      </c>
      <c r="D1719" s="39" t="s">
        <v>839</v>
      </c>
      <c r="E1719" s="39" t="s">
        <v>3096</v>
      </c>
      <c r="F1719" s="39"/>
      <c r="G1719" s="39" t="s">
        <v>845</v>
      </c>
      <c r="H1719" s="39"/>
      <c r="I1719" s="39"/>
    </row>
    <row r="1720">
      <c r="A1720" s="39" t="s">
        <v>648</v>
      </c>
      <c r="B1720" s="39" t="s">
        <v>203</v>
      </c>
      <c r="C1720" s="39">
        <v>71.0</v>
      </c>
      <c r="D1720" s="39" t="s">
        <v>839</v>
      </c>
      <c r="E1720" s="39" t="s">
        <v>3097</v>
      </c>
      <c r="F1720" s="39"/>
      <c r="G1720" s="39" t="s">
        <v>847</v>
      </c>
      <c r="H1720" s="39"/>
      <c r="I1720" s="39"/>
    </row>
    <row r="1721">
      <c r="A1721" s="39" t="s">
        <v>648</v>
      </c>
      <c r="B1721" s="39" t="s">
        <v>203</v>
      </c>
      <c r="C1721" s="39">
        <v>72.0</v>
      </c>
      <c r="D1721" s="39" t="s">
        <v>839</v>
      </c>
      <c r="E1721" s="39" t="s">
        <v>3098</v>
      </c>
      <c r="F1721" s="39"/>
      <c r="G1721" s="39" t="s">
        <v>850</v>
      </c>
      <c r="H1721" s="39"/>
      <c r="I1721" s="39"/>
    </row>
    <row r="1722">
      <c r="A1722" s="39" t="s">
        <v>648</v>
      </c>
      <c r="B1722" s="39" t="s">
        <v>203</v>
      </c>
      <c r="C1722" s="39">
        <v>73.0</v>
      </c>
      <c r="D1722" s="39" t="s">
        <v>839</v>
      </c>
      <c r="E1722" s="39" t="s">
        <v>3099</v>
      </c>
      <c r="F1722" s="39"/>
      <c r="G1722" s="39" t="s">
        <v>853</v>
      </c>
      <c r="H1722" s="39"/>
      <c r="I1722" s="39"/>
    </row>
    <row r="1723">
      <c r="A1723" s="39" t="s">
        <v>648</v>
      </c>
      <c r="B1723" s="39" t="s">
        <v>203</v>
      </c>
      <c r="C1723" s="39">
        <v>74.0</v>
      </c>
      <c r="D1723" s="39" t="s">
        <v>839</v>
      </c>
      <c r="E1723" s="39" t="s">
        <v>3100</v>
      </c>
      <c r="F1723" s="39"/>
      <c r="G1723" s="39" t="s">
        <v>856</v>
      </c>
      <c r="H1723" s="39"/>
      <c r="I1723" s="39"/>
    </row>
    <row r="1724">
      <c r="A1724" s="39" t="s">
        <v>716</v>
      </c>
      <c r="B1724" s="39" t="s">
        <v>149</v>
      </c>
      <c r="C1724" s="39">
        <v>1.0</v>
      </c>
      <c r="D1724" s="39" t="s">
        <v>84</v>
      </c>
      <c r="E1724" s="39" t="s">
        <v>3101</v>
      </c>
      <c r="F1724" s="39"/>
      <c r="G1724" s="39" t="s">
        <v>3102</v>
      </c>
      <c r="H1724" s="39" t="s">
        <v>3103</v>
      </c>
      <c r="I1724" s="39"/>
    </row>
    <row r="1725">
      <c r="A1725" s="39" t="s">
        <v>716</v>
      </c>
      <c r="B1725" s="39" t="s">
        <v>149</v>
      </c>
      <c r="C1725" s="39">
        <v>2.0</v>
      </c>
      <c r="D1725" s="39" t="s">
        <v>81</v>
      </c>
      <c r="E1725" s="39" t="s">
        <v>3104</v>
      </c>
      <c r="F1725" s="39"/>
      <c r="G1725" s="39" t="s">
        <v>797</v>
      </c>
      <c r="H1725" s="39"/>
      <c r="I1725" s="39"/>
    </row>
    <row r="1726">
      <c r="A1726" s="39" t="s">
        <v>716</v>
      </c>
      <c r="B1726" s="39" t="s">
        <v>149</v>
      </c>
      <c r="C1726" s="39">
        <v>3.0</v>
      </c>
      <c r="D1726" s="39" t="s">
        <v>798</v>
      </c>
      <c r="E1726" s="39" t="s">
        <v>3105</v>
      </c>
      <c r="F1726" s="39"/>
      <c r="G1726" s="56" t="s">
        <v>801</v>
      </c>
      <c r="H1726" s="39"/>
      <c r="I1726" s="39"/>
    </row>
    <row r="1727">
      <c r="A1727" s="39" t="s">
        <v>716</v>
      </c>
      <c r="B1727" s="39" t="s">
        <v>149</v>
      </c>
      <c r="C1727" s="39">
        <v>4.0</v>
      </c>
      <c r="D1727" s="39" t="s">
        <v>798</v>
      </c>
      <c r="E1727" s="39" t="s">
        <v>3106</v>
      </c>
      <c r="F1727" s="39"/>
      <c r="G1727" s="56" t="s">
        <v>1690</v>
      </c>
      <c r="H1727" s="39"/>
      <c r="I1727" s="39"/>
    </row>
    <row r="1728">
      <c r="A1728" s="39" t="s">
        <v>716</v>
      </c>
      <c r="B1728" s="39" t="s">
        <v>149</v>
      </c>
      <c r="C1728" s="39">
        <v>5.0</v>
      </c>
      <c r="D1728" s="39" t="s">
        <v>798</v>
      </c>
      <c r="E1728" s="39" t="s">
        <v>3107</v>
      </c>
      <c r="F1728" s="39"/>
      <c r="G1728" s="56" t="s">
        <v>806</v>
      </c>
      <c r="H1728" s="39"/>
      <c r="I1728" s="39"/>
    </row>
    <row r="1729">
      <c r="A1729" s="39" t="s">
        <v>716</v>
      </c>
      <c r="B1729" s="39" t="s">
        <v>149</v>
      </c>
      <c r="C1729" s="39">
        <v>6.0</v>
      </c>
      <c r="D1729" s="39" t="s">
        <v>798</v>
      </c>
      <c r="E1729" s="39" t="s">
        <v>3108</v>
      </c>
      <c r="F1729" s="39"/>
      <c r="G1729" s="39" t="s">
        <v>809</v>
      </c>
      <c r="H1729" s="39"/>
      <c r="I1729" s="39"/>
    </row>
    <row r="1730">
      <c r="A1730" s="39" t="s">
        <v>716</v>
      </c>
      <c r="B1730" s="39" t="s">
        <v>149</v>
      </c>
      <c r="C1730" s="39">
        <v>7.0</v>
      </c>
      <c r="D1730" s="39" t="s">
        <v>84</v>
      </c>
      <c r="E1730" s="39" t="s">
        <v>3109</v>
      </c>
      <c r="F1730" s="39"/>
      <c r="G1730" s="39" t="s">
        <v>3110</v>
      </c>
      <c r="H1730" s="39"/>
      <c r="I1730" s="39"/>
    </row>
    <row r="1731">
      <c r="A1731" s="39" t="s">
        <v>716</v>
      </c>
      <c r="B1731" s="39" t="s">
        <v>149</v>
      </c>
      <c r="C1731" s="39">
        <v>8.0</v>
      </c>
      <c r="D1731" s="39" t="s">
        <v>84</v>
      </c>
      <c r="E1731" s="39" t="s">
        <v>3111</v>
      </c>
      <c r="F1731" s="39"/>
      <c r="G1731" s="39" t="s">
        <v>3112</v>
      </c>
      <c r="H1731" s="39"/>
      <c r="I1731" s="39"/>
    </row>
    <row r="1732">
      <c r="A1732" s="39" t="s">
        <v>716</v>
      </c>
      <c r="B1732" s="39" t="s">
        <v>149</v>
      </c>
      <c r="C1732" s="39">
        <v>9.0</v>
      </c>
      <c r="D1732" s="39" t="s">
        <v>839</v>
      </c>
      <c r="E1732" s="39" t="s">
        <v>3113</v>
      </c>
      <c r="F1732" s="39"/>
      <c r="G1732" s="39" t="s">
        <v>989</v>
      </c>
      <c r="H1732" s="39"/>
      <c r="I1732" s="39"/>
    </row>
    <row r="1733">
      <c r="A1733" s="39" t="s">
        <v>716</v>
      </c>
      <c r="B1733" s="39" t="s">
        <v>149</v>
      </c>
      <c r="C1733" s="39">
        <v>10.0</v>
      </c>
      <c r="D1733" s="39" t="s">
        <v>839</v>
      </c>
      <c r="E1733" s="39" t="s">
        <v>3114</v>
      </c>
      <c r="F1733" s="39"/>
      <c r="G1733" s="39" t="s">
        <v>991</v>
      </c>
      <c r="H1733" s="39"/>
      <c r="I1733" s="39"/>
    </row>
    <row r="1734">
      <c r="A1734" s="39" t="s">
        <v>716</v>
      </c>
      <c r="B1734" s="39" t="s">
        <v>149</v>
      </c>
      <c r="C1734" s="39">
        <v>11.0</v>
      </c>
      <c r="D1734" s="39" t="s">
        <v>839</v>
      </c>
      <c r="E1734" s="39" t="s">
        <v>3115</v>
      </c>
      <c r="F1734" s="39"/>
      <c r="G1734" s="39" t="s">
        <v>993</v>
      </c>
      <c r="H1734" s="39"/>
      <c r="I1734" s="39"/>
    </row>
    <row r="1735">
      <c r="A1735" s="39" t="s">
        <v>716</v>
      </c>
      <c r="B1735" s="39" t="s">
        <v>149</v>
      </c>
      <c r="C1735" s="39">
        <v>12.0</v>
      </c>
      <c r="D1735" s="39" t="s">
        <v>839</v>
      </c>
      <c r="E1735" s="39" t="s">
        <v>3116</v>
      </c>
      <c r="F1735" s="39"/>
      <c r="G1735" s="39" t="s">
        <v>995</v>
      </c>
      <c r="H1735" s="39"/>
      <c r="I1735" s="39"/>
    </row>
    <row r="1736">
      <c r="A1736" s="39" t="s">
        <v>716</v>
      </c>
      <c r="B1736" s="39" t="s">
        <v>149</v>
      </c>
      <c r="C1736" s="39">
        <v>13.0</v>
      </c>
      <c r="D1736" s="39" t="s">
        <v>87</v>
      </c>
      <c r="E1736" s="39" t="s">
        <v>3117</v>
      </c>
      <c r="F1736" s="39"/>
      <c r="G1736" s="39" t="s">
        <v>3118</v>
      </c>
      <c r="H1736" s="39"/>
      <c r="I1736" s="39"/>
    </row>
    <row r="1737">
      <c r="A1737" s="39" t="s">
        <v>716</v>
      </c>
      <c r="B1737" s="39" t="s">
        <v>149</v>
      </c>
      <c r="C1737" s="39">
        <v>14.0</v>
      </c>
      <c r="D1737" s="39" t="s">
        <v>87</v>
      </c>
      <c r="E1737" s="39" t="s">
        <v>3119</v>
      </c>
      <c r="F1737" s="39"/>
      <c r="G1737" s="39" t="s">
        <v>3120</v>
      </c>
      <c r="H1737" s="39"/>
      <c r="I1737" s="39"/>
    </row>
    <row r="1738">
      <c r="A1738" s="39" t="s">
        <v>716</v>
      </c>
      <c r="B1738" s="39" t="s">
        <v>149</v>
      </c>
      <c r="C1738" s="39">
        <v>15.0</v>
      </c>
      <c r="D1738" s="39" t="s">
        <v>87</v>
      </c>
      <c r="E1738" s="39" t="s">
        <v>3121</v>
      </c>
      <c r="F1738" s="39"/>
      <c r="G1738" s="39" t="s">
        <v>3122</v>
      </c>
      <c r="H1738" s="39"/>
      <c r="I1738" s="39"/>
    </row>
    <row r="1739">
      <c r="A1739" s="39" t="s">
        <v>716</v>
      </c>
      <c r="B1739" s="39" t="s">
        <v>149</v>
      </c>
      <c r="C1739" s="39">
        <v>16.0</v>
      </c>
      <c r="D1739" s="39" t="s">
        <v>87</v>
      </c>
      <c r="E1739" s="39" t="s">
        <v>3123</v>
      </c>
      <c r="F1739" s="39"/>
      <c r="G1739" s="39" t="s">
        <v>3124</v>
      </c>
      <c r="H1739" s="39"/>
      <c r="I1739" s="39"/>
    </row>
    <row r="1740">
      <c r="A1740" s="39" t="s">
        <v>716</v>
      </c>
      <c r="B1740" s="39" t="s">
        <v>149</v>
      </c>
      <c r="C1740" s="39">
        <v>17.0</v>
      </c>
      <c r="D1740" s="39" t="s">
        <v>87</v>
      </c>
      <c r="E1740" s="39" t="s">
        <v>3125</v>
      </c>
      <c r="F1740" s="39"/>
      <c r="G1740" s="39" t="s">
        <v>3126</v>
      </c>
      <c r="H1740" s="39"/>
      <c r="I1740" s="39"/>
    </row>
    <row r="1741">
      <c r="A1741" s="39" t="s">
        <v>716</v>
      </c>
      <c r="B1741" s="39" t="s">
        <v>149</v>
      </c>
      <c r="C1741" s="39">
        <v>18.0</v>
      </c>
      <c r="D1741" s="39" t="s">
        <v>839</v>
      </c>
      <c r="E1741" s="39" t="s">
        <v>3127</v>
      </c>
      <c r="F1741" s="39"/>
      <c r="G1741" s="39" t="s">
        <v>874</v>
      </c>
      <c r="H1741" s="39"/>
      <c r="I1741" s="39"/>
    </row>
    <row r="1742">
      <c r="A1742" s="39" t="s">
        <v>716</v>
      </c>
      <c r="B1742" s="39" t="s">
        <v>149</v>
      </c>
      <c r="C1742" s="39">
        <v>19.0</v>
      </c>
      <c r="D1742" s="39" t="s">
        <v>839</v>
      </c>
      <c r="E1742" s="39" t="s">
        <v>3128</v>
      </c>
      <c r="F1742" s="39"/>
      <c r="G1742" s="39" t="s">
        <v>880</v>
      </c>
      <c r="H1742" s="39"/>
      <c r="I1742" s="39"/>
    </row>
    <row r="1743">
      <c r="A1743" s="39" t="s">
        <v>716</v>
      </c>
      <c r="B1743" s="39" t="s">
        <v>149</v>
      </c>
      <c r="C1743" s="39">
        <v>20.0</v>
      </c>
      <c r="D1743" s="39" t="s">
        <v>875</v>
      </c>
      <c r="E1743" s="39" t="s">
        <v>3129</v>
      </c>
      <c r="F1743" s="39"/>
      <c r="G1743" s="39" t="s">
        <v>877</v>
      </c>
      <c r="H1743" s="39"/>
      <c r="I1743" s="39"/>
    </row>
    <row r="1744">
      <c r="A1744" s="39" t="s">
        <v>716</v>
      </c>
      <c r="B1744" s="39" t="s">
        <v>149</v>
      </c>
      <c r="C1744" s="39">
        <v>21.0</v>
      </c>
      <c r="D1744" s="39" t="s">
        <v>875</v>
      </c>
      <c r="E1744" s="39" t="s">
        <v>3130</v>
      </c>
      <c r="F1744" s="39"/>
      <c r="G1744" s="39" t="s">
        <v>877</v>
      </c>
      <c r="H1744" s="39"/>
      <c r="I1744" s="39"/>
    </row>
    <row r="1745">
      <c r="A1745" s="39" t="s">
        <v>716</v>
      </c>
      <c r="B1745" s="39" t="s">
        <v>149</v>
      </c>
      <c r="C1745" s="39">
        <v>22.0</v>
      </c>
      <c r="D1745" s="39" t="s">
        <v>875</v>
      </c>
      <c r="E1745" s="39" t="s">
        <v>3131</v>
      </c>
      <c r="F1745" s="39"/>
      <c r="G1745" s="39" t="s">
        <v>877</v>
      </c>
      <c r="H1745" s="39"/>
      <c r="I1745" s="39"/>
    </row>
    <row r="1746">
      <c r="A1746" s="39" t="s">
        <v>716</v>
      </c>
      <c r="B1746" s="39" t="s">
        <v>149</v>
      </c>
      <c r="C1746" s="39">
        <v>23.0</v>
      </c>
      <c r="D1746" s="39" t="s">
        <v>875</v>
      </c>
      <c r="E1746" s="39" t="s">
        <v>3132</v>
      </c>
      <c r="F1746" s="39"/>
      <c r="G1746" s="39" t="s">
        <v>883</v>
      </c>
      <c r="H1746" s="39"/>
      <c r="I1746" s="39"/>
    </row>
    <row r="1747">
      <c r="A1747" s="39" t="s">
        <v>716</v>
      </c>
      <c r="B1747" s="39" t="s">
        <v>149</v>
      </c>
      <c r="C1747" s="39">
        <v>24.0</v>
      </c>
      <c r="D1747" s="39" t="s">
        <v>875</v>
      </c>
      <c r="E1747" s="39" t="s">
        <v>3133</v>
      </c>
      <c r="F1747" s="39"/>
      <c r="G1747" s="39" t="s">
        <v>883</v>
      </c>
      <c r="H1747" s="39"/>
      <c r="I1747" s="39"/>
    </row>
    <row r="1748">
      <c r="A1748" s="39" t="s">
        <v>716</v>
      </c>
      <c r="B1748" s="39" t="s">
        <v>149</v>
      </c>
      <c r="C1748" s="39">
        <v>25.0</v>
      </c>
      <c r="D1748" s="39" t="s">
        <v>88</v>
      </c>
      <c r="E1748" s="39" t="s">
        <v>3134</v>
      </c>
      <c r="F1748" s="39"/>
      <c r="G1748" s="39" t="s">
        <v>901</v>
      </c>
      <c r="H1748" s="39"/>
      <c r="I1748" s="39"/>
    </row>
    <row r="1749">
      <c r="A1749" s="39" t="s">
        <v>716</v>
      </c>
      <c r="B1749" s="39" t="s">
        <v>149</v>
      </c>
      <c r="C1749" s="39">
        <v>26.0</v>
      </c>
      <c r="D1749" s="39" t="s">
        <v>88</v>
      </c>
      <c r="E1749" s="39" t="s">
        <v>3135</v>
      </c>
      <c r="F1749" s="39"/>
      <c r="G1749" s="39" t="s">
        <v>898</v>
      </c>
      <c r="H1749" s="39"/>
      <c r="I1749" s="39"/>
    </row>
    <row r="1750">
      <c r="A1750" s="39" t="s">
        <v>716</v>
      </c>
      <c r="B1750" s="39" t="s">
        <v>149</v>
      </c>
      <c r="C1750" s="39">
        <v>27.0</v>
      </c>
      <c r="D1750" s="39" t="s">
        <v>88</v>
      </c>
      <c r="E1750" s="39" t="s">
        <v>3136</v>
      </c>
      <c r="F1750" s="39"/>
      <c r="G1750" s="39" t="s">
        <v>898</v>
      </c>
      <c r="H1750" s="39"/>
      <c r="I1750" s="39"/>
    </row>
    <row r="1751">
      <c r="A1751" s="39" t="s">
        <v>716</v>
      </c>
      <c r="B1751" s="39" t="s">
        <v>149</v>
      </c>
      <c r="C1751" s="39">
        <v>28.0</v>
      </c>
      <c r="D1751" s="39" t="s">
        <v>88</v>
      </c>
      <c r="E1751" s="39" t="s">
        <v>3137</v>
      </c>
      <c r="F1751" s="39"/>
      <c r="G1751" s="39" t="s">
        <v>892</v>
      </c>
      <c r="H1751" s="39"/>
      <c r="I1751" s="39"/>
    </row>
    <row r="1752">
      <c r="A1752" s="39" t="s">
        <v>716</v>
      </c>
      <c r="B1752" s="39" t="s">
        <v>149</v>
      </c>
      <c r="C1752" s="39">
        <v>29.0</v>
      </c>
      <c r="D1752" s="39" t="s">
        <v>88</v>
      </c>
      <c r="E1752" s="39" t="s">
        <v>3138</v>
      </c>
      <c r="F1752" s="39"/>
      <c r="G1752" s="39" t="s">
        <v>895</v>
      </c>
      <c r="H1752" s="39"/>
      <c r="I1752" s="39"/>
    </row>
    <row r="1753">
      <c r="A1753" s="39" t="s">
        <v>716</v>
      </c>
      <c r="B1753" s="39" t="s">
        <v>149</v>
      </c>
      <c r="C1753" s="39">
        <v>30.0</v>
      </c>
      <c r="D1753" s="39" t="s">
        <v>902</v>
      </c>
      <c r="E1753" s="39" t="s">
        <v>3139</v>
      </c>
      <c r="F1753" s="39"/>
      <c r="G1753" s="56" t="s">
        <v>822</v>
      </c>
      <c r="H1753" s="39"/>
      <c r="I1753" s="39"/>
    </row>
    <row r="1754">
      <c r="A1754" s="39" t="s">
        <v>716</v>
      </c>
      <c r="B1754" s="39" t="s">
        <v>149</v>
      </c>
      <c r="C1754" s="39">
        <v>31.0</v>
      </c>
      <c r="D1754" s="39" t="s">
        <v>902</v>
      </c>
      <c r="E1754" s="39" t="s">
        <v>3140</v>
      </c>
      <c r="F1754" s="39"/>
      <c r="G1754" s="56" t="s">
        <v>801</v>
      </c>
      <c r="H1754" s="39"/>
      <c r="I1754" s="39"/>
    </row>
    <row r="1755">
      <c r="A1755" s="39" t="s">
        <v>716</v>
      </c>
      <c r="B1755" s="39" t="s">
        <v>149</v>
      </c>
      <c r="C1755" s="39">
        <v>32.0</v>
      </c>
      <c r="D1755" s="39" t="s">
        <v>902</v>
      </c>
      <c r="E1755" s="39" t="s">
        <v>3141</v>
      </c>
      <c r="F1755" s="39"/>
      <c r="G1755" s="39" t="s">
        <v>809</v>
      </c>
      <c r="H1755" s="39"/>
      <c r="I1755" s="39"/>
    </row>
    <row r="1756">
      <c r="A1756" s="39" t="s">
        <v>716</v>
      </c>
      <c r="B1756" s="39" t="s">
        <v>149</v>
      </c>
      <c r="C1756" s="39">
        <v>33.0</v>
      </c>
      <c r="D1756" s="39" t="s">
        <v>902</v>
      </c>
      <c r="E1756" s="39" t="s">
        <v>3142</v>
      </c>
      <c r="F1756" s="39"/>
      <c r="G1756" s="56" t="s">
        <v>1690</v>
      </c>
      <c r="H1756" s="39"/>
      <c r="I1756" s="39"/>
    </row>
    <row r="1757">
      <c r="A1757" s="39" t="s">
        <v>716</v>
      </c>
      <c r="B1757" s="39" t="s">
        <v>149</v>
      </c>
      <c r="C1757" s="39">
        <v>34.0</v>
      </c>
      <c r="D1757" s="39" t="s">
        <v>902</v>
      </c>
      <c r="E1757" s="39" t="s">
        <v>3143</v>
      </c>
      <c r="F1757" s="39"/>
      <c r="G1757" s="56" t="s">
        <v>822</v>
      </c>
      <c r="H1757" s="39"/>
      <c r="I1757" s="39"/>
    </row>
    <row r="1758">
      <c r="A1758" s="39" t="s">
        <v>716</v>
      </c>
      <c r="B1758" s="39" t="s">
        <v>149</v>
      </c>
      <c r="C1758" s="39">
        <v>35.0</v>
      </c>
      <c r="D1758" s="39" t="s">
        <v>902</v>
      </c>
      <c r="E1758" s="39" t="s">
        <v>3144</v>
      </c>
      <c r="F1758" s="39"/>
      <c r="G1758" s="56" t="s">
        <v>801</v>
      </c>
      <c r="H1758" s="39"/>
      <c r="I1758" s="39"/>
    </row>
    <row r="1759">
      <c r="A1759" s="39" t="s">
        <v>716</v>
      </c>
      <c r="B1759" s="39" t="s">
        <v>149</v>
      </c>
      <c r="C1759" s="39">
        <v>36.0</v>
      </c>
      <c r="D1759" s="39" t="s">
        <v>902</v>
      </c>
      <c r="E1759" s="39" t="s">
        <v>3145</v>
      </c>
      <c r="F1759" s="39"/>
      <c r="G1759" s="39" t="s">
        <v>809</v>
      </c>
      <c r="H1759" s="39"/>
      <c r="I1759" s="39"/>
    </row>
    <row r="1760">
      <c r="A1760" s="39" t="s">
        <v>716</v>
      </c>
      <c r="B1760" s="39" t="s">
        <v>149</v>
      </c>
      <c r="C1760" s="39">
        <v>37.0</v>
      </c>
      <c r="D1760" s="39" t="s">
        <v>902</v>
      </c>
      <c r="E1760" s="39" t="s">
        <v>3146</v>
      </c>
      <c r="F1760" s="39"/>
      <c r="G1760" s="56" t="s">
        <v>1690</v>
      </c>
      <c r="H1760" s="39"/>
      <c r="I1760" s="39"/>
    </row>
    <row r="1761">
      <c r="A1761" s="39" t="s">
        <v>716</v>
      </c>
      <c r="B1761" s="39" t="s">
        <v>149</v>
      </c>
      <c r="C1761" s="39">
        <v>38.0</v>
      </c>
      <c r="D1761" s="39" t="s">
        <v>90</v>
      </c>
      <c r="E1761" s="39" t="s">
        <v>3147</v>
      </c>
      <c r="F1761" s="39"/>
      <c r="G1761" s="39" t="s">
        <v>927</v>
      </c>
      <c r="H1761" s="39"/>
      <c r="I1761" s="39"/>
    </row>
    <row r="1762">
      <c r="A1762" s="39" t="s">
        <v>716</v>
      </c>
      <c r="B1762" s="39" t="s">
        <v>149</v>
      </c>
      <c r="C1762" s="39">
        <v>39.0</v>
      </c>
      <c r="D1762" s="39" t="s">
        <v>90</v>
      </c>
      <c r="E1762" s="39" t="s">
        <v>3148</v>
      </c>
      <c r="F1762" s="39"/>
      <c r="G1762" s="39" t="s">
        <v>924</v>
      </c>
      <c r="H1762" s="39"/>
      <c r="I1762" s="39"/>
    </row>
    <row r="1763">
      <c r="A1763" s="39" t="s">
        <v>716</v>
      </c>
      <c r="B1763" s="39" t="s">
        <v>149</v>
      </c>
      <c r="C1763" s="39">
        <v>40.0</v>
      </c>
      <c r="D1763" s="39" t="s">
        <v>90</v>
      </c>
      <c r="E1763" s="39" t="s">
        <v>3149</v>
      </c>
      <c r="F1763" s="39"/>
      <c r="G1763" s="39" t="s">
        <v>930</v>
      </c>
      <c r="H1763" s="39"/>
      <c r="I1763" s="39"/>
    </row>
    <row r="1764">
      <c r="A1764" s="39" t="s">
        <v>716</v>
      </c>
      <c r="B1764" s="39" t="s">
        <v>149</v>
      </c>
      <c r="C1764" s="39">
        <v>41.0</v>
      </c>
      <c r="D1764" s="39" t="s">
        <v>90</v>
      </c>
      <c r="E1764" s="39" t="s">
        <v>3150</v>
      </c>
      <c r="F1764" s="39"/>
      <c r="G1764" s="56" t="s">
        <v>822</v>
      </c>
      <c r="H1764" s="39"/>
      <c r="I1764" s="39"/>
    </row>
    <row r="1765">
      <c r="A1765" s="39" t="s">
        <v>716</v>
      </c>
      <c r="B1765" s="39" t="s">
        <v>149</v>
      </c>
      <c r="C1765" s="39">
        <v>42.0</v>
      </c>
      <c r="D1765" s="39" t="s">
        <v>90</v>
      </c>
      <c r="E1765" s="39" t="s">
        <v>3151</v>
      </c>
      <c r="F1765" s="39"/>
      <c r="G1765" s="56" t="s">
        <v>836</v>
      </c>
      <c r="H1765" s="39"/>
      <c r="I1765" s="39"/>
    </row>
    <row r="1766">
      <c r="A1766" s="39" t="s">
        <v>716</v>
      </c>
      <c r="B1766" s="39" t="s">
        <v>149</v>
      </c>
      <c r="C1766" s="39">
        <v>43.0</v>
      </c>
      <c r="D1766" s="39" t="s">
        <v>90</v>
      </c>
      <c r="E1766" s="39" t="s">
        <v>3152</v>
      </c>
      <c r="F1766" s="39"/>
      <c r="G1766" s="56" t="s">
        <v>801</v>
      </c>
      <c r="H1766" s="39"/>
      <c r="I1766" s="39"/>
    </row>
    <row r="1767">
      <c r="A1767" s="39" t="s">
        <v>716</v>
      </c>
      <c r="B1767" s="39" t="s">
        <v>149</v>
      </c>
      <c r="C1767" s="39">
        <v>44.0</v>
      </c>
      <c r="D1767" s="39" t="s">
        <v>90</v>
      </c>
      <c r="E1767" s="39" t="s">
        <v>3153</v>
      </c>
      <c r="F1767" s="39"/>
      <c r="G1767" s="39" t="s">
        <v>939</v>
      </c>
      <c r="H1767" s="39"/>
      <c r="I1767" s="39"/>
    </row>
    <row r="1768">
      <c r="A1768" s="39" t="s">
        <v>716</v>
      </c>
      <c r="B1768" s="39" t="s">
        <v>149</v>
      </c>
      <c r="C1768" s="39">
        <v>45.0</v>
      </c>
      <c r="D1768" s="39" t="s">
        <v>92</v>
      </c>
      <c r="E1768" s="39" t="s">
        <v>3154</v>
      </c>
      <c r="F1768" s="39"/>
      <c r="G1768" s="39" t="s">
        <v>1355</v>
      </c>
      <c r="H1768" s="39" t="s">
        <v>1356</v>
      </c>
      <c r="I1768" s="39"/>
    </row>
    <row r="1769">
      <c r="A1769" s="39" t="s">
        <v>716</v>
      </c>
      <c r="B1769" s="39" t="s">
        <v>149</v>
      </c>
      <c r="C1769" s="39">
        <v>46.0</v>
      </c>
      <c r="D1769" s="39" t="s">
        <v>92</v>
      </c>
      <c r="E1769" s="39" t="s">
        <v>3155</v>
      </c>
      <c r="F1769" s="39"/>
      <c r="G1769" s="39" t="s">
        <v>945</v>
      </c>
      <c r="H1769" s="39"/>
      <c r="I1769" s="39"/>
    </row>
    <row r="1770">
      <c r="A1770" s="39" t="s">
        <v>716</v>
      </c>
      <c r="B1770" s="39" t="s">
        <v>149</v>
      </c>
      <c r="C1770" s="39">
        <v>47.0</v>
      </c>
      <c r="D1770" s="39" t="s">
        <v>92</v>
      </c>
      <c r="E1770" s="39" t="s">
        <v>3156</v>
      </c>
      <c r="F1770" s="39"/>
      <c r="G1770" s="39" t="s">
        <v>947</v>
      </c>
      <c r="H1770" s="39"/>
      <c r="I1770" s="39"/>
    </row>
    <row r="1771">
      <c r="A1771" s="39" t="s">
        <v>716</v>
      </c>
      <c r="B1771" s="39" t="s">
        <v>149</v>
      </c>
      <c r="C1771" s="39">
        <v>48.0</v>
      </c>
      <c r="D1771" s="39" t="s">
        <v>92</v>
      </c>
      <c r="E1771" s="39" t="s">
        <v>3157</v>
      </c>
      <c r="F1771" s="39"/>
      <c r="G1771" s="39" t="s">
        <v>3158</v>
      </c>
      <c r="H1771" s="39"/>
      <c r="I1771" s="39"/>
    </row>
    <row r="1772">
      <c r="A1772" s="39" t="s">
        <v>716</v>
      </c>
      <c r="B1772" s="39" t="s">
        <v>149</v>
      </c>
      <c r="C1772" s="39">
        <v>49.0</v>
      </c>
      <c r="D1772" s="39" t="s">
        <v>92</v>
      </c>
      <c r="E1772" s="39" t="s">
        <v>3159</v>
      </c>
      <c r="F1772" s="39"/>
      <c r="G1772" s="39" t="s">
        <v>960</v>
      </c>
      <c r="H1772" s="39"/>
      <c r="I1772" s="39"/>
    </row>
    <row r="1773">
      <c r="A1773" s="39" t="s">
        <v>716</v>
      </c>
      <c r="B1773" s="39" t="s">
        <v>149</v>
      </c>
      <c r="C1773" s="39">
        <v>50.0</v>
      </c>
      <c r="D1773" s="39" t="s">
        <v>3160</v>
      </c>
      <c r="E1773" s="39" t="s">
        <v>3161</v>
      </c>
      <c r="F1773" s="39"/>
      <c r="G1773" s="39" t="s">
        <v>3162</v>
      </c>
      <c r="H1773" s="39"/>
      <c r="I1773" s="39"/>
    </row>
    <row r="1774">
      <c r="A1774" s="39" t="s">
        <v>716</v>
      </c>
      <c r="B1774" s="39" t="s">
        <v>149</v>
      </c>
      <c r="C1774" s="39">
        <v>51.0</v>
      </c>
      <c r="D1774" s="39" t="s">
        <v>3160</v>
      </c>
      <c r="E1774" s="39" t="s">
        <v>3163</v>
      </c>
      <c r="F1774" s="39"/>
      <c r="G1774" s="39" t="s">
        <v>3164</v>
      </c>
      <c r="H1774" s="39"/>
      <c r="I1774" s="39"/>
    </row>
    <row r="1775">
      <c r="A1775" s="39" t="s">
        <v>716</v>
      </c>
      <c r="B1775" s="39" t="s">
        <v>149</v>
      </c>
      <c r="C1775" s="39">
        <v>52.0</v>
      </c>
      <c r="D1775" s="39" t="s">
        <v>3160</v>
      </c>
      <c r="E1775" s="39" t="s">
        <v>3165</v>
      </c>
      <c r="F1775" s="39"/>
      <c r="G1775" s="39" t="s">
        <v>3166</v>
      </c>
      <c r="H1775" s="39"/>
      <c r="I1775" s="39"/>
    </row>
    <row r="1776">
      <c r="A1776" s="39" t="s">
        <v>716</v>
      </c>
      <c r="B1776" s="39" t="s">
        <v>149</v>
      </c>
      <c r="C1776" s="39">
        <v>53.0</v>
      </c>
      <c r="D1776" s="39" t="s">
        <v>3160</v>
      </c>
      <c r="E1776" s="39" t="s">
        <v>3167</v>
      </c>
      <c r="F1776" s="39"/>
      <c r="G1776" s="39" t="s">
        <v>3168</v>
      </c>
      <c r="H1776" s="39"/>
      <c r="I1776" s="39"/>
    </row>
    <row r="1777">
      <c r="A1777" s="39" t="s">
        <v>716</v>
      </c>
      <c r="B1777" s="39" t="s">
        <v>149</v>
      </c>
      <c r="C1777" s="39">
        <v>54.0</v>
      </c>
      <c r="D1777" s="39" t="s">
        <v>3160</v>
      </c>
      <c r="E1777" s="39" t="s">
        <v>3169</v>
      </c>
      <c r="F1777" s="39"/>
      <c r="G1777" s="39" t="s">
        <v>3170</v>
      </c>
      <c r="H1777" s="39"/>
      <c r="I1777" s="39"/>
    </row>
    <row r="1778">
      <c r="A1778" s="39" t="s">
        <v>716</v>
      </c>
      <c r="B1778" s="39" t="s">
        <v>149</v>
      </c>
      <c r="C1778" s="39">
        <v>55.0</v>
      </c>
      <c r="D1778" s="39" t="s">
        <v>3160</v>
      </c>
      <c r="E1778" s="39" t="s">
        <v>3171</v>
      </c>
      <c r="F1778" s="39"/>
      <c r="G1778" s="39" t="s">
        <v>3168</v>
      </c>
      <c r="H1778" s="39"/>
      <c r="I1778" s="39"/>
    </row>
    <row r="1779">
      <c r="A1779" s="39" t="s">
        <v>716</v>
      </c>
      <c r="B1779" s="39" t="s">
        <v>149</v>
      </c>
      <c r="C1779" s="39">
        <v>56.0</v>
      </c>
      <c r="D1779" s="39" t="s">
        <v>91</v>
      </c>
      <c r="E1779" s="39" t="s">
        <v>3172</v>
      </c>
      <c r="F1779" s="39"/>
      <c r="G1779" s="56" t="s">
        <v>822</v>
      </c>
      <c r="H1779" s="39"/>
      <c r="I1779" s="39"/>
    </row>
    <row r="1780">
      <c r="A1780" s="39" t="s">
        <v>716</v>
      </c>
      <c r="B1780" s="39" t="s">
        <v>149</v>
      </c>
      <c r="C1780" s="39">
        <v>57.0</v>
      </c>
      <c r="D1780" s="39" t="s">
        <v>91</v>
      </c>
      <c r="E1780" s="39" t="s">
        <v>3173</v>
      </c>
      <c r="F1780" s="39"/>
      <c r="G1780" s="56" t="s">
        <v>836</v>
      </c>
      <c r="H1780" s="39"/>
      <c r="I1780" s="39"/>
    </row>
    <row r="1781">
      <c r="A1781" s="39" t="s">
        <v>716</v>
      </c>
      <c r="B1781" s="39" t="s">
        <v>149</v>
      </c>
      <c r="C1781" s="39">
        <v>58.0</v>
      </c>
      <c r="D1781" s="39" t="s">
        <v>91</v>
      </c>
      <c r="E1781" s="39" t="s">
        <v>3174</v>
      </c>
      <c r="F1781" s="39"/>
      <c r="G1781" s="56" t="s">
        <v>806</v>
      </c>
      <c r="H1781" s="39"/>
      <c r="I1781" s="39"/>
    </row>
    <row r="1782">
      <c r="A1782" s="39" t="s">
        <v>716</v>
      </c>
      <c r="B1782" s="39" t="s">
        <v>149</v>
      </c>
      <c r="C1782" s="39">
        <v>59.0</v>
      </c>
      <c r="D1782" s="39" t="s">
        <v>839</v>
      </c>
      <c r="E1782" s="39" t="s">
        <v>3175</v>
      </c>
      <c r="F1782" s="39"/>
      <c r="G1782" s="39" t="str">
        <f>IFERROR(__xludf.DUMMYFUNCTION("IFS(REGEXMATCH(E1782, ""ammo_ar""), ""Daedalus AR Ammo"", REGEXMATCH(E1782, ""ammo_ps""), ""Daedalus Pistol Ammo"", REGEXMATCH(E1782, ""ammo_sg""), ""Daedalus Shotgun Ammo"", REGEXMATCH(E1782, ""ammo_sm""), ""Daedalus SMG Ammo"", REGEXMATCH(E1782, ""ammo_"&amp;"sr""), ""Daedalus SR Ammo"")"),"Daedalus Pistol Ammo")</f>
        <v>Daedalus Pistol Ammo</v>
      </c>
      <c r="H1782" s="39"/>
      <c r="I1782" s="39"/>
    </row>
    <row r="1783">
      <c r="A1783" s="39" t="s">
        <v>716</v>
      </c>
      <c r="B1783" s="39" t="s">
        <v>149</v>
      </c>
      <c r="C1783" s="39">
        <v>60.0</v>
      </c>
      <c r="D1783" s="39" t="s">
        <v>839</v>
      </c>
      <c r="E1783" s="39" t="s">
        <v>3176</v>
      </c>
      <c r="F1783" s="39"/>
      <c r="G1783" s="39" t="str">
        <f>IFERROR(__xludf.DUMMYFUNCTION("IFS(REGEXMATCH(E1783, ""ammo_ar""), ""Daedalus AR Ammo"", REGEXMATCH(E1783, ""ammo_ps""), ""Daedalus Pistol Ammo"", REGEXMATCH(E1783, ""ammo_sg""), ""Daedalus Shotgun Ammo"", REGEXMATCH(E1783, ""ammo_sm""), ""Daedalus SMG Ammo"", REGEXMATCH(E1783, ""ammo_"&amp;"sr""), ""Daedalus SR Ammo"")"),"Daedalus Shotgun Ammo")</f>
        <v>Daedalus Shotgun Ammo</v>
      </c>
      <c r="H1783" s="39"/>
      <c r="I1783" s="39"/>
    </row>
    <row r="1784">
      <c r="A1784" s="39" t="s">
        <v>716</v>
      </c>
      <c r="B1784" s="39" t="s">
        <v>149</v>
      </c>
      <c r="C1784" s="39">
        <v>61.0</v>
      </c>
      <c r="D1784" s="39" t="s">
        <v>839</v>
      </c>
      <c r="E1784" s="39" t="s">
        <v>3177</v>
      </c>
      <c r="F1784" s="39"/>
      <c r="G1784" s="39" t="str">
        <f>IFERROR(__xludf.DUMMYFUNCTION("IFS(REGEXMATCH(E1784, ""ammo_ar""), ""Daedalus AR Ammo"", REGEXMATCH(E1784, ""ammo_ps""), ""Daedalus Pistol Ammo"", REGEXMATCH(E1784, ""ammo_sg""), ""Daedalus Shotgun Ammo"", REGEXMATCH(E1784, ""ammo_sm""), ""Daedalus SMG Ammo"", REGEXMATCH(E1784, ""ammo_"&amp;"sr""), ""Daedalus SR Ammo"")"),"Daedalus SMG Ammo")</f>
        <v>Daedalus SMG Ammo</v>
      </c>
      <c r="H1784" s="39"/>
      <c r="I1784" s="39"/>
    </row>
    <row r="1785">
      <c r="A1785" s="39" t="s">
        <v>716</v>
      </c>
      <c r="B1785" s="39" t="s">
        <v>149</v>
      </c>
      <c r="C1785" s="39">
        <v>62.0</v>
      </c>
      <c r="D1785" s="39" t="s">
        <v>839</v>
      </c>
      <c r="E1785" s="39" t="s">
        <v>3178</v>
      </c>
      <c r="F1785" s="39"/>
      <c r="G1785" s="39" t="str">
        <f>IFERROR(__xludf.DUMMYFUNCTION("IFS(REGEXMATCH(E1785, ""ammo_ar""), ""Daedalus AR Ammo"", REGEXMATCH(E1785, ""ammo_ps""), ""Daedalus Pistol Ammo"", REGEXMATCH(E1785, ""ammo_sg""), ""Daedalus Shotgun Ammo"", REGEXMATCH(E1785, ""ammo_sm""), ""Daedalus SMG Ammo"", REGEXMATCH(E1785, ""ammo_"&amp;"sr""), ""Daedalus SR Ammo"")"),"Daedalus SR Ammo")</f>
        <v>Daedalus SR Ammo</v>
      </c>
      <c r="H1785" s="39"/>
      <c r="I1785" s="39"/>
    </row>
    <row r="1786">
      <c r="A1786" s="39" t="s">
        <v>716</v>
      </c>
      <c r="B1786" s="39" t="s">
        <v>149</v>
      </c>
      <c r="C1786" s="39">
        <v>64.0</v>
      </c>
      <c r="D1786" s="39" t="s">
        <v>84</v>
      </c>
      <c r="E1786" s="39" t="s">
        <v>3179</v>
      </c>
      <c r="F1786" s="39"/>
      <c r="G1786" s="39" t="s">
        <v>3180</v>
      </c>
      <c r="H1786" s="39" t="s">
        <v>3181</v>
      </c>
      <c r="I1786" s="39"/>
    </row>
    <row r="1787">
      <c r="A1787" s="39" t="s">
        <v>716</v>
      </c>
      <c r="B1787" s="39" t="s">
        <v>149</v>
      </c>
      <c r="C1787" s="39">
        <v>66.0</v>
      </c>
      <c r="D1787" s="39" t="s">
        <v>3160</v>
      </c>
      <c r="E1787" s="39" t="s">
        <v>3182</v>
      </c>
      <c r="F1787" s="39"/>
      <c r="G1787" s="39" t="s">
        <v>3183</v>
      </c>
      <c r="H1787" s="39"/>
      <c r="I1787" s="39"/>
    </row>
    <row r="1788">
      <c r="A1788" s="39" t="s">
        <v>716</v>
      </c>
      <c r="B1788" s="39" t="s">
        <v>149</v>
      </c>
      <c r="C1788" s="39">
        <v>67.0</v>
      </c>
      <c r="D1788" s="39" t="s">
        <v>3160</v>
      </c>
      <c r="E1788" s="39" t="s">
        <v>3184</v>
      </c>
      <c r="F1788" s="39"/>
      <c r="G1788" s="39" t="s">
        <v>3183</v>
      </c>
      <c r="H1788" s="39"/>
      <c r="I1788" s="39"/>
    </row>
    <row r="1789">
      <c r="A1789" s="39" t="s">
        <v>716</v>
      </c>
      <c r="B1789" s="39" t="s">
        <v>149</v>
      </c>
      <c r="C1789" s="39">
        <v>69.0</v>
      </c>
      <c r="D1789" s="39" t="s">
        <v>92</v>
      </c>
      <c r="E1789" s="39" t="s">
        <v>3185</v>
      </c>
      <c r="F1789" s="39"/>
      <c r="G1789" s="39" t="s">
        <v>3186</v>
      </c>
      <c r="H1789" s="39"/>
      <c r="I1789" s="39"/>
    </row>
    <row r="1790">
      <c r="A1790" s="39" t="s">
        <v>716</v>
      </c>
      <c r="B1790" s="39" t="s">
        <v>149</v>
      </c>
      <c r="C1790" s="39">
        <v>70.0</v>
      </c>
      <c r="D1790" s="39" t="s">
        <v>84</v>
      </c>
      <c r="E1790" s="39" t="s">
        <v>3187</v>
      </c>
      <c r="F1790" s="39"/>
      <c r="G1790" s="39" t="s">
        <v>3188</v>
      </c>
      <c r="H1790" s="39" t="s">
        <v>3189</v>
      </c>
      <c r="I1790" s="39"/>
    </row>
    <row r="1791">
      <c r="A1791" s="39" t="s">
        <v>716</v>
      </c>
      <c r="B1791" s="39" t="s">
        <v>149</v>
      </c>
      <c r="C1791" s="39">
        <v>71.0</v>
      </c>
      <c r="D1791" s="39" t="s">
        <v>839</v>
      </c>
      <c r="E1791" s="39" t="s">
        <v>3190</v>
      </c>
      <c r="F1791" s="39"/>
      <c r="G1791" s="39" t="s">
        <v>853</v>
      </c>
      <c r="H1791" s="39"/>
      <c r="I1791" s="39"/>
    </row>
    <row r="1792">
      <c r="A1792" s="39" t="s">
        <v>716</v>
      </c>
      <c r="B1792" s="39" t="s">
        <v>149</v>
      </c>
      <c r="C1792" s="39">
        <v>72.0</v>
      </c>
      <c r="D1792" s="39" t="s">
        <v>819</v>
      </c>
      <c r="E1792" s="39" t="s">
        <v>3191</v>
      </c>
      <c r="F1792" s="39"/>
      <c r="G1792" s="56" t="s">
        <v>822</v>
      </c>
      <c r="H1792" s="39"/>
      <c r="I1792" s="39"/>
    </row>
    <row r="1793">
      <c r="A1793" s="39" t="s">
        <v>716</v>
      </c>
      <c r="B1793" s="39" t="s">
        <v>149</v>
      </c>
      <c r="C1793" s="39">
        <v>73.0</v>
      </c>
      <c r="D1793" s="39" t="s">
        <v>819</v>
      </c>
      <c r="E1793" s="39" t="s">
        <v>3192</v>
      </c>
      <c r="F1793" s="39"/>
      <c r="G1793" s="56" t="s">
        <v>825</v>
      </c>
      <c r="H1793" s="39"/>
      <c r="I1793" s="39"/>
    </row>
    <row r="1794">
      <c r="A1794" s="39" t="s">
        <v>716</v>
      </c>
      <c r="B1794" s="39" t="s">
        <v>149</v>
      </c>
      <c r="C1794" s="39">
        <v>74.0</v>
      </c>
      <c r="D1794" s="39" t="s">
        <v>819</v>
      </c>
      <c r="E1794" s="39" t="s">
        <v>3193</v>
      </c>
      <c r="F1794" s="39"/>
      <c r="G1794" s="56" t="s">
        <v>1690</v>
      </c>
      <c r="H1794" s="39"/>
      <c r="I1794" s="39"/>
    </row>
    <row r="1795">
      <c r="A1795" s="39" t="s">
        <v>716</v>
      </c>
      <c r="B1795" s="39" t="s">
        <v>149</v>
      </c>
      <c r="C1795" s="39">
        <v>75.0</v>
      </c>
      <c r="D1795" s="39" t="s">
        <v>819</v>
      </c>
      <c r="E1795" s="39" t="s">
        <v>3194</v>
      </c>
      <c r="F1795" s="39"/>
      <c r="G1795" s="56" t="s">
        <v>806</v>
      </c>
      <c r="H1795" s="39"/>
      <c r="I1795" s="39"/>
    </row>
    <row r="1796">
      <c r="A1796" s="39" t="s">
        <v>716</v>
      </c>
      <c r="B1796" s="39" t="s">
        <v>149</v>
      </c>
      <c r="C1796" s="39">
        <v>76.0</v>
      </c>
      <c r="D1796" s="39" t="s">
        <v>819</v>
      </c>
      <c r="E1796" s="39" t="s">
        <v>3195</v>
      </c>
      <c r="F1796" s="39"/>
      <c r="G1796" s="56" t="s">
        <v>822</v>
      </c>
      <c r="H1796" s="39"/>
      <c r="I1796" s="39"/>
    </row>
    <row r="1797">
      <c r="A1797" s="39" t="s">
        <v>716</v>
      </c>
      <c r="B1797" s="39" t="s">
        <v>149</v>
      </c>
      <c r="C1797" s="39">
        <v>77.0</v>
      </c>
      <c r="D1797" s="39" t="s">
        <v>819</v>
      </c>
      <c r="E1797" s="39" t="s">
        <v>3196</v>
      </c>
      <c r="F1797" s="39"/>
      <c r="G1797" s="56" t="s">
        <v>806</v>
      </c>
      <c r="H1797" s="39"/>
      <c r="I1797" s="39"/>
    </row>
    <row r="1798">
      <c r="A1798" s="39" t="s">
        <v>716</v>
      </c>
      <c r="B1798" s="39" t="s">
        <v>149</v>
      </c>
      <c r="C1798" s="39">
        <v>78.0</v>
      </c>
      <c r="D1798" s="39" t="s">
        <v>819</v>
      </c>
      <c r="E1798" s="39" t="s">
        <v>3197</v>
      </c>
      <c r="F1798" s="39"/>
      <c r="G1798" s="56" t="s">
        <v>836</v>
      </c>
      <c r="H1798" s="39"/>
      <c r="I1798" s="39"/>
    </row>
    <row r="1799">
      <c r="A1799" s="39" t="s">
        <v>716</v>
      </c>
      <c r="B1799" s="39" t="s">
        <v>149</v>
      </c>
      <c r="C1799" s="39">
        <v>79.0</v>
      </c>
      <c r="D1799" s="39" t="s">
        <v>819</v>
      </c>
      <c r="E1799" s="39" t="s">
        <v>3198</v>
      </c>
      <c r="F1799" s="39"/>
      <c r="G1799" s="56" t="s">
        <v>836</v>
      </c>
      <c r="H1799" s="39"/>
      <c r="I1799" s="39"/>
    </row>
    <row r="1800">
      <c r="A1800" s="39" t="s">
        <v>716</v>
      </c>
      <c r="B1800" s="39" t="s">
        <v>149</v>
      </c>
      <c r="C1800" s="39">
        <v>80.0</v>
      </c>
      <c r="D1800" s="39" t="s">
        <v>839</v>
      </c>
      <c r="E1800" s="39" t="s">
        <v>3199</v>
      </c>
      <c r="F1800" s="39"/>
      <c r="G1800" s="39" t="s">
        <v>842</v>
      </c>
      <c r="H1800" s="39"/>
      <c r="I1800" s="39"/>
    </row>
    <row r="1801">
      <c r="A1801" s="39" t="s">
        <v>716</v>
      </c>
      <c r="B1801" s="39" t="s">
        <v>149</v>
      </c>
      <c r="C1801" s="39">
        <v>81.0</v>
      </c>
      <c r="D1801" s="39" t="s">
        <v>839</v>
      </c>
      <c r="E1801" s="39" t="s">
        <v>3200</v>
      </c>
      <c r="F1801" s="39"/>
      <c r="G1801" s="39" t="s">
        <v>845</v>
      </c>
      <c r="H1801" s="39"/>
      <c r="I1801" s="39"/>
    </row>
    <row r="1802">
      <c r="A1802" s="39" t="s">
        <v>716</v>
      </c>
      <c r="B1802" s="39" t="s">
        <v>149</v>
      </c>
      <c r="C1802" s="39">
        <v>82.0</v>
      </c>
      <c r="D1802" s="39" t="s">
        <v>839</v>
      </c>
      <c r="E1802" s="39" t="s">
        <v>3201</v>
      </c>
      <c r="F1802" s="39"/>
      <c r="G1802" s="39" t="s">
        <v>847</v>
      </c>
      <c r="H1802" s="39"/>
      <c r="I1802" s="39"/>
    </row>
    <row r="1803">
      <c r="A1803" s="39" t="s">
        <v>716</v>
      </c>
      <c r="B1803" s="39" t="s">
        <v>149</v>
      </c>
      <c r="C1803" s="39">
        <v>83.0</v>
      </c>
      <c r="D1803" s="39" t="s">
        <v>839</v>
      </c>
      <c r="E1803" s="39" t="s">
        <v>3202</v>
      </c>
      <c r="F1803" s="39"/>
      <c r="G1803" s="39" t="s">
        <v>850</v>
      </c>
      <c r="H1803" s="39"/>
      <c r="I1803" s="39"/>
    </row>
    <row r="1804">
      <c r="A1804" s="39" t="s">
        <v>716</v>
      </c>
      <c r="B1804" s="39" t="s">
        <v>149</v>
      </c>
      <c r="C1804" s="39">
        <v>84.0</v>
      </c>
      <c r="D1804" s="39" t="s">
        <v>839</v>
      </c>
      <c r="E1804" s="39" t="s">
        <v>3203</v>
      </c>
      <c r="F1804" s="39"/>
      <c r="G1804" s="39" t="s">
        <v>856</v>
      </c>
      <c r="H1804" s="39"/>
      <c r="I1804" s="39"/>
    </row>
    <row r="1805">
      <c r="A1805" s="39" t="s">
        <v>716</v>
      </c>
      <c r="B1805" s="39" t="s">
        <v>149</v>
      </c>
      <c r="C1805" s="39">
        <v>85.0</v>
      </c>
      <c r="D1805" s="39" t="s">
        <v>92</v>
      </c>
      <c r="E1805" s="39" t="s">
        <v>3204</v>
      </c>
      <c r="F1805" s="39"/>
      <c r="G1805" s="39" t="s">
        <v>950</v>
      </c>
      <c r="H1805" s="39" t="s">
        <v>951</v>
      </c>
      <c r="I1805" s="39"/>
    </row>
    <row r="1806">
      <c r="A1806" s="39" t="s">
        <v>716</v>
      </c>
      <c r="B1806" s="39" t="s">
        <v>149</v>
      </c>
      <c r="C1806" s="39">
        <v>86.0</v>
      </c>
      <c r="D1806" s="39" t="s">
        <v>92</v>
      </c>
      <c r="E1806" s="39" t="s">
        <v>3205</v>
      </c>
      <c r="F1806" s="39"/>
      <c r="G1806" s="39" t="s">
        <v>3206</v>
      </c>
      <c r="H1806" s="39"/>
      <c r="I1806" s="39"/>
    </row>
    <row r="1807">
      <c r="A1807" s="39" t="s">
        <v>716</v>
      </c>
      <c r="B1807" s="39" t="s">
        <v>149</v>
      </c>
      <c r="C1807" s="39">
        <v>87.0</v>
      </c>
      <c r="D1807" s="39" t="s">
        <v>92</v>
      </c>
      <c r="E1807" s="39" t="s">
        <v>3207</v>
      </c>
      <c r="F1807" s="39"/>
      <c r="G1807" s="39" t="s">
        <v>954</v>
      </c>
      <c r="H1807" s="39"/>
      <c r="I1807" s="39"/>
    </row>
    <row r="1808">
      <c r="A1808" s="39" t="s">
        <v>716</v>
      </c>
      <c r="B1808" s="39" t="s">
        <v>149</v>
      </c>
      <c r="C1808" s="39">
        <v>89.0</v>
      </c>
      <c r="D1808" s="39" t="s">
        <v>3160</v>
      </c>
      <c r="E1808" s="39" t="s">
        <v>3208</v>
      </c>
      <c r="F1808" s="39"/>
      <c r="G1808" s="39" t="s">
        <v>3209</v>
      </c>
      <c r="H1808" s="39"/>
      <c r="I1808" s="39"/>
    </row>
    <row r="1809">
      <c r="A1809" s="39" t="s">
        <v>716</v>
      </c>
      <c r="B1809" s="39" t="s">
        <v>149</v>
      </c>
      <c r="C1809" s="39">
        <v>90.0</v>
      </c>
      <c r="D1809" s="39" t="s">
        <v>92</v>
      </c>
      <c r="E1809" s="39" t="s">
        <v>3210</v>
      </c>
      <c r="F1809" s="39"/>
      <c r="G1809" s="39" t="s">
        <v>3211</v>
      </c>
      <c r="H1809" s="39"/>
      <c r="I1809" s="39"/>
    </row>
    <row r="1810">
      <c r="A1810" s="39" t="s">
        <v>716</v>
      </c>
      <c r="B1810" s="39" t="s">
        <v>149</v>
      </c>
      <c r="C1810" s="39">
        <v>91.0</v>
      </c>
      <c r="D1810" s="39" t="s">
        <v>3160</v>
      </c>
      <c r="E1810" s="39" t="s">
        <v>3212</v>
      </c>
      <c r="F1810" s="39"/>
      <c r="G1810" s="39" t="s">
        <v>3213</v>
      </c>
      <c r="H1810" s="39"/>
      <c r="I1810" s="39"/>
    </row>
    <row r="1811">
      <c r="A1811" s="39" t="s">
        <v>716</v>
      </c>
      <c r="B1811" s="39" t="s">
        <v>149</v>
      </c>
      <c r="C1811" s="39">
        <v>92.0</v>
      </c>
      <c r="D1811" s="39" t="s">
        <v>92</v>
      </c>
      <c r="E1811" s="39" t="s">
        <v>3214</v>
      </c>
      <c r="F1811" s="39"/>
      <c r="G1811" s="39" t="s">
        <v>3215</v>
      </c>
      <c r="H1811" s="39"/>
      <c r="I1811" s="39"/>
    </row>
    <row r="1812">
      <c r="A1812" s="39" t="s">
        <v>716</v>
      </c>
      <c r="B1812" s="39" t="s">
        <v>149</v>
      </c>
      <c r="C1812" s="39">
        <v>94.0</v>
      </c>
      <c r="D1812" s="39" t="s">
        <v>84</v>
      </c>
      <c r="E1812" s="39" t="s">
        <v>3216</v>
      </c>
      <c r="F1812" s="39"/>
      <c r="G1812" s="39" t="s">
        <v>3217</v>
      </c>
      <c r="H1812" s="39"/>
      <c r="I1812" s="39"/>
    </row>
    <row r="1813">
      <c r="A1813" s="39" t="s">
        <v>716</v>
      </c>
      <c r="B1813" s="39" t="s">
        <v>214</v>
      </c>
      <c r="C1813" s="39">
        <v>2.0</v>
      </c>
      <c r="D1813" s="39" t="s">
        <v>81</v>
      </c>
      <c r="E1813" s="39" t="s">
        <v>3218</v>
      </c>
      <c r="F1813" s="39"/>
      <c r="G1813" s="39" t="s">
        <v>797</v>
      </c>
      <c r="H1813" s="39"/>
      <c r="I1813" s="39"/>
    </row>
    <row r="1814">
      <c r="A1814" s="39" t="s">
        <v>716</v>
      </c>
      <c r="B1814" s="39" t="s">
        <v>214</v>
      </c>
      <c r="C1814" s="39">
        <v>3.0</v>
      </c>
      <c r="D1814" s="39" t="s">
        <v>798</v>
      </c>
      <c r="E1814" s="39" t="s">
        <v>3219</v>
      </c>
      <c r="F1814" s="39"/>
      <c r="G1814" s="56" t="s">
        <v>801</v>
      </c>
      <c r="H1814" s="39"/>
      <c r="I1814" s="39"/>
    </row>
    <row r="1815">
      <c r="A1815" s="39" t="s">
        <v>716</v>
      </c>
      <c r="B1815" s="39" t="s">
        <v>214</v>
      </c>
      <c r="C1815" s="39">
        <v>4.0</v>
      </c>
      <c r="D1815" s="39" t="s">
        <v>798</v>
      </c>
      <c r="E1815" s="39" t="s">
        <v>3220</v>
      </c>
      <c r="F1815" s="39"/>
      <c r="G1815" s="56" t="s">
        <v>1690</v>
      </c>
      <c r="H1815" s="39"/>
      <c r="I1815" s="39"/>
    </row>
    <row r="1816">
      <c r="A1816" s="39" t="s">
        <v>716</v>
      </c>
      <c r="B1816" s="39" t="s">
        <v>214</v>
      </c>
      <c r="C1816" s="39">
        <v>5.0</v>
      </c>
      <c r="D1816" s="39" t="s">
        <v>798</v>
      </c>
      <c r="E1816" s="39" t="s">
        <v>3221</v>
      </c>
      <c r="F1816" s="39"/>
      <c r="G1816" s="56" t="s">
        <v>806</v>
      </c>
      <c r="H1816" s="39"/>
      <c r="I1816" s="39"/>
    </row>
    <row r="1817">
      <c r="A1817" s="39" t="s">
        <v>716</v>
      </c>
      <c r="B1817" s="39" t="s">
        <v>214</v>
      </c>
      <c r="C1817" s="39">
        <v>6.0</v>
      </c>
      <c r="D1817" s="39" t="s">
        <v>798</v>
      </c>
      <c r="E1817" s="39" t="s">
        <v>3222</v>
      </c>
      <c r="F1817" s="39"/>
      <c r="G1817" s="39" t="s">
        <v>809</v>
      </c>
      <c r="H1817" s="39"/>
      <c r="I1817" s="39"/>
    </row>
    <row r="1818">
      <c r="A1818" s="39" t="s">
        <v>716</v>
      </c>
      <c r="B1818" s="39" t="s">
        <v>214</v>
      </c>
      <c r="C1818" s="39">
        <v>7.0</v>
      </c>
      <c r="D1818" s="39" t="s">
        <v>84</v>
      </c>
      <c r="E1818" s="39" t="s">
        <v>3223</v>
      </c>
      <c r="F1818" s="39"/>
      <c r="G1818" s="39" t="s">
        <v>3224</v>
      </c>
      <c r="H1818" s="39"/>
      <c r="I1818" s="39"/>
    </row>
    <row r="1819">
      <c r="A1819" s="39" t="s">
        <v>716</v>
      </c>
      <c r="B1819" s="39" t="s">
        <v>214</v>
      </c>
      <c r="C1819" s="39">
        <v>8.0</v>
      </c>
      <c r="D1819" s="39" t="s">
        <v>84</v>
      </c>
      <c r="E1819" s="39" t="s">
        <v>3225</v>
      </c>
      <c r="F1819" s="39"/>
      <c r="G1819" s="39" t="s">
        <v>3226</v>
      </c>
      <c r="H1819" s="39"/>
      <c r="I1819" s="39"/>
    </row>
    <row r="1820">
      <c r="A1820" s="39" t="s">
        <v>716</v>
      </c>
      <c r="B1820" s="39" t="s">
        <v>214</v>
      </c>
      <c r="C1820" s="39">
        <v>9.0</v>
      </c>
      <c r="D1820" s="39" t="s">
        <v>839</v>
      </c>
      <c r="E1820" s="39" t="s">
        <v>3227</v>
      </c>
      <c r="F1820" s="39"/>
      <c r="G1820" s="39" t="s">
        <v>989</v>
      </c>
      <c r="H1820" s="39"/>
      <c r="I1820" s="39"/>
    </row>
    <row r="1821">
      <c r="A1821" s="39" t="s">
        <v>716</v>
      </c>
      <c r="B1821" s="39" t="s">
        <v>214</v>
      </c>
      <c r="C1821" s="39">
        <v>10.0</v>
      </c>
      <c r="D1821" s="39" t="s">
        <v>839</v>
      </c>
      <c r="E1821" s="39" t="s">
        <v>3228</v>
      </c>
      <c r="F1821" s="39"/>
      <c r="G1821" s="39" t="s">
        <v>991</v>
      </c>
      <c r="H1821" s="39"/>
      <c r="I1821" s="39"/>
    </row>
    <row r="1822">
      <c r="A1822" s="39" t="s">
        <v>716</v>
      </c>
      <c r="B1822" s="39" t="s">
        <v>214</v>
      </c>
      <c r="C1822" s="39">
        <v>11.0</v>
      </c>
      <c r="D1822" s="39" t="s">
        <v>839</v>
      </c>
      <c r="E1822" s="39" t="s">
        <v>3229</v>
      </c>
      <c r="F1822" s="39"/>
      <c r="G1822" s="39" t="s">
        <v>993</v>
      </c>
      <c r="H1822" s="39"/>
      <c r="I1822" s="39"/>
    </row>
    <row r="1823">
      <c r="A1823" s="39" t="s">
        <v>716</v>
      </c>
      <c r="B1823" s="39" t="s">
        <v>214</v>
      </c>
      <c r="C1823" s="39">
        <v>12.0</v>
      </c>
      <c r="D1823" s="39" t="s">
        <v>839</v>
      </c>
      <c r="E1823" s="39" t="s">
        <v>3230</v>
      </c>
      <c r="F1823" s="39"/>
      <c r="G1823" s="39" t="s">
        <v>995</v>
      </c>
      <c r="H1823" s="39"/>
      <c r="I1823" s="39"/>
    </row>
    <row r="1824">
      <c r="A1824" s="39" t="s">
        <v>716</v>
      </c>
      <c r="B1824" s="39" t="s">
        <v>214</v>
      </c>
      <c r="C1824" s="39">
        <v>13.0</v>
      </c>
      <c r="D1824" s="39" t="s">
        <v>87</v>
      </c>
      <c r="E1824" s="39" t="s">
        <v>3231</v>
      </c>
      <c r="F1824" s="39"/>
      <c r="G1824" s="39" t="s">
        <v>3232</v>
      </c>
      <c r="H1824" s="39"/>
      <c r="I1824" s="39"/>
    </row>
    <row r="1825">
      <c r="A1825" s="39" t="s">
        <v>716</v>
      </c>
      <c r="B1825" s="39" t="s">
        <v>214</v>
      </c>
      <c r="C1825" s="39">
        <v>14.0</v>
      </c>
      <c r="D1825" s="39" t="s">
        <v>87</v>
      </c>
      <c r="E1825" s="39" t="s">
        <v>3233</v>
      </c>
      <c r="F1825" s="39"/>
      <c r="G1825" s="39" t="s">
        <v>3234</v>
      </c>
      <c r="H1825" s="39"/>
      <c r="I1825" s="39"/>
    </row>
    <row r="1826">
      <c r="A1826" s="39" t="s">
        <v>716</v>
      </c>
      <c r="B1826" s="39" t="s">
        <v>214</v>
      </c>
      <c r="C1826" s="39">
        <v>15.0</v>
      </c>
      <c r="D1826" s="39" t="s">
        <v>87</v>
      </c>
      <c r="E1826" s="39" t="s">
        <v>3235</v>
      </c>
      <c r="F1826" s="39"/>
      <c r="G1826" s="39" t="s">
        <v>3236</v>
      </c>
      <c r="H1826" s="39"/>
      <c r="I1826" s="39"/>
    </row>
    <row r="1827">
      <c r="A1827" s="39" t="s">
        <v>716</v>
      </c>
      <c r="B1827" s="39" t="s">
        <v>214</v>
      </c>
      <c r="C1827" s="39">
        <v>16.0</v>
      </c>
      <c r="D1827" s="39" t="s">
        <v>87</v>
      </c>
      <c r="E1827" s="39" t="s">
        <v>3237</v>
      </c>
      <c r="F1827" s="39"/>
      <c r="G1827" s="39" t="s">
        <v>3238</v>
      </c>
      <c r="H1827" s="39"/>
      <c r="I1827" s="39"/>
    </row>
    <row r="1828">
      <c r="A1828" s="39" t="s">
        <v>716</v>
      </c>
      <c r="B1828" s="39" t="s">
        <v>214</v>
      </c>
      <c r="C1828" s="39">
        <v>17.0</v>
      </c>
      <c r="D1828" s="39" t="s">
        <v>87</v>
      </c>
      <c r="E1828" s="39" t="s">
        <v>3239</v>
      </c>
      <c r="F1828" s="39"/>
      <c r="G1828" s="39" t="s">
        <v>3240</v>
      </c>
      <c r="H1828" s="39"/>
      <c r="I1828" s="39"/>
    </row>
    <row r="1829">
      <c r="A1829" s="39" t="s">
        <v>716</v>
      </c>
      <c r="B1829" s="39" t="s">
        <v>214</v>
      </c>
      <c r="C1829" s="39">
        <v>18.0</v>
      </c>
      <c r="D1829" s="39" t="s">
        <v>839</v>
      </c>
      <c r="E1829" s="39" t="s">
        <v>3241</v>
      </c>
      <c r="F1829" s="39"/>
      <c r="G1829" s="39" t="s">
        <v>874</v>
      </c>
      <c r="H1829" s="39"/>
      <c r="I1829" s="39"/>
    </row>
    <row r="1830">
      <c r="A1830" s="39" t="s">
        <v>716</v>
      </c>
      <c r="B1830" s="39" t="s">
        <v>214</v>
      </c>
      <c r="C1830" s="39">
        <v>19.0</v>
      </c>
      <c r="D1830" s="39" t="s">
        <v>839</v>
      </c>
      <c r="E1830" s="39" t="s">
        <v>3242</v>
      </c>
      <c r="F1830" s="39"/>
      <c r="G1830" s="39" t="s">
        <v>880</v>
      </c>
      <c r="H1830" s="39"/>
      <c r="I1830" s="39"/>
    </row>
    <row r="1831">
      <c r="A1831" s="39" t="s">
        <v>716</v>
      </c>
      <c r="B1831" s="39" t="s">
        <v>214</v>
      </c>
      <c r="C1831" s="39">
        <v>20.0</v>
      </c>
      <c r="D1831" s="39" t="s">
        <v>875</v>
      </c>
      <c r="E1831" s="39" t="s">
        <v>3243</v>
      </c>
      <c r="F1831" s="39"/>
      <c r="G1831" s="39" t="s">
        <v>1216</v>
      </c>
      <c r="H1831" s="39"/>
      <c r="I1831" s="39"/>
    </row>
    <row r="1832">
      <c r="A1832" s="39" t="s">
        <v>716</v>
      </c>
      <c r="B1832" s="39" t="s">
        <v>214</v>
      </c>
      <c r="C1832" s="39">
        <v>21.0</v>
      </c>
      <c r="D1832" s="39" t="s">
        <v>875</v>
      </c>
      <c r="E1832" s="39" t="s">
        <v>3244</v>
      </c>
      <c r="F1832" s="39"/>
      <c r="G1832" s="39" t="s">
        <v>1216</v>
      </c>
      <c r="H1832" s="39"/>
      <c r="I1832" s="39"/>
    </row>
    <row r="1833">
      <c r="A1833" s="39" t="s">
        <v>716</v>
      </c>
      <c r="B1833" s="39" t="s">
        <v>214</v>
      </c>
      <c r="C1833" s="39">
        <v>22.0</v>
      </c>
      <c r="D1833" s="39" t="s">
        <v>875</v>
      </c>
      <c r="E1833" s="39" t="s">
        <v>3245</v>
      </c>
      <c r="F1833" s="39"/>
      <c r="G1833" s="39" t="s">
        <v>1216</v>
      </c>
      <c r="H1833" s="39"/>
      <c r="I1833" s="39"/>
    </row>
    <row r="1834">
      <c r="A1834" s="39" t="s">
        <v>716</v>
      </c>
      <c r="B1834" s="39" t="s">
        <v>214</v>
      </c>
      <c r="C1834" s="39">
        <v>23.0</v>
      </c>
      <c r="D1834" s="39" t="s">
        <v>875</v>
      </c>
      <c r="E1834" s="39" t="s">
        <v>3246</v>
      </c>
      <c r="F1834" s="39"/>
      <c r="G1834" s="39" t="s">
        <v>883</v>
      </c>
      <c r="H1834" s="39"/>
      <c r="I1834" s="39"/>
    </row>
    <row r="1835">
      <c r="A1835" s="39" t="s">
        <v>716</v>
      </c>
      <c r="B1835" s="39" t="s">
        <v>214</v>
      </c>
      <c r="C1835" s="39">
        <v>24.0</v>
      </c>
      <c r="D1835" s="39" t="s">
        <v>875</v>
      </c>
      <c r="E1835" s="39" t="s">
        <v>3247</v>
      </c>
      <c r="F1835" s="39"/>
      <c r="G1835" s="39" t="s">
        <v>1719</v>
      </c>
      <c r="H1835" s="39"/>
      <c r="I1835" s="39"/>
    </row>
    <row r="1836">
      <c r="A1836" s="39" t="s">
        <v>716</v>
      </c>
      <c r="B1836" s="39" t="s">
        <v>214</v>
      </c>
      <c r="C1836" s="39">
        <v>25.0</v>
      </c>
      <c r="D1836" s="39" t="s">
        <v>798</v>
      </c>
      <c r="E1836" s="39" t="s">
        <v>3248</v>
      </c>
      <c r="F1836" s="39"/>
      <c r="G1836" s="39" t="s">
        <v>809</v>
      </c>
      <c r="H1836" s="39"/>
      <c r="I1836" s="39"/>
    </row>
    <row r="1837">
      <c r="A1837" s="39" t="s">
        <v>716</v>
      </c>
      <c r="B1837" s="39" t="s">
        <v>214</v>
      </c>
      <c r="C1837" s="39">
        <v>26.0</v>
      </c>
      <c r="D1837" s="39" t="s">
        <v>88</v>
      </c>
      <c r="E1837" s="39" t="s">
        <v>3249</v>
      </c>
      <c r="F1837" s="39"/>
      <c r="G1837" s="39" t="s">
        <v>901</v>
      </c>
      <c r="H1837" s="39"/>
      <c r="I1837" s="39"/>
    </row>
    <row r="1838">
      <c r="A1838" s="39" t="s">
        <v>716</v>
      </c>
      <c r="B1838" s="39" t="s">
        <v>214</v>
      </c>
      <c r="C1838" s="39">
        <v>27.0</v>
      </c>
      <c r="D1838" s="39" t="s">
        <v>88</v>
      </c>
      <c r="E1838" s="39" t="s">
        <v>3250</v>
      </c>
      <c r="F1838" s="39"/>
      <c r="G1838" s="39" t="s">
        <v>898</v>
      </c>
      <c r="H1838" s="39"/>
      <c r="I1838" s="39"/>
    </row>
    <row r="1839">
      <c r="A1839" s="39" t="s">
        <v>716</v>
      </c>
      <c r="B1839" s="39" t="s">
        <v>214</v>
      </c>
      <c r="C1839" s="39">
        <v>28.0</v>
      </c>
      <c r="D1839" s="39" t="s">
        <v>88</v>
      </c>
      <c r="E1839" s="39" t="s">
        <v>3251</v>
      </c>
      <c r="F1839" s="39"/>
      <c r="G1839" s="39" t="s">
        <v>901</v>
      </c>
      <c r="H1839" s="39"/>
      <c r="I1839" s="39"/>
    </row>
    <row r="1840">
      <c r="A1840" s="39" t="s">
        <v>716</v>
      </c>
      <c r="B1840" s="39" t="s">
        <v>214</v>
      </c>
      <c r="C1840" s="39">
        <v>29.0</v>
      </c>
      <c r="D1840" s="39" t="s">
        <v>88</v>
      </c>
      <c r="E1840" s="39" t="s">
        <v>3252</v>
      </c>
      <c r="F1840" s="39"/>
      <c r="G1840" s="39" t="s">
        <v>895</v>
      </c>
      <c r="H1840" s="39"/>
      <c r="I1840" s="39"/>
    </row>
    <row r="1841">
      <c r="A1841" s="39" t="s">
        <v>716</v>
      </c>
      <c r="B1841" s="39" t="s">
        <v>214</v>
      </c>
      <c r="C1841" s="39">
        <v>30.0</v>
      </c>
      <c r="D1841" s="39" t="s">
        <v>88</v>
      </c>
      <c r="E1841" s="39" t="s">
        <v>3253</v>
      </c>
      <c r="F1841" s="39"/>
      <c r="G1841" s="39" t="s">
        <v>895</v>
      </c>
      <c r="H1841" s="39"/>
      <c r="I1841" s="39"/>
    </row>
    <row r="1842">
      <c r="A1842" s="39" t="s">
        <v>716</v>
      </c>
      <c r="B1842" s="39" t="s">
        <v>214</v>
      </c>
      <c r="C1842" s="39">
        <v>31.0</v>
      </c>
      <c r="D1842" s="39" t="s">
        <v>902</v>
      </c>
      <c r="E1842" s="39" t="s">
        <v>3254</v>
      </c>
      <c r="F1842" s="39"/>
      <c r="G1842" s="56" t="s">
        <v>822</v>
      </c>
      <c r="H1842" s="39" t="s">
        <v>3255</v>
      </c>
      <c r="I1842" s="39"/>
    </row>
    <row r="1843">
      <c r="A1843" s="39" t="s">
        <v>716</v>
      </c>
      <c r="B1843" s="39" t="s">
        <v>214</v>
      </c>
      <c r="C1843" s="39">
        <v>32.0</v>
      </c>
      <c r="D1843" s="39" t="s">
        <v>902</v>
      </c>
      <c r="E1843" s="39" t="s">
        <v>3256</v>
      </c>
      <c r="F1843" s="39"/>
      <c r="G1843" s="56" t="s">
        <v>801</v>
      </c>
      <c r="H1843" s="39" t="s">
        <v>1044</v>
      </c>
      <c r="I1843" s="39"/>
    </row>
    <row r="1844">
      <c r="A1844" s="39" t="s">
        <v>716</v>
      </c>
      <c r="B1844" s="39" t="s">
        <v>214</v>
      </c>
      <c r="C1844" s="39">
        <v>33.0</v>
      </c>
      <c r="D1844" s="39" t="s">
        <v>902</v>
      </c>
      <c r="E1844" s="39" t="s">
        <v>3257</v>
      </c>
      <c r="F1844" s="39"/>
      <c r="G1844" s="39" t="s">
        <v>809</v>
      </c>
      <c r="H1844" s="39" t="s">
        <v>1036</v>
      </c>
      <c r="I1844" s="39"/>
    </row>
    <row r="1845">
      <c r="A1845" s="39" t="s">
        <v>716</v>
      </c>
      <c r="B1845" s="39" t="s">
        <v>214</v>
      </c>
      <c r="C1845" s="39">
        <v>34.0</v>
      </c>
      <c r="D1845" s="39" t="s">
        <v>902</v>
      </c>
      <c r="E1845" s="39" t="s">
        <v>3258</v>
      </c>
      <c r="F1845" s="39"/>
      <c r="G1845" s="56" t="s">
        <v>1690</v>
      </c>
      <c r="H1845" s="39" t="s">
        <v>3259</v>
      </c>
      <c r="I1845" s="39"/>
    </row>
    <row r="1846">
      <c r="A1846" s="39" t="s">
        <v>716</v>
      </c>
      <c r="B1846" s="39" t="s">
        <v>214</v>
      </c>
      <c r="C1846" s="39">
        <v>35.0</v>
      </c>
      <c r="D1846" s="39" t="s">
        <v>902</v>
      </c>
      <c r="E1846" s="39" t="s">
        <v>3260</v>
      </c>
      <c r="F1846" s="39"/>
      <c r="G1846" s="56" t="s">
        <v>822</v>
      </c>
      <c r="H1846" s="39" t="s">
        <v>1044</v>
      </c>
      <c r="I1846" s="39"/>
    </row>
    <row r="1847">
      <c r="A1847" s="39" t="s">
        <v>716</v>
      </c>
      <c r="B1847" s="39" t="s">
        <v>214</v>
      </c>
      <c r="C1847" s="39">
        <v>36.0</v>
      </c>
      <c r="D1847" s="39" t="s">
        <v>902</v>
      </c>
      <c r="E1847" s="39" t="s">
        <v>3261</v>
      </c>
      <c r="F1847" s="39"/>
      <c r="G1847" s="56" t="s">
        <v>801</v>
      </c>
      <c r="H1847" s="39" t="s">
        <v>1036</v>
      </c>
      <c r="I1847" s="39"/>
    </row>
    <row r="1848">
      <c r="A1848" s="39" t="s">
        <v>716</v>
      </c>
      <c r="B1848" s="39" t="s">
        <v>214</v>
      </c>
      <c r="C1848" s="39">
        <v>37.0</v>
      </c>
      <c r="D1848" s="39" t="s">
        <v>902</v>
      </c>
      <c r="E1848" s="39" t="s">
        <v>3262</v>
      </c>
      <c r="F1848" s="39"/>
      <c r="G1848" s="39" t="s">
        <v>809</v>
      </c>
      <c r="H1848" s="39" t="s">
        <v>1036</v>
      </c>
      <c r="I1848" s="39"/>
    </row>
    <row r="1849">
      <c r="A1849" s="39" t="s">
        <v>716</v>
      </c>
      <c r="B1849" s="39" t="s">
        <v>214</v>
      </c>
      <c r="C1849" s="39">
        <v>38.0</v>
      </c>
      <c r="D1849" s="39" t="s">
        <v>902</v>
      </c>
      <c r="E1849" s="39" t="s">
        <v>3263</v>
      </c>
      <c r="F1849" s="39"/>
      <c r="G1849" s="56" t="s">
        <v>1690</v>
      </c>
      <c r="H1849" s="39" t="s">
        <v>2310</v>
      </c>
      <c r="I1849" s="39"/>
    </row>
    <row r="1850">
      <c r="A1850" s="39" t="s">
        <v>716</v>
      </c>
      <c r="B1850" s="39" t="s">
        <v>214</v>
      </c>
      <c r="C1850" s="39">
        <v>40.0</v>
      </c>
      <c r="D1850" s="39" t="s">
        <v>90</v>
      </c>
      <c r="E1850" s="39" t="s">
        <v>3264</v>
      </c>
      <c r="F1850" s="39"/>
      <c r="G1850" s="39" t="s">
        <v>924</v>
      </c>
      <c r="H1850" s="39"/>
      <c r="I1850" s="39"/>
    </row>
    <row r="1851">
      <c r="A1851" s="39" t="s">
        <v>716</v>
      </c>
      <c r="B1851" s="39" t="s">
        <v>214</v>
      </c>
      <c r="C1851" s="39">
        <v>41.0</v>
      </c>
      <c r="D1851" s="39" t="s">
        <v>90</v>
      </c>
      <c r="E1851" s="39" t="s">
        <v>3265</v>
      </c>
      <c r="F1851" s="39"/>
      <c r="G1851" s="39" t="s">
        <v>930</v>
      </c>
      <c r="H1851" s="39"/>
      <c r="I1851" s="39"/>
    </row>
    <row r="1852">
      <c r="A1852" s="39" t="s">
        <v>716</v>
      </c>
      <c r="B1852" s="39" t="s">
        <v>214</v>
      </c>
      <c r="C1852" s="39">
        <v>42.0</v>
      </c>
      <c r="D1852" s="39" t="s">
        <v>90</v>
      </c>
      <c r="E1852" s="39" t="s">
        <v>3266</v>
      </c>
      <c r="F1852" s="39"/>
      <c r="G1852" s="39" t="s">
        <v>927</v>
      </c>
      <c r="H1852" s="39"/>
      <c r="I1852" s="39"/>
    </row>
    <row r="1853">
      <c r="A1853" s="39" t="s">
        <v>716</v>
      </c>
      <c r="B1853" s="39" t="s">
        <v>214</v>
      </c>
      <c r="C1853" s="39">
        <v>43.0</v>
      </c>
      <c r="D1853" s="39" t="s">
        <v>90</v>
      </c>
      <c r="E1853" s="39" t="s">
        <v>3267</v>
      </c>
      <c r="F1853" s="39"/>
      <c r="G1853" s="39" t="s">
        <v>939</v>
      </c>
      <c r="H1853" s="39"/>
      <c r="I1853" s="39"/>
    </row>
    <row r="1854">
      <c r="A1854" s="39" t="s">
        <v>716</v>
      </c>
      <c r="B1854" s="39" t="s">
        <v>214</v>
      </c>
      <c r="C1854" s="39">
        <v>44.0</v>
      </c>
      <c r="D1854" s="39" t="s">
        <v>90</v>
      </c>
      <c r="E1854" s="39" t="s">
        <v>3268</v>
      </c>
      <c r="F1854" s="39"/>
      <c r="G1854" s="56" t="s">
        <v>822</v>
      </c>
      <c r="H1854" s="39"/>
      <c r="I1854" s="39"/>
    </row>
    <row r="1855">
      <c r="A1855" s="39" t="s">
        <v>716</v>
      </c>
      <c r="B1855" s="39" t="s">
        <v>214</v>
      </c>
      <c r="C1855" s="39">
        <v>45.0</v>
      </c>
      <c r="D1855" s="39" t="s">
        <v>90</v>
      </c>
      <c r="E1855" s="39" t="s">
        <v>3269</v>
      </c>
      <c r="F1855" s="39"/>
      <c r="G1855" s="56" t="s">
        <v>836</v>
      </c>
      <c r="H1855" s="39"/>
      <c r="I1855" s="39"/>
    </row>
    <row r="1856">
      <c r="A1856" s="39" t="s">
        <v>716</v>
      </c>
      <c r="B1856" s="39" t="s">
        <v>214</v>
      </c>
      <c r="C1856" s="39">
        <v>46.0</v>
      </c>
      <c r="D1856" s="39" t="s">
        <v>90</v>
      </c>
      <c r="E1856" s="39" t="s">
        <v>3270</v>
      </c>
      <c r="F1856" s="39"/>
      <c r="G1856" s="56" t="s">
        <v>801</v>
      </c>
      <c r="H1856" s="39"/>
      <c r="I1856" s="39"/>
    </row>
    <row r="1857">
      <c r="A1857" s="39" t="s">
        <v>716</v>
      </c>
      <c r="B1857" s="39" t="s">
        <v>214</v>
      </c>
      <c r="C1857" s="39">
        <v>47.0</v>
      </c>
      <c r="D1857" s="39" t="s">
        <v>92</v>
      </c>
      <c r="E1857" s="39" t="s">
        <v>3271</v>
      </c>
      <c r="F1857" s="39"/>
      <c r="G1857" s="39" t="s">
        <v>1355</v>
      </c>
      <c r="H1857" s="39" t="s">
        <v>1356</v>
      </c>
      <c r="I1857" s="39"/>
    </row>
    <row r="1858">
      <c r="A1858" s="39" t="s">
        <v>716</v>
      </c>
      <c r="B1858" s="39" t="s">
        <v>214</v>
      </c>
      <c r="C1858" s="39">
        <v>48.0</v>
      </c>
      <c r="D1858" s="39" t="s">
        <v>92</v>
      </c>
      <c r="E1858" s="39" t="s">
        <v>3272</v>
      </c>
      <c r="F1858" s="39"/>
      <c r="G1858" s="39" t="s">
        <v>945</v>
      </c>
      <c r="H1858" s="39"/>
      <c r="I1858" s="39"/>
    </row>
    <row r="1859">
      <c r="A1859" s="39" t="s">
        <v>716</v>
      </c>
      <c r="B1859" s="39" t="s">
        <v>214</v>
      </c>
      <c r="C1859" s="39">
        <v>49.0</v>
      </c>
      <c r="D1859" s="39" t="s">
        <v>92</v>
      </c>
      <c r="E1859" s="39" t="s">
        <v>3273</v>
      </c>
      <c r="F1859" s="39"/>
      <c r="G1859" s="39" t="s">
        <v>950</v>
      </c>
      <c r="H1859" s="39" t="s">
        <v>951</v>
      </c>
      <c r="I1859" s="39"/>
    </row>
    <row r="1860">
      <c r="A1860" s="39" t="s">
        <v>716</v>
      </c>
      <c r="B1860" s="39" t="s">
        <v>214</v>
      </c>
      <c r="C1860" s="39">
        <v>50.0</v>
      </c>
      <c r="D1860" s="39" t="s">
        <v>92</v>
      </c>
      <c r="E1860" s="39" t="s">
        <v>3274</v>
      </c>
      <c r="F1860" s="39"/>
      <c r="G1860" s="39" t="s">
        <v>1432</v>
      </c>
      <c r="H1860" s="39"/>
      <c r="I1860" s="39"/>
    </row>
    <row r="1861">
      <c r="A1861" s="39" t="s">
        <v>716</v>
      </c>
      <c r="B1861" s="39" t="s">
        <v>214</v>
      </c>
      <c r="C1861" s="39">
        <v>51.0</v>
      </c>
      <c r="D1861" s="39" t="s">
        <v>92</v>
      </c>
      <c r="E1861" s="39" t="s">
        <v>3275</v>
      </c>
      <c r="F1861" s="39"/>
      <c r="G1861" s="39" t="s">
        <v>1061</v>
      </c>
      <c r="H1861" s="39"/>
      <c r="I1861" s="39"/>
    </row>
    <row r="1862">
      <c r="A1862" s="39" t="s">
        <v>716</v>
      </c>
      <c r="B1862" s="39" t="s">
        <v>214</v>
      </c>
      <c r="C1862" s="39">
        <v>52.0</v>
      </c>
      <c r="D1862" s="39" t="s">
        <v>92</v>
      </c>
      <c r="E1862" s="39" t="s">
        <v>3276</v>
      </c>
      <c r="F1862" s="39"/>
      <c r="G1862" s="39" t="s">
        <v>3277</v>
      </c>
      <c r="H1862" s="39"/>
      <c r="I1862" s="39"/>
    </row>
    <row r="1863">
      <c r="A1863" s="39" t="s">
        <v>716</v>
      </c>
      <c r="B1863" s="39" t="s">
        <v>214</v>
      </c>
      <c r="C1863" s="39">
        <v>53.0</v>
      </c>
      <c r="D1863" s="39" t="s">
        <v>92</v>
      </c>
      <c r="E1863" s="39" t="s">
        <v>3278</v>
      </c>
      <c r="F1863" s="39"/>
      <c r="G1863" s="39" t="s">
        <v>3206</v>
      </c>
      <c r="H1863" s="39" t="s">
        <v>3279</v>
      </c>
      <c r="I1863" s="39"/>
    </row>
    <row r="1864">
      <c r="A1864" s="39" t="s">
        <v>716</v>
      </c>
      <c r="B1864" s="39" t="s">
        <v>214</v>
      </c>
      <c r="C1864" s="39">
        <v>54.0</v>
      </c>
      <c r="D1864" s="39" t="s">
        <v>92</v>
      </c>
      <c r="E1864" s="39" t="s">
        <v>3280</v>
      </c>
      <c r="F1864" s="39"/>
      <c r="G1864" s="39" t="s">
        <v>947</v>
      </c>
      <c r="H1864" s="39"/>
      <c r="I1864" s="39"/>
    </row>
    <row r="1865">
      <c r="A1865" s="39" t="s">
        <v>716</v>
      </c>
      <c r="B1865" s="39" t="s">
        <v>214</v>
      </c>
      <c r="C1865" s="39">
        <v>55.0</v>
      </c>
      <c r="D1865" s="39" t="s">
        <v>3160</v>
      </c>
      <c r="E1865" s="39" t="s">
        <v>3281</v>
      </c>
      <c r="F1865" s="39"/>
      <c r="G1865" s="39" t="s">
        <v>3282</v>
      </c>
      <c r="H1865" s="39"/>
      <c r="I1865" s="39"/>
    </row>
    <row r="1866">
      <c r="A1866" s="39" t="s">
        <v>716</v>
      </c>
      <c r="B1866" s="39" t="s">
        <v>214</v>
      </c>
      <c r="C1866" s="39">
        <v>56.0</v>
      </c>
      <c r="D1866" s="39" t="s">
        <v>3160</v>
      </c>
      <c r="E1866" s="39" t="s">
        <v>3283</v>
      </c>
      <c r="F1866" s="39"/>
      <c r="G1866" s="39" t="s">
        <v>3284</v>
      </c>
      <c r="H1866" s="39"/>
      <c r="I1866" s="39"/>
    </row>
    <row r="1867">
      <c r="A1867" s="39" t="s">
        <v>716</v>
      </c>
      <c r="B1867" s="39" t="s">
        <v>214</v>
      </c>
      <c r="C1867" s="39">
        <v>57.0</v>
      </c>
      <c r="D1867" s="39" t="s">
        <v>3160</v>
      </c>
      <c r="E1867" s="39" t="s">
        <v>3285</v>
      </c>
      <c r="F1867" s="39"/>
      <c r="G1867" s="39" t="s">
        <v>3286</v>
      </c>
      <c r="H1867" s="39"/>
      <c r="I1867" s="39"/>
    </row>
    <row r="1868">
      <c r="A1868" s="39" t="s">
        <v>716</v>
      </c>
      <c r="B1868" s="39" t="s">
        <v>214</v>
      </c>
      <c r="C1868" s="39">
        <v>58.0</v>
      </c>
      <c r="D1868" s="39" t="s">
        <v>3160</v>
      </c>
      <c r="E1868" s="39" t="s">
        <v>3287</v>
      </c>
      <c r="F1868" s="39"/>
      <c r="G1868" s="39" t="s">
        <v>3168</v>
      </c>
      <c r="H1868" s="39"/>
      <c r="I1868" s="39"/>
    </row>
    <row r="1869">
      <c r="A1869" s="39" t="s">
        <v>716</v>
      </c>
      <c r="B1869" s="39" t="s">
        <v>214</v>
      </c>
      <c r="C1869" s="39">
        <v>59.0</v>
      </c>
      <c r="D1869" s="39" t="s">
        <v>91</v>
      </c>
      <c r="E1869" s="39" t="s">
        <v>3288</v>
      </c>
      <c r="F1869" s="39"/>
      <c r="G1869" s="56" t="s">
        <v>822</v>
      </c>
      <c r="H1869" s="39"/>
      <c r="I1869" s="39"/>
    </row>
    <row r="1870">
      <c r="A1870" s="39" t="s">
        <v>716</v>
      </c>
      <c r="B1870" s="39" t="s">
        <v>214</v>
      </c>
      <c r="C1870" s="39">
        <v>60.0</v>
      </c>
      <c r="D1870" s="39" t="s">
        <v>91</v>
      </c>
      <c r="E1870" s="39" t="s">
        <v>3289</v>
      </c>
      <c r="F1870" s="39"/>
      <c r="G1870" s="56" t="s">
        <v>836</v>
      </c>
      <c r="H1870" s="39"/>
      <c r="I1870" s="39"/>
    </row>
    <row r="1871">
      <c r="A1871" s="39" t="s">
        <v>716</v>
      </c>
      <c r="B1871" s="39" t="s">
        <v>214</v>
      </c>
      <c r="C1871" s="39">
        <v>61.0</v>
      </c>
      <c r="D1871" s="39" t="s">
        <v>91</v>
      </c>
      <c r="E1871" s="39" t="s">
        <v>3290</v>
      </c>
      <c r="F1871" s="39"/>
      <c r="G1871" s="56" t="s">
        <v>806</v>
      </c>
      <c r="H1871" s="39"/>
      <c r="I1871" s="39"/>
    </row>
    <row r="1872">
      <c r="A1872" s="39" t="s">
        <v>716</v>
      </c>
      <c r="B1872" s="39" t="s">
        <v>214</v>
      </c>
      <c r="C1872" s="39">
        <v>62.0</v>
      </c>
      <c r="D1872" s="39" t="s">
        <v>839</v>
      </c>
      <c r="E1872" s="39" t="s">
        <v>3291</v>
      </c>
      <c r="F1872" s="39"/>
      <c r="G1872" s="39" t="str">
        <f>IFERROR(__xludf.DUMMYFUNCTION("IFS(REGEXMATCH(E1872, ""ammo_ar""), ""Daedalus AR Ammo"", REGEXMATCH(E1872, ""ammo_ps""), ""Daedalus Pistol Ammo"", REGEXMATCH(E1872, ""ammo_sg""), ""Daedalus Shotgun Ammo"", REGEXMATCH(E1872, ""ammo_sm""), ""Daedalus SMG Ammo"", REGEXMATCH(E1872, ""ammo_"&amp;"sr""), ""Daedalus SR Ammo"")"),"Daedalus Pistol Ammo")</f>
        <v>Daedalus Pistol Ammo</v>
      </c>
      <c r="H1872" s="39"/>
      <c r="I1872" s="39"/>
    </row>
    <row r="1873">
      <c r="A1873" s="39" t="s">
        <v>716</v>
      </c>
      <c r="B1873" s="39" t="s">
        <v>214</v>
      </c>
      <c r="C1873" s="39">
        <v>63.0</v>
      </c>
      <c r="D1873" s="39" t="s">
        <v>839</v>
      </c>
      <c r="E1873" s="39" t="s">
        <v>3292</v>
      </c>
      <c r="F1873" s="39"/>
      <c r="G1873" s="39" t="str">
        <f>IFERROR(__xludf.DUMMYFUNCTION("IFS(REGEXMATCH(E1873, ""ammo_ar""), ""Daedalus AR Ammo"", REGEXMATCH(E1873, ""ammo_ps""), ""Daedalus Pistol Ammo"", REGEXMATCH(E1873, ""ammo_sg""), ""Daedalus Shotgun Ammo"", REGEXMATCH(E1873, ""ammo_sm""), ""Daedalus SMG Ammo"", REGEXMATCH(E1873, ""ammo_"&amp;"sr""), ""Daedalus SR Ammo"")"),"Daedalus Shotgun Ammo")</f>
        <v>Daedalus Shotgun Ammo</v>
      </c>
      <c r="H1873" s="39"/>
      <c r="I1873" s="39"/>
    </row>
    <row r="1874">
      <c r="A1874" s="39" t="s">
        <v>716</v>
      </c>
      <c r="B1874" s="39" t="s">
        <v>214</v>
      </c>
      <c r="C1874" s="39">
        <v>64.0</v>
      </c>
      <c r="D1874" s="39" t="s">
        <v>839</v>
      </c>
      <c r="E1874" s="39" t="s">
        <v>3293</v>
      </c>
      <c r="F1874" s="39"/>
      <c r="G1874" s="39" t="str">
        <f>IFERROR(__xludf.DUMMYFUNCTION("IFS(REGEXMATCH(E1874, ""ammo_ar""), ""Daedalus AR Ammo"", REGEXMATCH(E1874, ""ammo_ps""), ""Daedalus Pistol Ammo"", REGEXMATCH(E1874, ""ammo_sg""), ""Daedalus Shotgun Ammo"", REGEXMATCH(E1874, ""ammo_sm""), ""Daedalus SMG Ammo"", REGEXMATCH(E1874, ""ammo_"&amp;"sr""), ""Daedalus SR Ammo"")"),"Daedalus AR Ammo")</f>
        <v>Daedalus AR Ammo</v>
      </c>
      <c r="H1874" s="39"/>
      <c r="I1874" s="39"/>
    </row>
    <row r="1875">
      <c r="A1875" s="39" t="s">
        <v>716</v>
      </c>
      <c r="B1875" s="39" t="s">
        <v>214</v>
      </c>
      <c r="C1875" s="39">
        <v>65.0</v>
      </c>
      <c r="D1875" s="39" t="s">
        <v>839</v>
      </c>
      <c r="E1875" s="39" t="s">
        <v>3294</v>
      </c>
      <c r="F1875" s="39"/>
      <c r="G1875" s="39" t="str">
        <f>IFERROR(__xludf.DUMMYFUNCTION("IFS(REGEXMATCH(E1875, ""ammo_ar""), ""Daedalus AR Ammo"", REGEXMATCH(E1875, ""ammo_ps""), ""Daedalus Pistol Ammo"", REGEXMATCH(E1875, ""ammo_sg""), ""Daedalus Shotgun Ammo"", REGEXMATCH(E1875, ""ammo_sm""), ""Daedalus SMG Ammo"", REGEXMATCH(E1875, ""ammo_"&amp;"sr""), ""Daedalus SR Ammo"")"),"Daedalus SR Ammo")</f>
        <v>Daedalus SR Ammo</v>
      </c>
      <c r="H1875" s="39"/>
      <c r="I1875" s="39"/>
    </row>
    <row r="1876">
      <c r="A1876" s="39" t="s">
        <v>716</v>
      </c>
      <c r="B1876" s="39" t="s">
        <v>214</v>
      </c>
      <c r="C1876" s="39">
        <v>66.0</v>
      </c>
      <c r="D1876" s="39" t="s">
        <v>84</v>
      </c>
      <c r="E1876" s="39" t="s">
        <v>3295</v>
      </c>
      <c r="F1876" s="39"/>
      <c r="G1876" s="39" t="s">
        <v>3296</v>
      </c>
      <c r="H1876" s="39" t="s">
        <v>3297</v>
      </c>
      <c r="I1876" s="39"/>
    </row>
    <row r="1877">
      <c r="A1877" s="39" t="s">
        <v>716</v>
      </c>
      <c r="B1877" s="39" t="s">
        <v>214</v>
      </c>
      <c r="C1877" s="39">
        <v>68.0</v>
      </c>
      <c r="D1877" s="39" t="s">
        <v>84</v>
      </c>
      <c r="E1877" s="39" t="s">
        <v>3298</v>
      </c>
      <c r="F1877" s="39"/>
      <c r="G1877" s="39" t="s">
        <v>3299</v>
      </c>
      <c r="H1877" s="39" t="s">
        <v>3300</v>
      </c>
      <c r="I1877" s="39"/>
    </row>
    <row r="1878">
      <c r="A1878" s="39" t="s">
        <v>716</v>
      </c>
      <c r="B1878" s="39" t="s">
        <v>214</v>
      </c>
      <c r="C1878" s="39">
        <v>69.0</v>
      </c>
      <c r="D1878" s="39" t="s">
        <v>819</v>
      </c>
      <c r="E1878" s="39" t="s">
        <v>3301</v>
      </c>
      <c r="F1878" s="39"/>
      <c r="G1878" s="56" t="s">
        <v>836</v>
      </c>
      <c r="H1878" s="39"/>
      <c r="I1878" s="39"/>
    </row>
    <row r="1879">
      <c r="A1879" s="39" t="s">
        <v>716</v>
      </c>
      <c r="B1879" s="39" t="s">
        <v>214</v>
      </c>
      <c r="C1879" s="39">
        <v>70.0</v>
      </c>
      <c r="D1879" s="39" t="s">
        <v>819</v>
      </c>
      <c r="E1879" s="39" t="s">
        <v>3302</v>
      </c>
      <c r="F1879" s="39"/>
      <c r="G1879" s="56" t="s">
        <v>836</v>
      </c>
      <c r="H1879" s="39"/>
      <c r="I1879" s="39"/>
    </row>
    <row r="1880">
      <c r="A1880" s="39" t="s">
        <v>716</v>
      </c>
      <c r="B1880" s="39" t="s">
        <v>214</v>
      </c>
      <c r="C1880" s="39">
        <v>71.0</v>
      </c>
      <c r="D1880" s="39" t="s">
        <v>839</v>
      </c>
      <c r="E1880" s="39" t="s">
        <v>3303</v>
      </c>
      <c r="F1880" s="39"/>
      <c r="G1880" s="39" t="s">
        <v>3304</v>
      </c>
      <c r="I1880" s="39"/>
    </row>
    <row r="1881">
      <c r="A1881" s="39" t="s">
        <v>716</v>
      </c>
      <c r="B1881" s="39" t="s">
        <v>214</v>
      </c>
      <c r="C1881" s="39">
        <v>72.0</v>
      </c>
      <c r="D1881" s="39" t="s">
        <v>819</v>
      </c>
      <c r="E1881" s="39" t="s">
        <v>3305</v>
      </c>
      <c r="F1881" s="39"/>
      <c r="G1881" s="56" t="s">
        <v>822</v>
      </c>
      <c r="H1881" s="39"/>
      <c r="I1881" s="39"/>
    </row>
    <row r="1882">
      <c r="A1882" s="39" t="s">
        <v>716</v>
      </c>
      <c r="B1882" s="39" t="s">
        <v>214</v>
      </c>
      <c r="C1882" s="39">
        <v>73.0</v>
      </c>
      <c r="D1882" s="39" t="s">
        <v>819</v>
      </c>
      <c r="E1882" s="39" t="s">
        <v>3306</v>
      </c>
      <c r="F1882" s="39"/>
      <c r="G1882" s="39" t="s">
        <v>809</v>
      </c>
      <c r="H1882" s="39"/>
      <c r="I1882" s="39"/>
    </row>
    <row r="1883">
      <c r="A1883" s="39" t="s">
        <v>716</v>
      </c>
      <c r="B1883" s="39" t="s">
        <v>214</v>
      </c>
      <c r="C1883" s="39">
        <v>74.0</v>
      </c>
      <c r="D1883" s="39" t="s">
        <v>819</v>
      </c>
      <c r="E1883" s="39" t="s">
        <v>3307</v>
      </c>
      <c r="F1883" s="39"/>
      <c r="G1883" s="56" t="s">
        <v>1690</v>
      </c>
      <c r="H1883" s="39"/>
      <c r="I1883" s="39"/>
    </row>
    <row r="1884">
      <c r="A1884" s="39" t="s">
        <v>716</v>
      </c>
      <c r="B1884" s="39" t="s">
        <v>214</v>
      </c>
      <c r="C1884" s="39">
        <v>75.0</v>
      </c>
      <c r="D1884" s="39" t="s">
        <v>819</v>
      </c>
      <c r="E1884" s="39" t="s">
        <v>3308</v>
      </c>
      <c r="F1884" s="39"/>
      <c r="G1884" s="56" t="s">
        <v>1690</v>
      </c>
      <c r="H1884" s="39"/>
      <c r="I1884" s="39"/>
    </row>
    <row r="1885">
      <c r="A1885" s="39" t="s">
        <v>716</v>
      </c>
      <c r="B1885" s="39" t="s">
        <v>214</v>
      </c>
      <c r="C1885" s="39">
        <v>76.0</v>
      </c>
      <c r="D1885" s="39" t="s">
        <v>819</v>
      </c>
      <c r="E1885" s="39" t="s">
        <v>3309</v>
      </c>
      <c r="F1885" s="39"/>
      <c r="G1885" s="56" t="s">
        <v>822</v>
      </c>
      <c r="H1885" s="39"/>
      <c r="I1885" s="39"/>
    </row>
    <row r="1886">
      <c r="A1886" s="39" t="s">
        <v>716</v>
      </c>
      <c r="B1886" s="39" t="s">
        <v>214</v>
      </c>
      <c r="C1886" s="39">
        <v>77.0</v>
      </c>
      <c r="D1886" s="39" t="s">
        <v>819</v>
      </c>
      <c r="E1886" s="39" t="s">
        <v>3310</v>
      </c>
      <c r="F1886" s="39"/>
      <c r="G1886" s="56" t="s">
        <v>806</v>
      </c>
      <c r="H1886" s="39"/>
      <c r="I1886" s="39"/>
    </row>
    <row r="1887">
      <c r="A1887" s="39" t="s">
        <v>716</v>
      </c>
      <c r="B1887" s="39" t="s">
        <v>214</v>
      </c>
      <c r="C1887" s="39">
        <v>78.0</v>
      </c>
      <c r="D1887" s="39" t="s">
        <v>819</v>
      </c>
      <c r="E1887" s="39" t="s">
        <v>3311</v>
      </c>
      <c r="F1887" s="39"/>
      <c r="G1887" s="56" t="s">
        <v>836</v>
      </c>
      <c r="H1887" s="39"/>
      <c r="I1887" s="39"/>
    </row>
    <row r="1888">
      <c r="A1888" s="39" t="s">
        <v>716</v>
      </c>
      <c r="B1888" s="39" t="s">
        <v>214</v>
      </c>
      <c r="C1888" s="39">
        <v>79.0</v>
      </c>
      <c r="D1888" s="39" t="s">
        <v>819</v>
      </c>
      <c r="E1888" s="39" t="s">
        <v>3312</v>
      </c>
      <c r="F1888" s="39"/>
      <c r="G1888" s="56" t="s">
        <v>836</v>
      </c>
      <c r="H1888" s="39"/>
      <c r="I1888" s="39"/>
    </row>
    <row r="1889">
      <c r="A1889" s="39" t="s">
        <v>716</v>
      </c>
      <c r="B1889" s="39" t="s">
        <v>214</v>
      </c>
      <c r="C1889" s="39">
        <v>80.0</v>
      </c>
      <c r="D1889" s="39" t="s">
        <v>839</v>
      </c>
      <c r="E1889" s="39" t="s">
        <v>3313</v>
      </c>
      <c r="F1889" s="39"/>
      <c r="G1889" s="39" t="s">
        <v>842</v>
      </c>
      <c r="H1889" s="39"/>
      <c r="I1889" s="39"/>
    </row>
    <row r="1890">
      <c r="A1890" s="39" t="s">
        <v>716</v>
      </c>
      <c r="B1890" s="39" t="s">
        <v>214</v>
      </c>
      <c r="C1890" s="39">
        <v>81.0</v>
      </c>
      <c r="D1890" s="39" t="s">
        <v>839</v>
      </c>
      <c r="E1890" s="39" t="s">
        <v>3314</v>
      </c>
      <c r="F1890" s="39"/>
      <c r="G1890" s="39" t="s">
        <v>845</v>
      </c>
      <c r="H1890" s="39"/>
      <c r="I1890" s="39"/>
    </row>
    <row r="1891">
      <c r="A1891" s="39" t="s">
        <v>716</v>
      </c>
      <c r="B1891" s="39" t="s">
        <v>214</v>
      </c>
      <c r="C1891" s="39">
        <v>82.0</v>
      </c>
      <c r="D1891" s="39" t="s">
        <v>839</v>
      </c>
      <c r="E1891" s="39" t="s">
        <v>3315</v>
      </c>
      <c r="F1891" s="39"/>
      <c r="G1891" s="39" t="s">
        <v>847</v>
      </c>
      <c r="H1891" s="39"/>
      <c r="I1891" s="39"/>
    </row>
    <row r="1892">
      <c r="A1892" s="39" t="s">
        <v>716</v>
      </c>
      <c r="B1892" s="39" t="s">
        <v>214</v>
      </c>
      <c r="C1892" s="39">
        <v>83.0</v>
      </c>
      <c r="D1892" s="39" t="s">
        <v>839</v>
      </c>
      <c r="E1892" s="39" t="s">
        <v>3316</v>
      </c>
      <c r="F1892" s="39"/>
      <c r="G1892" s="39" t="s">
        <v>850</v>
      </c>
      <c r="H1892" s="39"/>
      <c r="I1892" s="39"/>
    </row>
    <row r="1893">
      <c r="A1893" s="39" t="s">
        <v>716</v>
      </c>
      <c r="B1893" s="39" t="s">
        <v>214</v>
      </c>
      <c r="C1893" s="39">
        <v>84.0</v>
      </c>
      <c r="D1893" s="39" t="s">
        <v>839</v>
      </c>
      <c r="E1893" s="39" t="s">
        <v>3317</v>
      </c>
      <c r="F1893" s="39"/>
      <c r="G1893" s="39" t="s">
        <v>853</v>
      </c>
      <c r="H1893" s="39"/>
      <c r="I1893" s="39"/>
    </row>
    <row r="1894">
      <c r="A1894" s="39" t="s">
        <v>716</v>
      </c>
      <c r="B1894" s="39" t="s">
        <v>214</v>
      </c>
      <c r="C1894" s="39">
        <v>85.0</v>
      </c>
      <c r="D1894" s="39" t="s">
        <v>839</v>
      </c>
      <c r="E1894" s="39" t="s">
        <v>3318</v>
      </c>
      <c r="F1894" s="39"/>
      <c r="G1894" s="39" t="s">
        <v>856</v>
      </c>
      <c r="H1894" s="39"/>
      <c r="I1894" s="39"/>
    </row>
    <row r="1895">
      <c r="A1895" s="39" t="s">
        <v>716</v>
      </c>
      <c r="B1895" s="39" t="s">
        <v>214</v>
      </c>
      <c r="C1895" s="39">
        <v>86.0</v>
      </c>
      <c r="D1895" s="39" t="s">
        <v>839</v>
      </c>
      <c r="E1895" s="39" t="s">
        <v>3319</v>
      </c>
      <c r="F1895" s="39"/>
      <c r="G1895" s="39" t="s">
        <v>3320</v>
      </c>
      <c r="H1895" s="39"/>
      <c r="I1895" s="39"/>
    </row>
    <row r="1896">
      <c r="A1896" s="39" t="s">
        <v>716</v>
      </c>
      <c r="B1896" s="39" t="s">
        <v>214</v>
      </c>
      <c r="C1896" s="39">
        <v>87.0</v>
      </c>
      <c r="D1896" s="39" t="s">
        <v>84</v>
      </c>
      <c r="E1896" s="39" t="s">
        <v>3321</v>
      </c>
      <c r="F1896" s="39"/>
      <c r="G1896" s="39" t="s">
        <v>3322</v>
      </c>
      <c r="H1896" s="39" t="s">
        <v>3323</v>
      </c>
      <c r="I1896" s="39"/>
    </row>
    <row r="1897">
      <c r="A1897" s="39" t="s">
        <v>716</v>
      </c>
      <c r="B1897" s="39" t="s">
        <v>1597</v>
      </c>
      <c r="C1897" s="39">
        <v>1.0</v>
      </c>
      <c r="D1897" s="39" t="s">
        <v>84</v>
      </c>
      <c r="E1897" s="39" t="s">
        <v>3324</v>
      </c>
      <c r="F1897" s="39"/>
      <c r="G1897" s="39" t="s">
        <v>3325</v>
      </c>
      <c r="H1897" s="39" t="s">
        <v>3326</v>
      </c>
      <c r="I1897" s="39"/>
    </row>
    <row r="1898">
      <c r="A1898" s="39" t="s">
        <v>716</v>
      </c>
      <c r="B1898" s="39" t="s">
        <v>1597</v>
      </c>
      <c r="C1898" s="39">
        <v>2.0</v>
      </c>
      <c r="D1898" s="39" t="s">
        <v>81</v>
      </c>
      <c r="E1898" s="39" t="s">
        <v>3327</v>
      </c>
      <c r="F1898" s="39"/>
      <c r="G1898" s="39" t="s">
        <v>797</v>
      </c>
      <c r="H1898" s="39"/>
      <c r="I1898" s="39"/>
    </row>
    <row r="1899">
      <c r="A1899" s="39" t="s">
        <v>716</v>
      </c>
      <c r="B1899" s="39" t="s">
        <v>1597</v>
      </c>
      <c r="C1899" s="39">
        <v>3.0</v>
      </c>
      <c r="D1899" s="39" t="s">
        <v>798</v>
      </c>
      <c r="E1899" s="39" t="s">
        <v>3328</v>
      </c>
      <c r="F1899" s="39"/>
      <c r="G1899" s="39" t="s">
        <v>809</v>
      </c>
      <c r="H1899" s="39"/>
      <c r="I1899" s="39"/>
    </row>
    <row r="1900">
      <c r="A1900" s="39" t="s">
        <v>716</v>
      </c>
      <c r="B1900" s="39" t="s">
        <v>1597</v>
      </c>
      <c r="C1900" s="39">
        <v>4.0</v>
      </c>
      <c r="D1900" s="39" t="s">
        <v>798</v>
      </c>
      <c r="E1900" s="39" t="s">
        <v>3329</v>
      </c>
      <c r="F1900" s="39"/>
      <c r="G1900" s="56" t="s">
        <v>801</v>
      </c>
      <c r="H1900" s="39"/>
      <c r="I1900" s="39"/>
    </row>
    <row r="1901">
      <c r="A1901" s="39" t="s">
        <v>716</v>
      </c>
      <c r="B1901" s="39" t="s">
        <v>1597</v>
      </c>
      <c r="C1901" s="39">
        <v>5.0</v>
      </c>
      <c r="D1901" s="39" t="s">
        <v>798</v>
      </c>
      <c r="E1901" s="39" t="s">
        <v>3330</v>
      </c>
      <c r="F1901" s="39"/>
      <c r="G1901" s="56" t="s">
        <v>1690</v>
      </c>
      <c r="H1901" s="39"/>
      <c r="I1901" s="39"/>
    </row>
    <row r="1902">
      <c r="A1902" s="39" t="s">
        <v>716</v>
      </c>
      <c r="B1902" s="39" t="s">
        <v>1597</v>
      </c>
      <c r="C1902" s="39">
        <v>6.0</v>
      </c>
      <c r="D1902" s="39" t="s">
        <v>798</v>
      </c>
      <c r="E1902" s="39" t="s">
        <v>3331</v>
      </c>
      <c r="F1902" s="39"/>
      <c r="G1902" s="56" t="s">
        <v>806</v>
      </c>
      <c r="H1902" s="39"/>
      <c r="I1902" s="39"/>
    </row>
    <row r="1903">
      <c r="A1903" s="39" t="s">
        <v>716</v>
      </c>
      <c r="B1903" s="39" t="s">
        <v>1597</v>
      </c>
      <c r="C1903" s="39">
        <v>7.0</v>
      </c>
      <c r="D1903" s="39" t="s">
        <v>84</v>
      </c>
      <c r="E1903" s="39" t="s">
        <v>3332</v>
      </c>
      <c r="F1903" s="39"/>
      <c r="G1903" s="39" t="s">
        <v>3333</v>
      </c>
      <c r="H1903" s="39"/>
      <c r="I1903" s="39"/>
    </row>
    <row r="1904">
      <c r="A1904" s="39" t="s">
        <v>716</v>
      </c>
      <c r="B1904" s="39" t="s">
        <v>1597</v>
      </c>
      <c r="C1904" s="39">
        <v>8.0</v>
      </c>
      <c r="D1904" s="39" t="s">
        <v>84</v>
      </c>
      <c r="E1904" s="39" t="s">
        <v>3334</v>
      </c>
      <c r="F1904" s="39"/>
      <c r="G1904" s="39" t="s">
        <v>3335</v>
      </c>
      <c r="H1904" s="39"/>
      <c r="I1904" s="39"/>
    </row>
    <row r="1905">
      <c r="A1905" s="39" t="s">
        <v>716</v>
      </c>
      <c r="B1905" s="39" t="s">
        <v>1597</v>
      </c>
      <c r="C1905" s="39">
        <v>9.0</v>
      </c>
      <c r="D1905" s="39" t="s">
        <v>839</v>
      </c>
      <c r="E1905" s="39" t="s">
        <v>3336</v>
      </c>
      <c r="F1905" s="39"/>
      <c r="G1905" s="39" t="s">
        <v>989</v>
      </c>
      <c r="H1905" s="39"/>
      <c r="I1905" s="39"/>
    </row>
    <row r="1906">
      <c r="A1906" s="39" t="s">
        <v>716</v>
      </c>
      <c r="B1906" s="39" t="s">
        <v>1597</v>
      </c>
      <c r="C1906" s="39">
        <v>10.0</v>
      </c>
      <c r="D1906" s="39" t="s">
        <v>839</v>
      </c>
      <c r="E1906" s="39" t="s">
        <v>3337</v>
      </c>
      <c r="F1906" s="39"/>
      <c r="G1906" s="39" t="s">
        <v>991</v>
      </c>
      <c r="H1906" s="39"/>
      <c r="I1906" s="39"/>
    </row>
    <row r="1907">
      <c r="A1907" s="39" t="s">
        <v>716</v>
      </c>
      <c r="B1907" s="39" t="s">
        <v>1597</v>
      </c>
      <c r="C1907" s="39">
        <v>11.0</v>
      </c>
      <c r="D1907" s="39" t="s">
        <v>839</v>
      </c>
      <c r="E1907" s="39" t="s">
        <v>3338</v>
      </c>
      <c r="F1907" s="39"/>
      <c r="G1907" s="39" t="s">
        <v>993</v>
      </c>
      <c r="H1907" s="39"/>
      <c r="I1907" s="39"/>
    </row>
    <row r="1908">
      <c r="A1908" s="39" t="s">
        <v>716</v>
      </c>
      <c r="B1908" s="39" t="s">
        <v>1597</v>
      </c>
      <c r="C1908" s="39">
        <v>12.0</v>
      </c>
      <c r="D1908" s="39" t="s">
        <v>839</v>
      </c>
      <c r="E1908" s="39" t="s">
        <v>3339</v>
      </c>
      <c r="F1908" s="39"/>
      <c r="G1908" s="39" t="s">
        <v>995</v>
      </c>
      <c r="H1908" s="39"/>
      <c r="I1908" s="39"/>
    </row>
    <row r="1909">
      <c r="A1909" s="39" t="s">
        <v>716</v>
      </c>
      <c r="B1909" s="39" t="s">
        <v>1597</v>
      </c>
      <c r="C1909" s="39">
        <v>13.0</v>
      </c>
      <c r="D1909" s="39" t="s">
        <v>87</v>
      </c>
      <c r="E1909" s="39" t="s">
        <v>3340</v>
      </c>
      <c r="F1909" s="39"/>
      <c r="G1909" s="39" t="s">
        <v>3341</v>
      </c>
      <c r="H1909" s="39"/>
      <c r="I1909" s="39"/>
    </row>
    <row r="1910">
      <c r="A1910" s="39" t="s">
        <v>716</v>
      </c>
      <c r="B1910" s="39" t="s">
        <v>1597</v>
      </c>
      <c r="C1910" s="39">
        <v>14.0</v>
      </c>
      <c r="D1910" s="39" t="s">
        <v>87</v>
      </c>
      <c r="E1910" s="39" t="s">
        <v>3342</v>
      </c>
      <c r="F1910" s="39"/>
      <c r="G1910" s="39" t="s">
        <v>3343</v>
      </c>
      <c r="H1910" s="39"/>
      <c r="I1910" s="39"/>
    </row>
    <row r="1911">
      <c r="A1911" s="39" t="s">
        <v>716</v>
      </c>
      <c r="B1911" s="39" t="s">
        <v>1597</v>
      </c>
      <c r="C1911" s="39">
        <v>15.0</v>
      </c>
      <c r="D1911" s="39" t="s">
        <v>87</v>
      </c>
      <c r="E1911" s="39" t="s">
        <v>3344</v>
      </c>
      <c r="F1911" s="39"/>
      <c r="G1911" s="39" t="s">
        <v>3345</v>
      </c>
      <c r="H1911" s="39"/>
      <c r="I1911" s="39"/>
    </row>
    <row r="1912">
      <c r="A1912" s="39" t="s">
        <v>716</v>
      </c>
      <c r="B1912" s="39" t="s">
        <v>1597</v>
      </c>
      <c r="C1912" s="39">
        <v>16.0</v>
      </c>
      <c r="D1912" s="39" t="s">
        <v>87</v>
      </c>
      <c r="E1912" s="39" t="s">
        <v>3346</v>
      </c>
      <c r="F1912" s="39"/>
      <c r="G1912" s="39" t="s">
        <v>3347</v>
      </c>
      <c r="H1912" s="39"/>
      <c r="I1912" s="39"/>
    </row>
    <row r="1913">
      <c r="A1913" s="39" t="s">
        <v>716</v>
      </c>
      <c r="B1913" s="39" t="s">
        <v>1597</v>
      </c>
      <c r="C1913" s="39">
        <v>17.0</v>
      </c>
      <c r="D1913" s="39" t="s">
        <v>87</v>
      </c>
      <c r="E1913" s="39" t="s">
        <v>3348</v>
      </c>
      <c r="F1913" s="39"/>
      <c r="G1913" s="39" t="s">
        <v>3349</v>
      </c>
      <c r="H1913" s="39"/>
      <c r="I1913" s="39"/>
    </row>
    <row r="1914">
      <c r="A1914" s="39" t="s">
        <v>716</v>
      </c>
      <c r="B1914" s="39" t="s">
        <v>1597</v>
      </c>
      <c r="C1914" s="39">
        <v>18.0</v>
      </c>
      <c r="D1914" s="39" t="s">
        <v>839</v>
      </c>
      <c r="E1914" s="39" t="s">
        <v>3350</v>
      </c>
      <c r="F1914" s="39"/>
      <c r="G1914" s="39" t="s">
        <v>874</v>
      </c>
      <c r="H1914" s="39"/>
      <c r="I1914" s="39"/>
    </row>
    <row r="1915">
      <c r="A1915" s="39" t="s">
        <v>716</v>
      </c>
      <c r="B1915" s="39" t="s">
        <v>1597</v>
      </c>
      <c r="C1915" s="39">
        <v>19.0</v>
      </c>
      <c r="D1915" s="39" t="s">
        <v>839</v>
      </c>
      <c r="E1915" s="39" t="s">
        <v>3351</v>
      </c>
      <c r="F1915" s="39"/>
      <c r="G1915" s="39" t="s">
        <v>880</v>
      </c>
      <c r="H1915" s="39"/>
      <c r="I1915" s="39"/>
    </row>
    <row r="1916">
      <c r="A1916" s="39" t="s">
        <v>716</v>
      </c>
      <c r="B1916" s="39" t="s">
        <v>1597</v>
      </c>
      <c r="C1916" s="39">
        <v>20.0</v>
      </c>
      <c r="D1916" s="39" t="s">
        <v>875</v>
      </c>
      <c r="E1916" s="39" t="s">
        <v>3352</v>
      </c>
      <c r="F1916" s="39"/>
      <c r="G1916" s="39" t="s">
        <v>877</v>
      </c>
      <c r="H1916" s="39"/>
      <c r="I1916" s="39"/>
    </row>
    <row r="1917">
      <c r="A1917" s="39" t="s">
        <v>716</v>
      </c>
      <c r="B1917" s="39" t="s">
        <v>1597</v>
      </c>
      <c r="C1917" s="39">
        <v>21.0</v>
      </c>
      <c r="D1917" s="39" t="s">
        <v>875</v>
      </c>
      <c r="E1917" s="39" t="s">
        <v>3353</v>
      </c>
      <c r="F1917" s="39"/>
      <c r="G1917" s="39" t="s">
        <v>877</v>
      </c>
      <c r="H1917" s="39"/>
      <c r="I1917" s="39"/>
    </row>
    <row r="1918">
      <c r="A1918" s="39" t="s">
        <v>716</v>
      </c>
      <c r="B1918" s="39" t="s">
        <v>1597</v>
      </c>
      <c r="C1918" s="39">
        <v>22.0</v>
      </c>
      <c r="D1918" s="39" t="s">
        <v>875</v>
      </c>
      <c r="E1918" s="39" t="s">
        <v>3354</v>
      </c>
      <c r="F1918" s="39"/>
      <c r="G1918" s="39" t="s">
        <v>877</v>
      </c>
      <c r="H1918" s="39"/>
      <c r="I1918" s="39"/>
    </row>
    <row r="1919">
      <c r="A1919" s="39" t="s">
        <v>716</v>
      </c>
      <c r="B1919" s="39" t="s">
        <v>1597</v>
      </c>
      <c r="C1919" s="39">
        <v>23.0</v>
      </c>
      <c r="D1919" s="39" t="s">
        <v>875</v>
      </c>
      <c r="E1919" s="39" t="s">
        <v>3355</v>
      </c>
      <c r="F1919" s="39"/>
      <c r="G1919" s="39" t="s">
        <v>883</v>
      </c>
      <c r="H1919" s="39"/>
      <c r="I1919" s="39"/>
    </row>
    <row r="1920">
      <c r="A1920" s="39" t="s">
        <v>716</v>
      </c>
      <c r="B1920" s="39" t="s">
        <v>1597</v>
      </c>
      <c r="C1920" s="39">
        <v>24.0</v>
      </c>
      <c r="D1920" s="39" t="s">
        <v>875</v>
      </c>
      <c r="E1920" s="39" t="s">
        <v>3356</v>
      </c>
      <c r="F1920" s="39"/>
      <c r="G1920" s="39" t="s">
        <v>883</v>
      </c>
      <c r="H1920" s="39"/>
      <c r="I1920" s="39"/>
    </row>
    <row r="1921">
      <c r="A1921" s="39" t="s">
        <v>716</v>
      </c>
      <c r="B1921" s="39" t="s">
        <v>1597</v>
      </c>
      <c r="C1921" s="39">
        <v>25.0</v>
      </c>
      <c r="D1921" s="39" t="s">
        <v>839</v>
      </c>
      <c r="E1921" s="39" t="s">
        <v>3357</v>
      </c>
      <c r="F1921" s="39"/>
      <c r="G1921" s="39" t="s">
        <v>842</v>
      </c>
      <c r="H1921" s="39"/>
      <c r="I1921" s="39"/>
    </row>
    <row r="1922">
      <c r="A1922" s="39" t="s">
        <v>716</v>
      </c>
      <c r="B1922" s="39" t="s">
        <v>1597</v>
      </c>
      <c r="C1922" s="39">
        <v>26.0</v>
      </c>
      <c r="D1922" s="39" t="s">
        <v>88</v>
      </c>
      <c r="E1922" s="39" t="s">
        <v>3358</v>
      </c>
      <c r="F1922" s="39"/>
      <c r="G1922" s="39" t="s">
        <v>898</v>
      </c>
      <c r="H1922" s="39"/>
      <c r="I1922" s="39"/>
    </row>
    <row r="1923">
      <c r="A1923" s="39" t="s">
        <v>716</v>
      </c>
      <c r="B1923" s="39" t="s">
        <v>1597</v>
      </c>
      <c r="C1923" s="39">
        <v>27.0</v>
      </c>
      <c r="D1923" s="39" t="s">
        <v>88</v>
      </c>
      <c r="E1923" s="39" t="s">
        <v>3359</v>
      </c>
      <c r="F1923" s="39"/>
      <c r="G1923" s="39" t="s">
        <v>895</v>
      </c>
      <c r="H1923" s="39"/>
      <c r="I1923" s="39"/>
    </row>
    <row r="1924">
      <c r="A1924" s="39" t="s">
        <v>716</v>
      </c>
      <c r="B1924" s="39" t="s">
        <v>1597</v>
      </c>
      <c r="C1924" s="39">
        <v>28.0</v>
      </c>
      <c r="D1924" s="39" t="s">
        <v>88</v>
      </c>
      <c r="E1924" s="39" t="s">
        <v>3360</v>
      </c>
      <c r="F1924" s="39"/>
      <c r="G1924" s="39" t="s">
        <v>895</v>
      </c>
      <c r="H1924" s="39"/>
      <c r="I1924" s="39"/>
    </row>
    <row r="1925">
      <c r="A1925" s="39" t="s">
        <v>716</v>
      </c>
      <c r="B1925" s="39" t="s">
        <v>1597</v>
      </c>
      <c r="C1925" s="39">
        <v>29.0</v>
      </c>
      <c r="D1925" s="39" t="s">
        <v>88</v>
      </c>
      <c r="E1925" s="39" t="s">
        <v>3361</v>
      </c>
      <c r="F1925" s="39"/>
      <c r="G1925" s="39" t="s">
        <v>892</v>
      </c>
      <c r="H1925" s="39"/>
      <c r="I1925" s="39"/>
    </row>
    <row r="1926">
      <c r="A1926" s="39" t="s">
        <v>716</v>
      </c>
      <c r="B1926" s="39" t="s">
        <v>1597</v>
      </c>
      <c r="C1926" s="39">
        <v>30.0</v>
      </c>
      <c r="D1926" s="39" t="s">
        <v>88</v>
      </c>
      <c r="E1926" s="39" t="s">
        <v>3362</v>
      </c>
      <c r="F1926" s="39"/>
      <c r="G1926" s="39" t="s">
        <v>892</v>
      </c>
      <c r="H1926" s="39"/>
      <c r="I1926" s="39"/>
    </row>
    <row r="1927">
      <c r="A1927" s="39" t="s">
        <v>716</v>
      </c>
      <c r="B1927" s="39" t="s">
        <v>1597</v>
      </c>
      <c r="C1927" s="39">
        <v>31.0</v>
      </c>
      <c r="D1927" s="39" t="s">
        <v>902</v>
      </c>
      <c r="E1927" s="39" t="s">
        <v>3363</v>
      </c>
      <c r="F1927" s="39"/>
      <c r="G1927" s="56" t="s">
        <v>822</v>
      </c>
      <c r="H1927" s="39" t="s">
        <v>2971</v>
      </c>
      <c r="I1927" s="39"/>
    </row>
    <row r="1928">
      <c r="A1928" s="39" t="s">
        <v>716</v>
      </c>
      <c r="B1928" s="39" t="s">
        <v>1597</v>
      </c>
      <c r="C1928" s="39">
        <v>32.0</v>
      </c>
      <c r="D1928" s="39" t="s">
        <v>902</v>
      </c>
      <c r="E1928" s="39" t="s">
        <v>3364</v>
      </c>
      <c r="F1928" s="39"/>
      <c r="G1928" s="56" t="s">
        <v>801</v>
      </c>
      <c r="H1928" s="39" t="s">
        <v>1036</v>
      </c>
      <c r="I1928" s="39"/>
    </row>
    <row r="1929">
      <c r="A1929" s="39" t="s">
        <v>716</v>
      </c>
      <c r="B1929" s="39" t="s">
        <v>1597</v>
      </c>
      <c r="C1929" s="39">
        <v>33.0</v>
      </c>
      <c r="D1929" s="39" t="s">
        <v>902</v>
      </c>
      <c r="E1929" s="39" t="s">
        <v>3365</v>
      </c>
      <c r="F1929" s="39"/>
      <c r="G1929" s="39" t="s">
        <v>809</v>
      </c>
      <c r="H1929" s="39" t="s">
        <v>2971</v>
      </c>
      <c r="I1929" s="39"/>
    </row>
    <row r="1930">
      <c r="A1930" s="39" t="s">
        <v>716</v>
      </c>
      <c r="B1930" s="39" t="s">
        <v>1597</v>
      </c>
      <c r="C1930" s="39">
        <v>34.0</v>
      </c>
      <c r="D1930" s="39" t="s">
        <v>902</v>
      </c>
      <c r="E1930" s="39" t="s">
        <v>3366</v>
      </c>
      <c r="F1930" s="39"/>
      <c r="G1930" s="56" t="s">
        <v>1690</v>
      </c>
      <c r="H1930" s="39" t="s">
        <v>1036</v>
      </c>
      <c r="I1930" s="39"/>
    </row>
    <row r="1931">
      <c r="A1931" s="39" t="s">
        <v>716</v>
      </c>
      <c r="B1931" s="39" t="s">
        <v>1597</v>
      </c>
      <c r="C1931" s="39">
        <v>35.0</v>
      </c>
      <c r="D1931" s="39" t="s">
        <v>902</v>
      </c>
      <c r="E1931" s="39" t="s">
        <v>3367</v>
      </c>
      <c r="F1931" s="39"/>
      <c r="G1931" s="56" t="s">
        <v>822</v>
      </c>
      <c r="H1931" s="39" t="s">
        <v>1036</v>
      </c>
      <c r="I1931" s="39"/>
    </row>
    <row r="1932">
      <c r="A1932" s="39" t="s">
        <v>716</v>
      </c>
      <c r="B1932" s="39" t="s">
        <v>1597</v>
      </c>
      <c r="C1932" s="39">
        <v>36.0</v>
      </c>
      <c r="D1932" s="39" t="s">
        <v>902</v>
      </c>
      <c r="E1932" s="39" t="s">
        <v>3368</v>
      </c>
      <c r="F1932" s="39"/>
      <c r="G1932" s="56" t="s">
        <v>801</v>
      </c>
      <c r="H1932" s="39" t="s">
        <v>3369</v>
      </c>
      <c r="I1932" s="39"/>
    </row>
    <row r="1933">
      <c r="A1933" s="39" t="s">
        <v>716</v>
      </c>
      <c r="B1933" s="39" t="s">
        <v>1597</v>
      </c>
      <c r="C1933" s="39">
        <v>37.0</v>
      </c>
      <c r="D1933" s="39" t="s">
        <v>902</v>
      </c>
      <c r="E1933" s="39" t="s">
        <v>3370</v>
      </c>
      <c r="F1933" s="39"/>
      <c r="G1933" s="39" t="s">
        <v>809</v>
      </c>
      <c r="H1933" s="39" t="s">
        <v>2971</v>
      </c>
      <c r="I1933" s="39"/>
    </row>
    <row r="1934">
      <c r="A1934" s="39" t="s">
        <v>716</v>
      </c>
      <c r="B1934" s="39" t="s">
        <v>1597</v>
      </c>
      <c r="C1934" s="39">
        <v>38.0</v>
      </c>
      <c r="D1934" s="39" t="s">
        <v>902</v>
      </c>
      <c r="E1934" s="39" t="s">
        <v>3371</v>
      </c>
      <c r="F1934" s="39"/>
      <c r="G1934" s="56" t="s">
        <v>1690</v>
      </c>
      <c r="H1934" s="39" t="s">
        <v>3369</v>
      </c>
      <c r="I1934" s="39"/>
    </row>
    <row r="1935">
      <c r="A1935" s="39" t="s">
        <v>716</v>
      </c>
      <c r="B1935" s="39" t="s">
        <v>1597</v>
      </c>
      <c r="C1935" s="39">
        <v>39.0</v>
      </c>
      <c r="D1935" s="39" t="s">
        <v>90</v>
      </c>
      <c r="E1935" s="39" t="s">
        <v>3372</v>
      </c>
      <c r="F1935" s="39"/>
      <c r="G1935" s="39" t="s">
        <v>930</v>
      </c>
      <c r="H1935" s="39"/>
      <c r="I1935" s="39"/>
    </row>
    <row r="1936">
      <c r="A1936" s="39" t="s">
        <v>716</v>
      </c>
      <c r="B1936" s="39" t="s">
        <v>1597</v>
      </c>
      <c r="C1936" s="39">
        <v>40.0</v>
      </c>
      <c r="D1936" s="39" t="s">
        <v>90</v>
      </c>
      <c r="E1936" s="39" t="s">
        <v>3373</v>
      </c>
      <c r="F1936" s="39"/>
      <c r="G1936" s="39" t="s">
        <v>927</v>
      </c>
      <c r="H1936" s="39"/>
      <c r="I1936" s="39"/>
    </row>
    <row r="1937">
      <c r="A1937" s="39" t="s">
        <v>716</v>
      </c>
      <c r="B1937" s="39" t="s">
        <v>1597</v>
      </c>
      <c r="C1937" s="39">
        <v>41.0</v>
      </c>
      <c r="D1937" s="39" t="s">
        <v>90</v>
      </c>
      <c r="E1937" s="39" t="s">
        <v>3374</v>
      </c>
      <c r="F1937" s="39"/>
      <c r="G1937" s="39" t="s">
        <v>939</v>
      </c>
      <c r="H1937" s="39"/>
      <c r="I1937" s="39"/>
    </row>
    <row r="1938">
      <c r="A1938" s="39" t="s">
        <v>716</v>
      </c>
      <c r="B1938" s="39" t="s">
        <v>1597</v>
      </c>
      <c r="C1938" s="39">
        <v>42.0</v>
      </c>
      <c r="D1938" s="39" t="s">
        <v>90</v>
      </c>
      <c r="E1938" s="39" t="s">
        <v>3375</v>
      </c>
      <c r="F1938" s="39"/>
      <c r="G1938" s="56" t="s">
        <v>822</v>
      </c>
      <c r="H1938" s="39"/>
      <c r="I1938" s="39"/>
    </row>
    <row r="1939">
      <c r="A1939" s="39" t="s">
        <v>716</v>
      </c>
      <c r="B1939" s="39" t="s">
        <v>1597</v>
      </c>
      <c r="C1939" s="39">
        <v>43.0</v>
      </c>
      <c r="D1939" s="39" t="s">
        <v>90</v>
      </c>
      <c r="E1939" s="39" t="s">
        <v>3376</v>
      </c>
      <c r="F1939" s="39"/>
      <c r="G1939" s="56" t="s">
        <v>836</v>
      </c>
      <c r="H1939" s="39"/>
      <c r="I1939" s="39"/>
    </row>
    <row r="1940">
      <c r="A1940" s="39" t="s">
        <v>716</v>
      </c>
      <c r="B1940" s="39" t="s">
        <v>1597</v>
      </c>
      <c r="C1940" s="39">
        <v>44.0</v>
      </c>
      <c r="D1940" s="39" t="s">
        <v>90</v>
      </c>
      <c r="E1940" s="39" t="s">
        <v>3377</v>
      </c>
      <c r="F1940" s="39"/>
      <c r="G1940" s="56" t="s">
        <v>801</v>
      </c>
      <c r="H1940" s="39"/>
      <c r="I1940" s="39"/>
    </row>
    <row r="1941">
      <c r="A1941" s="39" t="s">
        <v>716</v>
      </c>
      <c r="B1941" s="39" t="s">
        <v>1597</v>
      </c>
      <c r="C1941" s="39">
        <v>45.0</v>
      </c>
      <c r="D1941" s="39" t="s">
        <v>92</v>
      </c>
      <c r="E1941" s="39" t="s">
        <v>3378</v>
      </c>
      <c r="F1941" s="39"/>
      <c r="G1941" s="39" t="s">
        <v>950</v>
      </c>
      <c r="H1941" s="39" t="s">
        <v>951</v>
      </c>
      <c r="I1941" s="39"/>
    </row>
    <row r="1942">
      <c r="A1942" s="39" t="s">
        <v>716</v>
      </c>
      <c r="B1942" s="39" t="s">
        <v>1597</v>
      </c>
      <c r="C1942" s="39">
        <v>46.0</v>
      </c>
      <c r="D1942" s="39" t="s">
        <v>92</v>
      </c>
      <c r="E1942" s="39" t="s">
        <v>3379</v>
      </c>
      <c r="F1942" s="39"/>
      <c r="G1942" s="39" t="s">
        <v>1355</v>
      </c>
      <c r="H1942" s="39" t="s">
        <v>1356</v>
      </c>
      <c r="I1942" s="39"/>
    </row>
    <row r="1943">
      <c r="A1943" s="39" t="s">
        <v>716</v>
      </c>
      <c r="B1943" s="39" t="s">
        <v>1597</v>
      </c>
      <c r="C1943" s="39">
        <v>47.0</v>
      </c>
      <c r="D1943" s="39" t="s">
        <v>92</v>
      </c>
      <c r="E1943" s="39" t="s">
        <v>3380</v>
      </c>
      <c r="F1943" s="39"/>
      <c r="G1943" s="39" t="s">
        <v>945</v>
      </c>
      <c r="H1943" s="39"/>
      <c r="I1943" s="39"/>
    </row>
    <row r="1944">
      <c r="A1944" s="39" t="s">
        <v>716</v>
      </c>
      <c r="B1944" s="39" t="s">
        <v>1597</v>
      </c>
      <c r="C1944" s="39">
        <v>48.0</v>
      </c>
      <c r="D1944" s="39" t="s">
        <v>92</v>
      </c>
      <c r="E1944" s="39" t="s">
        <v>3381</v>
      </c>
      <c r="F1944" s="39"/>
      <c r="G1944" s="39" t="s">
        <v>1651</v>
      </c>
      <c r="H1944" s="39"/>
      <c r="I1944" s="39"/>
    </row>
    <row r="1945">
      <c r="A1945" s="39" t="s">
        <v>716</v>
      </c>
      <c r="B1945" s="39" t="s">
        <v>1597</v>
      </c>
      <c r="C1945" s="39">
        <v>49.0</v>
      </c>
      <c r="D1945" s="39" t="s">
        <v>92</v>
      </c>
      <c r="E1945" s="39" t="s">
        <v>3382</v>
      </c>
      <c r="F1945" s="39"/>
      <c r="G1945" s="39" t="s">
        <v>3206</v>
      </c>
      <c r="H1945" s="39" t="s">
        <v>3383</v>
      </c>
      <c r="I1945" s="39"/>
    </row>
    <row r="1946">
      <c r="A1946" s="39" t="s">
        <v>716</v>
      </c>
      <c r="B1946" s="39" t="s">
        <v>1597</v>
      </c>
      <c r="C1946" s="39">
        <v>50.0</v>
      </c>
      <c r="D1946" s="39" t="s">
        <v>92</v>
      </c>
      <c r="E1946" s="39" t="s">
        <v>3384</v>
      </c>
      <c r="F1946" s="39"/>
      <c r="G1946" s="39" t="s">
        <v>3158</v>
      </c>
      <c r="H1946" s="39" t="s">
        <v>3385</v>
      </c>
      <c r="I1946" s="39"/>
    </row>
    <row r="1947">
      <c r="A1947" s="39" t="s">
        <v>716</v>
      </c>
      <c r="B1947" s="39" t="s">
        <v>1597</v>
      </c>
      <c r="C1947" s="39">
        <v>51.0</v>
      </c>
      <c r="D1947" s="39" t="s">
        <v>92</v>
      </c>
      <c r="E1947" s="39" t="s">
        <v>3386</v>
      </c>
      <c r="F1947" s="39"/>
      <c r="G1947" s="39" t="s">
        <v>947</v>
      </c>
      <c r="H1947" s="39"/>
      <c r="I1947" s="39"/>
    </row>
    <row r="1948">
      <c r="A1948" s="39" t="s">
        <v>716</v>
      </c>
      <c r="B1948" s="39" t="s">
        <v>1597</v>
      </c>
      <c r="C1948" s="39">
        <v>52.0</v>
      </c>
      <c r="D1948" s="39" t="s">
        <v>92</v>
      </c>
      <c r="E1948" s="39" t="s">
        <v>3387</v>
      </c>
      <c r="F1948" s="39"/>
      <c r="G1948" s="39" t="s">
        <v>954</v>
      </c>
      <c r="H1948" s="39"/>
      <c r="I1948" s="39"/>
    </row>
    <row r="1949">
      <c r="A1949" s="39" t="s">
        <v>716</v>
      </c>
      <c r="B1949" s="39" t="s">
        <v>1597</v>
      </c>
      <c r="C1949" s="39">
        <v>53.0</v>
      </c>
      <c r="D1949" s="39" t="s">
        <v>3160</v>
      </c>
      <c r="E1949" s="39" t="s">
        <v>3388</v>
      </c>
      <c r="F1949" s="39"/>
      <c r="G1949" s="39" t="s">
        <v>3164</v>
      </c>
      <c r="H1949" s="39"/>
      <c r="I1949" s="39"/>
    </row>
    <row r="1950">
      <c r="A1950" s="39" t="s">
        <v>716</v>
      </c>
      <c r="B1950" s="39" t="s">
        <v>1597</v>
      </c>
      <c r="C1950" s="39">
        <v>54.0</v>
      </c>
      <c r="D1950" s="39" t="s">
        <v>3160</v>
      </c>
      <c r="E1950" s="39" t="s">
        <v>3389</v>
      </c>
      <c r="G1950" s="39" t="s">
        <v>3390</v>
      </c>
    </row>
    <row r="1951">
      <c r="A1951" s="39" t="s">
        <v>716</v>
      </c>
      <c r="B1951" s="39" t="s">
        <v>1597</v>
      </c>
      <c r="C1951" s="39">
        <v>55.0</v>
      </c>
      <c r="D1951" s="39" t="s">
        <v>3160</v>
      </c>
      <c r="E1951" s="39" t="s">
        <v>3391</v>
      </c>
      <c r="F1951" s="39"/>
      <c r="G1951" s="39" t="s">
        <v>3166</v>
      </c>
      <c r="H1951" s="39" t="s">
        <v>3392</v>
      </c>
      <c r="I1951" s="39"/>
    </row>
    <row r="1952">
      <c r="A1952" s="39" t="s">
        <v>716</v>
      </c>
      <c r="B1952" s="39" t="s">
        <v>1597</v>
      </c>
      <c r="C1952" s="39">
        <v>56.0</v>
      </c>
      <c r="D1952" s="39" t="s">
        <v>3160</v>
      </c>
      <c r="E1952" s="39" t="s">
        <v>3393</v>
      </c>
      <c r="F1952" s="39"/>
      <c r="G1952" s="39" t="s">
        <v>3168</v>
      </c>
      <c r="H1952" s="39"/>
      <c r="I1952" s="39"/>
    </row>
    <row r="1953">
      <c r="A1953" s="39" t="s">
        <v>716</v>
      </c>
      <c r="B1953" s="39" t="s">
        <v>1597</v>
      </c>
      <c r="C1953" s="39">
        <v>57.0</v>
      </c>
      <c r="D1953" s="39" t="s">
        <v>3160</v>
      </c>
      <c r="E1953" s="39" t="s">
        <v>3394</v>
      </c>
      <c r="F1953" s="39"/>
      <c r="G1953" s="39" t="s">
        <v>3170</v>
      </c>
      <c r="H1953" s="39"/>
      <c r="I1953" s="39"/>
    </row>
    <row r="1954">
      <c r="A1954" s="39" t="s">
        <v>716</v>
      </c>
      <c r="B1954" s="39" t="s">
        <v>1597</v>
      </c>
      <c r="C1954" s="39">
        <v>58.0</v>
      </c>
      <c r="D1954" s="39" t="s">
        <v>3160</v>
      </c>
      <c r="E1954" s="39" t="s">
        <v>3395</v>
      </c>
      <c r="F1954" s="39"/>
      <c r="G1954" s="39" t="s">
        <v>3168</v>
      </c>
      <c r="H1954" s="39"/>
      <c r="I1954" s="39"/>
    </row>
    <row r="1955">
      <c r="A1955" s="39" t="s">
        <v>716</v>
      </c>
      <c r="B1955" s="39" t="s">
        <v>1597</v>
      </c>
      <c r="C1955" s="39">
        <v>59.0</v>
      </c>
      <c r="D1955" s="39" t="s">
        <v>91</v>
      </c>
      <c r="E1955" s="39" t="s">
        <v>3396</v>
      </c>
      <c r="F1955" s="39"/>
      <c r="G1955" s="56" t="s">
        <v>822</v>
      </c>
      <c r="H1955" s="39"/>
      <c r="I1955" s="39"/>
    </row>
    <row r="1956">
      <c r="A1956" s="39" t="s">
        <v>716</v>
      </c>
      <c r="B1956" s="39" t="s">
        <v>1597</v>
      </c>
      <c r="C1956" s="39">
        <v>60.0</v>
      </c>
      <c r="D1956" s="39" t="s">
        <v>91</v>
      </c>
      <c r="E1956" s="39" t="s">
        <v>3397</v>
      </c>
      <c r="F1956" s="39"/>
      <c r="G1956" s="56" t="s">
        <v>836</v>
      </c>
      <c r="H1956" s="39"/>
      <c r="I1956" s="39"/>
    </row>
    <row r="1957">
      <c r="A1957" s="39" t="s">
        <v>716</v>
      </c>
      <c r="B1957" s="39" t="s">
        <v>1597</v>
      </c>
      <c r="C1957" s="39">
        <v>61.0</v>
      </c>
      <c r="D1957" s="39" t="s">
        <v>91</v>
      </c>
      <c r="E1957" s="39" t="s">
        <v>3398</v>
      </c>
      <c r="F1957" s="39"/>
      <c r="G1957" s="56" t="s">
        <v>806</v>
      </c>
      <c r="H1957" s="39"/>
      <c r="I1957" s="39"/>
    </row>
    <row r="1958">
      <c r="A1958" s="39" t="s">
        <v>716</v>
      </c>
      <c r="B1958" s="39" t="s">
        <v>1597</v>
      </c>
      <c r="C1958" s="39">
        <v>62.0</v>
      </c>
      <c r="D1958" s="39" t="s">
        <v>839</v>
      </c>
      <c r="E1958" s="39" t="s">
        <v>3399</v>
      </c>
      <c r="F1958" s="39"/>
      <c r="G1958" s="39" t="str">
        <f>IFERROR(__xludf.DUMMYFUNCTION("IFS(REGEXMATCH(E1958, ""ammo_ar""), ""Daedalus AR Ammo"", REGEXMATCH(E1958, ""ammo_ps""), ""Daedalus Pistol Ammo"", REGEXMATCH(E1958, ""ammo_sg""), ""Daedalus Shotgun Ammo"", REGEXMATCH(E1958, ""ammo_sm""), ""Daedalus SMG Ammo"", REGEXMATCH(E1958, ""ammo_"&amp;"sr""), ""Daedalus SR Ammo"")"),"Daedalus SMG Ammo")</f>
        <v>Daedalus SMG Ammo</v>
      </c>
      <c r="H1958" s="39"/>
      <c r="I1958" s="39"/>
    </row>
    <row r="1959">
      <c r="A1959" s="39" t="s">
        <v>716</v>
      </c>
      <c r="B1959" s="39" t="s">
        <v>1597</v>
      </c>
      <c r="C1959" s="39">
        <v>63.0</v>
      </c>
      <c r="D1959" s="39" t="s">
        <v>839</v>
      </c>
      <c r="E1959" s="39" t="s">
        <v>3400</v>
      </c>
      <c r="F1959" s="39"/>
      <c r="G1959" s="39" t="str">
        <f>IFERROR(__xludf.DUMMYFUNCTION("IFS(REGEXMATCH(E1959, ""ammo_ar""), ""Daedalus AR Ammo"", REGEXMATCH(E1959, ""ammo_ps""), ""Daedalus Pistol Ammo"", REGEXMATCH(E1959, ""ammo_sg""), ""Daedalus Shotgun Ammo"", REGEXMATCH(E1959, ""ammo_sm""), ""Daedalus SMG Ammo"", REGEXMATCH(E1959, ""ammo_"&amp;"sr""), ""Daedalus SR Ammo"")"),"Daedalus Shotgun Ammo")</f>
        <v>Daedalus Shotgun Ammo</v>
      </c>
      <c r="H1959" s="39"/>
      <c r="I1959" s="39"/>
    </row>
    <row r="1960">
      <c r="A1960" s="39" t="s">
        <v>716</v>
      </c>
      <c r="B1960" s="39" t="s">
        <v>1597</v>
      </c>
      <c r="C1960" s="39">
        <v>64.0</v>
      </c>
      <c r="D1960" s="39" t="s">
        <v>839</v>
      </c>
      <c r="E1960" s="39" t="s">
        <v>3401</v>
      </c>
      <c r="F1960" s="39"/>
      <c r="G1960" s="39" t="str">
        <f>IFERROR(__xludf.DUMMYFUNCTION("IFS(REGEXMATCH(E1960, ""ammo_ar""), ""Daedalus AR Ammo"", REGEXMATCH(E1960, ""ammo_ps""), ""Daedalus Pistol Ammo"", REGEXMATCH(E1960, ""ammo_sg""), ""Daedalus Shotgun Ammo"", REGEXMATCH(E1960, ""ammo_sm""), ""Daedalus SMG Ammo"", REGEXMATCH(E1960, ""ammo_"&amp;"sr""), ""Daedalus SR Ammo"")"),"Daedalus AR Ammo")</f>
        <v>Daedalus AR Ammo</v>
      </c>
      <c r="H1960" s="39"/>
      <c r="I1960" s="39"/>
    </row>
    <row r="1961">
      <c r="A1961" s="39" t="s">
        <v>716</v>
      </c>
      <c r="B1961" s="39" t="s">
        <v>1597</v>
      </c>
      <c r="C1961" s="39">
        <v>65.0</v>
      </c>
      <c r="D1961" s="39" t="s">
        <v>839</v>
      </c>
      <c r="E1961" s="39" t="s">
        <v>3402</v>
      </c>
      <c r="F1961" s="39"/>
      <c r="G1961" s="39" t="str">
        <f>IFERROR(__xludf.DUMMYFUNCTION("IFS(REGEXMATCH(E1961, ""ammo_ar""), ""Daedalus AR Ammo"", REGEXMATCH(E1961, ""ammo_ps""), ""Daedalus Pistol Ammo"", REGEXMATCH(E1961, ""ammo_sg""), ""Daedalus Shotgun Ammo"", REGEXMATCH(E1961, ""ammo_sm""), ""Daedalus SMG Ammo"", REGEXMATCH(E1961, ""ammo_"&amp;"sr""), ""Daedalus SR Ammo"")"),"Daedalus Pistol Ammo")</f>
        <v>Daedalus Pistol Ammo</v>
      </c>
      <c r="H1961" s="39"/>
      <c r="I1961" s="39"/>
    </row>
    <row r="1962">
      <c r="A1962" s="39" t="s">
        <v>716</v>
      </c>
      <c r="B1962" s="39" t="s">
        <v>1597</v>
      </c>
      <c r="C1962" s="39">
        <v>68.0</v>
      </c>
      <c r="D1962" s="39" t="s">
        <v>84</v>
      </c>
      <c r="E1962" s="39" t="s">
        <v>3403</v>
      </c>
      <c r="F1962" s="39"/>
      <c r="G1962" s="39" t="s">
        <v>3404</v>
      </c>
      <c r="H1962" s="39" t="s">
        <v>3405</v>
      </c>
      <c r="I1962" s="39"/>
    </row>
    <row r="1963">
      <c r="A1963" s="39" t="s">
        <v>716</v>
      </c>
      <c r="B1963" s="39" t="s">
        <v>1597</v>
      </c>
      <c r="C1963" s="39">
        <v>71.0</v>
      </c>
      <c r="D1963" s="39" t="s">
        <v>90</v>
      </c>
      <c r="E1963" s="39" t="s">
        <v>3406</v>
      </c>
      <c r="F1963" s="39"/>
      <c r="G1963" s="39" t="s">
        <v>3407</v>
      </c>
      <c r="H1963" s="39"/>
      <c r="I1963" s="39"/>
    </row>
    <row r="1964">
      <c r="A1964" s="39" t="s">
        <v>716</v>
      </c>
      <c r="B1964" s="39" t="s">
        <v>1597</v>
      </c>
      <c r="C1964" s="39">
        <v>72.0</v>
      </c>
      <c r="D1964" s="39" t="s">
        <v>84</v>
      </c>
      <c r="E1964" s="39" t="s">
        <v>3408</v>
      </c>
      <c r="F1964" s="39"/>
      <c r="G1964" s="39" t="s">
        <v>3409</v>
      </c>
      <c r="H1964" s="39" t="s">
        <v>3410</v>
      </c>
      <c r="I1964" s="39"/>
    </row>
    <row r="1965">
      <c r="A1965" s="39" t="s">
        <v>716</v>
      </c>
      <c r="B1965" s="39" t="s">
        <v>1597</v>
      </c>
      <c r="C1965" s="39">
        <v>73.0</v>
      </c>
      <c r="D1965" s="39" t="s">
        <v>819</v>
      </c>
      <c r="E1965" s="39" t="s">
        <v>3411</v>
      </c>
      <c r="F1965" s="39"/>
      <c r="G1965" s="56" t="s">
        <v>822</v>
      </c>
      <c r="H1965" s="39"/>
      <c r="I1965" s="39"/>
    </row>
    <row r="1966">
      <c r="A1966" s="39" t="s">
        <v>716</v>
      </c>
      <c r="B1966" s="39" t="s">
        <v>1597</v>
      </c>
      <c r="C1966" s="39">
        <v>74.0</v>
      </c>
      <c r="D1966" s="39" t="s">
        <v>819</v>
      </c>
      <c r="E1966" s="39" t="s">
        <v>3412</v>
      </c>
      <c r="F1966" s="39"/>
      <c r="G1966" s="56" t="s">
        <v>825</v>
      </c>
      <c r="H1966" s="39"/>
      <c r="I1966" s="39"/>
    </row>
    <row r="1967">
      <c r="A1967" s="39" t="s">
        <v>716</v>
      </c>
      <c r="B1967" s="39" t="s">
        <v>1597</v>
      </c>
      <c r="C1967" s="39">
        <v>75.0</v>
      </c>
      <c r="D1967" s="39" t="s">
        <v>819</v>
      </c>
      <c r="E1967" s="39" t="s">
        <v>3413</v>
      </c>
      <c r="F1967" s="39"/>
      <c r="G1967" s="56" t="s">
        <v>1690</v>
      </c>
      <c r="H1967" s="39"/>
      <c r="I1967" s="39"/>
    </row>
    <row r="1968">
      <c r="A1968" s="39" t="s">
        <v>716</v>
      </c>
      <c r="B1968" s="39" t="s">
        <v>1597</v>
      </c>
      <c r="C1968" s="39">
        <v>76.0</v>
      </c>
      <c r="D1968" s="39" t="s">
        <v>819</v>
      </c>
      <c r="E1968" s="39" t="s">
        <v>3414</v>
      </c>
      <c r="F1968" s="39"/>
      <c r="G1968" s="56" t="s">
        <v>1690</v>
      </c>
      <c r="H1968" s="39"/>
      <c r="I1968" s="39"/>
    </row>
    <row r="1969">
      <c r="A1969" s="39" t="s">
        <v>716</v>
      </c>
      <c r="B1969" s="39" t="s">
        <v>1597</v>
      </c>
      <c r="C1969" s="39">
        <v>77.0</v>
      </c>
      <c r="D1969" s="39" t="s">
        <v>819</v>
      </c>
      <c r="E1969" s="39" t="s">
        <v>3415</v>
      </c>
      <c r="F1969" s="39"/>
      <c r="G1969" s="56" t="s">
        <v>822</v>
      </c>
      <c r="H1969" s="39"/>
      <c r="I1969" s="39"/>
    </row>
    <row r="1970">
      <c r="A1970" s="39" t="s">
        <v>716</v>
      </c>
      <c r="B1970" s="39" t="s">
        <v>1597</v>
      </c>
      <c r="C1970" s="39">
        <v>78.0</v>
      </c>
      <c r="D1970" s="39" t="s">
        <v>819</v>
      </c>
      <c r="E1970" s="39" t="s">
        <v>3416</v>
      </c>
      <c r="F1970" s="39"/>
      <c r="G1970" s="39" t="s">
        <v>809</v>
      </c>
      <c r="H1970" s="39"/>
      <c r="I1970" s="39"/>
    </row>
    <row r="1971">
      <c r="A1971" s="39" t="s">
        <v>716</v>
      </c>
      <c r="B1971" s="39" t="s">
        <v>1597</v>
      </c>
      <c r="C1971" s="39">
        <v>79.0</v>
      </c>
      <c r="D1971" s="39" t="s">
        <v>819</v>
      </c>
      <c r="E1971" s="39" t="s">
        <v>3417</v>
      </c>
      <c r="F1971" s="39"/>
      <c r="G1971" s="56" t="s">
        <v>836</v>
      </c>
      <c r="H1971" s="39"/>
      <c r="I1971" s="39"/>
    </row>
    <row r="1972">
      <c r="A1972" s="39" t="s">
        <v>716</v>
      </c>
      <c r="B1972" s="39" t="s">
        <v>1597</v>
      </c>
      <c r="C1972" s="39">
        <v>80.0</v>
      </c>
      <c r="D1972" s="39" t="s">
        <v>819</v>
      </c>
      <c r="E1972" s="39" t="s">
        <v>3418</v>
      </c>
      <c r="F1972" s="39"/>
      <c r="G1972" s="56" t="s">
        <v>836</v>
      </c>
      <c r="H1972" s="39"/>
      <c r="I1972" s="39"/>
    </row>
    <row r="1973">
      <c r="A1973" s="39" t="s">
        <v>716</v>
      </c>
      <c r="B1973" s="39" t="s">
        <v>1597</v>
      </c>
      <c r="C1973" s="39">
        <v>81.0</v>
      </c>
      <c r="D1973" s="39" t="s">
        <v>839</v>
      </c>
      <c r="E1973" s="39" t="s">
        <v>3419</v>
      </c>
      <c r="F1973" s="39"/>
      <c r="G1973" s="39" t="s">
        <v>845</v>
      </c>
      <c r="H1973" s="39"/>
      <c r="I1973" s="39"/>
    </row>
    <row r="1974">
      <c r="A1974" s="39" t="s">
        <v>716</v>
      </c>
      <c r="B1974" s="39" t="s">
        <v>1597</v>
      </c>
      <c r="C1974" s="39">
        <v>82.0</v>
      </c>
      <c r="D1974" s="39" t="s">
        <v>839</v>
      </c>
      <c r="E1974" s="39" t="s">
        <v>3420</v>
      </c>
      <c r="F1974" s="39"/>
      <c r="G1974" s="39" t="s">
        <v>847</v>
      </c>
      <c r="H1974" s="39"/>
      <c r="I1974" s="39"/>
    </row>
    <row r="1975">
      <c r="A1975" s="39" t="s">
        <v>716</v>
      </c>
      <c r="B1975" s="39" t="s">
        <v>1597</v>
      </c>
      <c r="C1975" s="39">
        <v>83.0</v>
      </c>
      <c r="D1975" s="39" t="s">
        <v>839</v>
      </c>
      <c r="E1975" s="39" t="s">
        <v>3421</v>
      </c>
      <c r="F1975" s="39"/>
      <c r="G1975" s="39" t="s">
        <v>853</v>
      </c>
      <c r="H1975" s="39"/>
      <c r="I1975" s="39"/>
    </row>
    <row r="1976">
      <c r="A1976" s="39" t="s">
        <v>716</v>
      </c>
      <c r="B1976" s="39" t="s">
        <v>1597</v>
      </c>
      <c r="C1976" s="39">
        <v>84.0</v>
      </c>
      <c r="D1976" s="39" t="s">
        <v>839</v>
      </c>
      <c r="E1976" s="39" t="s">
        <v>3422</v>
      </c>
      <c r="F1976" s="39"/>
      <c r="G1976" s="39" t="s">
        <v>850</v>
      </c>
      <c r="H1976" s="39"/>
      <c r="I1976" s="39"/>
    </row>
    <row r="1977">
      <c r="A1977" s="39" t="s">
        <v>716</v>
      </c>
      <c r="B1977" s="39" t="s">
        <v>1597</v>
      </c>
      <c r="C1977" s="39">
        <v>85.0</v>
      </c>
      <c r="D1977" s="39" t="s">
        <v>839</v>
      </c>
      <c r="E1977" s="39" t="s">
        <v>3423</v>
      </c>
      <c r="F1977" s="39"/>
      <c r="G1977" s="39" t="s">
        <v>856</v>
      </c>
      <c r="H1977" s="39"/>
      <c r="I1977" s="39"/>
    </row>
    <row r="1978">
      <c r="A1978" s="39" t="s">
        <v>716</v>
      </c>
      <c r="B1978" s="39" t="s">
        <v>1597</v>
      </c>
      <c r="C1978" s="39">
        <v>86.0</v>
      </c>
      <c r="D1978" s="39" t="s">
        <v>90</v>
      </c>
      <c r="E1978" s="39" t="s">
        <v>3424</v>
      </c>
      <c r="F1978" s="39"/>
      <c r="G1978" s="39" t="s">
        <v>924</v>
      </c>
      <c r="H1978" s="39"/>
      <c r="I1978" s="39"/>
    </row>
  </sheetData>
  <autoFilter ref="$A$1:$K$1978"/>
  <customSheetViews>
    <customSheetView guid="{177AEB7B-13C7-4E1E-852D-629C199ED95B}" filter="1" showAutoFilter="1">
      <autoFilter ref="$A$1:$K$1978">
        <filterColumn colId="1">
          <filters>
            <filter val="Pistol"/>
            <filter val="Shotgun"/>
            <filter val="Assault Rifle"/>
          </filters>
        </filterColumn>
        <filterColumn colId="0">
          <filters>
            <filter val="Maliwan"/>
          </filters>
        </filterColumn>
      </autoFilter>
    </customSheetView>
    <customSheetView guid="{E15A8782-D8C6-481A-986F-4AACC232B713}" filter="1" showAutoFilter="1">
      <autoFilter ref="$A$1:$K$1978">
        <filterColumn colId="1">
          <filters>
            <filter val="Shotgun"/>
            <filter val="SMG"/>
            <filter val="Sniper"/>
          </filters>
        </filterColumn>
        <filterColumn colId="0">
          <filters>
            <filter val="Order"/>
          </filters>
        </filterColumn>
      </autoFilter>
    </customSheetView>
    <customSheetView guid="{2518ED6E-EA5F-4E23-934B-C17FD29FC216}" filter="1" showAutoFilter="1">
      <autoFilter ref="$A$1:$K$1978">
        <filterColumn colId="1">
          <filters>
            <filter val="SMG"/>
            <filter val="Assault Rifle"/>
          </filters>
        </filterColumn>
        <filterColumn colId="0">
          <filters>
            <filter val="Jakobs"/>
          </filters>
        </filterColumn>
      </autoFilter>
    </customSheetView>
    <customSheetView guid="{1DB3845C-94FD-40DA-B239-1BB7FBCC68D4}" filter="1" showAutoFilter="1">
      <autoFilter ref="$A$1:$I$1978">
        <filterColumn colId="0">
          <filters>
            <filter val="Daedalus"/>
          </filters>
        </filterColumn>
        <filterColumn colId="1">
          <filters>
            <filter val="Shotgun"/>
            <filter val="Sniper"/>
          </filters>
        </filterColumn>
      </autoFilter>
    </customSheetView>
    <customSheetView guid="{EF49AFF9-ED0E-4826-A737-2F9BB6128457}" filter="1" showAutoFilter="1">
      <autoFilter ref="$A$1:$K$1978">
        <filterColumn colId="1">
          <filters>
            <filter val="Pistol"/>
            <filter val="Sniper"/>
            <filter val="Assault Rifle"/>
          </filters>
        </filterColumn>
        <filterColumn colId="0">
          <filters>
            <filter val="Maliwan"/>
          </filters>
        </filterColumn>
      </autoFilter>
    </customSheetView>
    <customSheetView guid="{C7A34CCC-77A1-4743-9C92-436B9ED5A18F}" filter="1" showAutoFilter="1">
      <autoFilter ref="$A$1:$I$1978">
        <filterColumn colId="0">
          <filters>
            <filter val="Daedalus"/>
          </filters>
        </filterColumn>
        <filterColumn colId="1">
          <filters>
            <filter val="SMG"/>
            <filter val="Sniper"/>
          </filters>
        </filterColumn>
      </autoFilter>
    </customSheetView>
    <customSheetView guid="{D050691C-8046-4CD2-9A4D-A63E36CD4768}" filter="1" showAutoFilter="1">
      <autoFilter ref="$A$1:$K$1978">
        <filterColumn colId="1">
          <filters>
            <filter val="Pistol"/>
            <filter val="SMG"/>
          </filters>
        </filterColumn>
        <filterColumn colId="0">
          <filters>
            <filter val="Jakobs"/>
          </filters>
        </filterColumn>
      </autoFilter>
    </customSheetView>
    <customSheetView guid="{B6E2FD33-C1A4-423F-8799-CAAE3A83B9C0}" filter="1" showAutoFilter="1">
      <autoFilter ref="$A$1:$K$1978">
        <filterColumn colId="1">
          <filters>
            <filter val="Shotgun"/>
            <filter val="SMG"/>
          </filters>
        </filterColumn>
        <filterColumn colId="0">
          <filters>
            <filter val="Jakobs"/>
          </filters>
        </filterColumn>
      </autoFilter>
    </customSheetView>
    <customSheetView guid="{218E1C3E-DD2B-4AFA-AD58-D910C2F787D1}" filter="1" showAutoFilter="1">
      <autoFilter ref="$A$1:$K$1978">
        <filterColumn colId="1">
          <filters>
            <filter val="Pistol"/>
            <filter val="SMG"/>
            <filter val="Assault Rifle"/>
          </filters>
        </filterColumn>
        <filterColumn colId="0">
          <filters>
            <filter val="Maliwan"/>
          </filters>
        </filterColumn>
      </autoFilter>
    </customSheetView>
    <customSheetView guid="{0DD19080-80FE-4248-9666-DBA3FCA54C26}" filter="1" showAutoFilter="1">
      <autoFilter ref="$A$1:$K$1978">
        <filterColumn colId="1">
          <filters>
            <filter val="SMG"/>
            <filter val="Sniper"/>
          </filters>
        </filterColumn>
        <filterColumn colId="0">
          <filters>
            <filter val="Jakobs"/>
          </filters>
        </filterColumn>
      </autoFilter>
    </customSheetView>
    <customSheetView guid="{6E12540D-5CF2-4462-BC63-ADE350DC906D}" filter="1" showAutoFilter="1">
      <autoFilter ref="$A$1:$K$1978">
        <filterColumn colId="1">
          <filters>
            <filter val="Shotgun"/>
            <filter val="SMG"/>
            <filter val="Assault Rifle"/>
          </filters>
        </filterColumn>
        <filterColumn colId="0">
          <filters>
            <filter val="Order"/>
          </filters>
        </filterColumn>
      </autoFilter>
    </customSheetView>
    <customSheetView guid="{47102868-21FF-4A8F-9F56-DA64E33DE7EB}" filter="1" showAutoFilter="1">
      <autoFilter ref="$A$1:$K$1978">
        <filterColumn colId="1">
          <filters>
            <filter val="Pistol"/>
            <filter val="Shotgun"/>
            <filter val="SMG"/>
          </filters>
        </filterColumn>
        <filterColumn colId="0">
          <filters>
            <filter val="Order"/>
          </filters>
        </filterColumn>
      </autoFilter>
    </customSheetView>
    <customSheetView guid="{60A48C14-7B37-434F-8A64-5F06CFA14AAA}" filter="1" showAutoFilter="1">
      <autoFilter ref="$A$1:$I$1978">
        <filterColumn colId="0">
          <filters>
            <filter val="Daedalus"/>
          </filters>
        </filterColumn>
        <filterColumn colId="1">
          <filters>
            <filter val="Pistol"/>
            <filter val="Sniper"/>
          </filters>
        </filterColumn>
      </autoFilter>
    </customSheetView>
    <customSheetView guid="{74B3D800-BB03-4159-96D0-FD1414451D37}" filter="1" showAutoFilter="1">
      <autoFilter ref="$A$1:$I$1978">
        <filterColumn colId="0">
          <filters>
            <filter val="Daedalus"/>
          </filters>
        </filterColumn>
        <filterColumn colId="1">
          <filters>
            <filter val="Sniper"/>
            <filter val="Assault Rifle"/>
          </filters>
        </filterColumn>
      </autoFilter>
    </customSheetView>
  </customSheetViews>
  <dataValidations>
    <dataValidation type="list" allowBlank="1" showDropDown="1" showErrorMessage="1" sqref="D2:D1978">
      <formula1>"Body,Body Accessory,Barrel,Barrel Accessory,Grip,Foregrip,Underbarrel,Underbarrel Accessory,Manufacturer Part,Magazine,Scope,Scope Accessory,Stat Modifier,Unknown"</formula1>
    </dataValidation>
    <dataValidation type="list" allowBlank="1" showDropDown="1" sqref="G2:G1978">
      <formula1>"'+Accuracy,'-Accuracy,'+Ammo,'-Ammo,'+Blast Radius,'+Crit Damage,'+Damage,'+Elemental Damage,'+Fire Rate,'-Reload Speed,'+Reload Speed,'+Stability,'+DPS with no visual stat change,No Stat Changes,No Stat Changes, always present,ADS,ADS +Zoom,ADS ++Zoom,AD"&amp;"S +++Zoom,ADS ++++Zoom,Alt Fire - Big Rocket,Alt Fire - Deployable Barrier,Alt Fire - Bipod,Alt Fire - COMBO,Alt Fire - Death Sphere,Alt Fire - Energy Burst,Alt Fire - Energy Discharge,Alt Fire - Exhaust Blast,Alt Fire - Extra Barrel,Alt Fire - Flame Blas"&amp;"t,Alt Fire - Flamethrower,Alt Fire - Fuel Rod Discharge,Alt Fire - Gas Trap,Alt Fire - Gauss Gun,Alt Fire - Gravity Well,Alt Fire - Grenade Launcher,Alt Fire - Kill Drone,Alt Fire - Laser Wire,Alt Fire - Lightning Beam,Alt Fire - Magnum Rockets,Alt Fire -"&amp;" Micro-Rockets,Alt Fire - Micro-Rocket POD,Alt Fire - Motile Bipod,Alt Fire - Ordonite Spike,Alt Fire - Proximity Mines,Alt Fire - Railgun,Alt Fire - Ripper Rocket Launcher,Alt Fire - Rocket Pod,Alt Fire - Rolling Thunder Grenades,Alt Fire - Seeker Missle"&amp;"s,Alt Fire - Shock Field,Alt Fire - Shotgun,Alt Fire - Shrapnel Cannon,Alt Fire - Singularity Grenade Launcher,Alt Fire - Taser,Alt Fire - Tether Snare,Alt Fire - Turbine Cleaver,Alt Fire - Zip Rockets,Daedalus Ammo Switch,Maliwan Element Switch,Atlas Tra"&amp;"cker Grenades,Atlas Tracker Darts,Daedalus AR Ammo,Daedalus Pistol Ammo,Daedalus Shotgun Ammo,Daedalus SMG Ammo,Daedalus SR Ammo,Hyperion Shield,Hyperion Ricochet Shield,Hyperion Absorb Shield,Hyperion Amp Shield,Hyperion Grip, -Acc, Acc increases with co"&amp;"ntinuous fire,Hyperion Shield visual accessory, no stat changes,Jakobs Ricochet,Torgue Impact Gyrojets,Torgue Sticky Gyrojets,Tediore Reload, no stat changes,Tediore Shooting, no stat changes,Tediore Combo, no stat changes,Tediore MIRV, no stat changes,Te"&amp;"diore Replicator, no stat changes,Tediore reload modifier: Homing, no stat changes,Tediore reload modifier: Javelin, no stat changes,Tediore reload modifier: Legs, no stat changes,Increases Big Rocket DMG,Increase Flamethrower Damage,Increases Shotgun DMG"&amp;",Increase Taser Damage"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2" width="16.25"/>
    <col customWidth="1" min="3" max="4" width="8.25"/>
    <col customWidth="1" min="5" max="5" width="71.25"/>
  </cols>
  <sheetData>
    <row r="1">
      <c r="A1" s="60" t="s">
        <v>790</v>
      </c>
      <c r="B1" s="60" t="s">
        <v>83</v>
      </c>
      <c r="C1" s="60" t="s">
        <v>3425</v>
      </c>
      <c r="D1" s="60" t="s">
        <v>788</v>
      </c>
      <c r="E1" s="60" t="s">
        <v>3426</v>
      </c>
    </row>
    <row r="2">
      <c r="A2" s="61" t="s">
        <v>3427</v>
      </c>
      <c r="B2" s="62" t="s">
        <v>3428</v>
      </c>
      <c r="C2" s="63">
        <v>1.0</v>
      </c>
      <c r="D2" s="63">
        <v>10.0</v>
      </c>
      <c r="E2" s="64" t="s">
        <v>3429</v>
      </c>
    </row>
    <row r="3">
      <c r="A3" s="65" t="s">
        <v>3430</v>
      </c>
      <c r="B3" s="66" t="s">
        <v>3431</v>
      </c>
      <c r="C3" s="67">
        <v>1.0</v>
      </c>
      <c r="D3" s="67">
        <v>11.0</v>
      </c>
      <c r="E3" s="64" t="s">
        <v>3429</v>
      </c>
    </row>
    <row r="4">
      <c r="A4" s="65" t="s">
        <v>3432</v>
      </c>
      <c r="B4" s="68" t="s">
        <v>3433</v>
      </c>
      <c r="C4" s="67">
        <v>1.0</v>
      </c>
      <c r="D4" s="67">
        <v>12.0</v>
      </c>
      <c r="E4" s="64" t="s">
        <v>3429</v>
      </c>
    </row>
    <row r="5">
      <c r="A5" s="65" t="s">
        <v>3434</v>
      </c>
      <c r="B5" s="69" t="s">
        <v>3435</v>
      </c>
      <c r="C5" s="67">
        <v>1.0</v>
      </c>
      <c r="D5" s="67">
        <v>13.0</v>
      </c>
      <c r="E5" s="64" t="s">
        <v>3429</v>
      </c>
    </row>
    <row r="6">
      <c r="A6" s="65" t="s">
        <v>3436</v>
      </c>
      <c r="B6" s="70" t="s">
        <v>3437</v>
      </c>
      <c r="C6" s="67">
        <v>1.0</v>
      </c>
      <c r="D6" s="67">
        <v>14.0</v>
      </c>
      <c r="E6" s="64" t="s">
        <v>3429</v>
      </c>
    </row>
    <row r="7">
      <c r="A7" s="61" t="s">
        <v>3438</v>
      </c>
      <c r="B7" s="62" t="s">
        <v>3439</v>
      </c>
      <c r="C7" s="63">
        <v>1.0</v>
      </c>
      <c r="D7" s="63">
        <v>28.0</v>
      </c>
      <c r="E7" s="64" t="s">
        <v>3440</v>
      </c>
    </row>
    <row r="8">
      <c r="A8" s="65" t="s">
        <v>3441</v>
      </c>
      <c r="B8" s="71" t="s">
        <v>3442</v>
      </c>
      <c r="C8" s="67">
        <v>1.0</v>
      </c>
      <c r="D8" s="67">
        <v>27.0</v>
      </c>
      <c r="E8" s="64" t="s">
        <v>3440</v>
      </c>
    </row>
    <row r="9">
      <c r="A9" s="65" t="s">
        <v>3443</v>
      </c>
      <c r="B9" s="71" t="s">
        <v>3444</v>
      </c>
      <c r="C9" s="67">
        <v>1.0</v>
      </c>
      <c r="D9" s="67">
        <v>26.0</v>
      </c>
      <c r="E9" s="64" t="s">
        <v>3440</v>
      </c>
    </row>
    <row r="10">
      <c r="A10" s="65" t="s">
        <v>3445</v>
      </c>
      <c r="B10" s="71" t="s">
        <v>3446</v>
      </c>
      <c r="C10" s="67">
        <v>1.0</v>
      </c>
      <c r="D10" s="67">
        <v>25.0</v>
      </c>
      <c r="E10" s="64" t="s">
        <v>3440</v>
      </c>
    </row>
    <row r="11">
      <c r="A11" s="65" t="s">
        <v>3447</v>
      </c>
      <c r="B11" s="66" t="s">
        <v>3448</v>
      </c>
      <c r="C11" s="67">
        <v>1.0</v>
      </c>
      <c r="D11" s="67">
        <v>24.0</v>
      </c>
      <c r="E11" s="64" t="s">
        <v>3440</v>
      </c>
    </row>
    <row r="12">
      <c r="A12" s="65" t="s">
        <v>3449</v>
      </c>
      <c r="B12" s="66" t="s">
        <v>3450</v>
      </c>
      <c r="C12" s="67">
        <v>1.0</v>
      </c>
      <c r="D12" s="67">
        <v>23.0</v>
      </c>
      <c r="E12" s="64" t="s">
        <v>3440</v>
      </c>
    </row>
    <row r="13">
      <c r="A13" s="65" t="s">
        <v>3451</v>
      </c>
      <c r="B13" s="66" t="s">
        <v>3452</v>
      </c>
      <c r="C13" s="67">
        <v>1.0</v>
      </c>
      <c r="D13" s="67">
        <v>22.0</v>
      </c>
      <c r="E13" s="64" t="s">
        <v>3440</v>
      </c>
    </row>
    <row r="14">
      <c r="A14" s="65" t="s">
        <v>3453</v>
      </c>
      <c r="B14" s="66" t="s">
        <v>3454</v>
      </c>
      <c r="C14" s="67">
        <v>1.0</v>
      </c>
      <c r="D14" s="67">
        <v>21.0</v>
      </c>
      <c r="E14" s="64" t="s">
        <v>3440</v>
      </c>
    </row>
    <row r="15">
      <c r="A15" s="65" t="s">
        <v>3455</v>
      </c>
      <c r="B15" s="68" t="s">
        <v>3456</v>
      </c>
      <c r="C15" s="67">
        <v>1.0</v>
      </c>
      <c r="D15" s="67">
        <v>20.0</v>
      </c>
      <c r="E15" s="64" t="s">
        <v>3440</v>
      </c>
    </row>
    <row r="16">
      <c r="A16" s="65" t="s">
        <v>3457</v>
      </c>
      <c r="B16" s="68" t="s">
        <v>3458</v>
      </c>
      <c r="C16" s="67">
        <v>1.0</v>
      </c>
      <c r="D16" s="67">
        <v>19.0</v>
      </c>
      <c r="E16" s="64" t="s">
        <v>3440</v>
      </c>
    </row>
    <row r="17">
      <c r="A17" s="65" t="s">
        <v>3459</v>
      </c>
      <c r="B17" s="68" t="s">
        <v>3460</v>
      </c>
      <c r="C17" s="67">
        <v>1.0</v>
      </c>
      <c r="D17" s="67">
        <v>18.0</v>
      </c>
      <c r="E17" s="64" t="s">
        <v>3440</v>
      </c>
    </row>
    <row r="18">
      <c r="A18" s="65" t="s">
        <v>3461</v>
      </c>
      <c r="B18" s="68" t="s">
        <v>3462</v>
      </c>
      <c r="C18" s="67">
        <v>1.0</v>
      </c>
      <c r="D18" s="67">
        <v>48.0</v>
      </c>
      <c r="E18" s="64" t="s">
        <v>3440</v>
      </c>
    </row>
    <row r="19">
      <c r="A19" s="65" t="s">
        <v>3463</v>
      </c>
      <c r="B19" s="69" t="s">
        <v>3464</v>
      </c>
      <c r="C19" s="67">
        <v>1.0</v>
      </c>
      <c r="D19" s="67">
        <v>17.0</v>
      </c>
      <c r="E19" s="64" t="s">
        <v>3440</v>
      </c>
    </row>
    <row r="20">
      <c r="A20" s="65" t="s">
        <v>3465</v>
      </c>
      <c r="B20" s="69" t="s">
        <v>3466</v>
      </c>
      <c r="C20" s="67">
        <v>1.0</v>
      </c>
      <c r="D20" s="67">
        <v>16.0</v>
      </c>
      <c r="E20" s="64" t="s">
        <v>3440</v>
      </c>
    </row>
    <row r="21">
      <c r="A21" s="65" t="s">
        <v>3467</v>
      </c>
      <c r="B21" s="69" t="s">
        <v>3468</v>
      </c>
      <c r="C21" s="67">
        <v>1.0</v>
      </c>
      <c r="D21" s="67">
        <v>15.0</v>
      </c>
      <c r="E21" s="64" t="s">
        <v>3440</v>
      </c>
    </row>
    <row r="22">
      <c r="A22" s="65" t="s">
        <v>3469</v>
      </c>
      <c r="B22" s="69" t="s">
        <v>3470</v>
      </c>
      <c r="C22" s="67">
        <v>1.0</v>
      </c>
      <c r="D22" s="67">
        <v>9.0</v>
      </c>
      <c r="E22" s="64" t="s">
        <v>3440</v>
      </c>
    </row>
    <row r="23">
      <c r="A23" s="65" t="s">
        <v>3471</v>
      </c>
      <c r="B23" s="70" t="s">
        <v>3472</v>
      </c>
      <c r="C23" s="67">
        <v>1.0</v>
      </c>
      <c r="D23" s="67">
        <v>8.0</v>
      </c>
      <c r="E23" s="64" t="s">
        <v>3440</v>
      </c>
    </row>
    <row r="24">
      <c r="A24" s="65" t="s">
        <v>3473</v>
      </c>
      <c r="B24" s="70" t="s">
        <v>3474</v>
      </c>
      <c r="C24" s="67">
        <v>1.0</v>
      </c>
      <c r="D24" s="67">
        <v>7.0</v>
      </c>
      <c r="E24" s="64" t="s">
        <v>3440</v>
      </c>
    </row>
    <row r="25">
      <c r="A25" s="65" t="s">
        <v>3475</v>
      </c>
      <c r="B25" s="70" t="s">
        <v>3476</v>
      </c>
      <c r="C25" s="67">
        <v>1.0</v>
      </c>
      <c r="D25" s="67">
        <v>6.0</v>
      </c>
      <c r="E25" s="64" t="s">
        <v>3440</v>
      </c>
    </row>
    <row r="26">
      <c r="A26" s="65" t="s">
        <v>3477</v>
      </c>
      <c r="B26" s="70" t="s">
        <v>3478</v>
      </c>
      <c r="C26" s="67">
        <v>1.0</v>
      </c>
      <c r="D26" s="67">
        <v>5.0</v>
      </c>
      <c r="E26" s="64" t="s">
        <v>3440</v>
      </c>
    </row>
    <row r="27">
      <c r="A27" s="61" t="s">
        <v>3479</v>
      </c>
      <c r="B27" s="62" t="s">
        <v>3439</v>
      </c>
      <c r="C27" s="63">
        <v>1.0</v>
      </c>
      <c r="D27" s="63">
        <v>40.0</v>
      </c>
      <c r="E27" s="72" t="s">
        <v>3480</v>
      </c>
    </row>
    <row r="28">
      <c r="A28" s="65" t="s">
        <v>3481</v>
      </c>
      <c r="B28" s="71" t="s">
        <v>3442</v>
      </c>
      <c r="C28" s="67">
        <v>1.0</v>
      </c>
      <c r="D28" s="67">
        <v>44.0</v>
      </c>
      <c r="E28" s="72" t="s">
        <v>3480</v>
      </c>
    </row>
    <row r="29">
      <c r="A29" s="65" t="s">
        <v>3482</v>
      </c>
      <c r="B29" s="71" t="s">
        <v>3444</v>
      </c>
      <c r="C29" s="67">
        <v>1.0</v>
      </c>
      <c r="D29" s="67">
        <v>32.0</v>
      </c>
      <c r="E29" s="72" t="s">
        <v>3480</v>
      </c>
    </row>
    <row r="30">
      <c r="A30" s="65" t="s">
        <v>3483</v>
      </c>
      <c r="B30" s="71" t="s">
        <v>3446</v>
      </c>
      <c r="C30" s="67">
        <v>1.0</v>
      </c>
      <c r="D30" s="67">
        <v>47.0</v>
      </c>
      <c r="E30" s="72" t="s">
        <v>3480</v>
      </c>
    </row>
    <row r="31">
      <c r="A31" s="65" t="s">
        <v>3484</v>
      </c>
      <c r="B31" s="66" t="s">
        <v>3448</v>
      </c>
      <c r="C31" s="67">
        <v>1.0</v>
      </c>
      <c r="D31" s="67">
        <v>36.0</v>
      </c>
      <c r="E31" s="72" t="s">
        <v>3480</v>
      </c>
    </row>
    <row r="32">
      <c r="A32" s="65" t="s">
        <v>3485</v>
      </c>
      <c r="B32" s="66" t="s">
        <v>3450</v>
      </c>
      <c r="C32" s="67">
        <v>1.0</v>
      </c>
      <c r="D32" s="67">
        <v>42.0</v>
      </c>
      <c r="E32" s="72" t="s">
        <v>3480</v>
      </c>
    </row>
    <row r="33">
      <c r="A33" s="65" t="s">
        <v>3486</v>
      </c>
      <c r="B33" s="66" t="s">
        <v>3452</v>
      </c>
      <c r="C33" s="67">
        <v>1.0</v>
      </c>
      <c r="D33" s="67">
        <v>31.0</v>
      </c>
      <c r="E33" s="72" t="s">
        <v>3480</v>
      </c>
    </row>
    <row r="34">
      <c r="A34" s="65" t="s">
        <v>3487</v>
      </c>
      <c r="B34" s="66" t="s">
        <v>3454</v>
      </c>
      <c r="C34" s="67">
        <v>1.0</v>
      </c>
      <c r="D34" s="67">
        <v>46.0</v>
      </c>
      <c r="E34" s="72" t="s">
        <v>3480</v>
      </c>
    </row>
    <row r="35">
      <c r="A35" s="65" t="s">
        <v>3488</v>
      </c>
      <c r="B35" s="68" t="s">
        <v>3456</v>
      </c>
      <c r="C35" s="67">
        <v>1.0</v>
      </c>
      <c r="D35" s="67">
        <v>35.0</v>
      </c>
      <c r="E35" s="72" t="s">
        <v>3480</v>
      </c>
    </row>
    <row r="36">
      <c r="A36" s="65" t="s">
        <v>3489</v>
      </c>
      <c r="B36" s="68" t="s">
        <v>3458</v>
      </c>
      <c r="C36" s="67">
        <v>1.0</v>
      </c>
      <c r="D36" s="67">
        <v>39.0</v>
      </c>
      <c r="E36" s="72" t="s">
        <v>3480</v>
      </c>
    </row>
    <row r="37">
      <c r="A37" s="65" t="s">
        <v>3490</v>
      </c>
      <c r="B37" s="68" t="s">
        <v>3460</v>
      </c>
      <c r="C37" s="67">
        <v>1.0</v>
      </c>
      <c r="D37" s="67">
        <v>30.0</v>
      </c>
      <c r="E37" s="72" t="s">
        <v>3480</v>
      </c>
    </row>
    <row r="38">
      <c r="A38" s="65" t="s">
        <v>3491</v>
      </c>
      <c r="B38" s="68" t="s">
        <v>3462</v>
      </c>
      <c r="C38" s="67">
        <v>1.0</v>
      </c>
      <c r="D38" s="67">
        <v>49.0</v>
      </c>
      <c r="E38" s="72" t="s">
        <v>3480</v>
      </c>
    </row>
    <row r="39">
      <c r="A39" s="65" t="s">
        <v>3492</v>
      </c>
      <c r="B39" s="69" t="s">
        <v>3464</v>
      </c>
      <c r="C39" s="67">
        <v>1.0</v>
      </c>
      <c r="D39" s="67">
        <v>33.0</v>
      </c>
      <c r="E39" s="72" t="s">
        <v>3480</v>
      </c>
    </row>
    <row r="40">
      <c r="A40" s="65" t="s">
        <v>3493</v>
      </c>
      <c r="B40" s="69" t="s">
        <v>3466</v>
      </c>
      <c r="C40" s="67">
        <v>1.0</v>
      </c>
      <c r="D40" s="67">
        <v>37.0</v>
      </c>
      <c r="E40" s="72" t="s">
        <v>3480</v>
      </c>
    </row>
    <row r="41">
      <c r="A41" s="65" t="s">
        <v>3494</v>
      </c>
      <c r="B41" s="69" t="s">
        <v>3468</v>
      </c>
      <c r="C41" s="67">
        <v>1.0</v>
      </c>
      <c r="D41" s="67">
        <v>41.0</v>
      </c>
      <c r="E41" s="72" t="s">
        <v>3480</v>
      </c>
    </row>
    <row r="42">
      <c r="A42" s="65" t="s">
        <v>3495</v>
      </c>
      <c r="B42" s="69" t="s">
        <v>3470</v>
      </c>
      <c r="C42" s="67">
        <v>1.0</v>
      </c>
      <c r="D42" s="67">
        <v>45.0</v>
      </c>
      <c r="E42" s="72" t="s">
        <v>3480</v>
      </c>
    </row>
    <row r="43">
      <c r="A43" s="65" t="s">
        <v>3496</v>
      </c>
      <c r="B43" s="70" t="s">
        <v>3472</v>
      </c>
      <c r="C43" s="67">
        <v>1.0</v>
      </c>
      <c r="D43" s="67">
        <v>34.0</v>
      </c>
      <c r="E43" s="72" t="s">
        <v>3480</v>
      </c>
    </row>
    <row r="44">
      <c r="A44" s="65" t="s">
        <v>3497</v>
      </c>
      <c r="B44" s="70" t="s">
        <v>3474</v>
      </c>
      <c r="C44" s="67">
        <v>1.0</v>
      </c>
      <c r="D44" s="67">
        <v>38.0</v>
      </c>
      <c r="E44" s="72" t="s">
        <v>3480</v>
      </c>
    </row>
    <row r="45">
      <c r="A45" s="65" t="s">
        <v>3498</v>
      </c>
      <c r="B45" s="70" t="s">
        <v>3476</v>
      </c>
      <c r="C45" s="67">
        <v>1.0</v>
      </c>
      <c r="D45" s="67">
        <v>43.0</v>
      </c>
      <c r="E45" s="72" t="s">
        <v>3480</v>
      </c>
    </row>
    <row r="46">
      <c r="A46" s="65" t="s">
        <v>3499</v>
      </c>
      <c r="B46" s="70" t="s">
        <v>3478</v>
      </c>
      <c r="C46" s="67">
        <v>1.0</v>
      </c>
      <c r="D46" s="67">
        <v>29.0</v>
      </c>
      <c r="E46" s="72" t="s">
        <v>3480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75"/>
    <col customWidth="1" min="4" max="4" width="23.5"/>
    <col customWidth="1" min="5" max="5" width="15.13"/>
    <col customWidth="1" min="6" max="7" width="11.5"/>
  </cols>
  <sheetData>
    <row r="1">
      <c r="A1" s="43" t="s">
        <v>78</v>
      </c>
      <c r="B1" s="43" t="s">
        <v>3500</v>
      </c>
      <c r="C1" s="43" t="s">
        <v>54</v>
      </c>
      <c r="D1" s="43" t="s">
        <v>3501</v>
      </c>
      <c r="E1" s="43" t="s">
        <v>789</v>
      </c>
      <c r="F1" s="44" t="s">
        <v>3425</v>
      </c>
      <c r="G1" s="44" t="s">
        <v>788</v>
      </c>
    </row>
    <row r="2">
      <c r="A2" s="39" t="s">
        <v>148</v>
      </c>
      <c r="B2" s="39" t="s">
        <v>149</v>
      </c>
      <c r="C2" s="39" t="s">
        <v>3502</v>
      </c>
      <c r="D2" s="39" t="s">
        <v>3503</v>
      </c>
      <c r="E2" s="39" t="s">
        <v>84</v>
      </c>
      <c r="F2" s="47">
        <v>13.0</v>
      </c>
      <c r="G2" s="47">
        <v>57.0</v>
      </c>
    </row>
    <row r="3">
      <c r="A3" s="39" t="s">
        <v>148</v>
      </c>
      <c r="B3" s="39" t="s">
        <v>149</v>
      </c>
      <c r="C3" s="39" t="s">
        <v>160</v>
      </c>
      <c r="D3" s="39" t="s">
        <v>3504</v>
      </c>
      <c r="E3" s="39" t="s">
        <v>84</v>
      </c>
      <c r="F3" s="47">
        <v>13.0</v>
      </c>
      <c r="G3" s="47">
        <v>8.0</v>
      </c>
    </row>
    <row r="4">
      <c r="A4" s="39" t="s">
        <v>148</v>
      </c>
      <c r="B4" s="39" t="s">
        <v>149</v>
      </c>
      <c r="C4" s="39" t="s">
        <v>160</v>
      </c>
      <c r="D4" s="39" t="s">
        <v>979</v>
      </c>
      <c r="E4" s="39" t="s">
        <v>92</v>
      </c>
      <c r="F4" s="47">
        <v>13.0</v>
      </c>
      <c r="G4" s="47">
        <v>75.0</v>
      </c>
    </row>
    <row r="5">
      <c r="A5" s="39" t="s">
        <v>148</v>
      </c>
      <c r="B5" s="39" t="s">
        <v>149</v>
      </c>
      <c r="C5" s="39" t="s">
        <v>160</v>
      </c>
      <c r="D5" s="39" t="s">
        <v>968</v>
      </c>
      <c r="E5" s="39" t="s">
        <v>92</v>
      </c>
      <c r="F5" s="47">
        <v>13.0</v>
      </c>
      <c r="G5" s="47">
        <v>67.0</v>
      </c>
    </row>
    <row r="6">
      <c r="A6" s="39" t="s">
        <v>148</v>
      </c>
      <c r="B6" s="39" t="s">
        <v>149</v>
      </c>
      <c r="C6" s="39" t="s">
        <v>162</v>
      </c>
      <c r="D6" s="39" t="s">
        <v>3505</v>
      </c>
      <c r="E6" s="39" t="s">
        <v>84</v>
      </c>
      <c r="F6" s="47">
        <v>13.0</v>
      </c>
      <c r="G6" s="47">
        <v>77.0</v>
      </c>
    </row>
    <row r="7">
      <c r="A7" s="39" t="s">
        <v>148</v>
      </c>
      <c r="B7" s="39" t="s">
        <v>149</v>
      </c>
      <c r="C7" s="73" t="s">
        <v>162</v>
      </c>
      <c r="D7" s="39" t="s">
        <v>3506</v>
      </c>
      <c r="E7" s="39" t="s">
        <v>92</v>
      </c>
      <c r="F7" s="47">
        <v>13.0</v>
      </c>
      <c r="G7" s="47">
        <v>76.0</v>
      </c>
    </row>
    <row r="8">
      <c r="A8" s="39" t="s">
        <v>148</v>
      </c>
      <c r="B8" s="39" t="s">
        <v>177</v>
      </c>
      <c r="C8" s="39" t="s">
        <v>183</v>
      </c>
      <c r="D8" s="39" t="s">
        <v>1095</v>
      </c>
      <c r="E8" s="39" t="s">
        <v>84</v>
      </c>
      <c r="F8" s="47">
        <v>2.0</v>
      </c>
      <c r="G8" s="47">
        <v>78.0</v>
      </c>
    </row>
    <row r="9">
      <c r="A9" s="39" t="s">
        <v>148</v>
      </c>
      <c r="B9" s="39" t="s">
        <v>177</v>
      </c>
      <c r="C9" s="73" t="s">
        <v>185</v>
      </c>
      <c r="D9" s="39" t="s">
        <v>3507</v>
      </c>
      <c r="E9" s="39" t="s">
        <v>84</v>
      </c>
      <c r="F9" s="47">
        <v>2.0</v>
      </c>
      <c r="G9" s="47">
        <v>1.0</v>
      </c>
    </row>
    <row r="10">
      <c r="A10" s="39" t="s">
        <v>148</v>
      </c>
      <c r="B10" s="39" t="s">
        <v>203</v>
      </c>
      <c r="C10" s="73" t="s">
        <v>211</v>
      </c>
      <c r="D10" s="39" t="s">
        <v>1165</v>
      </c>
      <c r="E10" s="39" t="s">
        <v>84</v>
      </c>
      <c r="F10" s="47">
        <v>8.0</v>
      </c>
      <c r="G10" s="47">
        <v>54.0</v>
      </c>
    </row>
    <row r="11">
      <c r="A11" s="39" t="s">
        <v>148</v>
      </c>
      <c r="B11" s="39" t="s">
        <v>203</v>
      </c>
      <c r="C11" s="39" t="s">
        <v>209</v>
      </c>
      <c r="D11" s="39" t="s">
        <v>3508</v>
      </c>
      <c r="E11" s="39" t="s">
        <v>84</v>
      </c>
      <c r="F11" s="47">
        <v>8.0</v>
      </c>
      <c r="G11" s="47">
        <v>52.0</v>
      </c>
    </row>
    <row r="12">
      <c r="A12" s="39" t="s">
        <v>148</v>
      </c>
      <c r="B12" s="39" t="s">
        <v>214</v>
      </c>
      <c r="C12" s="39" t="s">
        <v>220</v>
      </c>
      <c r="D12" s="39" t="s">
        <v>3509</v>
      </c>
      <c r="E12" s="39" t="s">
        <v>84</v>
      </c>
      <c r="F12" s="47">
        <v>20.0</v>
      </c>
      <c r="G12" s="47">
        <v>64.0</v>
      </c>
    </row>
    <row r="13">
      <c r="A13" s="57" t="s">
        <v>148</v>
      </c>
      <c r="B13" s="57" t="s">
        <v>214</v>
      </c>
      <c r="C13" s="38" t="s">
        <v>222</v>
      </c>
      <c r="D13" s="38" t="s">
        <v>3510</v>
      </c>
      <c r="E13" s="57" t="s">
        <v>84</v>
      </c>
      <c r="F13" s="46">
        <v>20.0</v>
      </c>
      <c r="G13" s="46">
        <v>60.0</v>
      </c>
    </row>
    <row r="14">
      <c r="A14" s="39" t="s">
        <v>232</v>
      </c>
      <c r="B14" s="39" t="s">
        <v>149</v>
      </c>
      <c r="C14" s="73" t="s">
        <v>238</v>
      </c>
      <c r="D14" s="39" t="s">
        <v>3511</v>
      </c>
      <c r="E14" s="39" t="s">
        <v>84</v>
      </c>
      <c r="F14" s="47">
        <v>27.0</v>
      </c>
      <c r="G14" s="47">
        <v>73.0</v>
      </c>
    </row>
    <row r="15">
      <c r="A15" s="39" t="s">
        <v>232</v>
      </c>
      <c r="B15" s="39" t="s">
        <v>149</v>
      </c>
      <c r="C15" s="73" t="s">
        <v>240</v>
      </c>
      <c r="D15" s="39" t="s">
        <v>3512</v>
      </c>
      <c r="E15" s="39" t="s">
        <v>84</v>
      </c>
      <c r="F15" s="47">
        <v>27.0</v>
      </c>
      <c r="G15" s="47">
        <v>75.0</v>
      </c>
    </row>
    <row r="16">
      <c r="A16" s="39" t="s">
        <v>232</v>
      </c>
      <c r="B16" s="39" t="s">
        <v>177</v>
      </c>
      <c r="C16" s="73" t="s">
        <v>263</v>
      </c>
      <c r="D16" s="39" t="s">
        <v>3513</v>
      </c>
      <c r="E16" s="39" t="s">
        <v>84</v>
      </c>
      <c r="F16" s="47">
        <v>3.0</v>
      </c>
      <c r="G16" s="47">
        <v>57.0</v>
      </c>
    </row>
    <row r="17">
      <c r="A17" s="39" t="s">
        <v>232</v>
      </c>
      <c r="B17" s="39" t="s">
        <v>177</v>
      </c>
      <c r="C17" s="73" t="s">
        <v>265</v>
      </c>
      <c r="D17" s="39" t="s">
        <v>3514</v>
      </c>
      <c r="E17" s="39" t="s">
        <v>84</v>
      </c>
      <c r="F17" s="47">
        <v>3.0</v>
      </c>
      <c r="G17" s="47">
        <v>77.0</v>
      </c>
    </row>
    <row r="18">
      <c r="A18" s="39" t="s">
        <v>232</v>
      </c>
      <c r="B18" s="39" t="s">
        <v>177</v>
      </c>
      <c r="C18" s="39" t="s">
        <v>269</v>
      </c>
      <c r="D18" s="39" t="s">
        <v>3515</v>
      </c>
      <c r="E18" s="39" t="s">
        <v>84</v>
      </c>
      <c r="F18" s="47">
        <v>3.0</v>
      </c>
      <c r="G18" s="47">
        <v>80.0</v>
      </c>
    </row>
    <row r="19">
      <c r="A19" s="39" t="s">
        <v>232</v>
      </c>
      <c r="B19" s="39" t="s">
        <v>177</v>
      </c>
      <c r="C19" s="39" t="s">
        <v>267</v>
      </c>
      <c r="D19" s="39" t="s">
        <v>3516</v>
      </c>
      <c r="E19" s="39" t="s">
        <v>84</v>
      </c>
      <c r="F19" s="47">
        <v>3.0</v>
      </c>
      <c r="G19" s="47">
        <v>72.0</v>
      </c>
    </row>
    <row r="20">
      <c r="A20" s="39" t="s">
        <v>232</v>
      </c>
      <c r="B20" s="39" t="s">
        <v>203</v>
      </c>
      <c r="C20" s="39" t="s">
        <v>289</v>
      </c>
      <c r="D20" s="39" t="s">
        <v>1575</v>
      </c>
      <c r="E20" s="39" t="s">
        <v>84</v>
      </c>
      <c r="F20" s="47">
        <v>9.0</v>
      </c>
      <c r="G20" s="47">
        <v>82.0</v>
      </c>
    </row>
    <row r="21">
      <c r="A21" s="39" t="s">
        <v>232</v>
      </c>
      <c r="B21" s="39" t="s">
        <v>203</v>
      </c>
      <c r="C21" s="39" t="s">
        <v>293</v>
      </c>
      <c r="D21" s="39" t="s">
        <v>3517</v>
      </c>
      <c r="E21" s="39" t="s">
        <v>84</v>
      </c>
      <c r="F21" s="47">
        <v>9.0</v>
      </c>
      <c r="G21" s="47">
        <v>79.0</v>
      </c>
    </row>
    <row r="22">
      <c r="A22" s="39" t="s">
        <v>232</v>
      </c>
      <c r="B22" s="39" t="s">
        <v>203</v>
      </c>
      <c r="C22" s="39" t="s">
        <v>3518</v>
      </c>
      <c r="D22" s="39" t="s">
        <v>1587</v>
      </c>
      <c r="E22" s="39" t="s">
        <v>84</v>
      </c>
      <c r="F22" s="47">
        <v>9.0</v>
      </c>
      <c r="G22" s="47">
        <v>90.0</v>
      </c>
    </row>
    <row r="23">
      <c r="A23" s="39" t="s">
        <v>232</v>
      </c>
      <c r="B23" s="39" t="s">
        <v>296</v>
      </c>
      <c r="C23" s="39" t="s">
        <v>302</v>
      </c>
      <c r="D23" s="39" t="s">
        <v>1680</v>
      </c>
      <c r="E23" s="39" t="s">
        <v>84</v>
      </c>
      <c r="F23" s="47">
        <v>24.0</v>
      </c>
      <c r="G23" s="47">
        <v>72.0</v>
      </c>
    </row>
    <row r="24">
      <c r="A24" s="39" t="s">
        <v>232</v>
      </c>
      <c r="B24" s="39" t="s">
        <v>296</v>
      </c>
      <c r="C24" s="39" t="s">
        <v>304</v>
      </c>
      <c r="D24" s="39" t="s">
        <v>3519</v>
      </c>
      <c r="E24" s="39" t="s">
        <v>84</v>
      </c>
      <c r="F24" s="47">
        <v>24.0</v>
      </c>
      <c r="G24" s="47">
        <v>74.0</v>
      </c>
    </row>
    <row r="25">
      <c r="A25" s="39" t="s">
        <v>232</v>
      </c>
      <c r="B25" s="39" t="s">
        <v>296</v>
      </c>
      <c r="C25" s="73" t="s">
        <v>306</v>
      </c>
      <c r="D25" s="39" t="s">
        <v>1686</v>
      </c>
      <c r="E25" s="39" t="s">
        <v>84</v>
      </c>
      <c r="F25" s="47">
        <v>24.0</v>
      </c>
      <c r="G25" s="47">
        <v>75.0</v>
      </c>
    </row>
    <row r="26">
      <c r="A26" s="39" t="s">
        <v>307</v>
      </c>
      <c r="B26" s="39" t="s">
        <v>321</v>
      </c>
      <c r="C26" s="39" t="s">
        <v>327</v>
      </c>
      <c r="D26" s="39" t="s">
        <v>3520</v>
      </c>
      <c r="E26" s="39" t="s">
        <v>84</v>
      </c>
      <c r="F26" s="47">
        <v>289.0</v>
      </c>
      <c r="G26" s="47">
        <v>26.0</v>
      </c>
    </row>
    <row r="27">
      <c r="A27" s="39" t="s">
        <v>307</v>
      </c>
      <c r="B27" s="39" t="s">
        <v>321</v>
      </c>
      <c r="C27" s="39" t="s">
        <v>329</v>
      </c>
      <c r="D27" s="39" t="s">
        <v>3521</v>
      </c>
      <c r="E27" s="39" t="s">
        <v>84</v>
      </c>
      <c r="F27" s="47">
        <v>289.0</v>
      </c>
      <c r="G27" s="47">
        <v>24.0</v>
      </c>
    </row>
    <row r="28">
      <c r="A28" s="39" t="s">
        <v>307</v>
      </c>
      <c r="B28" s="39" t="s">
        <v>203</v>
      </c>
      <c r="C28" s="73" t="s">
        <v>349</v>
      </c>
      <c r="D28" s="39" t="s">
        <v>1765</v>
      </c>
      <c r="E28" s="39" t="s">
        <v>84</v>
      </c>
      <c r="F28" s="47">
        <v>10.0</v>
      </c>
      <c r="G28" s="47">
        <v>56.0</v>
      </c>
    </row>
    <row r="29">
      <c r="A29" s="39" t="s">
        <v>307</v>
      </c>
      <c r="B29" s="39" t="s">
        <v>203</v>
      </c>
      <c r="C29" s="39" t="s">
        <v>351</v>
      </c>
      <c r="D29" s="39" t="s">
        <v>1696</v>
      </c>
      <c r="E29" s="39" t="s">
        <v>84</v>
      </c>
      <c r="F29" s="47">
        <v>10.0</v>
      </c>
      <c r="G29" s="47">
        <v>7.0</v>
      </c>
    </row>
    <row r="30">
      <c r="A30" s="39" t="s">
        <v>307</v>
      </c>
      <c r="B30" s="39" t="s">
        <v>203</v>
      </c>
      <c r="C30" s="73" t="s">
        <v>353</v>
      </c>
      <c r="D30" s="39" t="s">
        <v>1768</v>
      </c>
      <c r="E30" s="39" t="s">
        <v>84</v>
      </c>
      <c r="F30" s="47">
        <v>10.0</v>
      </c>
      <c r="G30" s="47">
        <v>58.0</v>
      </c>
    </row>
    <row r="31">
      <c r="A31" s="39" t="s">
        <v>307</v>
      </c>
      <c r="B31" s="39" t="s">
        <v>203</v>
      </c>
      <c r="C31" s="73" t="s">
        <v>355</v>
      </c>
      <c r="D31" s="39" t="s">
        <v>3522</v>
      </c>
      <c r="E31" s="39" t="s">
        <v>84</v>
      </c>
      <c r="F31" s="47">
        <v>10.0</v>
      </c>
      <c r="G31" s="47">
        <v>62.0</v>
      </c>
    </row>
    <row r="32">
      <c r="A32" s="39" t="s">
        <v>307</v>
      </c>
      <c r="B32" s="39" t="s">
        <v>214</v>
      </c>
      <c r="C32" s="73" t="s">
        <v>364</v>
      </c>
      <c r="D32" s="39" t="s">
        <v>3523</v>
      </c>
      <c r="E32" s="39" t="s">
        <v>84</v>
      </c>
      <c r="F32" s="47">
        <v>21.0</v>
      </c>
      <c r="G32" s="47">
        <v>59.0</v>
      </c>
    </row>
    <row r="33">
      <c r="A33" s="39" t="s">
        <v>307</v>
      </c>
      <c r="B33" s="39" t="s">
        <v>214</v>
      </c>
      <c r="C33" s="39" t="s">
        <v>366</v>
      </c>
      <c r="D33" s="39" t="s">
        <v>1869</v>
      </c>
      <c r="E33" s="39" t="s">
        <v>84</v>
      </c>
      <c r="F33" s="47">
        <v>21.0</v>
      </c>
      <c r="G33" s="47">
        <v>62.0</v>
      </c>
    </row>
    <row r="34">
      <c r="A34" s="39" t="s">
        <v>307</v>
      </c>
      <c r="B34" s="39" t="s">
        <v>296</v>
      </c>
      <c r="C34" s="73" t="s">
        <v>372</v>
      </c>
      <c r="D34" s="39" t="s">
        <v>3524</v>
      </c>
      <c r="E34" s="39" t="s">
        <v>84</v>
      </c>
      <c r="F34" s="47">
        <v>25.0</v>
      </c>
      <c r="G34" s="47">
        <v>79.0</v>
      </c>
    </row>
    <row r="35">
      <c r="A35" s="39" t="s">
        <v>307</v>
      </c>
      <c r="B35" s="39" t="s">
        <v>296</v>
      </c>
      <c r="C35" s="39" t="s">
        <v>374</v>
      </c>
      <c r="D35" s="39" t="s">
        <v>3525</v>
      </c>
      <c r="E35" s="39" t="s">
        <v>84</v>
      </c>
      <c r="F35" s="47">
        <v>25.0</v>
      </c>
      <c r="G35" s="47">
        <v>20.0</v>
      </c>
    </row>
    <row r="36">
      <c r="A36" s="39" t="s">
        <v>307</v>
      </c>
      <c r="B36" s="39" t="s">
        <v>296</v>
      </c>
      <c r="C36" s="39" t="s">
        <v>376</v>
      </c>
      <c r="D36" s="39" t="s">
        <v>3526</v>
      </c>
      <c r="E36" s="39" t="s">
        <v>84</v>
      </c>
      <c r="F36" s="47">
        <v>25.0</v>
      </c>
      <c r="G36" s="47">
        <v>60.0</v>
      </c>
    </row>
    <row r="37">
      <c r="A37" s="39" t="s">
        <v>454</v>
      </c>
      <c r="B37" s="39" t="s">
        <v>149</v>
      </c>
      <c r="C37" s="39" t="s">
        <v>460</v>
      </c>
      <c r="D37" s="39" t="s">
        <v>3527</v>
      </c>
      <c r="E37" s="39" t="s">
        <v>84</v>
      </c>
      <c r="F37" s="47">
        <v>15.0</v>
      </c>
      <c r="G37" s="47">
        <v>2.0</v>
      </c>
    </row>
    <row r="38">
      <c r="A38" s="39" t="s">
        <v>454</v>
      </c>
      <c r="B38" s="39" t="s">
        <v>149</v>
      </c>
      <c r="C38" s="73" t="s">
        <v>462</v>
      </c>
      <c r="D38" s="39" t="s">
        <v>3528</v>
      </c>
      <c r="E38" s="39" t="s">
        <v>84</v>
      </c>
      <c r="F38" s="47">
        <v>15.0</v>
      </c>
      <c r="G38" s="47">
        <v>56.0</v>
      </c>
    </row>
    <row r="39">
      <c r="A39" s="39" t="s">
        <v>454</v>
      </c>
      <c r="B39" s="39" t="s">
        <v>177</v>
      </c>
      <c r="C39" s="73" t="s">
        <v>483</v>
      </c>
      <c r="D39" s="39" t="s">
        <v>3529</v>
      </c>
      <c r="E39" s="39" t="s">
        <v>84</v>
      </c>
      <c r="F39" s="47">
        <v>4.0</v>
      </c>
      <c r="G39" s="47">
        <v>75.0</v>
      </c>
    </row>
    <row r="40">
      <c r="A40" s="39" t="s">
        <v>454</v>
      </c>
      <c r="B40" s="39" t="s">
        <v>177</v>
      </c>
      <c r="C40" s="73" t="s">
        <v>487</v>
      </c>
      <c r="D40" s="39" t="s">
        <v>3530</v>
      </c>
      <c r="E40" s="39" t="s">
        <v>84</v>
      </c>
      <c r="F40" s="47">
        <v>4.0</v>
      </c>
      <c r="G40" s="47">
        <v>81.0</v>
      </c>
    </row>
    <row r="41">
      <c r="A41" s="39" t="s">
        <v>454</v>
      </c>
      <c r="B41" s="39" t="s">
        <v>177</v>
      </c>
      <c r="C41" s="39" t="s">
        <v>485</v>
      </c>
      <c r="D41" s="39" t="s">
        <v>2167</v>
      </c>
      <c r="E41" s="39" t="s">
        <v>84</v>
      </c>
      <c r="F41" s="47">
        <v>4.0</v>
      </c>
      <c r="G41" s="47">
        <v>79.0</v>
      </c>
    </row>
    <row r="42">
      <c r="A42" s="39" t="s">
        <v>454</v>
      </c>
      <c r="B42" s="39" t="s">
        <v>296</v>
      </c>
      <c r="C42" s="73" t="s">
        <v>508</v>
      </c>
      <c r="D42" s="39" t="s">
        <v>3531</v>
      </c>
      <c r="E42" s="39" t="s">
        <v>84</v>
      </c>
      <c r="F42" s="47">
        <v>26.0</v>
      </c>
      <c r="G42" s="47">
        <v>75.0</v>
      </c>
    </row>
    <row r="43">
      <c r="A43" s="39" t="s">
        <v>454</v>
      </c>
      <c r="B43" s="39" t="s">
        <v>296</v>
      </c>
      <c r="C43" s="73" t="s">
        <v>510</v>
      </c>
      <c r="D43" s="39" t="s">
        <v>3532</v>
      </c>
      <c r="E43" s="39" t="s">
        <v>84</v>
      </c>
      <c r="F43" s="47">
        <v>26.0</v>
      </c>
      <c r="G43" s="47">
        <v>72.0</v>
      </c>
    </row>
    <row r="44">
      <c r="A44" s="39" t="s">
        <v>513</v>
      </c>
      <c r="B44" s="39" t="s">
        <v>321</v>
      </c>
      <c r="C44" s="39" t="s">
        <v>533</v>
      </c>
      <c r="D44" s="39" t="s">
        <v>3533</v>
      </c>
      <c r="E44" s="39" t="s">
        <v>84</v>
      </c>
      <c r="F44" s="47">
        <v>275.0</v>
      </c>
      <c r="G44" s="47">
        <v>30.0</v>
      </c>
    </row>
    <row r="45">
      <c r="A45" s="39" t="s">
        <v>513</v>
      </c>
      <c r="B45" s="39" t="s">
        <v>321</v>
      </c>
      <c r="C45" s="39" t="s">
        <v>535</v>
      </c>
      <c r="D45" s="39" t="s">
        <v>3534</v>
      </c>
      <c r="E45" s="39" t="s">
        <v>84</v>
      </c>
      <c r="F45" s="47">
        <v>275.0</v>
      </c>
      <c r="G45" s="47">
        <v>1.0</v>
      </c>
    </row>
    <row r="46">
      <c r="A46" s="39" t="s">
        <v>513</v>
      </c>
      <c r="B46" s="39" t="s">
        <v>321</v>
      </c>
      <c r="C46" s="39" t="s">
        <v>537</v>
      </c>
      <c r="D46" s="39" t="s">
        <v>3535</v>
      </c>
      <c r="E46" s="39" t="s">
        <v>84</v>
      </c>
      <c r="F46" s="47">
        <v>275.0</v>
      </c>
      <c r="G46" s="47">
        <v>58.0</v>
      </c>
    </row>
    <row r="47">
      <c r="A47" s="39" t="s">
        <v>513</v>
      </c>
      <c r="B47" s="39" t="s">
        <v>203</v>
      </c>
      <c r="C47" s="73" t="s">
        <v>560</v>
      </c>
      <c r="D47" s="39" t="s">
        <v>2341</v>
      </c>
      <c r="E47" s="39" t="s">
        <v>84</v>
      </c>
      <c r="F47" s="47">
        <v>7.0</v>
      </c>
      <c r="G47" s="47">
        <v>64.0</v>
      </c>
    </row>
    <row r="48">
      <c r="A48" s="39" t="s">
        <v>513</v>
      </c>
      <c r="B48" s="39" t="s">
        <v>203</v>
      </c>
      <c r="C48" s="73" t="s">
        <v>562</v>
      </c>
      <c r="D48" s="39" t="s">
        <v>3536</v>
      </c>
      <c r="E48" s="39" t="s">
        <v>84</v>
      </c>
      <c r="F48" s="47">
        <v>7.0</v>
      </c>
      <c r="G48" s="47">
        <v>18.0</v>
      </c>
    </row>
    <row r="49">
      <c r="A49" s="39" t="s">
        <v>513</v>
      </c>
      <c r="B49" s="39" t="s">
        <v>203</v>
      </c>
      <c r="C49" s="73" t="s">
        <v>564</v>
      </c>
      <c r="D49" s="39" t="s">
        <v>3537</v>
      </c>
      <c r="E49" s="39" t="s">
        <v>84</v>
      </c>
      <c r="F49" s="47">
        <v>7.0</v>
      </c>
      <c r="G49" s="47">
        <v>1.0</v>
      </c>
    </row>
    <row r="50">
      <c r="A50" s="39" t="s">
        <v>513</v>
      </c>
      <c r="B50" s="39" t="s">
        <v>214</v>
      </c>
      <c r="C50" s="73" t="s">
        <v>570</v>
      </c>
      <c r="D50" s="39" t="s">
        <v>2388</v>
      </c>
      <c r="E50" s="39" t="s">
        <v>84</v>
      </c>
      <c r="F50" s="47">
        <v>19.0</v>
      </c>
      <c r="G50" s="47">
        <v>20.0</v>
      </c>
    </row>
    <row r="51">
      <c r="A51" s="39" t="s">
        <v>513</v>
      </c>
      <c r="B51" s="39" t="s">
        <v>214</v>
      </c>
      <c r="C51" s="39" t="s">
        <v>3538</v>
      </c>
      <c r="D51" s="39" t="s">
        <v>3539</v>
      </c>
      <c r="E51" s="39" t="s">
        <v>84</v>
      </c>
      <c r="F51" s="47">
        <v>19.0</v>
      </c>
      <c r="G51" s="47">
        <v>17.0</v>
      </c>
    </row>
    <row r="52">
      <c r="A52" s="4" t="s">
        <v>513</v>
      </c>
      <c r="B52" s="4" t="s">
        <v>296</v>
      </c>
      <c r="C52" s="39" t="s">
        <v>580</v>
      </c>
      <c r="D52" s="39" t="s">
        <v>580</v>
      </c>
      <c r="E52" s="4" t="s">
        <v>84</v>
      </c>
      <c r="F52" s="47">
        <v>23.0</v>
      </c>
      <c r="G52" s="47">
        <v>20.0</v>
      </c>
    </row>
    <row r="53">
      <c r="A53" s="39" t="s">
        <v>513</v>
      </c>
      <c r="B53" s="39" t="s">
        <v>296</v>
      </c>
      <c r="C53" s="39" t="s">
        <v>582</v>
      </c>
      <c r="D53" s="39" t="s">
        <v>2481</v>
      </c>
      <c r="E53" s="39" t="s">
        <v>84</v>
      </c>
      <c r="F53" s="47">
        <v>23.0</v>
      </c>
      <c r="G53" s="47">
        <v>21.0</v>
      </c>
    </row>
    <row r="54">
      <c r="A54" s="39" t="s">
        <v>513</v>
      </c>
      <c r="B54" s="39" t="s">
        <v>296</v>
      </c>
      <c r="C54" s="39" t="s">
        <v>584</v>
      </c>
      <c r="D54" s="39" t="s">
        <v>2524</v>
      </c>
      <c r="E54" s="39" t="s">
        <v>84</v>
      </c>
      <c r="F54" s="47">
        <v>23.0</v>
      </c>
      <c r="G54" s="47">
        <v>58.0</v>
      </c>
    </row>
    <row r="55">
      <c r="A55" s="39" t="s">
        <v>586</v>
      </c>
      <c r="B55" s="39" t="s">
        <v>149</v>
      </c>
      <c r="C55" s="39" t="s">
        <v>592</v>
      </c>
      <c r="D55" s="39" t="s">
        <v>3540</v>
      </c>
      <c r="E55" s="39" t="s">
        <v>84</v>
      </c>
      <c r="F55" s="47">
        <v>14.0</v>
      </c>
      <c r="G55" s="47">
        <v>34.0</v>
      </c>
    </row>
    <row r="56">
      <c r="A56" s="39" t="s">
        <v>586</v>
      </c>
      <c r="B56" s="39" t="s">
        <v>149</v>
      </c>
      <c r="C56" s="39" t="s">
        <v>594</v>
      </c>
      <c r="D56" s="39" t="s">
        <v>3541</v>
      </c>
      <c r="E56" s="39" t="s">
        <v>84</v>
      </c>
      <c r="F56" s="47">
        <v>14.0</v>
      </c>
      <c r="G56" s="47">
        <v>39.0</v>
      </c>
    </row>
    <row r="57">
      <c r="A57" s="39" t="s">
        <v>586</v>
      </c>
      <c r="B57" s="39" t="s">
        <v>149</v>
      </c>
      <c r="C57" s="39" t="s">
        <v>596</v>
      </c>
      <c r="D57" s="39" t="s">
        <v>3542</v>
      </c>
      <c r="E57" s="39" t="s">
        <v>84</v>
      </c>
      <c r="F57" s="47">
        <v>14.0</v>
      </c>
      <c r="G57" s="47">
        <v>76.0</v>
      </c>
    </row>
    <row r="58">
      <c r="A58" s="39" t="s">
        <v>586</v>
      </c>
      <c r="B58" s="39" t="s">
        <v>177</v>
      </c>
      <c r="C58" s="73" t="s">
        <v>617</v>
      </c>
      <c r="D58" s="39" t="s">
        <v>3543</v>
      </c>
      <c r="E58" s="39" t="s">
        <v>84</v>
      </c>
      <c r="F58" s="47">
        <v>5.0</v>
      </c>
      <c r="G58" s="47">
        <v>59.0</v>
      </c>
    </row>
    <row r="59">
      <c r="A59" s="39" t="s">
        <v>586</v>
      </c>
      <c r="B59" s="39" t="s">
        <v>177</v>
      </c>
      <c r="C59" s="73" t="s">
        <v>619</v>
      </c>
      <c r="D59" s="39" t="s">
        <v>3544</v>
      </c>
      <c r="E59" s="39" t="s">
        <v>84</v>
      </c>
      <c r="F59" s="47">
        <v>5.0</v>
      </c>
      <c r="G59" s="47">
        <v>65.0</v>
      </c>
    </row>
    <row r="60">
      <c r="A60" s="39" t="s">
        <v>586</v>
      </c>
      <c r="B60" s="39" t="s">
        <v>177</v>
      </c>
      <c r="C60" s="73" t="s">
        <v>623</v>
      </c>
      <c r="D60" s="39" t="s">
        <v>3545</v>
      </c>
      <c r="E60" s="39" t="s">
        <v>84</v>
      </c>
      <c r="F60" s="47">
        <v>5.0</v>
      </c>
      <c r="G60" s="47">
        <v>67.0</v>
      </c>
    </row>
    <row r="61">
      <c r="A61" s="39" t="s">
        <v>586</v>
      </c>
      <c r="B61" s="39" t="s">
        <v>203</v>
      </c>
      <c r="C61" s="73" t="s">
        <v>642</v>
      </c>
      <c r="D61" s="39" t="s">
        <v>3546</v>
      </c>
      <c r="E61" s="39" t="s">
        <v>84</v>
      </c>
      <c r="F61" s="47">
        <v>11.0</v>
      </c>
      <c r="G61" s="47">
        <v>75.0</v>
      </c>
    </row>
    <row r="62">
      <c r="A62" s="39" t="s">
        <v>586</v>
      </c>
      <c r="B62" s="39" t="s">
        <v>203</v>
      </c>
      <c r="C62" s="73" t="s">
        <v>644</v>
      </c>
      <c r="D62" s="39" t="s">
        <v>3547</v>
      </c>
      <c r="E62" s="39" t="s">
        <v>84</v>
      </c>
      <c r="F62" s="47">
        <v>11.0</v>
      </c>
      <c r="G62" s="47">
        <v>77.0</v>
      </c>
    </row>
    <row r="63">
      <c r="A63" s="39" t="s">
        <v>586</v>
      </c>
      <c r="B63" s="39" t="s">
        <v>203</v>
      </c>
      <c r="C63" s="39" t="s">
        <v>646</v>
      </c>
      <c r="D63" s="39" t="s">
        <v>3548</v>
      </c>
      <c r="E63" s="39" t="s">
        <v>92</v>
      </c>
      <c r="F63" s="47">
        <v>11.0</v>
      </c>
      <c r="G63" s="47">
        <v>79.0</v>
      </c>
    </row>
    <row r="64">
      <c r="A64" s="39" t="s">
        <v>648</v>
      </c>
      <c r="B64" s="39" t="s">
        <v>149</v>
      </c>
      <c r="C64" s="39" t="s">
        <v>654</v>
      </c>
      <c r="D64" s="39" t="s">
        <v>3549</v>
      </c>
      <c r="E64" s="39" t="s">
        <v>84</v>
      </c>
      <c r="F64" s="47">
        <v>17.0</v>
      </c>
      <c r="G64" s="47">
        <v>54.0</v>
      </c>
    </row>
    <row r="65">
      <c r="A65" s="39" t="s">
        <v>648</v>
      </c>
      <c r="B65" s="39" t="s">
        <v>149</v>
      </c>
      <c r="C65" s="39" t="s">
        <v>656</v>
      </c>
      <c r="D65" s="39" t="s">
        <v>2907</v>
      </c>
      <c r="E65" s="39" t="s">
        <v>84</v>
      </c>
      <c r="F65" s="47">
        <v>17.0</v>
      </c>
      <c r="G65" s="47">
        <v>55.0</v>
      </c>
    </row>
    <row r="66">
      <c r="A66" s="39" t="s">
        <v>648</v>
      </c>
      <c r="B66" s="39" t="s">
        <v>149</v>
      </c>
      <c r="C66" s="39" t="s">
        <v>658</v>
      </c>
      <c r="D66" s="39" t="s">
        <v>3550</v>
      </c>
      <c r="E66" s="39" t="s">
        <v>84</v>
      </c>
      <c r="F66" s="47">
        <v>17.0</v>
      </c>
      <c r="G66" s="47">
        <v>77.0</v>
      </c>
    </row>
    <row r="67">
      <c r="A67" s="39" t="s">
        <v>648</v>
      </c>
      <c r="B67" s="39" t="s">
        <v>321</v>
      </c>
      <c r="C67" s="39" t="s">
        <v>681</v>
      </c>
      <c r="D67" s="74">
        <v>621.0</v>
      </c>
      <c r="E67" s="39" t="s">
        <v>84</v>
      </c>
      <c r="F67" s="47">
        <v>273.0</v>
      </c>
      <c r="G67" s="47">
        <v>40.0</v>
      </c>
    </row>
    <row r="68">
      <c r="A68" s="39" t="s">
        <v>648</v>
      </c>
      <c r="B68" s="39" t="s">
        <v>321</v>
      </c>
      <c r="C68" s="39" t="s">
        <v>679</v>
      </c>
      <c r="D68" s="74" t="s">
        <v>3551</v>
      </c>
      <c r="E68" s="39" t="s">
        <v>84</v>
      </c>
      <c r="F68" s="47">
        <v>273.0</v>
      </c>
      <c r="G68" s="47">
        <v>35.0</v>
      </c>
    </row>
    <row r="69">
      <c r="A69" s="39" t="s">
        <v>648</v>
      </c>
      <c r="B69" s="39" t="s">
        <v>177</v>
      </c>
      <c r="C69" s="73" t="s">
        <v>689</v>
      </c>
      <c r="D69" s="39" t="s">
        <v>3552</v>
      </c>
      <c r="E69" s="39" t="s">
        <v>84</v>
      </c>
      <c r="F69" s="47">
        <v>6.0</v>
      </c>
      <c r="G69" s="47">
        <v>52.0</v>
      </c>
    </row>
    <row r="70">
      <c r="A70" s="39" t="s">
        <v>648</v>
      </c>
      <c r="B70" s="39" t="s">
        <v>177</v>
      </c>
      <c r="C70" s="73" t="s">
        <v>693</v>
      </c>
      <c r="D70" s="39" t="s">
        <v>3553</v>
      </c>
      <c r="E70" s="39" t="s">
        <v>84</v>
      </c>
      <c r="F70" s="47">
        <v>6.0</v>
      </c>
      <c r="G70" s="47">
        <v>54.0</v>
      </c>
    </row>
    <row r="71">
      <c r="A71" s="39" t="s">
        <v>648</v>
      </c>
      <c r="B71" s="39" t="s">
        <v>203</v>
      </c>
      <c r="C71" s="39" t="s">
        <v>712</v>
      </c>
      <c r="D71" s="39" t="s">
        <v>3554</v>
      </c>
      <c r="E71" s="39" t="s">
        <v>84</v>
      </c>
      <c r="F71" s="47">
        <v>12.0</v>
      </c>
      <c r="G71" s="47">
        <v>56.0</v>
      </c>
    </row>
    <row r="72">
      <c r="A72" s="39" t="s">
        <v>648</v>
      </c>
      <c r="B72" s="39" t="s">
        <v>203</v>
      </c>
      <c r="C72" s="73" t="s">
        <v>714</v>
      </c>
      <c r="D72" s="39" t="s">
        <v>3555</v>
      </c>
      <c r="E72" s="39" t="s">
        <v>84</v>
      </c>
      <c r="F72" s="47">
        <v>12.0</v>
      </c>
      <c r="G72" s="47">
        <v>58.0</v>
      </c>
    </row>
    <row r="73">
      <c r="A73" s="39" t="s">
        <v>716</v>
      </c>
      <c r="B73" s="39" t="s">
        <v>149</v>
      </c>
      <c r="C73" s="39" t="s">
        <v>722</v>
      </c>
      <c r="D73" s="39" t="s">
        <v>3189</v>
      </c>
      <c r="E73" s="39" t="s">
        <v>84</v>
      </c>
      <c r="F73" s="47">
        <v>18.0</v>
      </c>
      <c r="G73" s="47">
        <v>70.0</v>
      </c>
    </row>
    <row r="74">
      <c r="A74" s="39" t="s">
        <v>716</v>
      </c>
      <c r="B74" s="39" t="s">
        <v>149</v>
      </c>
      <c r="C74" s="39" t="s">
        <v>724</v>
      </c>
      <c r="D74" s="39" t="s">
        <v>3556</v>
      </c>
      <c r="E74" s="39" t="s">
        <v>84</v>
      </c>
      <c r="F74" s="47">
        <v>18.0</v>
      </c>
      <c r="G74" s="47">
        <v>1.0</v>
      </c>
    </row>
    <row r="75">
      <c r="A75" s="39" t="s">
        <v>716</v>
      </c>
      <c r="B75" s="39" t="s">
        <v>149</v>
      </c>
      <c r="C75" s="75" t="s">
        <v>726</v>
      </c>
      <c r="D75" s="39" t="s">
        <v>3557</v>
      </c>
      <c r="E75" s="39" t="s">
        <v>92</v>
      </c>
      <c r="F75" s="47">
        <v>18.0</v>
      </c>
      <c r="G75" s="47">
        <v>92.0</v>
      </c>
    </row>
    <row r="76">
      <c r="A76" s="39" t="s">
        <v>716</v>
      </c>
      <c r="B76" s="39" t="s">
        <v>149</v>
      </c>
      <c r="C76" s="75" t="s">
        <v>726</v>
      </c>
      <c r="D76" s="39" t="s">
        <v>3558</v>
      </c>
      <c r="E76" s="39" t="s">
        <v>92</v>
      </c>
      <c r="F76" s="47">
        <v>18.0</v>
      </c>
      <c r="G76" s="47">
        <v>90.0</v>
      </c>
    </row>
    <row r="77">
      <c r="A77" s="39" t="s">
        <v>716</v>
      </c>
      <c r="B77" s="39" t="s">
        <v>149</v>
      </c>
      <c r="C77" s="39" t="s">
        <v>728</v>
      </c>
      <c r="D77" s="39" t="s">
        <v>3559</v>
      </c>
      <c r="E77" s="39" t="s">
        <v>84</v>
      </c>
      <c r="F77" s="47">
        <v>18.0</v>
      </c>
      <c r="G77" s="47">
        <v>64.0</v>
      </c>
    </row>
    <row r="78">
      <c r="A78" s="39" t="s">
        <v>716</v>
      </c>
      <c r="B78" s="39" t="s">
        <v>321</v>
      </c>
      <c r="C78" s="39" t="s">
        <v>747</v>
      </c>
      <c r="D78" s="39" t="s">
        <v>3560</v>
      </c>
      <c r="E78" s="39" t="s">
        <v>84</v>
      </c>
      <c r="F78" s="47">
        <v>282.0</v>
      </c>
      <c r="G78" s="47">
        <v>25.0</v>
      </c>
    </row>
    <row r="79">
      <c r="A79" s="39" t="s">
        <v>716</v>
      </c>
      <c r="B79" s="39" t="s">
        <v>321</v>
      </c>
      <c r="C79" s="73" t="s">
        <v>3561</v>
      </c>
      <c r="D79" s="39" t="s">
        <v>3562</v>
      </c>
      <c r="E79" s="39" t="s">
        <v>84</v>
      </c>
      <c r="F79" s="47">
        <v>282.0</v>
      </c>
      <c r="G79" s="47">
        <v>2.0</v>
      </c>
    </row>
    <row r="80">
      <c r="A80" s="39" t="s">
        <v>716</v>
      </c>
      <c r="B80" s="39" t="s">
        <v>214</v>
      </c>
      <c r="C80" s="73" t="s">
        <v>771</v>
      </c>
      <c r="D80" s="39" t="s">
        <v>3323</v>
      </c>
      <c r="E80" s="39" t="s">
        <v>84</v>
      </c>
      <c r="F80" s="47">
        <v>22.0</v>
      </c>
      <c r="G80" s="47">
        <v>87.0</v>
      </c>
    </row>
    <row r="81">
      <c r="A81" s="39" t="s">
        <v>716</v>
      </c>
      <c r="B81" s="39" t="s">
        <v>214</v>
      </c>
      <c r="C81" s="39" t="s">
        <v>773</v>
      </c>
      <c r="D81" s="39" t="s">
        <v>3297</v>
      </c>
      <c r="E81" s="39" t="s">
        <v>84</v>
      </c>
      <c r="F81" s="47">
        <v>22.0</v>
      </c>
      <c r="G81" s="47">
        <v>66.0</v>
      </c>
    </row>
    <row r="82">
      <c r="A82" s="39" t="s">
        <v>716</v>
      </c>
      <c r="B82" s="39" t="s">
        <v>214</v>
      </c>
      <c r="C82" s="73" t="s">
        <v>775</v>
      </c>
      <c r="D82" s="39" t="s">
        <v>3563</v>
      </c>
      <c r="E82" s="39" t="s">
        <v>84</v>
      </c>
      <c r="F82" s="47">
        <v>22.0</v>
      </c>
      <c r="G82" s="47">
        <v>68.0</v>
      </c>
    </row>
    <row r="83">
      <c r="A83" s="39" t="s">
        <v>716</v>
      </c>
      <c r="B83" s="39" t="s">
        <v>296</v>
      </c>
      <c r="C83" s="73" t="s">
        <v>784</v>
      </c>
      <c r="D83" s="39" t="s">
        <v>3564</v>
      </c>
      <c r="E83" s="39" t="s">
        <v>84</v>
      </c>
      <c r="F83" s="47">
        <v>16.0</v>
      </c>
      <c r="G83" s="47">
        <v>1.0</v>
      </c>
    </row>
    <row r="84">
      <c r="A84" s="39" t="s">
        <v>716</v>
      </c>
      <c r="B84" s="39" t="s">
        <v>296</v>
      </c>
      <c r="C84" s="73" t="s">
        <v>781</v>
      </c>
      <c r="D84" s="39" t="s">
        <v>3565</v>
      </c>
      <c r="E84" s="39" t="s">
        <v>84</v>
      </c>
      <c r="F84" s="47">
        <v>16.0</v>
      </c>
      <c r="G84" s="47">
        <v>68.0</v>
      </c>
    </row>
    <row r="85">
      <c r="A85" s="39" t="s">
        <v>716</v>
      </c>
      <c r="B85" s="39" t="s">
        <v>296</v>
      </c>
      <c r="C85" s="39" t="s">
        <v>3566</v>
      </c>
      <c r="D85" s="39" t="s">
        <v>3567</v>
      </c>
      <c r="E85" s="39" t="s">
        <v>84</v>
      </c>
      <c r="F85" s="47">
        <v>16.0</v>
      </c>
      <c r="G85" s="47">
        <v>72.0</v>
      </c>
    </row>
    <row r="86">
      <c r="A86" s="39" t="s">
        <v>232</v>
      </c>
      <c r="B86" s="39" t="s">
        <v>203</v>
      </c>
      <c r="C86" s="73" t="s">
        <v>3568</v>
      </c>
      <c r="D86" s="39" t="s">
        <v>3569</v>
      </c>
      <c r="E86" s="74" t="s">
        <v>875</v>
      </c>
      <c r="F86" s="47">
        <v>9.0</v>
      </c>
      <c r="G86" s="47">
        <v>76.0</v>
      </c>
    </row>
    <row r="87">
      <c r="A87" s="39" t="s">
        <v>232</v>
      </c>
      <c r="B87" s="39" t="s">
        <v>203</v>
      </c>
      <c r="C87" s="73" t="s">
        <v>3568</v>
      </c>
      <c r="D87" s="39" t="s">
        <v>3570</v>
      </c>
      <c r="E87" s="74" t="s">
        <v>875</v>
      </c>
      <c r="F87" s="47">
        <v>9.0</v>
      </c>
      <c r="G87" s="47">
        <v>75.0</v>
      </c>
    </row>
    <row r="88">
      <c r="A88" s="39" t="s">
        <v>232</v>
      </c>
      <c r="B88" s="39" t="s">
        <v>203</v>
      </c>
      <c r="C88" s="73" t="s">
        <v>3568</v>
      </c>
      <c r="D88" s="39" t="s">
        <v>3571</v>
      </c>
      <c r="E88" s="74" t="s">
        <v>875</v>
      </c>
      <c r="F88" s="47">
        <v>9.0</v>
      </c>
      <c r="G88" s="47">
        <v>74.0</v>
      </c>
    </row>
    <row r="89">
      <c r="A89" s="39" t="s">
        <v>232</v>
      </c>
      <c r="B89" s="39" t="s">
        <v>203</v>
      </c>
      <c r="C89" s="73" t="s">
        <v>3568</v>
      </c>
      <c r="D89" s="39" t="s">
        <v>3572</v>
      </c>
      <c r="E89" s="74" t="s">
        <v>875</v>
      </c>
      <c r="F89" s="47">
        <v>9.0</v>
      </c>
      <c r="G89" s="47">
        <v>73.0</v>
      </c>
    </row>
    <row r="90">
      <c r="A90" s="39" t="s">
        <v>232</v>
      </c>
      <c r="B90" s="39" t="s">
        <v>203</v>
      </c>
      <c r="C90" s="73" t="s">
        <v>3568</v>
      </c>
      <c r="D90" s="39" t="s">
        <v>3573</v>
      </c>
      <c r="E90" s="74" t="s">
        <v>875</v>
      </c>
      <c r="F90" s="47">
        <v>9.0</v>
      </c>
      <c r="G90" s="47">
        <v>72.0</v>
      </c>
    </row>
    <row r="91">
      <c r="A91" s="39" t="s">
        <v>232</v>
      </c>
      <c r="B91" s="39" t="s">
        <v>203</v>
      </c>
      <c r="C91" s="73" t="s">
        <v>3568</v>
      </c>
      <c r="D91" s="39" t="s">
        <v>3574</v>
      </c>
      <c r="E91" s="74" t="s">
        <v>875</v>
      </c>
      <c r="F91" s="47">
        <v>9.0</v>
      </c>
      <c r="G91" s="47">
        <v>71.0</v>
      </c>
    </row>
    <row r="92">
      <c r="A92" s="39" t="s">
        <v>232</v>
      </c>
      <c r="B92" s="39" t="s">
        <v>203</v>
      </c>
      <c r="C92" s="73" t="s">
        <v>3568</v>
      </c>
      <c r="D92" s="39" t="s">
        <v>3575</v>
      </c>
      <c r="E92" s="74" t="s">
        <v>875</v>
      </c>
      <c r="F92" s="47">
        <v>9.0</v>
      </c>
      <c r="G92" s="47">
        <v>16.0</v>
      </c>
    </row>
    <row r="93">
      <c r="A93" s="39" t="s">
        <v>232</v>
      </c>
      <c r="B93" s="39" t="s">
        <v>203</v>
      </c>
      <c r="C93" s="73" t="s">
        <v>3568</v>
      </c>
      <c r="D93" s="39" t="s">
        <v>3576</v>
      </c>
      <c r="E93" s="74" t="s">
        <v>875</v>
      </c>
      <c r="F93" s="47">
        <v>9.0</v>
      </c>
      <c r="G93" s="47">
        <v>1.0</v>
      </c>
    </row>
    <row r="94">
      <c r="A94" s="39" t="s">
        <v>232</v>
      </c>
      <c r="B94" s="39" t="s">
        <v>203</v>
      </c>
      <c r="C94" s="73" t="s">
        <v>3568</v>
      </c>
      <c r="D94" s="39" t="s">
        <v>3577</v>
      </c>
      <c r="E94" s="74" t="s">
        <v>875</v>
      </c>
      <c r="F94" s="47">
        <v>9.0</v>
      </c>
      <c r="G94" s="47">
        <v>84.0</v>
      </c>
    </row>
    <row r="95">
      <c r="A95" s="39" t="s">
        <v>232</v>
      </c>
      <c r="B95" s="39" t="s">
        <v>203</v>
      </c>
      <c r="C95" s="73" t="s">
        <v>3568</v>
      </c>
      <c r="D95" s="39" t="s">
        <v>3578</v>
      </c>
      <c r="E95" s="74" t="s">
        <v>875</v>
      </c>
      <c r="F95" s="47">
        <v>9.0</v>
      </c>
      <c r="G95" s="47">
        <v>77.0</v>
      </c>
    </row>
  </sheetData>
  <dataValidations>
    <dataValidation type="list" allowBlank="1" showDropDown="1" showInputMessage="1" showErrorMessage="1" prompt="Select a Manufacturer" sqref="A2:A95">
      <formula1>"Daedalus,Jakobs,Maliwan,Order,Ripper,Tediore,Torgue,Vladof"</formula1>
    </dataValidation>
    <dataValidation type="list" allowBlank="1" showDropDown="1" showInputMessage="1" showErrorMessage="1" prompt="Click and enter a value from the list of items" sqref="B2:B95">
      <formula1>"Assault Rifle,Pistol,Shotgun,SMG,Sniper Rifle,Heavy Weapon"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23.5"/>
    <col customWidth="1" min="3" max="3" width="34.25"/>
    <col customWidth="1" min="4" max="4" width="10.88"/>
    <col customWidth="1" min="5" max="5" width="6.63"/>
    <col customWidth="1" min="6" max="6" width="52.63"/>
    <col customWidth="1" min="7" max="7" width="80.75"/>
    <col customWidth="1" min="8" max="8" width="61.25"/>
  </cols>
  <sheetData>
    <row r="1">
      <c r="A1" s="43" t="s">
        <v>78</v>
      </c>
      <c r="B1" s="43" t="s">
        <v>789</v>
      </c>
      <c r="C1" s="43" t="s">
        <v>3579</v>
      </c>
      <c r="D1" s="44" t="s">
        <v>3425</v>
      </c>
      <c r="E1" s="44" t="s">
        <v>788</v>
      </c>
      <c r="F1" s="43" t="s">
        <v>792</v>
      </c>
      <c r="G1" s="43" t="s">
        <v>793</v>
      </c>
      <c r="H1" s="43" t="s">
        <v>3580</v>
      </c>
    </row>
    <row r="2">
      <c r="A2" s="38" t="s">
        <v>307</v>
      </c>
      <c r="B2" s="38" t="s">
        <v>819</v>
      </c>
      <c r="C2" s="35" t="s">
        <v>3581</v>
      </c>
      <c r="D2" s="46">
        <v>289.0</v>
      </c>
      <c r="E2" s="46">
        <v>2.0</v>
      </c>
      <c r="F2" s="39" t="s">
        <v>809</v>
      </c>
      <c r="G2" s="39" t="s">
        <v>3582</v>
      </c>
      <c r="H2" s="76" t="s">
        <v>3583</v>
      </c>
    </row>
    <row r="3">
      <c r="A3" s="38" t="s">
        <v>307</v>
      </c>
      <c r="B3" s="38" t="s">
        <v>819</v>
      </c>
      <c r="C3" s="35" t="s">
        <v>3584</v>
      </c>
      <c r="D3" s="46">
        <v>289.0</v>
      </c>
      <c r="E3" s="46">
        <v>3.0</v>
      </c>
      <c r="F3" s="39" t="s">
        <v>809</v>
      </c>
      <c r="G3" s="39" t="s">
        <v>3585</v>
      </c>
      <c r="H3" s="76" t="s">
        <v>3586</v>
      </c>
    </row>
    <row r="4">
      <c r="A4" s="38" t="s">
        <v>307</v>
      </c>
      <c r="B4" s="38" t="s">
        <v>81</v>
      </c>
      <c r="C4" s="38" t="s">
        <v>3587</v>
      </c>
      <c r="D4" s="46">
        <v>289.0</v>
      </c>
      <c r="E4" s="46">
        <v>5.0</v>
      </c>
      <c r="F4" s="39" t="s">
        <v>797</v>
      </c>
    </row>
    <row r="5">
      <c r="A5" s="38" t="s">
        <v>307</v>
      </c>
      <c r="B5" s="38" t="s">
        <v>798</v>
      </c>
      <c r="C5" s="38" t="s">
        <v>3588</v>
      </c>
      <c r="D5" s="46">
        <v>289.0</v>
      </c>
      <c r="E5" s="46">
        <v>6.0</v>
      </c>
      <c r="F5" s="56" t="s">
        <v>1690</v>
      </c>
      <c r="G5" s="39" t="s">
        <v>3589</v>
      </c>
    </row>
    <row r="6">
      <c r="A6" s="38" t="s">
        <v>307</v>
      </c>
      <c r="B6" s="38" t="s">
        <v>798</v>
      </c>
      <c r="C6" s="35" t="s">
        <v>3590</v>
      </c>
      <c r="D6" s="46">
        <v>289.0</v>
      </c>
      <c r="E6" s="46">
        <v>7.0</v>
      </c>
      <c r="F6" s="56" t="s">
        <v>822</v>
      </c>
      <c r="G6" s="39" t="s">
        <v>3591</v>
      </c>
    </row>
    <row r="7">
      <c r="A7" s="38" t="s">
        <v>307</v>
      </c>
      <c r="B7" s="38" t="s">
        <v>798</v>
      </c>
      <c r="C7" s="38" t="s">
        <v>3592</v>
      </c>
      <c r="D7" s="46">
        <v>289.0</v>
      </c>
      <c r="E7" s="46">
        <v>8.0</v>
      </c>
      <c r="F7" s="56" t="s">
        <v>3593</v>
      </c>
      <c r="G7" s="39" t="s">
        <v>3594</v>
      </c>
    </row>
    <row r="8">
      <c r="A8" s="38" t="s">
        <v>307</v>
      </c>
      <c r="B8" s="38" t="s">
        <v>798</v>
      </c>
      <c r="C8" s="38" t="s">
        <v>3595</v>
      </c>
      <c r="D8" s="46">
        <v>289.0</v>
      </c>
      <c r="E8" s="46">
        <v>9.0</v>
      </c>
      <c r="F8" s="39" t="s">
        <v>809</v>
      </c>
      <c r="G8" s="39" t="s">
        <v>3596</v>
      </c>
    </row>
    <row r="9">
      <c r="A9" s="38" t="s">
        <v>307</v>
      </c>
      <c r="B9" s="38" t="s">
        <v>84</v>
      </c>
      <c r="C9" s="35" t="s">
        <v>3597</v>
      </c>
      <c r="D9" s="46">
        <v>289.0</v>
      </c>
      <c r="E9" s="46">
        <v>10.0</v>
      </c>
      <c r="F9" s="39" t="s">
        <v>3598</v>
      </c>
      <c r="G9" s="39" t="s">
        <v>3599</v>
      </c>
    </row>
    <row r="10">
      <c r="A10" s="38" t="s">
        <v>307</v>
      </c>
      <c r="B10" s="38" t="s">
        <v>84</v>
      </c>
      <c r="C10" s="35" t="s">
        <v>3600</v>
      </c>
      <c r="D10" s="46">
        <v>289.0</v>
      </c>
      <c r="E10" s="46">
        <v>11.0</v>
      </c>
      <c r="F10" s="39" t="s">
        <v>3601</v>
      </c>
      <c r="G10" s="39" t="s">
        <v>3602</v>
      </c>
    </row>
    <row r="11">
      <c r="A11" s="38" t="s">
        <v>307</v>
      </c>
      <c r="B11" s="38" t="s">
        <v>819</v>
      </c>
      <c r="C11" s="35" t="s">
        <v>3603</v>
      </c>
      <c r="D11" s="46">
        <v>289.0</v>
      </c>
      <c r="E11" s="46">
        <v>12.0</v>
      </c>
      <c r="F11" s="39" t="s">
        <v>809</v>
      </c>
      <c r="G11" s="39" t="s">
        <v>3604</v>
      </c>
      <c r="H11" s="76" t="s">
        <v>3605</v>
      </c>
    </row>
    <row r="12">
      <c r="A12" s="38" t="s">
        <v>307</v>
      </c>
      <c r="B12" s="38" t="s">
        <v>819</v>
      </c>
      <c r="C12" s="35" t="s">
        <v>3606</v>
      </c>
      <c r="D12" s="46">
        <v>289.0</v>
      </c>
      <c r="E12" s="46">
        <v>13.0</v>
      </c>
      <c r="F12" s="39" t="s">
        <v>809</v>
      </c>
      <c r="G12" s="39" t="s">
        <v>3607</v>
      </c>
      <c r="H12" s="76" t="s">
        <v>3608</v>
      </c>
    </row>
    <row r="13">
      <c r="A13" s="38" t="s">
        <v>307</v>
      </c>
      <c r="B13" s="38" t="s">
        <v>819</v>
      </c>
      <c r="C13" s="35" t="s">
        <v>3609</v>
      </c>
      <c r="D13" s="46">
        <v>289.0</v>
      </c>
      <c r="E13" s="46">
        <v>14.0</v>
      </c>
      <c r="F13" s="56" t="s">
        <v>3610</v>
      </c>
      <c r="G13" s="39" t="s">
        <v>3611</v>
      </c>
      <c r="H13" s="76" t="s">
        <v>3612</v>
      </c>
    </row>
    <row r="14">
      <c r="A14" s="38" t="s">
        <v>307</v>
      </c>
      <c r="B14" s="38" t="s">
        <v>819</v>
      </c>
      <c r="C14" s="35" t="s">
        <v>3613</v>
      </c>
      <c r="D14" s="46">
        <v>289.0</v>
      </c>
      <c r="E14" s="46">
        <v>15.0</v>
      </c>
      <c r="F14" s="39" t="s">
        <v>809</v>
      </c>
      <c r="G14" s="39" t="s">
        <v>3614</v>
      </c>
      <c r="H14" s="76" t="s">
        <v>3615</v>
      </c>
    </row>
    <row r="15">
      <c r="A15" s="38" t="s">
        <v>307</v>
      </c>
      <c r="B15" s="38" t="s">
        <v>819</v>
      </c>
      <c r="C15" s="35" t="s">
        <v>3616</v>
      </c>
      <c r="D15" s="46">
        <v>289.0</v>
      </c>
      <c r="E15" s="46">
        <v>16.0</v>
      </c>
      <c r="F15" s="39" t="s">
        <v>809</v>
      </c>
      <c r="G15" s="39" t="s">
        <v>3582</v>
      </c>
      <c r="H15" s="76" t="s">
        <v>3583</v>
      </c>
    </row>
    <row r="16">
      <c r="A16" s="38" t="s">
        <v>307</v>
      </c>
      <c r="B16" s="38" t="s">
        <v>819</v>
      </c>
      <c r="C16" s="35" t="s">
        <v>3617</v>
      </c>
      <c r="D16" s="46">
        <v>289.0</v>
      </c>
      <c r="E16" s="46">
        <v>17.0</v>
      </c>
      <c r="F16" s="56" t="s">
        <v>822</v>
      </c>
      <c r="G16" s="39" t="s">
        <v>3618</v>
      </c>
      <c r="H16" s="76" t="s">
        <v>3619</v>
      </c>
    </row>
    <row r="17">
      <c r="A17" s="38" t="s">
        <v>307</v>
      </c>
      <c r="B17" s="38" t="s">
        <v>819</v>
      </c>
      <c r="C17" s="35" t="s">
        <v>3620</v>
      </c>
      <c r="D17" s="46">
        <v>289.0</v>
      </c>
      <c r="E17" s="46">
        <v>18.0</v>
      </c>
      <c r="F17" s="56" t="s">
        <v>3593</v>
      </c>
      <c r="G17" s="39" t="s">
        <v>3621</v>
      </c>
      <c r="H17" s="76" t="s">
        <v>3622</v>
      </c>
    </row>
    <row r="18">
      <c r="A18" s="38" t="s">
        <v>307</v>
      </c>
      <c r="B18" s="38" t="s">
        <v>819</v>
      </c>
      <c r="C18" s="35" t="s">
        <v>3623</v>
      </c>
      <c r="D18" s="46">
        <v>289.0</v>
      </c>
      <c r="E18" s="46">
        <v>19.0</v>
      </c>
      <c r="F18" s="39" t="s">
        <v>809</v>
      </c>
      <c r="G18" s="39" t="s">
        <v>3585</v>
      </c>
      <c r="H18" s="76" t="s">
        <v>3586</v>
      </c>
    </row>
    <row r="19">
      <c r="A19" s="38" t="s">
        <v>307</v>
      </c>
      <c r="B19" s="38" t="s">
        <v>84</v>
      </c>
      <c r="C19" s="35" t="s">
        <v>3624</v>
      </c>
      <c r="D19" s="46">
        <v>289.0</v>
      </c>
      <c r="E19" s="46">
        <v>24.0</v>
      </c>
      <c r="F19" s="39" t="s">
        <v>3625</v>
      </c>
      <c r="G19" s="39" t="s">
        <v>3626</v>
      </c>
    </row>
    <row r="20">
      <c r="A20" s="38" t="s">
        <v>307</v>
      </c>
      <c r="B20" s="38" t="s">
        <v>84</v>
      </c>
      <c r="C20" s="38" t="s">
        <v>3627</v>
      </c>
      <c r="D20" s="46">
        <v>289.0</v>
      </c>
      <c r="E20" s="46">
        <v>26.0</v>
      </c>
      <c r="F20" s="39" t="s">
        <v>3628</v>
      </c>
      <c r="G20" s="39" t="s">
        <v>3520</v>
      </c>
    </row>
    <row r="21">
      <c r="A21" s="38" t="s">
        <v>513</v>
      </c>
      <c r="B21" s="38" t="s">
        <v>84</v>
      </c>
      <c r="C21" s="38" t="s">
        <v>3629</v>
      </c>
      <c r="D21" s="46">
        <v>275.0</v>
      </c>
      <c r="E21" s="46">
        <v>1.0</v>
      </c>
      <c r="F21" s="39" t="s">
        <v>3630</v>
      </c>
      <c r="G21" s="39" t="s">
        <v>3631</v>
      </c>
    </row>
    <row r="22">
      <c r="A22" s="38" t="s">
        <v>513</v>
      </c>
      <c r="B22" s="38" t="s">
        <v>819</v>
      </c>
      <c r="C22" s="35" t="s">
        <v>3632</v>
      </c>
      <c r="D22" s="46">
        <v>275.0</v>
      </c>
      <c r="E22" s="46">
        <v>2.0</v>
      </c>
      <c r="F22" s="56" t="s">
        <v>3633</v>
      </c>
      <c r="G22" s="39" t="s">
        <v>3634</v>
      </c>
      <c r="H22" s="76" t="s">
        <v>3635</v>
      </c>
    </row>
    <row r="23">
      <c r="A23" s="38" t="s">
        <v>513</v>
      </c>
      <c r="B23" s="38" t="s">
        <v>819</v>
      </c>
      <c r="C23" s="35" t="s">
        <v>3636</v>
      </c>
      <c r="D23" s="46">
        <v>275.0</v>
      </c>
      <c r="E23" s="46">
        <v>3.0</v>
      </c>
      <c r="F23" s="56" t="s">
        <v>3633</v>
      </c>
      <c r="G23" s="39" t="s">
        <v>3637</v>
      </c>
      <c r="H23" s="76" t="s">
        <v>3638</v>
      </c>
    </row>
    <row r="24">
      <c r="A24" s="38" t="s">
        <v>513</v>
      </c>
      <c r="B24" s="38" t="s">
        <v>819</v>
      </c>
      <c r="C24" s="35" t="s">
        <v>3639</v>
      </c>
      <c r="D24" s="46">
        <v>275.0</v>
      </c>
      <c r="E24" s="46">
        <v>4.0</v>
      </c>
      <c r="F24" s="56" t="s">
        <v>3633</v>
      </c>
      <c r="G24" s="39" t="s">
        <v>3640</v>
      </c>
      <c r="H24" s="76" t="s">
        <v>3641</v>
      </c>
    </row>
    <row r="25">
      <c r="A25" s="38" t="s">
        <v>513</v>
      </c>
      <c r="B25" s="38" t="s">
        <v>819</v>
      </c>
      <c r="C25" s="35" t="s">
        <v>3642</v>
      </c>
      <c r="D25" s="46">
        <v>275.0</v>
      </c>
      <c r="E25" s="46">
        <v>5.0</v>
      </c>
      <c r="F25" s="56" t="s">
        <v>3643</v>
      </c>
      <c r="G25" s="39" t="s">
        <v>3604</v>
      </c>
      <c r="H25" s="76" t="s">
        <v>3605</v>
      </c>
    </row>
    <row r="26">
      <c r="A26" s="38" t="s">
        <v>513</v>
      </c>
      <c r="B26" s="38" t="s">
        <v>819</v>
      </c>
      <c r="C26" s="35" t="s">
        <v>3644</v>
      </c>
      <c r="D26" s="46">
        <v>275.0</v>
      </c>
      <c r="E26" s="46">
        <v>6.0</v>
      </c>
      <c r="F26" s="56" t="s">
        <v>822</v>
      </c>
      <c r="G26" s="39" t="s">
        <v>3645</v>
      </c>
      <c r="H26" s="76" t="s">
        <v>3646</v>
      </c>
    </row>
    <row r="27">
      <c r="A27" s="38" t="s">
        <v>513</v>
      </c>
      <c r="B27" s="38" t="s">
        <v>819</v>
      </c>
      <c r="C27" s="35" t="s">
        <v>3647</v>
      </c>
      <c r="D27" s="46">
        <v>275.0</v>
      </c>
      <c r="E27" s="46">
        <v>7.0</v>
      </c>
      <c r="F27" s="56" t="s">
        <v>3643</v>
      </c>
      <c r="G27" s="39" t="s">
        <v>3604</v>
      </c>
      <c r="H27" s="76" t="s">
        <v>3605</v>
      </c>
    </row>
    <row r="28">
      <c r="A28" s="38" t="s">
        <v>513</v>
      </c>
      <c r="B28" s="38" t="s">
        <v>819</v>
      </c>
      <c r="C28" s="35" t="s">
        <v>3648</v>
      </c>
      <c r="D28" s="46">
        <v>275.0</v>
      </c>
      <c r="E28" s="46">
        <v>8.0</v>
      </c>
      <c r="F28" s="56" t="s">
        <v>822</v>
      </c>
      <c r="G28" s="39" t="s">
        <v>3645</v>
      </c>
      <c r="H28" s="76" t="s">
        <v>3646</v>
      </c>
    </row>
    <row r="29">
      <c r="A29" s="38" t="s">
        <v>513</v>
      </c>
      <c r="B29" s="38" t="s">
        <v>819</v>
      </c>
      <c r="C29" s="35" t="s">
        <v>3649</v>
      </c>
      <c r="D29" s="46">
        <v>275.0</v>
      </c>
      <c r="E29" s="46">
        <v>9.0</v>
      </c>
      <c r="F29" s="56" t="s">
        <v>3633</v>
      </c>
      <c r="G29" s="39" t="s">
        <v>3640</v>
      </c>
      <c r="H29" s="76" t="s">
        <v>3641</v>
      </c>
    </row>
    <row r="30">
      <c r="A30" s="38" t="s">
        <v>513</v>
      </c>
      <c r="B30" s="38" t="s">
        <v>81</v>
      </c>
      <c r="C30" s="38" t="s">
        <v>3650</v>
      </c>
      <c r="D30" s="46">
        <v>275.0</v>
      </c>
      <c r="E30" s="46">
        <v>11.0</v>
      </c>
      <c r="F30" s="39" t="s">
        <v>797</v>
      </c>
    </row>
    <row r="31">
      <c r="A31" s="38" t="s">
        <v>513</v>
      </c>
      <c r="B31" s="38" t="s">
        <v>798</v>
      </c>
      <c r="C31" s="38" t="s">
        <v>3651</v>
      </c>
      <c r="D31" s="46">
        <v>275.0</v>
      </c>
      <c r="E31" s="46">
        <v>12.0</v>
      </c>
      <c r="F31" s="56" t="s">
        <v>822</v>
      </c>
      <c r="G31" s="39" t="s">
        <v>3652</v>
      </c>
    </row>
    <row r="32">
      <c r="A32" s="38" t="s">
        <v>513</v>
      </c>
      <c r="B32" s="38" t="s">
        <v>798</v>
      </c>
      <c r="C32" s="38" t="s">
        <v>3653</v>
      </c>
      <c r="D32" s="46">
        <v>275.0</v>
      </c>
      <c r="E32" s="46">
        <v>13.0</v>
      </c>
      <c r="F32" s="56" t="s">
        <v>1690</v>
      </c>
      <c r="G32" s="39" t="s">
        <v>3654</v>
      </c>
    </row>
    <row r="33">
      <c r="A33" s="38" t="s">
        <v>513</v>
      </c>
      <c r="B33" s="38" t="s">
        <v>798</v>
      </c>
      <c r="C33" s="38" t="s">
        <v>3655</v>
      </c>
      <c r="D33" s="46">
        <v>275.0</v>
      </c>
      <c r="E33" s="46">
        <v>14.0</v>
      </c>
      <c r="F33" s="56" t="s">
        <v>3593</v>
      </c>
      <c r="G33" s="39" t="s">
        <v>3656</v>
      </c>
    </row>
    <row r="34">
      <c r="A34" s="38" t="s">
        <v>513</v>
      </c>
      <c r="B34" s="38" t="s">
        <v>798</v>
      </c>
      <c r="C34" s="38" t="s">
        <v>3657</v>
      </c>
      <c r="D34" s="46">
        <v>275.0</v>
      </c>
      <c r="E34" s="46">
        <v>15.0</v>
      </c>
      <c r="F34" s="39" t="s">
        <v>809</v>
      </c>
      <c r="G34" s="39" t="s">
        <v>3658</v>
      </c>
    </row>
    <row r="35">
      <c r="A35" s="38" t="s">
        <v>513</v>
      </c>
      <c r="B35" s="38" t="s">
        <v>84</v>
      </c>
      <c r="C35" s="35" t="s">
        <v>3659</v>
      </c>
      <c r="D35" s="46">
        <v>275.0</v>
      </c>
      <c r="E35" s="46">
        <v>16.0</v>
      </c>
      <c r="F35" s="39" t="s">
        <v>3660</v>
      </c>
      <c r="G35" s="39" t="s">
        <v>3661</v>
      </c>
    </row>
    <row r="36">
      <c r="A36" s="38" t="s">
        <v>513</v>
      </c>
      <c r="B36" s="38" t="s">
        <v>84</v>
      </c>
      <c r="C36" s="35" t="s">
        <v>3662</v>
      </c>
      <c r="D36" s="46">
        <v>275.0</v>
      </c>
      <c r="E36" s="46">
        <v>17.0</v>
      </c>
      <c r="F36" s="39" t="s">
        <v>3663</v>
      </c>
      <c r="G36" s="39" t="s">
        <v>3664</v>
      </c>
    </row>
    <row r="37">
      <c r="A37" s="38" t="s">
        <v>513</v>
      </c>
      <c r="B37" s="38" t="s">
        <v>819</v>
      </c>
      <c r="C37" s="35" t="s">
        <v>3665</v>
      </c>
      <c r="D37" s="46">
        <v>275.0</v>
      </c>
      <c r="E37" s="46">
        <v>18.0</v>
      </c>
      <c r="F37" s="56" t="s">
        <v>3633</v>
      </c>
      <c r="G37" s="39" t="s">
        <v>3634</v>
      </c>
      <c r="H37" s="76" t="s">
        <v>3635</v>
      </c>
    </row>
    <row r="38">
      <c r="A38" s="38" t="s">
        <v>513</v>
      </c>
      <c r="B38" s="38" t="s">
        <v>819</v>
      </c>
      <c r="C38" s="35" t="s">
        <v>3666</v>
      </c>
      <c r="D38" s="46">
        <v>275.0</v>
      </c>
      <c r="E38" s="46">
        <v>19.0</v>
      </c>
      <c r="F38" s="56" t="s">
        <v>3633</v>
      </c>
      <c r="G38" s="39" t="s">
        <v>3667</v>
      </c>
      <c r="H38" s="76" t="s">
        <v>3668</v>
      </c>
    </row>
    <row r="39">
      <c r="A39" s="38" t="s">
        <v>513</v>
      </c>
      <c r="B39" s="38" t="s">
        <v>819</v>
      </c>
      <c r="C39" s="35" t="s">
        <v>3669</v>
      </c>
      <c r="D39" s="46">
        <v>275.0</v>
      </c>
      <c r="E39" s="46">
        <v>20.0</v>
      </c>
      <c r="F39" s="56" t="s">
        <v>1690</v>
      </c>
      <c r="G39" s="39" t="s">
        <v>3670</v>
      </c>
      <c r="H39" s="76" t="s">
        <v>3671</v>
      </c>
    </row>
    <row r="40">
      <c r="A40" s="38" t="s">
        <v>513</v>
      </c>
      <c r="B40" s="38" t="s">
        <v>819</v>
      </c>
      <c r="C40" s="35" t="s">
        <v>3672</v>
      </c>
      <c r="D40" s="46">
        <v>275.0</v>
      </c>
      <c r="E40" s="46">
        <v>21.0</v>
      </c>
      <c r="F40" s="56" t="s">
        <v>3633</v>
      </c>
      <c r="G40" s="39" t="s">
        <v>3637</v>
      </c>
      <c r="H40" s="76" t="s">
        <v>3638</v>
      </c>
    </row>
    <row r="41">
      <c r="A41" s="38" t="s">
        <v>513</v>
      </c>
      <c r="B41" s="38" t="s">
        <v>819</v>
      </c>
      <c r="C41" s="35" t="s">
        <v>3673</v>
      </c>
      <c r="D41" s="46">
        <v>275.0</v>
      </c>
      <c r="E41" s="46">
        <v>22.0</v>
      </c>
      <c r="F41" s="56" t="s">
        <v>822</v>
      </c>
      <c r="G41" s="39" t="s">
        <v>3645</v>
      </c>
      <c r="H41" s="76" t="s">
        <v>3646</v>
      </c>
    </row>
    <row r="42">
      <c r="A42" s="38" t="s">
        <v>513</v>
      </c>
      <c r="B42" s="38" t="s">
        <v>819</v>
      </c>
      <c r="C42" s="35" t="s">
        <v>3674</v>
      </c>
      <c r="D42" s="46">
        <v>275.0</v>
      </c>
      <c r="E42" s="46">
        <v>23.0</v>
      </c>
      <c r="F42" s="56" t="s">
        <v>3643</v>
      </c>
      <c r="G42" s="39" t="s">
        <v>3675</v>
      </c>
      <c r="H42" s="76" t="s">
        <v>3676</v>
      </c>
    </row>
    <row r="43">
      <c r="A43" s="38" t="s">
        <v>513</v>
      </c>
      <c r="B43" s="38" t="s">
        <v>819</v>
      </c>
      <c r="C43" s="35" t="s">
        <v>3677</v>
      </c>
      <c r="D43" s="46">
        <v>275.0</v>
      </c>
      <c r="E43" s="46">
        <v>24.0</v>
      </c>
      <c r="F43" s="56" t="s">
        <v>3633</v>
      </c>
      <c r="G43" s="39" t="s">
        <v>3640</v>
      </c>
      <c r="H43" s="76" t="s">
        <v>3641</v>
      </c>
    </row>
    <row r="44">
      <c r="A44" s="38" t="s">
        <v>513</v>
      </c>
      <c r="B44" s="38" t="s">
        <v>819</v>
      </c>
      <c r="C44" s="35" t="s">
        <v>3678</v>
      </c>
      <c r="D44" s="46">
        <v>275.0</v>
      </c>
      <c r="E44" s="46">
        <v>25.0</v>
      </c>
      <c r="F44" s="56" t="s">
        <v>3643</v>
      </c>
      <c r="G44" s="39" t="s">
        <v>3604</v>
      </c>
      <c r="H44" s="76" t="s">
        <v>3605</v>
      </c>
    </row>
    <row r="45">
      <c r="A45" s="38" t="s">
        <v>513</v>
      </c>
      <c r="B45" s="38" t="s">
        <v>84</v>
      </c>
      <c r="C45" s="38" t="s">
        <v>3679</v>
      </c>
      <c r="D45" s="46">
        <v>275.0</v>
      </c>
      <c r="E45" s="46">
        <v>30.0</v>
      </c>
      <c r="F45" s="39" t="s">
        <v>3680</v>
      </c>
      <c r="G45" s="39" t="s">
        <v>3681</v>
      </c>
    </row>
    <row r="46">
      <c r="A46" s="38" t="s">
        <v>513</v>
      </c>
      <c r="B46" s="38" t="s">
        <v>84</v>
      </c>
      <c r="C46" s="51" t="s">
        <v>3682</v>
      </c>
      <c r="D46" s="53">
        <v>275.0</v>
      </c>
      <c r="E46" s="53">
        <v>35.0</v>
      </c>
      <c r="F46" s="59" t="s">
        <v>3683</v>
      </c>
      <c r="G46" s="39" t="s">
        <v>3535</v>
      </c>
    </row>
    <row r="47">
      <c r="A47" s="38" t="s">
        <v>648</v>
      </c>
      <c r="B47" s="38" t="s">
        <v>819</v>
      </c>
      <c r="C47" s="35" t="s">
        <v>3684</v>
      </c>
      <c r="D47" s="46">
        <v>273.0</v>
      </c>
      <c r="E47" s="46">
        <v>1.0</v>
      </c>
      <c r="F47" s="39" t="s">
        <v>809</v>
      </c>
      <c r="G47" s="39" t="s">
        <v>3685</v>
      </c>
      <c r="H47" s="76" t="s">
        <v>3686</v>
      </c>
    </row>
    <row r="48">
      <c r="A48" s="38" t="s">
        <v>648</v>
      </c>
      <c r="B48" s="38" t="s">
        <v>819</v>
      </c>
      <c r="C48" s="35" t="s">
        <v>3687</v>
      </c>
      <c r="D48" s="46">
        <v>273.0</v>
      </c>
      <c r="E48" s="46">
        <v>2.0</v>
      </c>
      <c r="F48" s="39" t="s">
        <v>809</v>
      </c>
      <c r="G48" s="39" t="s">
        <v>3685</v>
      </c>
      <c r="H48" s="76" t="s">
        <v>3686</v>
      </c>
    </row>
    <row r="49">
      <c r="A49" s="38" t="s">
        <v>648</v>
      </c>
      <c r="B49" s="38" t="s">
        <v>819</v>
      </c>
      <c r="C49" s="35" t="s">
        <v>3688</v>
      </c>
      <c r="D49" s="46">
        <v>273.0</v>
      </c>
      <c r="E49" s="46">
        <v>3.0</v>
      </c>
      <c r="F49" s="39" t="s">
        <v>809</v>
      </c>
      <c r="G49" s="39" t="s">
        <v>3685</v>
      </c>
      <c r="H49" s="76" t="s">
        <v>3686</v>
      </c>
    </row>
    <row r="50">
      <c r="A50" s="38" t="s">
        <v>648</v>
      </c>
      <c r="B50" s="38" t="s">
        <v>819</v>
      </c>
      <c r="C50" s="35" t="s">
        <v>3689</v>
      </c>
      <c r="D50" s="46">
        <v>273.0</v>
      </c>
      <c r="E50" s="46">
        <v>4.0</v>
      </c>
      <c r="F50" s="56" t="s">
        <v>3690</v>
      </c>
      <c r="G50" s="39" t="s">
        <v>3691</v>
      </c>
      <c r="H50" s="76" t="s">
        <v>3692</v>
      </c>
    </row>
    <row r="51">
      <c r="A51" s="38" t="s">
        <v>648</v>
      </c>
      <c r="B51" s="38" t="s">
        <v>819</v>
      </c>
      <c r="C51" s="35" t="s">
        <v>3693</v>
      </c>
      <c r="D51" s="46">
        <v>273.0</v>
      </c>
      <c r="E51" s="46">
        <v>5.0</v>
      </c>
      <c r="F51" s="56" t="s">
        <v>3643</v>
      </c>
      <c r="G51" s="39" t="s">
        <v>3694</v>
      </c>
      <c r="H51" s="76" t="s">
        <v>3695</v>
      </c>
    </row>
    <row r="52">
      <c r="A52" s="38" t="s">
        <v>648</v>
      </c>
      <c r="B52" s="38" t="s">
        <v>819</v>
      </c>
      <c r="C52" s="35" t="s">
        <v>3696</v>
      </c>
      <c r="D52" s="46">
        <v>273.0</v>
      </c>
      <c r="E52" s="46">
        <v>6.0</v>
      </c>
      <c r="F52" s="56" t="s">
        <v>3633</v>
      </c>
      <c r="G52" s="39" t="s">
        <v>3697</v>
      </c>
      <c r="H52" s="76" t="s">
        <v>3698</v>
      </c>
    </row>
    <row r="53">
      <c r="A53" s="38" t="s">
        <v>648</v>
      </c>
      <c r="B53" s="38" t="s">
        <v>819</v>
      </c>
      <c r="C53" s="35" t="s">
        <v>3699</v>
      </c>
      <c r="D53" s="46">
        <v>273.0</v>
      </c>
      <c r="E53" s="46">
        <v>7.0</v>
      </c>
      <c r="F53" s="56" t="s">
        <v>3690</v>
      </c>
      <c r="G53" s="39" t="s">
        <v>3691</v>
      </c>
      <c r="H53" s="76" t="s">
        <v>3692</v>
      </c>
    </row>
    <row r="54">
      <c r="A54" s="38" t="s">
        <v>648</v>
      </c>
      <c r="B54" s="38" t="s">
        <v>819</v>
      </c>
      <c r="C54" s="35" t="s">
        <v>3700</v>
      </c>
      <c r="D54" s="46">
        <v>273.0</v>
      </c>
      <c r="E54" s="46">
        <v>8.0</v>
      </c>
      <c r="F54" s="56" t="s">
        <v>3643</v>
      </c>
      <c r="G54" s="39" t="s">
        <v>3694</v>
      </c>
      <c r="H54" s="76" t="s">
        <v>3695</v>
      </c>
    </row>
    <row r="55">
      <c r="A55" s="38" t="s">
        <v>648</v>
      </c>
      <c r="B55" s="38" t="s">
        <v>819</v>
      </c>
      <c r="C55" s="35" t="s">
        <v>3701</v>
      </c>
      <c r="D55" s="46">
        <v>273.0</v>
      </c>
      <c r="E55" s="46">
        <v>9.0</v>
      </c>
      <c r="F55" s="56" t="s">
        <v>3633</v>
      </c>
      <c r="G55" s="39" t="s">
        <v>3697</v>
      </c>
      <c r="H55" s="76" t="s">
        <v>3698</v>
      </c>
    </row>
    <row r="56">
      <c r="A56" s="38" t="s">
        <v>648</v>
      </c>
      <c r="B56" s="38" t="s">
        <v>819</v>
      </c>
      <c r="C56" s="35" t="s">
        <v>3702</v>
      </c>
      <c r="D56" s="46">
        <v>273.0</v>
      </c>
      <c r="E56" s="46">
        <v>10.0</v>
      </c>
      <c r="F56" s="56" t="s">
        <v>3690</v>
      </c>
      <c r="G56" s="39" t="s">
        <v>3691</v>
      </c>
      <c r="H56" s="76" t="s">
        <v>3692</v>
      </c>
    </row>
    <row r="57">
      <c r="A57" s="38" t="s">
        <v>648</v>
      </c>
      <c r="B57" s="38" t="s">
        <v>819</v>
      </c>
      <c r="C57" s="35" t="s">
        <v>3703</v>
      </c>
      <c r="D57" s="46">
        <v>273.0</v>
      </c>
      <c r="E57" s="46">
        <v>11.0</v>
      </c>
      <c r="F57" s="56" t="s">
        <v>3643</v>
      </c>
      <c r="G57" s="39" t="s">
        <v>3694</v>
      </c>
      <c r="H57" s="76" t="s">
        <v>3695</v>
      </c>
    </row>
    <row r="58">
      <c r="A58" s="38" t="s">
        <v>648</v>
      </c>
      <c r="B58" s="38" t="s">
        <v>819</v>
      </c>
      <c r="C58" s="35" t="s">
        <v>3704</v>
      </c>
      <c r="D58" s="46">
        <v>273.0</v>
      </c>
      <c r="E58" s="46">
        <v>12.0</v>
      </c>
      <c r="F58" s="56" t="s">
        <v>3633</v>
      </c>
      <c r="G58" s="39" t="s">
        <v>3697</v>
      </c>
      <c r="H58" s="76" t="s">
        <v>3698</v>
      </c>
    </row>
    <row r="59">
      <c r="A59" s="38" t="s">
        <v>648</v>
      </c>
      <c r="B59" s="38" t="s">
        <v>81</v>
      </c>
      <c r="C59" s="38" t="s">
        <v>3705</v>
      </c>
      <c r="D59" s="46">
        <v>273.0</v>
      </c>
      <c r="E59" s="47">
        <v>14.0</v>
      </c>
      <c r="F59" s="39" t="s">
        <v>797</v>
      </c>
    </row>
    <row r="60">
      <c r="A60" s="38" t="s">
        <v>648</v>
      </c>
      <c r="B60" s="38" t="s">
        <v>798</v>
      </c>
      <c r="C60" s="38" t="s">
        <v>3706</v>
      </c>
      <c r="D60" s="46">
        <v>273.0</v>
      </c>
      <c r="E60" s="47">
        <v>15.0</v>
      </c>
      <c r="F60" s="56" t="s">
        <v>3643</v>
      </c>
      <c r="G60" s="39" t="s">
        <v>3707</v>
      </c>
    </row>
    <row r="61">
      <c r="A61" s="38" t="s">
        <v>648</v>
      </c>
      <c r="B61" s="38" t="s">
        <v>798</v>
      </c>
      <c r="C61" s="38" t="s">
        <v>3708</v>
      </c>
      <c r="D61" s="46">
        <v>273.0</v>
      </c>
      <c r="E61" s="46">
        <v>16.0</v>
      </c>
      <c r="F61" s="56" t="s">
        <v>3709</v>
      </c>
      <c r="G61" s="39" t="s">
        <v>3710</v>
      </c>
    </row>
    <row r="62">
      <c r="A62" s="38" t="s">
        <v>648</v>
      </c>
      <c r="B62" s="38" t="s">
        <v>798</v>
      </c>
      <c r="C62" s="38" t="s">
        <v>3711</v>
      </c>
      <c r="D62" s="46">
        <v>273.0</v>
      </c>
      <c r="E62" s="46">
        <v>17.0</v>
      </c>
      <c r="F62" s="56" t="s">
        <v>3593</v>
      </c>
      <c r="G62" s="39" t="s">
        <v>3712</v>
      </c>
    </row>
    <row r="63">
      <c r="A63" s="38" t="s">
        <v>648</v>
      </c>
      <c r="B63" s="38" t="s">
        <v>798</v>
      </c>
      <c r="C63" s="38" t="s">
        <v>3713</v>
      </c>
      <c r="D63" s="46">
        <v>273.0</v>
      </c>
      <c r="E63" s="46">
        <v>18.0</v>
      </c>
      <c r="F63" s="39" t="s">
        <v>809</v>
      </c>
      <c r="G63" s="39" t="s">
        <v>3714</v>
      </c>
    </row>
    <row r="64">
      <c r="A64" s="38" t="s">
        <v>648</v>
      </c>
      <c r="B64" s="38" t="s">
        <v>84</v>
      </c>
      <c r="C64" s="35" t="s">
        <v>3715</v>
      </c>
      <c r="D64" s="46">
        <v>273.0</v>
      </c>
      <c r="E64" s="46">
        <v>20.0</v>
      </c>
      <c r="F64" s="39" t="s">
        <v>3716</v>
      </c>
      <c r="G64" s="39" t="s">
        <v>3717</v>
      </c>
    </row>
    <row r="65">
      <c r="A65" s="38" t="s">
        <v>648</v>
      </c>
      <c r="B65" s="38" t="s">
        <v>84</v>
      </c>
      <c r="C65" s="35" t="s">
        <v>3718</v>
      </c>
      <c r="D65" s="46">
        <v>273.0</v>
      </c>
      <c r="E65" s="46">
        <v>21.0</v>
      </c>
      <c r="F65" s="39" t="s">
        <v>3719</v>
      </c>
      <c r="G65" s="39" t="s">
        <v>3720</v>
      </c>
    </row>
    <row r="66">
      <c r="A66" s="38" t="s">
        <v>648</v>
      </c>
      <c r="B66" s="38" t="s">
        <v>819</v>
      </c>
      <c r="C66" s="35" t="s">
        <v>3721</v>
      </c>
      <c r="D66" s="46">
        <v>273.0</v>
      </c>
      <c r="E66" s="46">
        <v>22.0</v>
      </c>
      <c r="F66" s="56" t="s">
        <v>3633</v>
      </c>
      <c r="G66" s="39" t="s">
        <v>3697</v>
      </c>
      <c r="H66" s="76" t="s">
        <v>3698</v>
      </c>
    </row>
    <row r="67">
      <c r="A67" s="38" t="s">
        <v>648</v>
      </c>
      <c r="B67" s="38" t="s">
        <v>819</v>
      </c>
      <c r="C67" s="35" t="s">
        <v>3722</v>
      </c>
      <c r="D67" s="46">
        <v>273.0</v>
      </c>
      <c r="E67" s="46">
        <v>23.0</v>
      </c>
      <c r="F67" s="56" t="s">
        <v>3643</v>
      </c>
      <c r="G67" s="39" t="s">
        <v>3694</v>
      </c>
      <c r="H67" s="76" t="s">
        <v>3695</v>
      </c>
    </row>
    <row r="68">
      <c r="A68" s="38" t="s">
        <v>648</v>
      </c>
      <c r="B68" s="38" t="s">
        <v>819</v>
      </c>
      <c r="C68" s="35" t="s">
        <v>3723</v>
      </c>
      <c r="D68" s="46">
        <v>273.0</v>
      </c>
      <c r="E68" s="46">
        <v>24.0</v>
      </c>
      <c r="F68" s="56" t="s">
        <v>3690</v>
      </c>
      <c r="G68" s="39" t="s">
        <v>3691</v>
      </c>
      <c r="H68" s="76" t="s">
        <v>3692</v>
      </c>
    </row>
    <row r="69">
      <c r="A69" s="38" t="s">
        <v>648</v>
      </c>
      <c r="B69" s="38" t="s">
        <v>819</v>
      </c>
      <c r="C69" s="35" t="s">
        <v>3724</v>
      </c>
      <c r="D69" s="46">
        <v>273.0</v>
      </c>
      <c r="E69" s="46">
        <v>25.0</v>
      </c>
      <c r="F69" s="39" t="s">
        <v>809</v>
      </c>
      <c r="G69" s="39" t="s">
        <v>3685</v>
      </c>
      <c r="H69" s="76" t="s">
        <v>3686</v>
      </c>
    </row>
    <row r="70">
      <c r="A70" s="38" t="s">
        <v>648</v>
      </c>
      <c r="B70" s="38" t="s">
        <v>819</v>
      </c>
      <c r="C70" s="35" t="s">
        <v>3725</v>
      </c>
      <c r="D70" s="46">
        <v>273.0</v>
      </c>
      <c r="E70" s="46">
        <v>26.0</v>
      </c>
      <c r="F70" s="56" t="s">
        <v>822</v>
      </c>
      <c r="G70" s="39" t="s">
        <v>3618</v>
      </c>
      <c r="H70" s="76" t="s">
        <v>3726</v>
      </c>
    </row>
    <row r="71">
      <c r="A71" s="38" t="s">
        <v>648</v>
      </c>
      <c r="B71" s="38" t="s">
        <v>819</v>
      </c>
      <c r="C71" s="35" t="s">
        <v>3727</v>
      </c>
      <c r="D71" s="46">
        <v>273.0</v>
      </c>
      <c r="E71" s="46">
        <v>27.0</v>
      </c>
      <c r="F71" s="56" t="s">
        <v>3728</v>
      </c>
      <c r="G71" s="39" t="s">
        <v>3729</v>
      </c>
      <c r="H71" s="76" t="s">
        <v>3730</v>
      </c>
    </row>
    <row r="72">
      <c r="A72" s="38" t="s">
        <v>648</v>
      </c>
      <c r="B72" s="38" t="s">
        <v>819</v>
      </c>
      <c r="C72" s="35" t="s">
        <v>3731</v>
      </c>
      <c r="D72" s="46">
        <v>273.0</v>
      </c>
      <c r="E72" s="46">
        <v>28.0</v>
      </c>
      <c r="F72" s="56" t="s">
        <v>1690</v>
      </c>
      <c r="G72" s="39" t="s">
        <v>3732</v>
      </c>
      <c r="H72" s="76" t="s">
        <v>3733</v>
      </c>
    </row>
    <row r="73">
      <c r="A73" s="38" t="s">
        <v>648</v>
      </c>
      <c r="B73" s="38" t="s">
        <v>819</v>
      </c>
      <c r="C73" s="35" t="s">
        <v>3734</v>
      </c>
      <c r="D73" s="46">
        <v>273.0</v>
      </c>
      <c r="E73" s="46">
        <v>29.0</v>
      </c>
      <c r="F73" s="56" t="s">
        <v>3633</v>
      </c>
      <c r="G73" s="39" t="s">
        <v>3735</v>
      </c>
      <c r="H73" s="76" t="s">
        <v>3736</v>
      </c>
    </row>
    <row r="74">
      <c r="A74" s="38" t="s">
        <v>648</v>
      </c>
      <c r="B74" s="38" t="s">
        <v>84</v>
      </c>
      <c r="C74" s="38" t="s">
        <v>3737</v>
      </c>
      <c r="D74" s="46">
        <v>273.0</v>
      </c>
      <c r="E74" s="46">
        <v>35.0</v>
      </c>
      <c r="F74" s="39" t="s">
        <v>3738</v>
      </c>
      <c r="G74" s="39" t="s">
        <v>3551</v>
      </c>
    </row>
    <row r="75">
      <c r="A75" s="38" t="s">
        <v>648</v>
      </c>
      <c r="B75" s="38" t="s">
        <v>84</v>
      </c>
      <c r="C75" s="35" t="s">
        <v>3739</v>
      </c>
      <c r="D75" s="46">
        <v>273.0</v>
      </c>
      <c r="E75" s="46">
        <v>37.0</v>
      </c>
      <c r="F75" s="39" t="s">
        <v>3740</v>
      </c>
      <c r="G75" s="39" t="s">
        <v>683</v>
      </c>
    </row>
    <row r="76">
      <c r="A76" s="38" t="s">
        <v>648</v>
      </c>
      <c r="B76" s="38" t="s">
        <v>84</v>
      </c>
      <c r="C76" s="38" t="s">
        <v>3741</v>
      </c>
      <c r="D76" s="46">
        <v>273.0</v>
      </c>
      <c r="E76" s="46">
        <v>40.0</v>
      </c>
      <c r="F76" s="39" t="s">
        <v>3742</v>
      </c>
      <c r="G76" s="39" t="s">
        <v>3743</v>
      </c>
    </row>
    <row r="77">
      <c r="A77" s="38" t="s">
        <v>716</v>
      </c>
      <c r="B77" s="38" t="s">
        <v>84</v>
      </c>
      <c r="C77" s="39" t="s">
        <v>3744</v>
      </c>
      <c r="D77" s="46">
        <v>282.0</v>
      </c>
      <c r="E77" s="46">
        <v>2.0</v>
      </c>
      <c r="F77" s="39" t="s">
        <v>3745</v>
      </c>
      <c r="G77" s="39" t="s">
        <v>3746</v>
      </c>
    </row>
    <row r="78">
      <c r="A78" s="38" t="s">
        <v>716</v>
      </c>
      <c r="B78" s="38" t="s">
        <v>819</v>
      </c>
      <c r="C78" s="38" t="s">
        <v>3747</v>
      </c>
      <c r="D78" s="46">
        <v>282.0</v>
      </c>
      <c r="E78" s="46">
        <v>4.0</v>
      </c>
      <c r="F78" s="39" t="s">
        <v>809</v>
      </c>
    </row>
    <row r="79">
      <c r="A79" s="38" t="s">
        <v>716</v>
      </c>
      <c r="B79" s="38" t="s">
        <v>819</v>
      </c>
      <c r="C79" s="38" t="s">
        <v>3748</v>
      </c>
      <c r="D79" s="46">
        <v>282.0</v>
      </c>
      <c r="E79" s="46">
        <v>5.0</v>
      </c>
      <c r="F79" s="39" t="s">
        <v>809</v>
      </c>
    </row>
    <row r="80">
      <c r="A80" s="38" t="s">
        <v>716</v>
      </c>
      <c r="B80" s="38" t="s">
        <v>81</v>
      </c>
      <c r="C80" s="38" t="s">
        <v>3749</v>
      </c>
      <c r="D80" s="46">
        <v>282.0</v>
      </c>
      <c r="E80" s="46">
        <v>6.0</v>
      </c>
      <c r="F80" s="39" t="s">
        <v>797</v>
      </c>
    </row>
    <row r="81">
      <c r="A81" s="38" t="s">
        <v>716</v>
      </c>
      <c r="B81" s="38" t="s">
        <v>798</v>
      </c>
      <c r="C81" s="38" t="s">
        <v>3750</v>
      </c>
      <c r="D81" s="46">
        <v>282.0</v>
      </c>
      <c r="E81" s="46">
        <v>7.0</v>
      </c>
      <c r="F81" s="56" t="s">
        <v>1690</v>
      </c>
      <c r="G81" s="39" t="s">
        <v>3751</v>
      </c>
    </row>
    <row r="82">
      <c r="A82" s="38" t="s">
        <v>716</v>
      </c>
      <c r="B82" s="38" t="s">
        <v>798</v>
      </c>
      <c r="C82" s="38" t="s">
        <v>3752</v>
      </c>
      <c r="D82" s="46">
        <v>282.0</v>
      </c>
      <c r="E82" s="46">
        <v>8.0</v>
      </c>
      <c r="F82" s="56" t="s">
        <v>836</v>
      </c>
      <c r="G82" s="39" t="s">
        <v>3753</v>
      </c>
    </row>
    <row r="83">
      <c r="A83" s="38" t="s">
        <v>716</v>
      </c>
      <c r="B83" s="38" t="s">
        <v>798</v>
      </c>
      <c r="C83" s="35" t="s">
        <v>3754</v>
      </c>
      <c r="D83" s="46">
        <v>282.0</v>
      </c>
      <c r="E83" s="46">
        <v>9.0</v>
      </c>
      <c r="F83" s="56" t="s">
        <v>3593</v>
      </c>
      <c r="G83" s="39" t="s">
        <v>3755</v>
      </c>
    </row>
    <row r="84">
      <c r="A84" s="38" t="s">
        <v>716</v>
      </c>
      <c r="B84" s="38" t="s">
        <v>798</v>
      </c>
      <c r="C84" s="38" t="s">
        <v>3756</v>
      </c>
      <c r="D84" s="46">
        <v>282.0</v>
      </c>
      <c r="E84" s="46">
        <v>10.0</v>
      </c>
      <c r="F84" s="39" t="s">
        <v>809</v>
      </c>
      <c r="G84" s="39" t="s">
        <v>3757</v>
      </c>
    </row>
    <row r="85">
      <c r="A85" s="38" t="s">
        <v>716</v>
      </c>
      <c r="B85" s="38" t="s">
        <v>84</v>
      </c>
      <c r="C85" s="35" t="s">
        <v>3758</v>
      </c>
      <c r="D85" s="46">
        <v>282.0</v>
      </c>
      <c r="E85" s="46">
        <v>12.0</v>
      </c>
      <c r="F85" s="39" t="s">
        <v>3759</v>
      </c>
      <c r="G85" s="39" t="s">
        <v>3760</v>
      </c>
    </row>
    <row r="86">
      <c r="A86" s="38" t="s">
        <v>716</v>
      </c>
      <c r="B86" s="38" t="s">
        <v>819</v>
      </c>
      <c r="C86" s="35" t="s">
        <v>3761</v>
      </c>
      <c r="D86" s="46">
        <v>282.0</v>
      </c>
      <c r="E86" s="46">
        <v>13.0</v>
      </c>
      <c r="F86" s="56" t="s">
        <v>3610</v>
      </c>
      <c r="G86" s="39" t="s">
        <v>3762</v>
      </c>
      <c r="H86" s="76" t="s">
        <v>3763</v>
      </c>
    </row>
    <row r="87">
      <c r="A87" s="38" t="s">
        <v>716</v>
      </c>
      <c r="B87" s="38" t="s">
        <v>819</v>
      </c>
      <c r="C87" s="35" t="s">
        <v>3764</v>
      </c>
      <c r="D87" s="46">
        <v>282.0</v>
      </c>
      <c r="E87" s="46">
        <v>14.0</v>
      </c>
      <c r="F87" s="56" t="s">
        <v>3593</v>
      </c>
      <c r="G87" s="39" t="s">
        <v>3765</v>
      </c>
      <c r="H87" s="76" t="s">
        <v>3766</v>
      </c>
    </row>
    <row r="88">
      <c r="A88" s="38" t="s">
        <v>716</v>
      </c>
      <c r="B88" s="38" t="s">
        <v>819</v>
      </c>
      <c r="C88" s="35" t="s">
        <v>3767</v>
      </c>
      <c r="D88" s="46">
        <v>282.0</v>
      </c>
      <c r="E88" s="46">
        <v>15.0</v>
      </c>
      <c r="F88" s="56" t="s">
        <v>3768</v>
      </c>
      <c r="G88" s="39" t="s">
        <v>3769</v>
      </c>
      <c r="H88" s="76" t="s">
        <v>3770</v>
      </c>
    </row>
    <row r="89">
      <c r="A89" s="38" t="s">
        <v>716</v>
      </c>
      <c r="B89" s="38" t="s">
        <v>819</v>
      </c>
      <c r="C89" s="35" t="s">
        <v>3771</v>
      </c>
      <c r="D89" s="46">
        <v>282.0</v>
      </c>
      <c r="E89" s="46">
        <v>16.0</v>
      </c>
      <c r="F89" s="56" t="s">
        <v>822</v>
      </c>
      <c r="G89" s="39" t="s">
        <v>3772</v>
      </c>
      <c r="H89" s="76" t="s">
        <v>3773</v>
      </c>
    </row>
    <row r="90">
      <c r="A90" s="38" t="s">
        <v>716</v>
      </c>
      <c r="B90" s="38" t="s">
        <v>819</v>
      </c>
      <c r="C90" s="35" t="s">
        <v>3774</v>
      </c>
      <c r="D90" s="46">
        <v>282.0</v>
      </c>
      <c r="E90" s="46">
        <v>17.0</v>
      </c>
      <c r="F90" s="56" t="s">
        <v>3728</v>
      </c>
      <c r="G90" s="39" t="s">
        <v>3775</v>
      </c>
      <c r="H90" s="76" t="s">
        <v>3776</v>
      </c>
    </row>
    <row r="91">
      <c r="A91" s="38" t="s">
        <v>716</v>
      </c>
      <c r="B91" s="38" t="s">
        <v>819</v>
      </c>
      <c r="C91" s="35" t="s">
        <v>3777</v>
      </c>
      <c r="D91" s="46">
        <v>282.0</v>
      </c>
      <c r="E91" s="46">
        <v>18.0</v>
      </c>
      <c r="F91" s="56" t="s">
        <v>3709</v>
      </c>
      <c r="G91" s="39" t="s">
        <v>3778</v>
      </c>
      <c r="H91" s="76" t="s">
        <v>3779</v>
      </c>
    </row>
    <row r="92">
      <c r="A92" s="38" t="s">
        <v>716</v>
      </c>
      <c r="B92" s="38" t="s">
        <v>819</v>
      </c>
      <c r="C92" s="35" t="s">
        <v>3780</v>
      </c>
      <c r="D92" s="46">
        <v>282.0</v>
      </c>
      <c r="E92" s="46">
        <v>19.0</v>
      </c>
      <c r="F92" s="56" t="s">
        <v>822</v>
      </c>
      <c r="G92" s="39" t="s">
        <v>3618</v>
      </c>
      <c r="H92" s="76" t="s">
        <v>3781</v>
      </c>
    </row>
    <row r="93">
      <c r="A93" s="38" t="s">
        <v>716</v>
      </c>
      <c r="B93" s="38" t="s">
        <v>819</v>
      </c>
      <c r="C93" s="35" t="s">
        <v>3782</v>
      </c>
      <c r="D93" s="46">
        <v>282.0</v>
      </c>
      <c r="E93" s="46">
        <v>20.0</v>
      </c>
      <c r="F93" s="56" t="s">
        <v>3643</v>
      </c>
      <c r="G93" s="39" t="s">
        <v>3607</v>
      </c>
      <c r="H93" s="76" t="s">
        <v>3783</v>
      </c>
    </row>
    <row r="94">
      <c r="A94" s="38" t="s">
        <v>716</v>
      </c>
      <c r="B94" s="38" t="s">
        <v>84</v>
      </c>
      <c r="C94" s="38" t="s">
        <v>3784</v>
      </c>
      <c r="D94" s="46">
        <v>282.0</v>
      </c>
      <c r="E94" s="46">
        <v>25.0</v>
      </c>
      <c r="F94" s="39" t="s">
        <v>3785</v>
      </c>
      <c r="G94" s="39" t="s">
        <v>3560</v>
      </c>
    </row>
    <row r="95">
      <c r="A95" s="38" t="s">
        <v>716</v>
      </c>
      <c r="B95" s="38" t="s">
        <v>819</v>
      </c>
      <c r="C95" s="35" t="s">
        <v>3786</v>
      </c>
      <c r="D95" s="46">
        <v>282.0</v>
      </c>
      <c r="E95" s="46">
        <v>27.0</v>
      </c>
      <c r="F95" s="56" t="s">
        <v>3690</v>
      </c>
      <c r="G95" s="39" t="s">
        <v>3769</v>
      </c>
      <c r="H95" s="76" t="s">
        <v>3770</v>
      </c>
    </row>
    <row r="96">
      <c r="A96" s="38" t="s">
        <v>716</v>
      </c>
      <c r="B96" s="38" t="s">
        <v>819</v>
      </c>
      <c r="C96" s="35" t="s">
        <v>3787</v>
      </c>
      <c r="D96" s="46">
        <v>282.0</v>
      </c>
      <c r="E96" s="46">
        <v>28.0</v>
      </c>
      <c r="F96" s="56" t="s">
        <v>822</v>
      </c>
      <c r="G96" s="39" t="s">
        <v>3772</v>
      </c>
      <c r="H96" s="76" t="s">
        <v>3773</v>
      </c>
    </row>
    <row r="97">
      <c r="A97" s="38" t="s">
        <v>716</v>
      </c>
      <c r="B97" s="38" t="s">
        <v>84</v>
      </c>
      <c r="C97" s="35" t="s">
        <v>3788</v>
      </c>
      <c r="D97" s="46">
        <v>282.0</v>
      </c>
      <c r="E97" s="46">
        <v>29.0</v>
      </c>
      <c r="F97" s="39" t="s">
        <v>3789</v>
      </c>
      <c r="G97" s="39" t="s">
        <v>3790</v>
      </c>
    </row>
  </sheetData>
  <autoFilter ref="$A$1:$H$97"/>
  <dataValidations>
    <dataValidation type="list" allowBlank="1" showDropDown="1" showErrorMessage="1" sqref="B2:B97">
      <formula1>"Body,Body Accessory,Barrel,Barrel Accessory"</formula1>
    </dataValidation>
    <dataValidation type="list" allowBlank="1" showDropDown="1" showErrorMessage="1" sqref="A2:A97">
      <formula1>"Maliwan,Ripper,Torgue,Vladof"</formula1>
    </dataValidation>
    <dataValidation type="list" allowBlank="1" showDropDown="1" sqref="F2:F97">
      <formula1>"'+Ammo,'-Cooldown,'+Damage,'-Damage,'+Fire Rate,'+Splash Radius,'-Cooldown, +Damage,'-Cooldown, -Damage,'+Cooldown, +Damage,'-Cooldown, +Damage, +Fire Rate,'-Cooldown, +Fire Rate,No Stat Changes,No Stat Changes, always present,Stats"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4.38"/>
    <col customWidth="1" min="3" max="3" width="43.13"/>
    <col customWidth="1" min="4" max="5" width="9.75"/>
    <col customWidth="1" min="6" max="6" width="38.25"/>
    <col customWidth="1" min="7" max="7" width="31.88"/>
    <col customWidth="1" min="8" max="8" width="32.75"/>
  </cols>
  <sheetData>
    <row r="1">
      <c r="A1" s="43" t="s">
        <v>78</v>
      </c>
      <c r="B1" s="43" t="s">
        <v>54</v>
      </c>
      <c r="C1" s="43" t="s">
        <v>3579</v>
      </c>
      <c r="D1" s="44" t="s">
        <v>3425</v>
      </c>
      <c r="E1" s="44" t="s">
        <v>788</v>
      </c>
      <c r="F1" s="43" t="s">
        <v>792</v>
      </c>
      <c r="G1" s="43" t="s">
        <v>793</v>
      </c>
      <c r="H1" s="43" t="s">
        <v>3580</v>
      </c>
    </row>
    <row r="2">
      <c r="A2" s="39" t="s">
        <v>68</v>
      </c>
      <c r="B2" s="38" t="s">
        <v>3791</v>
      </c>
      <c r="C2" s="38" t="s">
        <v>3792</v>
      </c>
      <c r="D2" s="46">
        <v>243.0</v>
      </c>
      <c r="E2" s="47">
        <v>1.0</v>
      </c>
    </row>
    <row r="3">
      <c r="A3" s="39" t="s">
        <v>68</v>
      </c>
      <c r="B3" s="38" t="s">
        <v>3793</v>
      </c>
      <c r="C3" s="38" t="s">
        <v>3794</v>
      </c>
      <c r="D3" s="46">
        <v>243.0</v>
      </c>
      <c r="E3" s="47">
        <v>2.0</v>
      </c>
    </row>
    <row r="4">
      <c r="A4" s="39" t="s">
        <v>68</v>
      </c>
      <c r="B4" s="38" t="s">
        <v>3795</v>
      </c>
      <c r="C4" s="38" t="s">
        <v>3796</v>
      </c>
      <c r="D4" s="46">
        <v>243.0</v>
      </c>
      <c r="E4" s="47">
        <v>3.0</v>
      </c>
    </row>
    <row r="5">
      <c r="A5" s="39" t="s">
        <v>68</v>
      </c>
      <c r="B5" s="39" t="s">
        <v>3797</v>
      </c>
      <c r="C5" s="38" t="s">
        <v>3798</v>
      </c>
      <c r="D5" s="46">
        <v>243.0</v>
      </c>
      <c r="E5" s="47">
        <v>4.0</v>
      </c>
    </row>
    <row r="6">
      <c r="A6" s="39" t="s">
        <v>68</v>
      </c>
      <c r="B6" s="39" t="s">
        <v>3799</v>
      </c>
      <c r="C6" s="38" t="s">
        <v>3800</v>
      </c>
      <c r="D6" s="46">
        <v>243.0</v>
      </c>
      <c r="E6" s="47">
        <v>5.0</v>
      </c>
    </row>
    <row r="7">
      <c r="A7" s="39" t="s">
        <v>68</v>
      </c>
      <c r="B7" s="39" t="s">
        <v>3801</v>
      </c>
      <c r="C7" s="38" t="s">
        <v>3802</v>
      </c>
      <c r="D7" s="46">
        <v>243.0</v>
      </c>
      <c r="E7" s="47">
        <v>6.0</v>
      </c>
    </row>
    <row r="8">
      <c r="A8" s="39" t="s">
        <v>68</v>
      </c>
      <c r="B8" s="39" t="s">
        <v>3803</v>
      </c>
      <c r="C8" s="38" t="s">
        <v>3804</v>
      </c>
      <c r="D8" s="46">
        <v>243.0</v>
      </c>
      <c r="E8" s="47">
        <v>7.0</v>
      </c>
    </row>
    <row r="9">
      <c r="A9" s="39" t="s">
        <v>68</v>
      </c>
      <c r="B9" s="38" t="s">
        <v>160</v>
      </c>
      <c r="C9" s="38" t="s">
        <v>3805</v>
      </c>
      <c r="D9" s="46">
        <v>243.0</v>
      </c>
      <c r="E9" s="47">
        <v>8.0</v>
      </c>
    </row>
    <row r="10">
      <c r="A10" s="39" t="s">
        <v>68</v>
      </c>
      <c r="B10" s="38" t="s">
        <v>3806</v>
      </c>
      <c r="C10" s="38" t="s">
        <v>3807</v>
      </c>
      <c r="D10" s="46">
        <v>243.0</v>
      </c>
      <c r="E10" s="47">
        <v>9.0</v>
      </c>
    </row>
    <row r="11">
      <c r="A11" s="39" t="s">
        <v>68</v>
      </c>
      <c r="B11" s="38" t="s">
        <v>3808</v>
      </c>
      <c r="C11" s="38" t="s">
        <v>3809</v>
      </c>
      <c r="D11" s="46">
        <v>243.0</v>
      </c>
      <c r="E11" s="47">
        <v>10.0</v>
      </c>
    </row>
    <row r="12">
      <c r="A12" s="39" t="s">
        <v>68</v>
      </c>
      <c r="B12" s="38" t="s">
        <v>3810</v>
      </c>
      <c r="C12" s="38" t="s">
        <v>3811</v>
      </c>
      <c r="D12" s="46">
        <v>243.0</v>
      </c>
      <c r="E12" s="47">
        <v>11.0</v>
      </c>
    </row>
    <row r="13">
      <c r="A13" s="39" t="s">
        <v>68</v>
      </c>
      <c r="B13" s="76" t="s">
        <v>3812</v>
      </c>
      <c r="C13" s="38" t="s">
        <v>3813</v>
      </c>
      <c r="D13" s="46">
        <v>243.0</v>
      </c>
      <c r="E13" s="47">
        <v>12.0</v>
      </c>
    </row>
    <row r="14">
      <c r="A14" s="39" t="s">
        <v>68</v>
      </c>
      <c r="B14" s="76" t="s">
        <v>3814</v>
      </c>
      <c r="C14" s="38" t="s">
        <v>3815</v>
      </c>
      <c r="D14" s="46">
        <v>243.0</v>
      </c>
      <c r="E14" s="47">
        <v>13.0</v>
      </c>
    </row>
    <row r="15">
      <c r="A15" s="39" t="s">
        <v>68</v>
      </c>
      <c r="B15" s="76" t="s">
        <v>3816</v>
      </c>
      <c r="C15" s="38" t="s">
        <v>3817</v>
      </c>
      <c r="D15" s="46">
        <v>243.0</v>
      </c>
      <c r="E15" s="47">
        <v>14.0</v>
      </c>
    </row>
    <row r="16">
      <c r="A16" s="39" t="s">
        <v>68</v>
      </c>
      <c r="B16" s="76" t="s">
        <v>3818</v>
      </c>
      <c r="C16" s="38" t="s">
        <v>3819</v>
      </c>
      <c r="D16" s="46">
        <v>243.0</v>
      </c>
      <c r="E16" s="47">
        <v>15.0</v>
      </c>
    </row>
    <row r="17">
      <c r="A17" s="39" t="s">
        <v>68</v>
      </c>
      <c r="B17" s="76" t="s">
        <v>3820</v>
      </c>
      <c r="C17" s="38" t="s">
        <v>3821</v>
      </c>
      <c r="D17" s="46">
        <v>243.0</v>
      </c>
      <c r="E17" s="47">
        <v>16.0</v>
      </c>
    </row>
    <row r="18">
      <c r="A18" s="39" t="s">
        <v>68</v>
      </c>
      <c r="B18" s="76" t="s">
        <v>3822</v>
      </c>
      <c r="C18" s="38" t="s">
        <v>3823</v>
      </c>
      <c r="D18" s="46">
        <v>243.0</v>
      </c>
      <c r="E18" s="47">
        <v>17.0</v>
      </c>
    </row>
    <row r="19">
      <c r="A19" s="39" t="s">
        <v>68</v>
      </c>
      <c r="B19" s="76" t="s">
        <v>3824</v>
      </c>
      <c r="C19" s="38" t="s">
        <v>3825</v>
      </c>
      <c r="D19" s="46">
        <v>243.0</v>
      </c>
      <c r="E19" s="47">
        <v>18.0</v>
      </c>
    </row>
    <row r="20">
      <c r="A20" s="39" t="s">
        <v>68</v>
      </c>
      <c r="B20" s="76" t="s">
        <v>3826</v>
      </c>
      <c r="C20" s="38" t="s">
        <v>3827</v>
      </c>
      <c r="D20" s="46">
        <v>243.0</v>
      </c>
      <c r="E20" s="47">
        <v>19.0</v>
      </c>
    </row>
    <row r="21">
      <c r="A21" s="39" t="s">
        <v>68</v>
      </c>
      <c r="B21" s="76" t="s">
        <v>3828</v>
      </c>
      <c r="C21" s="38" t="s">
        <v>3829</v>
      </c>
      <c r="D21" s="46">
        <v>243.0</v>
      </c>
      <c r="E21" s="47">
        <v>20.0</v>
      </c>
    </row>
    <row r="22">
      <c r="A22" s="77" t="s">
        <v>3501</v>
      </c>
      <c r="B22" s="39" t="s">
        <v>3830</v>
      </c>
      <c r="C22" s="38" t="s">
        <v>3831</v>
      </c>
      <c r="D22" s="46">
        <v>243.0</v>
      </c>
      <c r="E22" s="46">
        <v>21.0</v>
      </c>
      <c r="F22" s="78" t="s">
        <v>3832</v>
      </c>
      <c r="G22" s="38" t="s">
        <v>3833</v>
      </c>
      <c r="H22" s="38"/>
    </row>
    <row r="23">
      <c r="A23" s="79" t="s">
        <v>3834</v>
      </c>
      <c r="B23" s="76" t="s">
        <v>3437</v>
      </c>
      <c r="C23" s="38" t="s">
        <v>3835</v>
      </c>
      <c r="D23" s="46">
        <v>243.0</v>
      </c>
      <c r="E23" s="46">
        <v>22.0</v>
      </c>
      <c r="F23" s="78" t="s">
        <v>3836</v>
      </c>
      <c r="G23" s="35"/>
      <c r="H23" s="35"/>
    </row>
    <row r="24">
      <c r="A24" s="79" t="s">
        <v>3834</v>
      </c>
      <c r="B24" s="76" t="s">
        <v>3435</v>
      </c>
      <c r="C24" s="38" t="s">
        <v>3837</v>
      </c>
      <c r="D24" s="46">
        <v>243.0</v>
      </c>
      <c r="E24" s="46">
        <v>23.0</v>
      </c>
      <c r="F24" s="78" t="s">
        <v>3838</v>
      </c>
      <c r="G24" s="35"/>
      <c r="H24" s="35"/>
    </row>
    <row r="25">
      <c r="A25" s="79" t="s">
        <v>3834</v>
      </c>
      <c r="B25" s="76" t="s">
        <v>3433</v>
      </c>
      <c r="C25" s="35" t="s">
        <v>3839</v>
      </c>
      <c r="D25" s="46">
        <v>243.0</v>
      </c>
      <c r="E25" s="46">
        <v>24.0</v>
      </c>
      <c r="F25" s="78" t="s">
        <v>3840</v>
      </c>
      <c r="G25" s="35"/>
      <c r="H25" s="35"/>
    </row>
    <row r="26">
      <c r="A26" s="79" t="s">
        <v>3834</v>
      </c>
      <c r="B26" s="76" t="s">
        <v>3431</v>
      </c>
      <c r="C26" s="35" t="s">
        <v>3841</v>
      </c>
      <c r="D26" s="46">
        <v>243.0</v>
      </c>
      <c r="E26" s="46">
        <v>25.0</v>
      </c>
      <c r="F26" s="78" t="s">
        <v>3842</v>
      </c>
      <c r="G26" s="35"/>
      <c r="H26" s="35"/>
    </row>
    <row r="27">
      <c r="A27" s="79" t="s">
        <v>3834</v>
      </c>
      <c r="B27" s="76" t="s">
        <v>3428</v>
      </c>
      <c r="C27" s="38" t="s">
        <v>3843</v>
      </c>
      <c r="D27" s="46">
        <v>243.0</v>
      </c>
      <c r="E27" s="46">
        <v>26.0</v>
      </c>
      <c r="F27" s="78" t="s">
        <v>3844</v>
      </c>
      <c r="G27" s="35"/>
      <c r="H27" s="35"/>
    </row>
    <row r="28">
      <c r="A28" s="79" t="s">
        <v>3845</v>
      </c>
      <c r="B28" s="76" t="s">
        <v>3437</v>
      </c>
      <c r="C28" s="38" t="s">
        <v>3846</v>
      </c>
      <c r="D28" s="46">
        <v>243.0</v>
      </c>
      <c r="E28" s="46">
        <v>27.0</v>
      </c>
      <c r="F28" s="35" t="s">
        <v>3847</v>
      </c>
      <c r="G28" s="35"/>
      <c r="H28" s="35"/>
    </row>
    <row r="29">
      <c r="A29" s="79" t="s">
        <v>3845</v>
      </c>
      <c r="B29" s="76" t="s">
        <v>3435</v>
      </c>
      <c r="C29" s="38" t="s">
        <v>3848</v>
      </c>
      <c r="D29" s="46">
        <v>243.0</v>
      </c>
      <c r="E29" s="46">
        <v>28.0</v>
      </c>
      <c r="F29" s="35" t="s">
        <v>3849</v>
      </c>
      <c r="G29" s="35"/>
      <c r="H29" s="35"/>
    </row>
    <row r="30">
      <c r="A30" s="79" t="s">
        <v>3845</v>
      </c>
      <c r="B30" s="76" t="s">
        <v>3433</v>
      </c>
      <c r="C30" s="35" t="s">
        <v>3850</v>
      </c>
      <c r="D30" s="46">
        <v>243.0</v>
      </c>
      <c r="E30" s="46">
        <v>29.0</v>
      </c>
      <c r="F30" s="35" t="s">
        <v>3851</v>
      </c>
      <c r="G30" s="35"/>
      <c r="H30" s="35"/>
    </row>
    <row r="31">
      <c r="A31" s="79" t="s">
        <v>3845</v>
      </c>
      <c r="B31" s="76" t="s">
        <v>3431</v>
      </c>
      <c r="C31" s="35" t="s">
        <v>3852</v>
      </c>
      <c r="D31" s="46">
        <v>243.0</v>
      </c>
      <c r="E31" s="46">
        <v>30.0</v>
      </c>
      <c r="F31" s="35" t="s">
        <v>3853</v>
      </c>
      <c r="G31" s="35"/>
      <c r="H31" s="35"/>
    </row>
    <row r="32">
      <c r="A32" s="79" t="s">
        <v>3845</v>
      </c>
      <c r="B32" s="76" t="s">
        <v>3428</v>
      </c>
      <c r="C32" s="38" t="s">
        <v>3854</v>
      </c>
      <c r="D32" s="46">
        <v>243.0</v>
      </c>
      <c r="E32" s="46">
        <v>31.0</v>
      </c>
      <c r="F32" s="35" t="s">
        <v>3855</v>
      </c>
      <c r="G32" s="35"/>
      <c r="H32" s="35"/>
    </row>
    <row r="33">
      <c r="A33" s="76" t="s">
        <v>3856</v>
      </c>
      <c r="B33" s="76" t="s">
        <v>3857</v>
      </c>
      <c r="C33" s="35" t="s">
        <v>3858</v>
      </c>
      <c r="D33" s="46">
        <v>243.0</v>
      </c>
      <c r="E33" s="46">
        <v>32.0</v>
      </c>
      <c r="F33" s="38" t="s">
        <v>3859</v>
      </c>
      <c r="G33" s="35"/>
      <c r="H33" s="35"/>
    </row>
    <row r="34">
      <c r="A34" s="76" t="s">
        <v>3856</v>
      </c>
      <c r="B34" s="76" t="s">
        <v>3860</v>
      </c>
      <c r="C34" s="35" t="s">
        <v>3861</v>
      </c>
      <c r="D34" s="46">
        <v>243.0</v>
      </c>
      <c r="E34" s="46">
        <v>33.0</v>
      </c>
      <c r="F34" s="38" t="s">
        <v>3862</v>
      </c>
      <c r="G34" s="35"/>
      <c r="H34" s="35"/>
    </row>
    <row r="35">
      <c r="A35" s="76" t="s">
        <v>3856</v>
      </c>
      <c r="B35" s="76" t="s">
        <v>3863</v>
      </c>
      <c r="C35" s="38" t="s">
        <v>3864</v>
      </c>
      <c r="D35" s="46">
        <v>243.0</v>
      </c>
      <c r="E35" s="46">
        <v>34.0</v>
      </c>
      <c r="F35" s="38" t="s">
        <v>3865</v>
      </c>
      <c r="G35" s="35"/>
      <c r="H35" s="35"/>
    </row>
    <row r="36">
      <c r="A36" s="76" t="s">
        <v>3856</v>
      </c>
      <c r="B36" s="76" t="s">
        <v>3866</v>
      </c>
      <c r="C36" s="35" t="s">
        <v>3867</v>
      </c>
      <c r="D36" s="46">
        <v>243.0</v>
      </c>
      <c r="E36" s="46">
        <v>35.0</v>
      </c>
      <c r="F36" s="38" t="s">
        <v>3868</v>
      </c>
      <c r="G36" s="35"/>
      <c r="H36" s="35"/>
    </row>
    <row r="37">
      <c r="A37" s="76" t="s">
        <v>3856</v>
      </c>
      <c r="B37" s="76" t="s">
        <v>3869</v>
      </c>
      <c r="C37" s="38" t="s">
        <v>3870</v>
      </c>
      <c r="D37" s="46">
        <v>243.0</v>
      </c>
      <c r="E37" s="46">
        <v>36.0</v>
      </c>
      <c r="F37" s="38" t="s">
        <v>3871</v>
      </c>
      <c r="G37" s="35"/>
      <c r="H37" s="35"/>
    </row>
    <row r="38">
      <c r="A38" s="76" t="s">
        <v>3872</v>
      </c>
      <c r="B38" s="76" t="s">
        <v>3873</v>
      </c>
      <c r="C38" s="38" t="s">
        <v>3874</v>
      </c>
      <c r="D38" s="46">
        <v>243.0</v>
      </c>
      <c r="E38" s="46">
        <v>37.0</v>
      </c>
      <c r="F38" s="38" t="s">
        <v>3875</v>
      </c>
      <c r="G38" s="35"/>
      <c r="H38" s="35"/>
    </row>
    <row r="39">
      <c r="A39" s="76" t="s">
        <v>3872</v>
      </c>
      <c r="B39" s="76" t="s">
        <v>3876</v>
      </c>
      <c r="C39" s="35" t="s">
        <v>3877</v>
      </c>
      <c r="D39" s="46">
        <v>243.0</v>
      </c>
      <c r="E39" s="46">
        <v>38.0</v>
      </c>
      <c r="F39" s="38" t="s">
        <v>3878</v>
      </c>
      <c r="G39" s="35"/>
      <c r="H39" s="35"/>
    </row>
    <row r="40">
      <c r="A40" s="76" t="s">
        <v>3872</v>
      </c>
      <c r="B40" s="76" t="s">
        <v>3879</v>
      </c>
      <c r="C40" s="35" t="s">
        <v>3880</v>
      </c>
      <c r="D40" s="46">
        <v>243.0</v>
      </c>
      <c r="E40" s="46">
        <v>39.0</v>
      </c>
      <c r="F40" s="38" t="s">
        <v>3881</v>
      </c>
      <c r="G40" s="35"/>
      <c r="H40" s="35"/>
    </row>
    <row r="41">
      <c r="A41" s="76" t="s">
        <v>3872</v>
      </c>
      <c r="B41" s="76" t="s">
        <v>3882</v>
      </c>
      <c r="C41" s="38" t="s">
        <v>3883</v>
      </c>
      <c r="D41" s="46">
        <v>243.0</v>
      </c>
      <c r="E41" s="46">
        <v>40.0</v>
      </c>
      <c r="F41" s="38" t="s">
        <v>3884</v>
      </c>
      <c r="G41" s="35"/>
      <c r="H41" s="35"/>
    </row>
    <row r="42">
      <c r="A42" s="76" t="s">
        <v>3872</v>
      </c>
      <c r="B42" s="76" t="s">
        <v>3885</v>
      </c>
      <c r="C42" s="38" t="s">
        <v>3886</v>
      </c>
      <c r="D42" s="46">
        <v>243.0</v>
      </c>
      <c r="E42" s="46">
        <v>41.0</v>
      </c>
      <c r="F42" s="38" t="s">
        <v>3887</v>
      </c>
      <c r="G42" s="35"/>
      <c r="H42" s="35"/>
    </row>
    <row r="43">
      <c r="A43" s="76" t="s">
        <v>3845</v>
      </c>
      <c r="B43" s="76" t="s">
        <v>3437</v>
      </c>
      <c r="C43" s="38" t="s">
        <v>3888</v>
      </c>
      <c r="D43" s="46">
        <v>243.0</v>
      </c>
      <c r="E43" s="46">
        <v>42.0</v>
      </c>
      <c r="F43" s="76" t="s">
        <v>3847</v>
      </c>
      <c r="G43" s="35"/>
      <c r="H43" s="35"/>
    </row>
    <row r="44">
      <c r="A44" s="76" t="s">
        <v>3845</v>
      </c>
      <c r="B44" s="76" t="s">
        <v>3435</v>
      </c>
      <c r="C44" s="38" t="s">
        <v>3889</v>
      </c>
      <c r="D44" s="46">
        <v>243.0</v>
      </c>
      <c r="E44" s="46">
        <v>43.0</v>
      </c>
      <c r="F44" s="76" t="s">
        <v>3849</v>
      </c>
      <c r="G44" s="35"/>
      <c r="H44" s="35"/>
    </row>
    <row r="45">
      <c r="A45" s="76" t="s">
        <v>3845</v>
      </c>
      <c r="B45" s="76" t="s">
        <v>3433</v>
      </c>
      <c r="C45" s="35" t="s">
        <v>3890</v>
      </c>
      <c r="D45" s="46">
        <v>243.0</v>
      </c>
      <c r="E45" s="46">
        <v>44.0</v>
      </c>
      <c r="F45" s="76" t="s">
        <v>3851</v>
      </c>
      <c r="G45" s="35"/>
      <c r="H45" s="35"/>
    </row>
    <row r="46">
      <c r="A46" s="76" t="s">
        <v>3845</v>
      </c>
      <c r="B46" s="76" t="s">
        <v>3431</v>
      </c>
      <c r="C46" s="35" t="s">
        <v>3891</v>
      </c>
      <c r="D46" s="46">
        <v>243.0</v>
      </c>
      <c r="E46" s="46">
        <v>45.0</v>
      </c>
      <c r="F46" s="76" t="s">
        <v>3853</v>
      </c>
      <c r="G46" s="35"/>
      <c r="H46" s="35"/>
    </row>
    <row r="47">
      <c r="A47" s="76" t="s">
        <v>3845</v>
      </c>
      <c r="B47" s="76" t="s">
        <v>3428</v>
      </c>
      <c r="C47" s="38" t="s">
        <v>3892</v>
      </c>
      <c r="D47" s="46">
        <v>243.0</v>
      </c>
      <c r="E47" s="46">
        <v>46.0</v>
      </c>
      <c r="F47" s="76" t="s">
        <v>3855</v>
      </c>
      <c r="G47" s="35"/>
      <c r="H47" s="35"/>
    </row>
    <row r="48">
      <c r="A48" s="76" t="s">
        <v>3834</v>
      </c>
      <c r="B48" s="76" t="s">
        <v>3435</v>
      </c>
      <c r="C48" s="38" t="s">
        <v>3893</v>
      </c>
      <c r="D48" s="46">
        <v>243.0</v>
      </c>
      <c r="E48" s="46">
        <v>47.0</v>
      </c>
      <c r="F48" s="80" t="s">
        <v>3838</v>
      </c>
      <c r="G48" s="35"/>
      <c r="H48" s="35"/>
    </row>
    <row r="49">
      <c r="A49" s="76" t="s">
        <v>3834</v>
      </c>
      <c r="B49" s="76" t="s">
        <v>3431</v>
      </c>
      <c r="C49" s="38" t="s">
        <v>3894</v>
      </c>
      <c r="D49" s="46">
        <v>243.0</v>
      </c>
      <c r="E49" s="46">
        <v>48.0</v>
      </c>
      <c r="F49" s="80" t="s">
        <v>3842</v>
      </c>
      <c r="G49" s="35"/>
      <c r="H49" s="35"/>
    </row>
    <row r="50">
      <c r="A50" s="76" t="s">
        <v>3834</v>
      </c>
      <c r="B50" s="76" t="s">
        <v>3437</v>
      </c>
      <c r="C50" s="38" t="s">
        <v>3895</v>
      </c>
      <c r="D50" s="46">
        <v>243.0</v>
      </c>
      <c r="E50" s="46">
        <v>49.0</v>
      </c>
      <c r="F50" s="80" t="s">
        <v>3836</v>
      </c>
      <c r="G50" s="35"/>
      <c r="H50" s="35"/>
    </row>
    <row r="51">
      <c r="A51" s="76" t="s">
        <v>3834</v>
      </c>
      <c r="B51" s="76" t="s">
        <v>3433</v>
      </c>
      <c r="C51" s="38" t="s">
        <v>3896</v>
      </c>
      <c r="D51" s="46">
        <v>243.0</v>
      </c>
      <c r="E51" s="46">
        <v>50.0</v>
      </c>
      <c r="F51" s="80" t="s">
        <v>3840</v>
      </c>
      <c r="G51" s="35"/>
      <c r="H51" s="35"/>
    </row>
    <row r="52">
      <c r="A52" s="76" t="s">
        <v>3834</v>
      </c>
      <c r="B52" s="76" t="s">
        <v>3428</v>
      </c>
      <c r="C52" s="38" t="s">
        <v>3897</v>
      </c>
      <c r="D52" s="46">
        <v>243.0</v>
      </c>
      <c r="E52" s="46">
        <v>51.0</v>
      </c>
      <c r="F52" s="80" t="s">
        <v>3844</v>
      </c>
      <c r="G52" s="35"/>
      <c r="H52" s="35"/>
    </row>
    <row r="53">
      <c r="A53" s="76" t="s">
        <v>3501</v>
      </c>
      <c r="B53" s="76" t="s">
        <v>3898</v>
      </c>
      <c r="C53" s="38" t="s">
        <v>3899</v>
      </c>
      <c r="D53" s="46">
        <v>243.0</v>
      </c>
      <c r="E53" s="46">
        <v>52.0</v>
      </c>
      <c r="F53" s="76" t="s">
        <v>3900</v>
      </c>
      <c r="G53" s="35"/>
      <c r="H53" s="35"/>
    </row>
    <row r="54">
      <c r="A54" s="81" t="s">
        <v>3901</v>
      </c>
      <c r="B54" s="81" t="s">
        <v>3902</v>
      </c>
      <c r="C54" s="82"/>
      <c r="D54" s="83">
        <v>243.0</v>
      </c>
      <c r="E54" s="83">
        <v>53.0</v>
      </c>
      <c r="F54" s="84" t="s">
        <v>809</v>
      </c>
      <c r="G54" s="38" t="s">
        <v>3903</v>
      </c>
      <c r="H54" s="38"/>
    </row>
    <row r="55">
      <c r="A55" s="76" t="s">
        <v>3501</v>
      </c>
      <c r="B55" s="38" t="s">
        <v>3904</v>
      </c>
      <c r="C55" s="4" t="s">
        <v>3905</v>
      </c>
      <c r="D55" s="46">
        <v>243.0</v>
      </c>
      <c r="E55" s="46">
        <v>54.0</v>
      </c>
      <c r="F55" s="57" t="s">
        <v>3906</v>
      </c>
      <c r="G55" s="35"/>
      <c r="H55" s="35"/>
    </row>
    <row r="56">
      <c r="A56" s="81" t="s">
        <v>3901</v>
      </c>
      <c r="B56" s="81" t="s">
        <v>3902</v>
      </c>
      <c r="C56" s="85"/>
      <c r="D56" s="83">
        <v>243.0</v>
      </c>
      <c r="E56" s="83">
        <v>55.0</v>
      </c>
      <c r="F56" s="84" t="s">
        <v>809</v>
      </c>
      <c r="G56" s="38" t="s">
        <v>3903</v>
      </c>
      <c r="H56" s="38"/>
    </row>
    <row r="57">
      <c r="A57" s="76" t="s">
        <v>3501</v>
      </c>
      <c r="B57" s="76" t="s">
        <v>3907</v>
      </c>
      <c r="C57" s="35" t="s">
        <v>3908</v>
      </c>
      <c r="D57" s="46">
        <v>243.0</v>
      </c>
      <c r="E57" s="46">
        <v>56.0</v>
      </c>
      <c r="F57" s="38" t="s">
        <v>3909</v>
      </c>
      <c r="G57" s="35"/>
      <c r="H57" s="35"/>
    </row>
    <row r="58">
      <c r="A58" s="76" t="s">
        <v>3501</v>
      </c>
      <c r="B58" s="76" t="s">
        <v>3910</v>
      </c>
      <c r="C58" s="4" t="s">
        <v>3911</v>
      </c>
      <c r="D58" s="46">
        <v>243.0</v>
      </c>
      <c r="E58" s="46">
        <v>57.0</v>
      </c>
      <c r="F58" s="35" t="s">
        <v>3912</v>
      </c>
      <c r="G58" s="35"/>
      <c r="H58" s="35"/>
    </row>
    <row r="59">
      <c r="A59" s="76" t="s">
        <v>3501</v>
      </c>
      <c r="B59" s="76" t="s">
        <v>3913</v>
      </c>
      <c r="C59" s="35" t="s">
        <v>3914</v>
      </c>
      <c r="D59" s="46">
        <v>243.0</v>
      </c>
      <c r="E59" s="46">
        <v>58.0</v>
      </c>
      <c r="F59" s="38" t="s">
        <v>3915</v>
      </c>
      <c r="G59" s="35"/>
      <c r="H59" s="35"/>
    </row>
    <row r="60">
      <c r="A60" s="76" t="s">
        <v>3501</v>
      </c>
      <c r="B60" s="76" t="s">
        <v>3916</v>
      </c>
      <c r="C60" s="4" t="s">
        <v>3917</v>
      </c>
      <c r="D60" s="46">
        <v>243.0</v>
      </c>
      <c r="E60" s="46">
        <v>59.0</v>
      </c>
      <c r="F60" s="86" t="s">
        <v>3918</v>
      </c>
      <c r="G60" s="35"/>
      <c r="H60" s="35"/>
    </row>
    <row r="61">
      <c r="A61" s="76" t="s">
        <v>3501</v>
      </c>
      <c r="B61" s="76" t="s">
        <v>3830</v>
      </c>
      <c r="C61" s="4" t="s">
        <v>3919</v>
      </c>
      <c r="D61" s="46">
        <v>243.0</v>
      </c>
      <c r="E61" s="46">
        <v>60.0</v>
      </c>
      <c r="F61" s="78" t="s">
        <v>3832</v>
      </c>
      <c r="G61" s="35"/>
      <c r="H61" s="35"/>
    </row>
    <row r="62">
      <c r="A62" s="76" t="s">
        <v>3501</v>
      </c>
      <c r="B62" s="76" t="s">
        <v>3920</v>
      </c>
      <c r="C62" s="38" t="s">
        <v>3921</v>
      </c>
      <c r="D62" s="46">
        <v>243.0</v>
      </c>
      <c r="E62" s="46">
        <v>61.0</v>
      </c>
      <c r="F62" s="86" t="s">
        <v>3922</v>
      </c>
      <c r="G62" s="35"/>
      <c r="H62" s="35"/>
    </row>
    <row r="63">
      <c r="A63" s="76" t="s">
        <v>3501</v>
      </c>
      <c r="B63" s="76" t="s">
        <v>3923</v>
      </c>
      <c r="C63" s="4" t="s">
        <v>3924</v>
      </c>
      <c r="D63" s="46">
        <v>243.0</v>
      </c>
      <c r="E63" s="46">
        <v>62.0</v>
      </c>
      <c r="F63" s="86" t="s">
        <v>3925</v>
      </c>
      <c r="G63" s="35"/>
      <c r="H63" s="35"/>
    </row>
    <row r="64">
      <c r="A64" s="76" t="s">
        <v>3501</v>
      </c>
      <c r="B64" s="76" t="s">
        <v>3926</v>
      </c>
      <c r="C64" s="4" t="s">
        <v>3927</v>
      </c>
      <c r="D64" s="46">
        <v>243.0</v>
      </c>
      <c r="E64" s="46">
        <v>63.0</v>
      </c>
      <c r="F64" s="78" t="s">
        <v>3928</v>
      </c>
      <c r="G64" s="35"/>
      <c r="H64" s="35"/>
    </row>
    <row r="65">
      <c r="A65" s="76" t="s">
        <v>3501</v>
      </c>
      <c r="B65" s="76" t="s">
        <v>3929</v>
      </c>
      <c r="C65" s="4" t="s">
        <v>3930</v>
      </c>
      <c r="D65" s="46">
        <v>243.0</v>
      </c>
      <c r="E65" s="46">
        <v>64.0</v>
      </c>
      <c r="F65" s="78" t="s">
        <v>3931</v>
      </c>
      <c r="G65" s="35"/>
      <c r="H65" s="35"/>
    </row>
    <row r="66">
      <c r="A66" s="76" t="s">
        <v>3501</v>
      </c>
      <c r="B66" s="76" t="s">
        <v>3932</v>
      </c>
      <c r="C66" s="35" t="s">
        <v>3933</v>
      </c>
      <c r="D66" s="46">
        <v>243.0</v>
      </c>
      <c r="E66" s="46">
        <v>65.0</v>
      </c>
      <c r="F66" s="78" t="s">
        <v>3934</v>
      </c>
      <c r="G66" s="35"/>
      <c r="H66" s="35"/>
    </row>
    <row r="67">
      <c r="A67" s="76" t="s">
        <v>3501</v>
      </c>
      <c r="B67" s="76" t="s">
        <v>3935</v>
      </c>
      <c r="C67" s="35" t="s">
        <v>3936</v>
      </c>
      <c r="D67" s="46">
        <v>243.0</v>
      </c>
      <c r="E67" s="46">
        <v>66.0</v>
      </c>
      <c r="F67" s="86" t="s">
        <v>3937</v>
      </c>
      <c r="G67" s="38" t="s">
        <v>3938</v>
      </c>
      <c r="H67" s="38"/>
    </row>
    <row r="68">
      <c r="A68" s="76" t="s">
        <v>3501</v>
      </c>
      <c r="B68" s="76" t="s">
        <v>3939</v>
      </c>
      <c r="C68" s="35" t="s">
        <v>3940</v>
      </c>
      <c r="D68" s="46">
        <v>243.0</v>
      </c>
      <c r="E68" s="46">
        <v>67.0</v>
      </c>
      <c r="F68" s="86" t="s">
        <v>3941</v>
      </c>
      <c r="G68" s="35"/>
      <c r="H68" s="35"/>
    </row>
    <row r="69">
      <c r="A69" s="76" t="s">
        <v>3501</v>
      </c>
      <c r="B69" s="76" t="s">
        <v>3942</v>
      </c>
      <c r="C69" s="4" t="s">
        <v>3943</v>
      </c>
      <c r="D69" s="46">
        <v>243.0</v>
      </c>
      <c r="E69" s="46">
        <v>68.0</v>
      </c>
      <c r="F69" s="78" t="s">
        <v>3944</v>
      </c>
      <c r="G69" s="35"/>
      <c r="H69" s="35"/>
    </row>
    <row r="70">
      <c r="A70" s="76" t="s">
        <v>3501</v>
      </c>
      <c r="B70" s="76" t="s">
        <v>3945</v>
      </c>
      <c r="C70" s="4" t="s">
        <v>3946</v>
      </c>
      <c r="D70" s="46">
        <v>243.0</v>
      </c>
      <c r="E70" s="46">
        <v>69.0</v>
      </c>
      <c r="F70" s="86" t="s">
        <v>3947</v>
      </c>
      <c r="G70" s="35"/>
      <c r="H70" s="35"/>
    </row>
    <row r="71">
      <c r="A71" s="76" t="s">
        <v>3501</v>
      </c>
      <c r="B71" s="76" t="s">
        <v>3948</v>
      </c>
      <c r="C71" s="35" t="s">
        <v>3949</v>
      </c>
      <c r="D71" s="46">
        <v>243.0</v>
      </c>
      <c r="E71" s="46">
        <v>70.0</v>
      </c>
      <c r="F71" s="86" t="s">
        <v>3950</v>
      </c>
      <c r="G71" s="35"/>
      <c r="H71" s="35"/>
    </row>
    <row r="72">
      <c r="A72" s="76" t="s">
        <v>3501</v>
      </c>
      <c r="B72" s="76" t="s">
        <v>3729</v>
      </c>
      <c r="C72" s="4" t="s">
        <v>3951</v>
      </c>
      <c r="D72" s="46">
        <v>243.0</v>
      </c>
      <c r="E72" s="46">
        <v>71.0</v>
      </c>
      <c r="F72" s="78" t="s">
        <v>3952</v>
      </c>
      <c r="G72" s="35"/>
      <c r="H72" s="35"/>
    </row>
    <row r="73">
      <c r="A73" s="81" t="s">
        <v>3901</v>
      </c>
      <c r="B73" s="81" t="s">
        <v>3902</v>
      </c>
      <c r="C73" s="85"/>
      <c r="D73" s="83">
        <v>243.0</v>
      </c>
      <c r="E73" s="83">
        <v>72.0</v>
      </c>
      <c r="F73" s="84" t="s">
        <v>809</v>
      </c>
      <c r="G73" s="38" t="s">
        <v>3903</v>
      </c>
      <c r="H73" s="38"/>
    </row>
    <row r="74">
      <c r="A74" s="76" t="s">
        <v>3501</v>
      </c>
      <c r="B74" s="76" t="s">
        <v>3953</v>
      </c>
      <c r="C74" s="35" t="s">
        <v>3954</v>
      </c>
      <c r="D74" s="46">
        <v>243.0</v>
      </c>
      <c r="E74" s="46">
        <v>73.0</v>
      </c>
      <c r="F74" s="78" t="s">
        <v>3955</v>
      </c>
      <c r="G74" s="35"/>
      <c r="H74" s="35"/>
    </row>
    <row r="75">
      <c r="A75" s="76" t="s">
        <v>3501</v>
      </c>
      <c r="B75" s="76" t="s">
        <v>3956</v>
      </c>
      <c r="C75" s="4" t="s">
        <v>3957</v>
      </c>
      <c r="D75" s="46">
        <v>243.0</v>
      </c>
      <c r="E75" s="46">
        <v>74.0</v>
      </c>
      <c r="F75" s="78" t="s">
        <v>3958</v>
      </c>
      <c r="G75" s="35"/>
      <c r="H75" s="35"/>
    </row>
    <row r="76">
      <c r="A76" s="76" t="s">
        <v>3501</v>
      </c>
      <c r="B76" s="76" t="s">
        <v>3898</v>
      </c>
      <c r="C76" s="38" t="s">
        <v>3959</v>
      </c>
      <c r="D76" s="46">
        <v>243.0</v>
      </c>
      <c r="E76" s="46">
        <v>75.0</v>
      </c>
      <c r="F76" s="35"/>
      <c r="G76" s="35"/>
      <c r="H76" s="35"/>
    </row>
    <row r="77">
      <c r="A77" s="81" t="s">
        <v>3901</v>
      </c>
      <c r="B77" s="81" t="s">
        <v>3902</v>
      </c>
      <c r="C77" s="84"/>
      <c r="D77" s="83">
        <v>243.0</v>
      </c>
      <c r="E77" s="83">
        <v>76.0</v>
      </c>
      <c r="F77" s="84" t="s">
        <v>809</v>
      </c>
      <c r="G77" s="38" t="s">
        <v>3960</v>
      </c>
      <c r="H77" s="38"/>
    </row>
    <row r="78">
      <c r="A78" s="76" t="s">
        <v>3501</v>
      </c>
      <c r="B78" s="4" t="s">
        <v>3904</v>
      </c>
      <c r="C78" s="38" t="s">
        <v>3961</v>
      </c>
      <c r="D78" s="46">
        <v>243.0</v>
      </c>
      <c r="E78" s="46">
        <v>77.0</v>
      </c>
      <c r="F78" s="35"/>
      <c r="G78" s="35"/>
      <c r="H78" s="35"/>
    </row>
    <row r="79">
      <c r="A79" s="81" t="s">
        <v>3901</v>
      </c>
      <c r="B79" s="81" t="s">
        <v>3902</v>
      </c>
      <c r="C79" s="85"/>
      <c r="D79" s="83">
        <v>243.0</v>
      </c>
      <c r="E79" s="83">
        <v>78.0</v>
      </c>
      <c r="F79" s="84" t="s">
        <v>809</v>
      </c>
      <c r="G79" s="38" t="s">
        <v>3960</v>
      </c>
      <c r="H79" s="38"/>
    </row>
    <row r="80">
      <c r="A80" s="76" t="s">
        <v>3501</v>
      </c>
      <c r="B80" s="76" t="s">
        <v>3907</v>
      </c>
      <c r="C80" s="35" t="s">
        <v>3962</v>
      </c>
      <c r="D80" s="46">
        <v>243.0</v>
      </c>
      <c r="E80" s="46">
        <v>79.0</v>
      </c>
      <c r="F80" s="35"/>
      <c r="G80" s="35"/>
      <c r="H80" s="35"/>
    </row>
    <row r="81">
      <c r="A81" s="76" t="s">
        <v>3501</v>
      </c>
      <c r="B81" s="76" t="s">
        <v>3910</v>
      </c>
      <c r="C81" s="38" t="s">
        <v>3963</v>
      </c>
      <c r="D81" s="46">
        <v>243.0</v>
      </c>
      <c r="E81" s="47">
        <v>80.0</v>
      </c>
      <c r="F81" s="35"/>
      <c r="G81" s="35"/>
      <c r="H81" s="35"/>
    </row>
    <row r="82">
      <c r="A82" s="76" t="s">
        <v>3501</v>
      </c>
      <c r="B82" s="76" t="s">
        <v>3913</v>
      </c>
      <c r="C82" s="35" t="s">
        <v>3964</v>
      </c>
      <c r="D82" s="46">
        <v>243.0</v>
      </c>
      <c r="E82" s="46">
        <v>81.0</v>
      </c>
      <c r="F82" s="35"/>
      <c r="G82" s="35"/>
      <c r="H82" s="35"/>
    </row>
    <row r="83">
      <c r="A83" s="76" t="s">
        <v>3501</v>
      </c>
      <c r="B83" s="76" t="s">
        <v>3916</v>
      </c>
      <c r="C83" s="38" t="s">
        <v>3965</v>
      </c>
      <c r="D83" s="46">
        <v>243.0</v>
      </c>
      <c r="E83" s="46">
        <v>82.0</v>
      </c>
      <c r="F83" s="35"/>
      <c r="G83" s="35"/>
      <c r="H83" s="35"/>
    </row>
    <row r="84">
      <c r="A84" s="76" t="s">
        <v>3501</v>
      </c>
      <c r="B84" s="76" t="s">
        <v>3830</v>
      </c>
      <c r="C84" s="38" t="s">
        <v>3966</v>
      </c>
      <c r="D84" s="46">
        <v>243.0</v>
      </c>
      <c r="E84" s="46">
        <v>83.0</v>
      </c>
      <c r="F84" s="35"/>
      <c r="G84" s="35"/>
      <c r="H84" s="35"/>
    </row>
    <row r="85">
      <c r="A85" s="76" t="s">
        <v>3501</v>
      </c>
      <c r="B85" s="76" t="s">
        <v>3920</v>
      </c>
      <c r="C85" s="38" t="s">
        <v>3967</v>
      </c>
      <c r="D85" s="46">
        <v>243.0</v>
      </c>
      <c r="E85" s="46">
        <v>84.0</v>
      </c>
      <c r="F85" s="35"/>
      <c r="G85" s="35"/>
      <c r="H85" s="35"/>
    </row>
    <row r="86">
      <c r="A86" s="76" t="s">
        <v>3501</v>
      </c>
      <c r="B86" s="76" t="s">
        <v>3923</v>
      </c>
      <c r="C86" s="38" t="s">
        <v>3968</v>
      </c>
      <c r="D86" s="46">
        <v>243.0</v>
      </c>
      <c r="E86" s="46">
        <v>85.0</v>
      </c>
      <c r="F86" s="35"/>
      <c r="G86" s="35"/>
      <c r="H86" s="35"/>
    </row>
    <row r="87">
      <c r="A87" s="76" t="s">
        <v>3501</v>
      </c>
      <c r="B87" s="76" t="s">
        <v>3926</v>
      </c>
      <c r="C87" s="38" t="s">
        <v>3969</v>
      </c>
      <c r="D87" s="46">
        <v>243.0</v>
      </c>
      <c r="E87" s="46">
        <v>86.0</v>
      </c>
      <c r="F87" s="35"/>
      <c r="G87" s="35"/>
      <c r="H87" s="35"/>
    </row>
    <row r="88">
      <c r="A88" s="76" t="s">
        <v>3501</v>
      </c>
      <c r="B88" s="76" t="s">
        <v>3929</v>
      </c>
      <c r="C88" s="38" t="s">
        <v>3970</v>
      </c>
      <c r="D88" s="46">
        <v>243.0</v>
      </c>
      <c r="E88" s="46">
        <v>87.0</v>
      </c>
      <c r="F88" s="35"/>
      <c r="G88" s="35"/>
      <c r="H88" s="35"/>
    </row>
    <row r="89">
      <c r="A89" s="76" t="s">
        <v>3501</v>
      </c>
      <c r="B89" s="76" t="s">
        <v>3932</v>
      </c>
      <c r="C89" s="35" t="s">
        <v>3971</v>
      </c>
      <c r="D89" s="46">
        <v>243.0</v>
      </c>
      <c r="E89" s="46">
        <v>88.0</v>
      </c>
      <c r="F89" s="35"/>
      <c r="G89" s="35"/>
      <c r="H89" s="35"/>
    </row>
    <row r="90">
      <c r="A90" s="76" t="s">
        <v>3501</v>
      </c>
      <c r="B90" s="76" t="s">
        <v>3935</v>
      </c>
      <c r="C90" s="35" t="s">
        <v>3972</v>
      </c>
      <c r="D90" s="46">
        <v>243.0</v>
      </c>
      <c r="E90" s="46">
        <v>89.0</v>
      </c>
      <c r="F90" s="86" t="s">
        <v>3937</v>
      </c>
      <c r="G90" s="38" t="s">
        <v>3938</v>
      </c>
      <c r="H90" s="38"/>
    </row>
    <row r="91">
      <c r="A91" s="76" t="s">
        <v>3501</v>
      </c>
      <c r="B91" s="76" t="s">
        <v>3939</v>
      </c>
      <c r="C91" s="35" t="s">
        <v>3973</v>
      </c>
      <c r="D91" s="46">
        <v>243.0</v>
      </c>
      <c r="E91" s="46">
        <v>90.0</v>
      </c>
      <c r="F91" s="35"/>
      <c r="G91" s="35"/>
      <c r="H91" s="35"/>
    </row>
    <row r="92">
      <c r="A92" s="76" t="s">
        <v>3501</v>
      </c>
      <c r="B92" s="76" t="s">
        <v>3942</v>
      </c>
      <c r="C92" s="38" t="s">
        <v>3974</v>
      </c>
      <c r="D92" s="46">
        <v>243.0</v>
      </c>
      <c r="E92" s="46">
        <v>91.0</v>
      </c>
      <c r="F92" s="35"/>
      <c r="G92" s="35"/>
      <c r="H92" s="35"/>
    </row>
    <row r="93">
      <c r="A93" s="76" t="s">
        <v>3501</v>
      </c>
      <c r="B93" s="76" t="s">
        <v>3945</v>
      </c>
      <c r="C93" s="38" t="s">
        <v>3975</v>
      </c>
      <c r="D93" s="46">
        <v>243.0</v>
      </c>
      <c r="E93" s="46">
        <v>92.0</v>
      </c>
      <c r="F93" s="35"/>
      <c r="G93" s="35"/>
      <c r="H93" s="35"/>
    </row>
    <row r="94">
      <c r="A94" s="76" t="s">
        <v>3501</v>
      </c>
      <c r="B94" s="76" t="s">
        <v>3948</v>
      </c>
      <c r="C94" s="35" t="s">
        <v>3976</v>
      </c>
      <c r="D94" s="46">
        <v>243.0</v>
      </c>
      <c r="E94" s="46">
        <v>93.0</v>
      </c>
      <c r="F94" s="35"/>
      <c r="G94" s="35"/>
      <c r="H94" s="35"/>
    </row>
    <row r="95">
      <c r="A95" s="76" t="s">
        <v>3501</v>
      </c>
      <c r="B95" s="76" t="s">
        <v>3729</v>
      </c>
      <c r="C95" s="38" t="s">
        <v>3977</v>
      </c>
      <c r="D95" s="46">
        <v>243.0</v>
      </c>
      <c r="E95" s="46">
        <v>94.0</v>
      </c>
      <c r="F95" s="35"/>
      <c r="G95" s="35"/>
      <c r="H95" s="35"/>
    </row>
    <row r="96">
      <c r="A96" s="81" t="s">
        <v>3901</v>
      </c>
      <c r="B96" s="81" t="s">
        <v>3902</v>
      </c>
      <c r="C96" s="85"/>
      <c r="D96" s="83">
        <v>243.0</v>
      </c>
      <c r="E96" s="83">
        <v>95.0</v>
      </c>
      <c r="F96" s="84" t="s">
        <v>809</v>
      </c>
      <c r="G96" s="38" t="s">
        <v>3960</v>
      </c>
      <c r="H96" s="38"/>
    </row>
    <row r="97">
      <c r="A97" s="76" t="s">
        <v>3501</v>
      </c>
      <c r="B97" s="76" t="s">
        <v>3953</v>
      </c>
      <c r="C97" s="35" t="s">
        <v>3978</v>
      </c>
      <c r="D97" s="46">
        <v>243.0</v>
      </c>
      <c r="E97" s="46">
        <v>96.0</v>
      </c>
      <c r="F97" s="35"/>
      <c r="G97" s="35"/>
      <c r="H97" s="35"/>
    </row>
    <row r="98">
      <c r="A98" s="76" t="s">
        <v>3501</v>
      </c>
      <c r="B98" s="76" t="s">
        <v>3956</v>
      </c>
      <c r="C98" s="38" t="s">
        <v>3979</v>
      </c>
      <c r="D98" s="46">
        <v>243.0</v>
      </c>
      <c r="E98" s="46">
        <v>97.0</v>
      </c>
      <c r="F98" s="35"/>
      <c r="G98" s="35"/>
      <c r="H98" s="35"/>
    </row>
    <row r="99">
      <c r="A99" s="38" t="s">
        <v>3980</v>
      </c>
      <c r="B99" s="38" t="s">
        <v>3433</v>
      </c>
      <c r="C99" s="38" t="s">
        <v>3981</v>
      </c>
      <c r="D99" s="46">
        <v>243.0</v>
      </c>
      <c r="E99" s="46">
        <v>98.0</v>
      </c>
      <c r="F99" s="38" t="s">
        <v>809</v>
      </c>
      <c r="G99" s="38" t="s">
        <v>3982</v>
      </c>
      <c r="H99" s="38"/>
    </row>
    <row r="100">
      <c r="A100" s="38" t="s">
        <v>3980</v>
      </c>
      <c r="B100" s="38" t="s">
        <v>3435</v>
      </c>
      <c r="C100" s="35" t="s">
        <v>3983</v>
      </c>
      <c r="D100" s="46">
        <v>243.0</v>
      </c>
      <c r="E100" s="46">
        <v>99.0</v>
      </c>
      <c r="F100" s="38" t="s">
        <v>809</v>
      </c>
      <c r="G100" s="38" t="s">
        <v>3982</v>
      </c>
      <c r="H100" s="38"/>
    </row>
    <row r="101">
      <c r="A101" s="38" t="s">
        <v>3980</v>
      </c>
      <c r="B101" s="38" t="s">
        <v>3428</v>
      </c>
      <c r="C101" s="35" t="s">
        <v>3984</v>
      </c>
      <c r="D101" s="46">
        <v>243.0</v>
      </c>
      <c r="E101" s="46">
        <v>100.0</v>
      </c>
      <c r="F101" s="38" t="s">
        <v>809</v>
      </c>
      <c r="G101" s="38" t="s">
        <v>3982</v>
      </c>
      <c r="H101" s="38"/>
    </row>
    <row r="102">
      <c r="A102" s="38" t="s">
        <v>3980</v>
      </c>
      <c r="B102" s="38" t="s">
        <v>3437</v>
      </c>
      <c r="C102" s="35" t="s">
        <v>3985</v>
      </c>
      <c r="D102" s="46">
        <v>243.0</v>
      </c>
      <c r="E102" s="46">
        <v>101.0</v>
      </c>
      <c r="F102" s="38" t="s">
        <v>809</v>
      </c>
      <c r="G102" s="38" t="s">
        <v>3982</v>
      </c>
      <c r="H102" s="38"/>
    </row>
    <row r="103">
      <c r="A103" s="38" t="s">
        <v>3980</v>
      </c>
      <c r="B103" s="38" t="s">
        <v>3431</v>
      </c>
      <c r="C103" s="38" t="s">
        <v>3986</v>
      </c>
      <c r="D103" s="46">
        <v>243.0</v>
      </c>
      <c r="E103" s="46">
        <v>102.0</v>
      </c>
      <c r="F103" s="38" t="s">
        <v>809</v>
      </c>
      <c r="G103" s="38" t="s">
        <v>3982</v>
      </c>
      <c r="H103" s="38"/>
    </row>
    <row r="104">
      <c r="A104" s="38" t="s">
        <v>3987</v>
      </c>
      <c r="B104" s="38" t="s">
        <v>3988</v>
      </c>
      <c r="C104" s="35" t="s">
        <v>3989</v>
      </c>
      <c r="D104" s="46">
        <v>243.0</v>
      </c>
      <c r="E104" s="46">
        <v>103.0</v>
      </c>
      <c r="F104" s="35" t="s">
        <v>3990</v>
      </c>
      <c r="G104" s="35"/>
      <c r="H104" s="35"/>
    </row>
    <row r="105">
      <c r="A105" s="38" t="s">
        <v>3987</v>
      </c>
      <c r="B105" s="38" t="s">
        <v>3991</v>
      </c>
      <c r="C105" s="4" t="s">
        <v>3992</v>
      </c>
      <c r="D105" s="46">
        <v>243.0</v>
      </c>
      <c r="E105" s="46">
        <v>104.0</v>
      </c>
      <c r="F105" s="35"/>
      <c r="G105" s="35"/>
      <c r="H105" s="35"/>
    </row>
    <row r="106">
      <c r="A106" s="38" t="s">
        <v>3987</v>
      </c>
      <c r="B106" s="38" t="s">
        <v>3993</v>
      </c>
      <c r="C106" s="76" t="s">
        <v>3994</v>
      </c>
      <c r="D106" s="46">
        <v>243.0</v>
      </c>
      <c r="E106" s="46">
        <v>105.0</v>
      </c>
      <c r="F106" s="35" t="s">
        <v>3995</v>
      </c>
      <c r="G106" s="35"/>
      <c r="H106" s="35"/>
    </row>
    <row r="107">
      <c r="A107" s="38" t="s">
        <v>3987</v>
      </c>
      <c r="B107" s="38" t="s">
        <v>3996</v>
      </c>
      <c r="C107" s="4" t="s">
        <v>3997</v>
      </c>
      <c r="D107" s="46">
        <v>243.0</v>
      </c>
      <c r="E107" s="46">
        <v>106.0</v>
      </c>
      <c r="F107" s="35" t="s">
        <v>3998</v>
      </c>
      <c r="G107" s="35"/>
      <c r="H107" s="35"/>
    </row>
    <row r="108">
      <c r="A108" s="38" t="s">
        <v>68</v>
      </c>
      <c r="B108" s="38" t="s">
        <v>3999</v>
      </c>
      <c r="C108" s="35" t="s">
        <v>4000</v>
      </c>
      <c r="D108" s="46">
        <v>243.0</v>
      </c>
      <c r="E108" s="46">
        <v>112.0</v>
      </c>
      <c r="F108" s="35"/>
      <c r="G108" s="35"/>
      <c r="H108" s="35"/>
    </row>
    <row r="109">
      <c r="A109" s="38" t="s">
        <v>648</v>
      </c>
      <c r="B109" s="38" t="s">
        <v>4001</v>
      </c>
      <c r="C109" s="35" t="s">
        <v>4002</v>
      </c>
      <c r="D109" s="46">
        <v>261.0</v>
      </c>
      <c r="E109" s="46">
        <v>7.0</v>
      </c>
      <c r="F109" s="38" t="s">
        <v>4003</v>
      </c>
      <c r="G109" s="35"/>
      <c r="H109" s="35"/>
    </row>
    <row r="110">
      <c r="A110" s="38" t="s">
        <v>648</v>
      </c>
      <c r="B110" s="38" t="s">
        <v>699</v>
      </c>
      <c r="C110" s="4" t="s">
        <v>4004</v>
      </c>
      <c r="D110" s="46">
        <v>261.0</v>
      </c>
      <c r="E110" s="46">
        <v>6.0</v>
      </c>
      <c r="G110" s="38" t="s">
        <v>4005</v>
      </c>
      <c r="H110" s="35"/>
    </row>
    <row r="111">
      <c r="A111" s="38" t="s">
        <v>232</v>
      </c>
      <c r="B111" s="38" t="s">
        <v>4006</v>
      </c>
      <c r="C111" s="76" t="s">
        <v>4007</v>
      </c>
      <c r="D111" s="46">
        <v>265.0</v>
      </c>
      <c r="E111" s="46">
        <v>7.0</v>
      </c>
      <c r="F111" s="38" t="s">
        <v>4008</v>
      </c>
      <c r="G111" s="35"/>
      <c r="H111" s="35"/>
    </row>
    <row r="112">
      <c r="A112" s="38" t="s">
        <v>232</v>
      </c>
      <c r="B112" s="38" t="s">
        <v>275</v>
      </c>
      <c r="C112" s="4" t="s">
        <v>4009</v>
      </c>
      <c r="D112" s="46">
        <v>265.0</v>
      </c>
      <c r="E112" s="46">
        <v>6.0</v>
      </c>
      <c r="G112" s="38" t="s">
        <v>4010</v>
      </c>
      <c r="H112" s="35"/>
    </row>
    <row r="113">
      <c r="A113" s="38" t="s">
        <v>307</v>
      </c>
      <c r="B113" s="38" t="s">
        <v>4011</v>
      </c>
      <c r="C113" s="76" t="s">
        <v>4012</v>
      </c>
      <c r="D113" s="46">
        <v>266.0</v>
      </c>
      <c r="E113" s="46">
        <v>7.0</v>
      </c>
      <c r="F113" s="38" t="s">
        <v>4013</v>
      </c>
      <c r="G113" s="35"/>
      <c r="H113" s="35"/>
    </row>
    <row r="114">
      <c r="A114" s="38" t="s">
        <v>307</v>
      </c>
      <c r="B114" s="38" t="s">
        <v>335</v>
      </c>
      <c r="C114" s="4" t="s">
        <v>4014</v>
      </c>
      <c r="D114" s="46">
        <v>266.0</v>
      </c>
      <c r="E114" s="46">
        <v>6.0</v>
      </c>
      <c r="G114" s="38" t="s">
        <v>4015</v>
      </c>
      <c r="H114" s="35"/>
    </row>
    <row r="115">
      <c r="A115" s="38" t="s">
        <v>716</v>
      </c>
      <c r="B115" s="38" t="s">
        <v>755</v>
      </c>
      <c r="C115" s="76" t="s">
        <v>4016</v>
      </c>
      <c r="D115" s="46">
        <v>269.0</v>
      </c>
      <c r="E115" s="46">
        <v>6.0</v>
      </c>
      <c r="G115" s="38" t="s">
        <v>4017</v>
      </c>
      <c r="H115" s="35"/>
    </row>
    <row r="116">
      <c r="A116" s="38" t="s">
        <v>716</v>
      </c>
      <c r="B116" s="38" t="s">
        <v>4018</v>
      </c>
      <c r="C116" s="76" t="s">
        <v>4019</v>
      </c>
      <c r="D116" s="46">
        <v>269.0</v>
      </c>
      <c r="E116" s="46">
        <v>7.0</v>
      </c>
      <c r="F116" s="38" t="s">
        <v>4020</v>
      </c>
      <c r="G116" s="35"/>
      <c r="H116" s="35"/>
    </row>
    <row r="117">
      <c r="A117" s="38" t="s">
        <v>513</v>
      </c>
      <c r="B117" s="38" t="s">
        <v>4021</v>
      </c>
      <c r="C117" s="4" t="s">
        <v>4022</v>
      </c>
      <c r="D117" s="46">
        <v>274.0</v>
      </c>
      <c r="E117" s="46">
        <v>2.0</v>
      </c>
      <c r="F117" s="38" t="s">
        <v>4023</v>
      </c>
      <c r="G117" s="35"/>
      <c r="H117" s="35"/>
    </row>
    <row r="118">
      <c r="A118" s="38" t="s">
        <v>513</v>
      </c>
      <c r="B118" s="38" t="s">
        <v>543</v>
      </c>
      <c r="C118" s="4" t="s">
        <v>4024</v>
      </c>
      <c r="D118" s="46">
        <v>274.0</v>
      </c>
      <c r="E118" s="46">
        <v>1.0</v>
      </c>
      <c r="G118" s="38" t="s">
        <v>4025</v>
      </c>
      <c r="H118" s="35"/>
    </row>
    <row r="119">
      <c r="A119" s="38" t="s">
        <v>148</v>
      </c>
      <c r="B119" s="38" t="s">
        <v>4026</v>
      </c>
      <c r="C119" s="76" t="s">
        <v>4027</v>
      </c>
      <c r="D119" s="46">
        <v>277.0</v>
      </c>
      <c r="E119" s="46">
        <v>2.0</v>
      </c>
      <c r="F119" s="38" t="s">
        <v>4028</v>
      </c>
      <c r="G119" s="35"/>
      <c r="H119" s="35"/>
    </row>
    <row r="120">
      <c r="A120" s="51" t="s">
        <v>148</v>
      </c>
      <c r="B120" s="51" t="s">
        <v>192</v>
      </c>
      <c r="C120" s="59" t="s">
        <v>4029</v>
      </c>
      <c r="D120" s="53">
        <v>277.0</v>
      </c>
      <c r="E120" s="53">
        <v>8.0</v>
      </c>
      <c r="F120" s="87"/>
      <c r="G120" s="51" t="s">
        <v>4030</v>
      </c>
      <c r="H120" s="35"/>
    </row>
    <row r="121">
      <c r="A121" s="38" t="s">
        <v>148</v>
      </c>
      <c r="B121" s="38" t="s">
        <v>194</v>
      </c>
      <c r="C121" s="4" t="s">
        <v>4031</v>
      </c>
      <c r="D121" s="46">
        <v>277.0</v>
      </c>
      <c r="E121" s="46">
        <v>1.0</v>
      </c>
      <c r="G121" s="38" t="s">
        <v>4032</v>
      </c>
      <c r="H121" s="35"/>
    </row>
    <row r="122">
      <c r="A122" s="38" t="s">
        <v>454</v>
      </c>
      <c r="B122" s="38" t="s">
        <v>494</v>
      </c>
      <c r="C122" s="35" t="s">
        <v>4033</v>
      </c>
      <c r="D122" s="46">
        <v>285.0</v>
      </c>
      <c r="E122" s="46">
        <v>1.0</v>
      </c>
      <c r="G122" s="38" t="s">
        <v>4034</v>
      </c>
      <c r="H122" s="35"/>
    </row>
    <row r="123">
      <c r="A123" s="38" t="s">
        <v>454</v>
      </c>
      <c r="B123" s="38" t="s">
        <v>4035</v>
      </c>
      <c r="C123" s="35" t="s">
        <v>4036</v>
      </c>
      <c r="D123" s="46">
        <v>285.0</v>
      </c>
      <c r="E123" s="46">
        <v>2.0</v>
      </c>
      <c r="F123" s="38" t="s">
        <v>4037</v>
      </c>
      <c r="G123" s="35"/>
      <c r="H123" s="35"/>
    </row>
    <row r="124">
      <c r="A124" s="38" t="s">
        <v>586</v>
      </c>
      <c r="B124" s="38" t="s">
        <v>629</v>
      </c>
      <c r="C124" s="35" t="s">
        <v>4038</v>
      </c>
      <c r="D124" s="46">
        <v>290.0</v>
      </c>
      <c r="E124" s="46">
        <v>1.0</v>
      </c>
      <c r="G124" s="38" t="s">
        <v>4039</v>
      </c>
      <c r="H124" s="35"/>
    </row>
    <row r="125">
      <c r="A125" s="38" t="s">
        <v>586</v>
      </c>
      <c r="B125" s="38" t="s">
        <v>4040</v>
      </c>
      <c r="C125" s="35" t="s">
        <v>4041</v>
      </c>
      <c r="D125" s="46">
        <v>290.0</v>
      </c>
      <c r="E125" s="46">
        <v>2.0</v>
      </c>
      <c r="F125" s="38" t="s">
        <v>4042</v>
      </c>
      <c r="G125" s="35"/>
      <c r="H125" s="35"/>
    </row>
  </sheetData>
  <autoFilter ref="$A$1:$H$125"/>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9.75"/>
    <col customWidth="1" min="3" max="3" width="45.75"/>
    <col customWidth="1" min="4" max="5" width="10.63"/>
    <col customWidth="1" min="6" max="6" width="106.13"/>
    <col customWidth="1" min="7" max="7" width="66.88"/>
  </cols>
  <sheetData>
    <row r="1">
      <c r="A1" s="43" t="s">
        <v>78</v>
      </c>
      <c r="B1" s="43" t="s">
        <v>54</v>
      </c>
      <c r="C1" s="43" t="s">
        <v>3579</v>
      </c>
      <c r="D1" s="44" t="s">
        <v>3425</v>
      </c>
      <c r="E1" s="44" t="s">
        <v>788</v>
      </c>
      <c r="F1" s="43" t="s">
        <v>792</v>
      </c>
      <c r="G1" s="43" t="s">
        <v>793</v>
      </c>
      <c r="H1" s="43" t="s">
        <v>3580</v>
      </c>
    </row>
    <row r="2">
      <c r="A2" s="39" t="s">
        <v>68</v>
      </c>
      <c r="B2" s="38" t="s">
        <v>3791</v>
      </c>
      <c r="C2" s="35" t="s">
        <v>4043</v>
      </c>
      <c r="D2" s="46">
        <v>245.0</v>
      </c>
      <c r="E2" s="46">
        <v>1.0</v>
      </c>
    </row>
    <row r="3">
      <c r="A3" s="39" t="s">
        <v>68</v>
      </c>
      <c r="B3" s="38" t="s">
        <v>3793</v>
      </c>
      <c r="C3" s="38" t="s">
        <v>4044</v>
      </c>
      <c r="D3" s="46">
        <v>245.0</v>
      </c>
      <c r="E3" s="46">
        <v>2.0</v>
      </c>
    </row>
    <row r="4">
      <c r="A4" s="39" t="s">
        <v>68</v>
      </c>
      <c r="B4" s="38" t="s">
        <v>3795</v>
      </c>
      <c r="C4" s="38" t="s">
        <v>4045</v>
      </c>
      <c r="D4" s="46">
        <v>245.0</v>
      </c>
      <c r="E4" s="46">
        <v>3.0</v>
      </c>
    </row>
    <row r="5">
      <c r="A5" s="39" t="s">
        <v>68</v>
      </c>
      <c r="B5" s="39" t="s">
        <v>3797</v>
      </c>
      <c r="C5" s="38" t="s">
        <v>4046</v>
      </c>
      <c r="D5" s="46">
        <v>245.0</v>
      </c>
      <c r="E5" s="46">
        <v>4.0</v>
      </c>
    </row>
    <row r="6">
      <c r="A6" s="39" t="s">
        <v>68</v>
      </c>
      <c r="B6" s="39" t="s">
        <v>3799</v>
      </c>
      <c r="C6" s="35" t="s">
        <v>4047</v>
      </c>
      <c r="D6" s="46">
        <v>245.0</v>
      </c>
      <c r="E6" s="46">
        <v>5.0</v>
      </c>
    </row>
    <row r="7">
      <c r="A7" s="39" t="s">
        <v>68</v>
      </c>
      <c r="B7" s="39" t="s">
        <v>3801</v>
      </c>
      <c r="C7" s="38" t="s">
        <v>4048</v>
      </c>
      <c r="D7" s="46">
        <v>245.0</v>
      </c>
      <c r="E7" s="46">
        <v>6.0</v>
      </c>
    </row>
    <row r="8">
      <c r="A8" s="39" t="s">
        <v>68</v>
      </c>
      <c r="B8" s="39" t="s">
        <v>3803</v>
      </c>
      <c r="C8" s="38" t="s">
        <v>4049</v>
      </c>
      <c r="D8" s="46">
        <v>245.0</v>
      </c>
      <c r="E8" s="46">
        <v>7.0</v>
      </c>
    </row>
    <row r="9">
      <c r="A9" s="39" t="s">
        <v>68</v>
      </c>
      <c r="B9" s="38" t="s">
        <v>160</v>
      </c>
      <c r="C9" s="35" t="s">
        <v>4050</v>
      </c>
      <c r="D9" s="46">
        <v>245.0</v>
      </c>
      <c r="E9" s="46">
        <v>8.0</v>
      </c>
    </row>
    <row r="10">
      <c r="A10" s="39" t="s">
        <v>68</v>
      </c>
      <c r="B10" s="38" t="s">
        <v>3806</v>
      </c>
      <c r="C10" s="35" t="s">
        <v>4051</v>
      </c>
      <c r="D10" s="46">
        <v>245.0</v>
      </c>
      <c r="E10" s="46">
        <v>9.0</v>
      </c>
    </row>
    <row r="11">
      <c r="A11" s="39" t="s">
        <v>68</v>
      </c>
      <c r="B11" s="38" t="s">
        <v>3808</v>
      </c>
      <c r="C11" s="38" t="s">
        <v>4052</v>
      </c>
      <c r="D11" s="46">
        <v>245.0</v>
      </c>
      <c r="E11" s="46">
        <v>10.0</v>
      </c>
    </row>
    <row r="12">
      <c r="A12" s="39" t="s">
        <v>68</v>
      </c>
      <c r="B12" s="38" t="s">
        <v>3810</v>
      </c>
      <c r="C12" s="38" t="s">
        <v>4053</v>
      </c>
      <c r="D12" s="46">
        <v>245.0</v>
      </c>
      <c r="E12" s="46">
        <v>11.0</v>
      </c>
    </row>
    <row r="13">
      <c r="A13" s="39" t="s">
        <v>68</v>
      </c>
      <c r="B13" s="76" t="s">
        <v>3812</v>
      </c>
      <c r="C13" s="35" t="s">
        <v>4054</v>
      </c>
      <c r="D13" s="46">
        <v>245.0</v>
      </c>
      <c r="E13" s="46">
        <v>12.0</v>
      </c>
    </row>
    <row r="14">
      <c r="A14" s="39" t="s">
        <v>68</v>
      </c>
      <c r="B14" s="76" t="s">
        <v>3814</v>
      </c>
      <c r="C14" s="35" t="s">
        <v>4055</v>
      </c>
      <c r="D14" s="46">
        <v>245.0</v>
      </c>
      <c r="E14" s="46">
        <v>13.0</v>
      </c>
    </row>
    <row r="15">
      <c r="A15" s="39" t="s">
        <v>68</v>
      </c>
      <c r="B15" s="76" t="s">
        <v>3816</v>
      </c>
      <c r="C15" s="38" t="s">
        <v>4056</v>
      </c>
      <c r="D15" s="46">
        <v>245.0</v>
      </c>
      <c r="E15" s="46">
        <v>14.0</v>
      </c>
    </row>
    <row r="16">
      <c r="A16" s="39" t="s">
        <v>68</v>
      </c>
      <c r="B16" s="76" t="s">
        <v>3818</v>
      </c>
      <c r="C16" s="38" t="s">
        <v>4057</v>
      </c>
      <c r="D16" s="46">
        <v>245.0</v>
      </c>
      <c r="E16" s="46">
        <v>15.0</v>
      </c>
    </row>
    <row r="17">
      <c r="A17" s="39" t="s">
        <v>68</v>
      </c>
      <c r="B17" s="76" t="s">
        <v>3820</v>
      </c>
      <c r="C17" s="35" t="s">
        <v>4058</v>
      </c>
      <c r="D17" s="46">
        <v>245.0</v>
      </c>
      <c r="E17" s="46">
        <v>16.0</v>
      </c>
    </row>
    <row r="18">
      <c r="A18" s="39" t="s">
        <v>68</v>
      </c>
      <c r="B18" s="76" t="s">
        <v>3822</v>
      </c>
      <c r="C18" s="38" t="s">
        <v>4059</v>
      </c>
      <c r="D18" s="46">
        <v>245.0</v>
      </c>
      <c r="E18" s="46">
        <v>17.0</v>
      </c>
    </row>
    <row r="19">
      <c r="A19" s="39" t="s">
        <v>68</v>
      </c>
      <c r="B19" s="76" t="s">
        <v>3824</v>
      </c>
      <c r="C19" s="35" t="s">
        <v>4060</v>
      </c>
      <c r="D19" s="46">
        <v>245.0</v>
      </c>
      <c r="E19" s="46">
        <v>18.0</v>
      </c>
    </row>
    <row r="20">
      <c r="A20" s="39" t="s">
        <v>68</v>
      </c>
      <c r="B20" s="76" t="s">
        <v>3826</v>
      </c>
      <c r="C20" s="35" t="s">
        <v>4061</v>
      </c>
      <c r="D20" s="46">
        <v>245.0</v>
      </c>
      <c r="E20" s="46">
        <v>19.0</v>
      </c>
    </row>
    <row r="21">
      <c r="A21" s="39" t="s">
        <v>68</v>
      </c>
      <c r="B21" s="76" t="s">
        <v>3828</v>
      </c>
      <c r="C21" s="35" t="s">
        <v>4062</v>
      </c>
      <c r="D21" s="46">
        <v>245.0</v>
      </c>
      <c r="E21" s="46">
        <v>20.0</v>
      </c>
    </row>
    <row r="22">
      <c r="A22" s="39" t="s">
        <v>4063</v>
      </c>
      <c r="B22" s="76" t="s">
        <v>4064</v>
      </c>
      <c r="C22" s="51" t="s">
        <v>4065</v>
      </c>
      <c r="D22" s="46">
        <v>245.0</v>
      </c>
      <c r="E22" s="46">
        <v>21.0</v>
      </c>
      <c r="F22" s="76" t="s">
        <v>4066</v>
      </c>
    </row>
    <row r="23">
      <c r="A23" s="39" t="s">
        <v>4063</v>
      </c>
      <c r="B23" s="76" t="s">
        <v>4067</v>
      </c>
      <c r="C23" s="35" t="s">
        <v>4068</v>
      </c>
      <c r="D23" s="46">
        <v>245.0</v>
      </c>
      <c r="E23" s="46">
        <v>22.0</v>
      </c>
      <c r="F23" s="76" t="s">
        <v>4069</v>
      </c>
    </row>
    <row r="24">
      <c r="A24" s="38" t="s">
        <v>4070</v>
      </c>
      <c r="B24" s="76" t="s">
        <v>4071</v>
      </c>
      <c r="C24" s="35" t="s">
        <v>4072</v>
      </c>
      <c r="D24" s="46">
        <v>245.0</v>
      </c>
      <c r="E24" s="46">
        <v>24.0</v>
      </c>
      <c r="F24" s="38" t="s">
        <v>3428</v>
      </c>
      <c r="H24" s="35"/>
    </row>
    <row r="25">
      <c r="A25" s="38" t="s">
        <v>4070</v>
      </c>
      <c r="B25" s="76" t="s">
        <v>4073</v>
      </c>
      <c r="C25" s="38" t="s">
        <v>4074</v>
      </c>
      <c r="D25" s="46">
        <v>245.0</v>
      </c>
      <c r="E25" s="46">
        <v>25.0</v>
      </c>
      <c r="F25" s="39" t="s">
        <v>3431</v>
      </c>
    </row>
    <row r="26">
      <c r="A26" s="38" t="s">
        <v>4070</v>
      </c>
      <c r="B26" s="76" t="s">
        <v>4075</v>
      </c>
      <c r="C26" s="38" t="s">
        <v>4076</v>
      </c>
      <c r="D26" s="46">
        <v>245.0</v>
      </c>
      <c r="E26" s="46">
        <v>26.0</v>
      </c>
      <c r="F26" s="38" t="s">
        <v>3433</v>
      </c>
      <c r="H26" s="35"/>
    </row>
    <row r="27">
      <c r="A27" s="38" t="s">
        <v>4070</v>
      </c>
      <c r="B27" s="76" t="s">
        <v>4077</v>
      </c>
      <c r="C27" s="35" t="s">
        <v>4078</v>
      </c>
      <c r="D27" s="46">
        <v>245.0</v>
      </c>
      <c r="E27" s="46">
        <v>27.0</v>
      </c>
      <c r="F27" s="39" t="s">
        <v>3435</v>
      </c>
    </row>
    <row r="28">
      <c r="A28" s="38" t="s">
        <v>4070</v>
      </c>
      <c r="B28" s="76" t="s">
        <v>4079</v>
      </c>
      <c r="C28" s="35" t="s">
        <v>4080</v>
      </c>
      <c r="D28" s="46">
        <v>245.0</v>
      </c>
      <c r="E28" s="46">
        <v>28.0</v>
      </c>
      <c r="F28" s="39" t="s">
        <v>3437</v>
      </c>
    </row>
    <row r="29">
      <c r="A29" s="39" t="s">
        <v>4081</v>
      </c>
      <c r="B29" s="76" t="s">
        <v>4082</v>
      </c>
      <c r="C29" s="35" t="s">
        <v>4083</v>
      </c>
      <c r="D29" s="46">
        <v>245.0</v>
      </c>
      <c r="E29" s="46">
        <v>29.0</v>
      </c>
      <c r="F29" s="76" t="s">
        <v>4084</v>
      </c>
    </row>
    <row r="30">
      <c r="A30" s="39" t="s">
        <v>4081</v>
      </c>
      <c r="B30" s="76" t="s">
        <v>4085</v>
      </c>
      <c r="C30" s="38" t="s">
        <v>4086</v>
      </c>
      <c r="D30" s="46">
        <v>245.0</v>
      </c>
      <c r="E30" s="46">
        <v>30.0</v>
      </c>
      <c r="F30" s="76" t="s">
        <v>4087</v>
      </c>
      <c r="H30" s="35"/>
    </row>
    <row r="31">
      <c r="A31" s="39" t="s">
        <v>4081</v>
      </c>
      <c r="B31" s="76" t="s">
        <v>4088</v>
      </c>
      <c r="C31" s="35" t="s">
        <v>4089</v>
      </c>
      <c r="D31" s="46">
        <v>245.0</v>
      </c>
      <c r="E31" s="46">
        <v>31.0</v>
      </c>
      <c r="F31" s="76" t="s">
        <v>4090</v>
      </c>
      <c r="H31" s="35"/>
    </row>
    <row r="32">
      <c r="A32" s="39" t="s">
        <v>4081</v>
      </c>
      <c r="B32" s="76" t="s">
        <v>4091</v>
      </c>
      <c r="C32" s="38" t="s">
        <v>4092</v>
      </c>
      <c r="D32" s="46">
        <v>245.0</v>
      </c>
      <c r="E32" s="46">
        <v>32.0</v>
      </c>
      <c r="F32" s="76" t="s">
        <v>4093</v>
      </c>
      <c r="H32" s="35"/>
    </row>
    <row r="33">
      <c r="A33" s="39" t="s">
        <v>4081</v>
      </c>
      <c r="B33" s="76" t="s">
        <v>4094</v>
      </c>
      <c r="C33" s="38" t="s">
        <v>4095</v>
      </c>
      <c r="D33" s="46">
        <v>245.0</v>
      </c>
      <c r="E33" s="46">
        <v>33.0</v>
      </c>
      <c r="F33" s="76" t="s">
        <v>4096</v>
      </c>
      <c r="H33" s="35"/>
    </row>
    <row r="34">
      <c r="A34" s="39" t="s">
        <v>4081</v>
      </c>
      <c r="B34" s="76" t="s">
        <v>4097</v>
      </c>
      <c r="C34" s="35" t="s">
        <v>4098</v>
      </c>
      <c r="D34" s="46">
        <v>245.0</v>
      </c>
      <c r="E34" s="46">
        <v>34.0</v>
      </c>
      <c r="F34" s="76" t="s">
        <v>4099</v>
      </c>
      <c r="H34" s="35"/>
    </row>
    <row r="35">
      <c r="A35" s="39" t="s">
        <v>4081</v>
      </c>
      <c r="B35" s="76" t="s">
        <v>4097</v>
      </c>
      <c r="C35" s="38" t="s">
        <v>4100</v>
      </c>
      <c r="D35" s="46">
        <v>245.0</v>
      </c>
      <c r="E35" s="46">
        <v>35.0</v>
      </c>
      <c r="F35" s="76" t="s">
        <v>3428</v>
      </c>
      <c r="H35" s="35"/>
    </row>
    <row r="36">
      <c r="A36" s="39" t="s">
        <v>4081</v>
      </c>
      <c r="B36" s="76" t="s">
        <v>4097</v>
      </c>
      <c r="C36" s="38" t="s">
        <v>4101</v>
      </c>
      <c r="D36" s="46">
        <v>245.0</v>
      </c>
      <c r="E36" s="46">
        <v>36.0</v>
      </c>
      <c r="F36" s="76" t="s">
        <v>3437</v>
      </c>
      <c r="H36" s="35"/>
    </row>
    <row r="37">
      <c r="A37" s="39" t="s">
        <v>4081</v>
      </c>
      <c r="B37" s="76" t="s">
        <v>4097</v>
      </c>
      <c r="C37" s="35" t="s">
        <v>4102</v>
      </c>
      <c r="D37" s="46">
        <v>245.0</v>
      </c>
      <c r="E37" s="46">
        <v>37.0</v>
      </c>
      <c r="F37" s="76" t="s">
        <v>3431</v>
      </c>
      <c r="H37" s="35"/>
    </row>
    <row r="38">
      <c r="A38" s="39" t="s">
        <v>4081</v>
      </c>
      <c r="B38" s="76" t="s">
        <v>4097</v>
      </c>
      <c r="C38" s="38" t="s">
        <v>4103</v>
      </c>
      <c r="D38" s="46">
        <v>245.0</v>
      </c>
      <c r="E38" s="46">
        <v>38.0</v>
      </c>
      <c r="F38" s="76" t="s">
        <v>3435</v>
      </c>
      <c r="H38" s="35"/>
    </row>
    <row r="39">
      <c r="A39" s="39" t="s">
        <v>4081</v>
      </c>
      <c r="B39" s="76" t="s">
        <v>4104</v>
      </c>
      <c r="C39" s="35" t="s">
        <v>4105</v>
      </c>
      <c r="D39" s="46">
        <v>245.0</v>
      </c>
      <c r="E39" s="46">
        <v>39.0</v>
      </c>
      <c r="F39" s="76" t="s">
        <v>4106</v>
      </c>
      <c r="H39" s="35"/>
    </row>
    <row r="40">
      <c r="A40" s="38" t="s">
        <v>4063</v>
      </c>
      <c r="B40" s="76" t="s">
        <v>4107</v>
      </c>
      <c r="C40" s="35" t="s">
        <v>4108</v>
      </c>
      <c r="D40" s="46">
        <v>245.0</v>
      </c>
      <c r="E40" s="46">
        <v>40.0</v>
      </c>
      <c r="F40" s="76" t="s">
        <v>4109</v>
      </c>
      <c r="H40" s="35"/>
    </row>
    <row r="41">
      <c r="A41" s="38" t="s">
        <v>4063</v>
      </c>
      <c r="B41" s="76" t="s">
        <v>4110</v>
      </c>
      <c r="C41" s="38" t="s">
        <v>4111</v>
      </c>
      <c r="D41" s="46">
        <v>245.0</v>
      </c>
      <c r="E41" s="46">
        <v>41.0</v>
      </c>
      <c r="F41" s="76" t="s">
        <v>4112</v>
      </c>
      <c r="H41" s="35"/>
    </row>
    <row r="42">
      <c r="A42" s="38" t="s">
        <v>4063</v>
      </c>
      <c r="B42" s="76" t="s">
        <v>4113</v>
      </c>
      <c r="C42" s="35" t="s">
        <v>4114</v>
      </c>
      <c r="D42" s="46">
        <v>245.0</v>
      </c>
      <c r="E42" s="46">
        <v>42.0</v>
      </c>
      <c r="F42" s="76" t="s">
        <v>4115</v>
      </c>
      <c r="H42" s="35"/>
    </row>
    <row r="43">
      <c r="A43" s="38" t="s">
        <v>4063</v>
      </c>
      <c r="B43" s="76" t="s">
        <v>4116</v>
      </c>
      <c r="C43" s="35" t="s">
        <v>4117</v>
      </c>
      <c r="D43" s="46">
        <v>245.0</v>
      </c>
      <c r="E43" s="46">
        <v>43.0</v>
      </c>
      <c r="F43" s="76" t="s">
        <v>4118</v>
      </c>
      <c r="H43" s="35"/>
    </row>
    <row r="44">
      <c r="A44" s="38" t="s">
        <v>4063</v>
      </c>
      <c r="B44" s="76" t="s">
        <v>4119</v>
      </c>
      <c r="C44" s="51" t="s">
        <v>4120</v>
      </c>
      <c r="D44" s="46">
        <v>245.0</v>
      </c>
      <c r="E44" s="46">
        <v>44.0</v>
      </c>
      <c r="F44" s="76" t="s">
        <v>4121</v>
      </c>
      <c r="H44" s="35"/>
    </row>
    <row r="45">
      <c r="A45" s="38" t="s">
        <v>4063</v>
      </c>
      <c r="B45" s="76" t="s">
        <v>4122</v>
      </c>
      <c r="C45" s="51" t="s">
        <v>4123</v>
      </c>
      <c r="D45" s="46">
        <v>245.0</v>
      </c>
      <c r="E45" s="46">
        <v>45.0</v>
      </c>
      <c r="F45" s="76" t="s">
        <v>4124</v>
      </c>
      <c r="H45" s="35"/>
    </row>
    <row r="46">
      <c r="A46" s="38" t="s">
        <v>4063</v>
      </c>
      <c r="B46" s="76" t="s">
        <v>4125</v>
      </c>
      <c r="C46" s="35" t="s">
        <v>4126</v>
      </c>
      <c r="D46" s="46">
        <v>245.0</v>
      </c>
      <c r="E46" s="46">
        <v>46.0</v>
      </c>
      <c r="F46" s="76" t="s">
        <v>4127</v>
      </c>
      <c r="H46" s="35"/>
    </row>
    <row r="47">
      <c r="A47" s="38" t="s">
        <v>4063</v>
      </c>
      <c r="B47" s="76" t="s">
        <v>4128</v>
      </c>
      <c r="C47" s="51" t="s">
        <v>4129</v>
      </c>
      <c r="D47" s="46">
        <v>245.0</v>
      </c>
      <c r="E47" s="46">
        <v>47.0</v>
      </c>
      <c r="F47" s="39" t="s">
        <v>4130</v>
      </c>
      <c r="H47" s="35"/>
    </row>
    <row r="48">
      <c r="A48" s="38" t="s">
        <v>4063</v>
      </c>
      <c r="B48" s="76" t="s">
        <v>4116</v>
      </c>
      <c r="C48" s="38" t="s">
        <v>4131</v>
      </c>
      <c r="D48" s="46">
        <v>245.0</v>
      </c>
      <c r="E48" s="46">
        <v>48.0</v>
      </c>
      <c r="F48" s="76" t="s">
        <v>4132</v>
      </c>
      <c r="H48" s="35"/>
    </row>
    <row r="49">
      <c r="A49" s="38" t="s">
        <v>4063</v>
      </c>
      <c r="B49" s="76" t="s">
        <v>4133</v>
      </c>
      <c r="C49" s="38" t="s">
        <v>4134</v>
      </c>
      <c r="D49" s="46">
        <v>245.0</v>
      </c>
      <c r="E49" s="46">
        <v>49.0</v>
      </c>
      <c r="F49" s="76" t="s">
        <v>4135</v>
      </c>
      <c r="H49" s="35"/>
    </row>
    <row r="50">
      <c r="A50" s="38" t="s">
        <v>4063</v>
      </c>
      <c r="B50" s="76" t="s">
        <v>4136</v>
      </c>
      <c r="C50" s="35" t="s">
        <v>4137</v>
      </c>
      <c r="D50" s="46">
        <v>245.0</v>
      </c>
      <c r="E50" s="46">
        <v>50.0</v>
      </c>
      <c r="F50" s="76" t="s">
        <v>4138</v>
      </c>
      <c r="H50" s="35"/>
    </row>
    <row r="51">
      <c r="A51" s="38" t="s">
        <v>4063</v>
      </c>
      <c r="B51" s="76" t="s">
        <v>4139</v>
      </c>
      <c r="C51" s="35" t="s">
        <v>4140</v>
      </c>
      <c r="D51" s="46">
        <v>245.0</v>
      </c>
      <c r="E51" s="46">
        <v>51.0</v>
      </c>
      <c r="F51" s="39" t="s">
        <v>4141</v>
      </c>
      <c r="H51" s="35"/>
    </row>
    <row r="52">
      <c r="A52" s="38" t="s">
        <v>4063</v>
      </c>
      <c r="B52" s="76" t="s">
        <v>4142</v>
      </c>
      <c r="C52" s="38" t="s">
        <v>4143</v>
      </c>
      <c r="D52" s="46">
        <v>245.0</v>
      </c>
      <c r="E52" s="46">
        <v>52.0</v>
      </c>
      <c r="F52" s="76" t="s">
        <v>4144</v>
      </c>
      <c r="H52" s="35"/>
    </row>
    <row r="53">
      <c r="A53" s="38" t="s">
        <v>4063</v>
      </c>
      <c r="B53" s="76" t="s">
        <v>4064</v>
      </c>
      <c r="C53" s="38" t="s">
        <v>4145</v>
      </c>
      <c r="D53" s="46">
        <v>245.0</v>
      </c>
      <c r="E53" s="46">
        <v>53.0</v>
      </c>
      <c r="F53" s="76" t="s">
        <v>4146</v>
      </c>
      <c r="H53" s="35"/>
    </row>
    <row r="54">
      <c r="A54" s="38" t="s">
        <v>4063</v>
      </c>
      <c r="B54" s="76" t="s">
        <v>4147</v>
      </c>
      <c r="C54" s="38" t="s">
        <v>4148</v>
      </c>
      <c r="D54" s="46">
        <v>245.0</v>
      </c>
      <c r="E54" s="46">
        <v>54.0</v>
      </c>
      <c r="F54" s="76" t="s">
        <v>4149</v>
      </c>
      <c r="H54" s="35"/>
    </row>
    <row r="55">
      <c r="A55" s="38" t="s">
        <v>4063</v>
      </c>
      <c r="B55" s="76" t="s">
        <v>4150</v>
      </c>
      <c r="C55" s="38" t="s">
        <v>4151</v>
      </c>
      <c r="D55" s="46">
        <v>245.0</v>
      </c>
      <c r="E55" s="46">
        <v>55.0</v>
      </c>
      <c r="F55" s="39" t="s">
        <v>4152</v>
      </c>
      <c r="H55" s="35"/>
    </row>
    <row r="56">
      <c r="A56" s="38" t="s">
        <v>4063</v>
      </c>
      <c r="B56" s="76" t="s">
        <v>4153</v>
      </c>
      <c r="C56" s="35" t="s">
        <v>4154</v>
      </c>
      <c r="D56" s="46">
        <v>245.0</v>
      </c>
      <c r="E56" s="46">
        <v>56.0</v>
      </c>
      <c r="F56" s="76" t="s">
        <v>4155</v>
      </c>
      <c r="H56" s="35"/>
    </row>
    <row r="57">
      <c r="A57" s="38" t="s">
        <v>4063</v>
      </c>
      <c r="B57" s="76" t="s">
        <v>4156</v>
      </c>
      <c r="C57" s="35" t="s">
        <v>4157</v>
      </c>
      <c r="D57" s="46">
        <v>245.0</v>
      </c>
      <c r="E57" s="46">
        <v>57.0</v>
      </c>
      <c r="F57" s="39" t="s">
        <v>4158</v>
      </c>
      <c r="H57" s="35"/>
    </row>
    <row r="58">
      <c r="A58" s="38" t="s">
        <v>4063</v>
      </c>
      <c r="B58" s="76" t="s">
        <v>4159</v>
      </c>
      <c r="C58" s="38" t="s">
        <v>4160</v>
      </c>
      <c r="D58" s="46">
        <v>245.0</v>
      </c>
      <c r="E58" s="46">
        <v>58.0</v>
      </c>
      <c r="F58" s="76" t="s">
        <v>4161</v>
      </c>
      <c r="H58" s="35"/>
    </row>
    <row r="59">
      <c r="A59" s="38" t="s">
        <v>4063</v>
      </c>
      <c r="B59" s="76" t="s">
        <v>4162</v>
      </c>
      <c r="C59" s="35" t="s">
        <v>4163</v>
      </c>
      <c r="D59" s="46">
        <v>245.0</v>
      </c>
      <c r="E59" s="46">
        <v>59.0</v>
      </c>
      <c r="F59" s="76" t="s">
        <v>4164</v>
      </c>
      <c r="H59" s="35"/>
    </row>
    <row r="60">
      <c r="A60" s="38" t="s">
        <v>4063</v>
      </c>
      <c r="B60" s="76" t="s">
        <v>4165</v>
      </c>
      <c r="C60" s="38" t="s">
        <v>4166</v>
      </c>
      <c r="D60" s="46">
        <v>245.0</v>
      </c>
      <c r="E60" s="46">
        <v>60.0</v>
      </c>
      <c r="F60" s="76" t="s">
        <v>4167</v>
      </c>
      <c r="H60" s="35"/>
    </row>
    <row r="61">
      <c r="A61" s="38" t="s">
        <v>4063</v>
      </c>
      <c r="B61" s="39" t="s">
        <v>4168</v>
      </c>
      <c r="C61" s="38" t="s">
        <v>4169</v>
      </c>
      <c r="D61" s="46">
        <v>245.0</v>
      </c>
      <c r="E61" s="46">
        <v>61.0</v>
      </c>
      <c r="F61" s="76" t="s">
        <v>4170</v>
      </c>
      <c r="H61" s="35"/>
    </row>
    <row r="62">
      <c r="A62" s="38" t="s">
        <v>4063</v>
      </c>
      <c r="B62" s="76" t="s">
        <v>4064</v>
      </c>
      <c r="C62" s="35" t="s">
        <v>4171</v>
      </c>
      <c r="D62" s="46">
        <v>245.0</v>
      </c>
      <c r="E62" s="46">
        <v>62.0</v>
      </c>
      <c r="F62" s="76" t="s">
        <v>4172</v>
      </c>
      <c r="H62" s="35"/>
    </row>
    <row r="63">
      <c r="A63" s="38" t="s">
        <v>4063</v>
      </c>
      <c r="B63" s="76" t="s">
        <v>4173</v>
      </c>
      <c r="C63" s="35" t="s">
        <v>4174</v>
      </c>
      <c r="D63" s="46">
        <v>245.0</v>
      </c>
      <c r="E63" s="46">
        <v>63.0</v>
      </c>
      <c r="F63" s="39" t="s">
        <v>4175</v>
      </c>
      <c r="H63" s="35"/>
    </row>
    <row r="64">
      <c r="A64" s="38" t="s">
        <v>4063</v>
      </c>
      <c r="B64" s="76" t="s">
        <v>4176</v>
      </c>
      <c r="C64" s="38" t="s">
        <v>4177</v>
      </c>
      <c r="D64" s="46">
        <v>245.0</v>
      </c>
      <c r="E64" s="46">
        <v>64.0</v>
      </c>
      <c r="F64" s="76" t="s">
        <v>4178</v>
      </c>
      <c r="H64" s="35"/>
    </row>
    <row r="65">
      <c r="A65" s="38" t="s">
        <v>4063</v>
      </c>
      <c r="B65" s="76" t="s">
        <v>4179</v>
      </c>
      <c r="C65" s="38" t="s">
        <v>4180</v>
      </c>
      <c r="D65" s="46">
        <v>245.0</v>
      </c>
      <c r="E65" s="46">
        <v>65.0</v>
      </c>
      <c r="F65" s="39" t="s">
        <v>4181</v>
      </c>
      <c r="H65" s="35"/>
    </row>
    <row r="66">
      <c r="A66" s="38" t="s">
        <v>4063</v>
      </c>
      <c r="B66" s="76" t="s">
        <v>4182</v>
      </c>
      <c r="C66" s="38" t="s">
        <v>4183</v>
      </c>
      <c r="D66" s="46">
        <v>245.0</v>
      </c>
      <c r="E66" s="46">
        <v>66.0</v>
      </c>
      <c r="F66" s="76" t="s">
        <v>4184</v>
      </c>
      <c r="H66" s="35"/>
    </row>
    <row r="67">
      <c r="A67" s="38" t="s">
        <v>4063</v>
      </c>
      <c r="B67" s="76" t="s">
        <v>4185</v>
      </c>
      <c r="C67" s="35" t="s">
        <v>4186</v>
      </c>
      <c r="D67" s="46">
        <v>245.0</v>
      </c>
      <c r="E67" s="46">
        <v>67.0</v>
      </c>
      <c r="F67" s="39" t="s">
        <v>4187</v>
      </c>
      <c r="H67" s="35"/>
    </row>
    <row r="68">
      <c r="A68" s="38" t="s">
        <v>4063</v>
      </c>
      <c r="B68" s="76" t="s">
        <v>4188</v>
      </c>
      <c r="C68" s="35" t="s">
        <v>4189</v>
      </c>
      <c r="D68" s="46">
        <v>245.0</v>
      </c>
      <c r="E68" s="46">
        <v>68.0</v>
      </c>
      <c r="F68" s="76" t="s">
        <v>4190</v>
      </c>
      <c r="H68" s="35"/>
    </row>
    <row r="69">
      <c r="A69" s="38" t="s">
        <v>4063</v>
      </c>
      <c r="B69" s="76" t="s">
        <v>4191</v>
      </c>
      <c r="C69" s="35" t="s">
        <v>4192</v>
      </c>
      <c r="D69" s="46">
        <v>245.0</v>
      </c>
      <c r="E69" s="46">
        <v>69.0</v>
      </c>
      <c r="F69" s="39" t="s">
        <v>4193</v>
      </c>
      <c r="H69" s="35"/>
    </row>
    <row r="70">
      <c r="A70" s="38" t="s">
        <v>792</v>
      </c>
      <c r="B70" s="76" t="s">
        <v>4194</v>
      </c>
      <c r="C70" s="38" t="s">
        <v>4195</v>
      </c>
      <c r="D70" s="46">
        <v>245.0</v>
      </c>
      <c r="E70" s="46">
        <v>70.0</v>
      </c>
      <c r="F70" s="76" t="s">
        <v>4196</v>
      </c>
      <c r="H70" s="35"/>
    </row>
    <row r="71">
      <c r="A71" s="38" t="s">
        <v>792</v>
      </c>
      <c r="B71" s="76" t="s">
        <v>4197</v>
      </c>
      <c r="C71" s="38" t="s">
        <v>4198</v>
      </c>
      <c r="D71" s="46">
        <v>245.0</v>
      </c>
      <c r="E71" s="46">
        <v>71.0</v>
      </c>
      <c r="F71" s="39" t="s">
        <v>4199</v>
      </c>
      <c r="H71" s="35"/>
    </row>
    <row r="72">
      <c r="A72" s="38" t="s">
        <v>792</v>
      </c>
      <c r="B72" s="76" t="s">
        <v>3634</v>
      </c>
      <c r="C72" s="38" t="s">
        <v>4200</v>
      </c>
      <c r="D72" s="46">
        <v>245.0</v>
      </c>
      <c r="E72" s="46">
        <v>72.0</v>
      </c>
      <c r="F72" s="39" t="s">
        <v>4201</v>
      </c>
      <c r="H72" s="35"/>
    </row>
    <row r="73">
      <c r="A73" s="38" t="s">
        <v>792</v>
      </c>
      <c r="B73" s="76" t="s">
        <v>4202</v>
      </c>
      <c r="C73" s="38" t="s">
        <v>4203</v>
      </c>
      <c r="D73" s="46">
        <v>245.0</v>
      </c>
      <c r="E73" s="46">
        <v>73.0</v>
      </c>
      <c r="F73" s="39" t="s">
        <v>4204</v>
      </c>
      <c r="H73" s="35"/>
    </row>
    <row r="74">
      <c r="A74" s="38" t="s">
        <v>792</v>
      </c>
      <c r="B74" s="76" t="s">
        <v>4205</v>
      </c>
      <c r="C74" s="35" t="s">
        <v>4206</v>
      </c>
      <c r="D74" s="46">
        <v>245.0</v>
      </c>
      <c r="E74" s="46">
        <v>74.0</v>
      </c>
      <c r="F74" s="39" t="s">
        <v>4207</v>
      </c>
      <c r="H74" s="35"/>
    </row>
    <row r="75">
      <c r="A75" s="38" t="s">
        <v>792</v>
      </c>
      <c r="B75" s="76" t="s">
        <v>4208</v>
      </c>
      <c r="C75" s="35" t="s">
        <v>4209</v>
      </c>
      <c r="D75" s="46">
        <v>245.0</v>
      </c>
      <c r="E75" s="46">
        <v>75.0</v>
      </c>
      <c r="F75" s="39" t="s">
        <v>4210</v>
      </c>
      <c r="H75" s="35"/>
    </row>
    <row r="76">
      <c r="A76" s="38" t="s">
        <v>792</v>
      </c>
      <c r="B76" s="76" t="s">
        <v>4211</v>
      </c>
      <c r="C76" s="38" t="s">
        <v>4212</v>
      </c>
      <c r="D76" s="46">
        <v>245.0</v>
      </c>
      <c r="E76" s="46">
        <v>76.0</v>
      </c>
      <c r="F76" s="39" t="s">
        <v>4213</v>
      </c>
      <c r="H76" s="35"/>
    </row>
    <row r="77">
      <c r="A77" s="38" t="s">
        <v>792</v>
      </c>
      <c r="B77" s="76" t="s">
        <v>4214</v>
      </c>
      <c r="C77" s="35" t="s">
        <v>4215</v>
      </c>
      <c r="D77" s="46">
        <v>245.0</v>
      </c>
      <c r="E77" s="46">
        <v>77.0</v>
      </c>
      <c r="F77" s="39" t="s">
        <v>4216</v>
      </c>
      <c r="H77" s="35"/>
    </row>
    <row r="78">
      <c r="A78" s="38" t="s">
        <v>792</v>
      </c>
      <c r="B78" s="76" t="s">
        <v>4217</v>
      </c>
      <c r="C78" s="35" t="s">
        <v>4218</v>
      </c>
      <c r="D78" s="46">
        <v>245.0</v>
      </c>
      <c r="E78" s="46">
        <v>78.0</v>
      </c>
      <c r="F78" s="39" t="s">
        <v>4219</v>
      </c>
      <c r="H78" s="35"/>
    </row>
    <row r="79">
      <c r="A79" s="38" t="s">
        <v>792</v>
      </c>
      <c r="B79" s="76" t="s">
        <v>4220</v>
      </c>
      <c r="C79" s="35" t="s">
        <v>4221</v>
      </c>
      <c r="D79" s="46">
        <v>245.0</v>
      </c>
      <c r="E79" s="46">
        <v>79.0</v>
      </c>
      <c r="F79" s="39" t="s">
        <v>4222</v>
      </c>
      <c r="H79" s="35"/>
    </row>
    <row r="80">
      <c r="A80" s="38" t="s">
        <v>792</v>
      </c>
      <c r="B80" s="76" t="s">
        <v>4223</v>
      </c>
      <c r="C80" s="35" t="s">
        <v>4224</v>
      </c>
      <c r="D80" s="46">
        <v>245.0</v>
      </c>
      <c r="E80" s="46">
        <v>80.0</v>
      </c>
      <c r="F80" s="39" t="s">
        <v>4225</v>
      </c>
      <c r="H80" s="35"/>
    </row>
    <row r="81">
      <c r="A81" s="38" t="s">
        <v>792</v>
      </c>
      <c r="B81" s="76" t="s">
        <v>4226</v>
      </c>
      <c r="C81" s="38" t="s">
        <v>4227</v>
      </c>
      <c r="D81" s="46">
        <v>245.0</v>
      </c>
      <c r="E81" s="46">
        <v>81.0</v>
      </c>
      <c r="F81" s="39" t="s">
        <v>4228</v>
      </c>
      <c r="H81" s="35"/>
    </row>
    <row r="82">
      <c r="A82" s="38" t="s">
        <v>68</v>
      </c>
      <c r="B82" s="76" t="s">
        <v>3999</v>
      </c>
      <c r="C82" s="38" t="s">
        <v>4229</v>
      </c>
      <c r="D82" s="46">
        <v>245.0</v>
      </c>
      <c r="E82" s="46">
        <v>87.0</v>
      </c>
      <c r="F82" s="35"/>
      <c r="G82" s="35"/>
      <c r="H82" s="35"/>
    </row>
    <row r="83">
      <c r="A83" s="38" t="s">
        <v>148</v>
      </c>
      <c r="B83" s="38" t="s">
        <v>174</v>
      </c>
      <c r="C83" s="35" t="s">
        <v>4230</v>
      </c>
      <c r="D83" s="46">
        <v>270.0</v>
      </c>
      <c r="E83" s="46">
        <v>6.0</v>
      </c>
      <c r="G83" s="35"/>
      <c r="H83" s="35"/>
    </row>
    <row r="84">
      <c r="A84" s="38" t="s">
        <v>148</v>
      </c>
      <c r="B84" s="38" t="s">
        <v>176</v>
      </c>
      <c r="C84" s="38" t="s">
        <v>4231</v>
      </c>
      <c r="D84" s="46">
        <v>270.0</v>
      </c>
      <c r="E84" s="46">
        <v>8.0</v>
      </c>
      <c r="G84" s="38"/>
      <c r="H84" s="35"/>
    </row>
    <row r="85">
      <c r="A85" s="38" t="s">
        <v>148</v>
      </c>
      <c r="B85" s="35"/>
      <c r="C85" s="35" t="s">
        <v>4232</v>
      </c>
      <c r="D85" s="46">
        <v>270.0</v>
      </c>
      <c r="E85" s="46">
        <v>10.0</v>
      </c>
      <c r="G85" s="38"/>
      <c r="H85" s="35"/>
    </row>
    <row r="86">
      <c r="A86" s="38" t="s">
        <v>232</v>
      </c>
      <c r="B86" s="35"/>
      <c r="C86" s="35" t="s">
        <v>4233</v>
      </c>
      <c r="D86" s="46">
        <v>267.0</v>
      </c>
      <c r="E86" s="46">
        <v>1.0</v>
      </c>
      <c r="G86" s="35"/>
      <c r="H86" s="35"/>
    </row>
    <row r="87">
      <c r="A87" s="38" t="s">
        <v>232</v>
      </c>
      <c r="B87" s="38" t="s">
        <v>257</v>
      </c>
      <c r="C87" s="38" t="s">
        <v>4234</v>
      </c>
      <c r="D87" s="46">
        <v>267.0</v>
      </c>
      <c r="E87" s="46">
        <v>9.0</v>
      </c>
      <c r="G87" s="35"/>
      <c r="H87" s="35"/>
    </row>
    <row r="88">
      <c r="A88" s="38" t="s">
        <v>232</v>
      </c>
      <c r="B88" s="38" t="s">
        <v>255</v>
      </c>
      <c r="C88" s="38" t="s">
        <v>4235</v>
      </c>
      <c r="D88" s="46">
        <v>267.0</v>
      </c>
      <c r="E88" s="46">
        <v>11.0</v>
      </c>
      <c r="G88" s="35"/>
      <c r="H88" s="35"/>
    </row>
    <row r="89">
      <c r="A89" s="38" t="s">
        <v>307</v>
      </c>
      <c r="B89" s="39" t="s">
        <v>4236</v>
      </c>
      <c r="C89" s="35" t="s">
        <v>4237</v>
      </c>
      <c r="D89" s="46">
        <v>263.0</v>
      </c>
      <c r="E89" s="46">
        <v>3.0</v>
      </c>
      <c r="F89" s="38" t="s">
        <v>4238</v>
      </c>
      <c r="G89" s="38"/>
      <c r="H89" s="35"/>
    </row>
    <row r="90">
      <c r="A90" s="38" t="s">
        <v>307</v>
      </c>
      <c r="B90" s="38" t="s">
        <v>4239</v>
      </c>
      <c r="C90" s="38" t="s">
        <v>4240</v>
      </c>
      <c r="D90" s="46">
        <v>263.0</v>
      </c>
      <c r="E90" s="46">
        <v>10.0</v>
      </c>
      <c r="G90" s="35"/>
      <c r="H90" s="35"/>
    </row>
    <row r="91">
      <c r="A91" s="38" t="s">
        <v>307</v>
      </c>
      <c r="B91" s="38" t="s">
        <v>320</v>
      </c>
      <c r="C91" s="35" t="s">
        <v>4241</v>
      </c>
      <c r="D91" s="46">
        <v>263.0</v>
      </c>
      <c r="E91" s="46">
        <v>12.0</v>
      </c>
      <c r="G91" s="35"/>
      <c r="H91" s="35"/>
    </row>
    <row r="92">
      <c r="A92" s="38" t="s">
        <v>454</v>
      </c>
      <c r="B92" s="35"/>
      <c r="C92" s="35" t="s">
        <v>4242</v>
      </c>
      <c r="D92" s="46">
        <v>272.0</v>
      </c>
      <c r="E92" s="46">
        <v>1.0</v>
      </c>
      <c r="G92" s="35"/>
      <c r="H92" s="35"/>
    </row>
    <row r="93">
      <c r="A93" s="38" t="s">
        <v>454</v>
      </c>
      <c r="B93" s="38" t="s">
        <v>477</v>
      </c>
      <c r="C93" s="38" t="s">
        <v>4243</v>
      </c>
      <c r="D93" s="46">
        <v>272.0</v>
      </c>
      <c r="E93" s="46">
        <v>7.0</v>
      </c>
      <c r="G93" s="38"/>
      <c r="H93" s="35"/>
    </row>
    <row r="94">
      <c r="A94" s="38" t="s">
        <v>454</v>
      </c>
      <c r="B94" s="38" t="s">
        <v>473</v>
      </c>
      <c r="C94" s="38" t="s">
        <v>4244</v>
      </c>
      <c r="D94" s="46">
        <v>272.0</v>
      </c>
      <c r="E94" s="46">
        <v>9.0</v>
      </c>
      <c r="G94" s="38"/>
      <c r="H94" s="35"/>
    </row>
    <row r="95">
      <c r="A95" s="38" t="s">
        <v>454</v>
      </c>
      <c r="B95" s="38" t="s">
        <v>475</v>
      </c>
      <c r="C95" s="35"/>
      <c r="D95" s="46">
        <v>272.0</v>
      </c>
      <c r="E95" s="46">
        <v>11.0</v>
      </c>
      <c r="G95" s="38"/>
      <c r="H95" s="35"/>
    </row>
    <row r="96">
      <c r="A96" s="38" t="s">
        <v>513</v>
      </c>
      <c r="B96" s="35"/>
      <c r="C96" s="35" t="s">
        <v>4245</v>
      </c>
      <c r="D96" s="46">
        <v>278.0</v>
      </c>
      <c r="E96" s="46">
        <v>2.0</v>
      </c>
      <c r="G96" s="38"/>
      <c r="H96" s="35"/>
    </row>
    <row r="97">
      <c r="A97" s="38" t="s">
        <v>513</v>
      </c>
      <c r="B97" s="38" t="s">
        <v>525</v>
      </c>
      <c r="C97" s="38" t="s">
        <v>4246</v>
      </c>
      <c r="D97" s="46">
        <v>278.0</v>
      </c>
      <c r="E97" s="46">
        <v>10.0</v>
      </c>
      <c r="G97" s="38"/>
      <c r="H97" s="35"/>
    </row>
    <row r="98">
      <c r="A98" s="38" t="s">
        <v>513</v>
      </c>
      <c r="B98" s="38" t="s">
        <v>523</v>
      </c>
      <c r="C98" s="38" t="s">
        <v>4247</v>
      </c>
      <c r="D98" s="46">
        <v>278.0</v>
      </c>
      <c r="E98" s="46">
        <v>11.0</v>
      </c>
      <c r="G98" s="38"/>
      <c r="H98" s="35"/>
    </row>
    <row r="99">
      <c r="A99" s="38" t="s">
        <v>513</v>
      </c>
      <c r="B99" s="38" t="s">
        <v>527</v>
      </c>
      <c r="C99" s="38" t="s">
        <v>4248</v>
      </c>
      <c r="D99" s="46">
        <v>278.0</v>
      </c>
      <c r="E99" s="46">
        <v>14.0</v>
      </c>
      <c r="G99" s="38"/>
      <c r="H99" s="35"/>
    </row>
    <row r="100">
      <c r="A100" s="38" t="s">
        <v>586</v>
      </c>
      <c r="B100" s="38" t="s">
        <v>607</v>
      </c>
      <c r="C100" s="35" t="s">
        <v>4249</v>
      </c>
      <c r="D100" s="46">
        <v>311.0</v>
      </c>
      <c r="E100" s="46">
        <v>6.0</v>
      </c>
      <c r="G100" s="38"/>
      <c r="H100" s="35"/>
    </row>
    <row r="101">
      <c r="A101" s="38" t="s">
        <v>586</v>
      </c>
      <c r="B101" s="38" t="s">
        <v>609</v>
      </c>
      <c r="C101" s="35" t="s">
        <v>4250</v>
      </c>
      <c r="D101" s="46">
        <v>311.0</v>
      </c>
      <c r="E101" s="46">
        <v>8.0</v>
      </c>
      <c r="G101" s="38"/>
      <c r="H101" s="35"/>
    </row>
    <row r="102">
      <c r="A102" s="51" t="s">
        <v>586</v>
      </c>
      <c r="B102" s="51" t="s">
        <v>611</v>
      </c>
      <c r="C102" s="51" t="s">
        <v>4251</v>
      </c>
      <c r="D102" s="53">
        <v>311.0</v>
      </c>
      <c r="E102" s="53">
        <v>11.0</v>
      </c>
      <c r="F102" s="59" t="s">
        <v>4252</v>
      </c>
      <c r="G102" s="51"/>
      <c r="H102" s="50"/>
    </row>
    <row r="103">
      <c r="A103" s="38" t="s">
        <v>586</v>
      </c>
      <c r="B103" s="35"/>
      <c r="C103" s="35" t="s">
        <v>4253</v>
      </c>
      <c r="D103" s="46">
        <v>311.0</v>
      </c>
      <c r="E103" s="46">
        <v>10.0</v>
      </c>
      <c r="G103" s="35"/>
      <c r="H103" s="35"/>
    </row>
    <row r="104">
      <c r="A104" s="38" t="s">
        <v>648</v>
      </c>
      <c r="B104" s="38" t="s">
        <v>670</v>
      </c>
      <c r="C104" s="38" t="s">
        <v>4254</v>
      </c>
      <c r="D104" s="46">
        <v>298.0</v>
      </c>
      <c r="E104" s="46">
        <v>6.0</v>
      </c>
      <c r="G104" s="35"/>
      <c r="H104" s="35"/>
    </row>
    <row r="105">
      <c r="A105" s="38" t="s">
        <v>648</v>
      </c>
      <c r="B105" s="38" t="s">
        <v>672</v>
      </c>
      <c r="C105" s="38" t="s">
        <v>4255</v>
      </c>
      <c r="D105" s="46">
        <v>298.0</v>
      </c>
      <c r="E105" s="46">
        <v>8.0</v>
      </c>
      <c r="G105" s="35"/>
      <c r="H105" s="35"/>
    </row>
    <row r="106">
      <c r="A106" s="38" t="s">
        <v>648</v>
      </c>
      <c r="B106" s="35"/>
      <c r="C106" s="35" t="s">
        <v>4256</v>
      </c>
      <c r="D106" s="46">
        <v>298.0</v>
      </c>
      <c r="E106" s="46">
        <v>10.0</v>
      </c>
      <c r="G106" s="35"/>
      <c r="H106" s="35"/>
    </row>
    <row r="107">
      <c r="A107" s="38" t="s">
        <v>716</v>
      </c>
      <c r="B107" s="38" t="s">
        <v>739</v>
      </c>
      <c r="C107" s="35" t="s">
        <v>4257</v>
      </c>
      <c r="D107" s="46">
        <v>291.0</v>
      </c>
      <c r="E107" s="46">
        <v>6.0</v>
      </c>
      <c r="G107" s="38"/>
      <c r="H107" s="35"/>
    </row>
    <row r="108">
      <c r="A108" s="38" t="s">
        <v>716</v>
      </c>
      <c r="B108" s="38" t="s">
        <v>741</v>
      </c>
      <c r="C108" s="35" t="s">
        <v>4258</v>
      </c>
      <c r="D108" s="46">
        <v>291.0</v>
      </c>
      <c r="E108" s="46">
        <v>8.0</v>
      </c>
      <c r="G108" s="38"/>
      <c r="H108" s="35"/>
    </row>
    <row r="109">
      <c r="A109" s="38" t="s">
        <v>716</v>
      </c>
      <c r="B109" s="35"/>
      <c r="C109" s="35" t="s">
        <v>4259</v>
      </c>
      <c r="D109" s="46">
        <v>291.0</v>
      </c>
      <c r="E109" s="46">
        <v>10.0</v>
      </c>
      <c r="G109" s="35"/>
      <c r="H109" s="35"/>
    </row>
  </sheetData>
  <autoFilter ref="$A$1:$H$109"/>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31.38"/>
    <col customWidth="1" min="3" max="3" width="41.13"/>
    <col customWidth="1" min="4" max="5" width="8.0"/>
    <col customWidth="1" min="6" max="6" width="31.63"/>
    <col customWidth="1" min="7" max="7" width="25.88"/>
    <col customWidth="1" min="8" max="8" width="19.75"/>
  </cols>
  <sheetData>
    <row r="1">
      <c r="A1" s="43" t="s">
        <v>78</v>
      </c>
      <c r="B1" s="43" t="s">
        <v>54</v>
      </c>
      <c r="C1" s="43" t="s">
        <v>3579</v>
      </c>
      <c r="D1" s="44" t="s">
        <v>3425</v>
      </c>
      <c r="E1" s="44" t="s">
        <v>788</v>
      </c>
      <c r="F1" s="43" t="s">
        <v>792</v>
      </c>
      <c r="G1" s="43" t="s">
        <v>793</v>
      </c>
      <c r="H1" s="43" t="s">
        <v>3580</v>
      </c>
    </row>
    <row r="2">
      <c r="A2" s="39" t="s">
        <v>435</v>
      </c>
      <c r="B2" s="39" t="s">
        <v>4260</v>
      </c>
      <c r="C2" s="35" t="s">
        <v>4261</v>
      </c>
      <c r="D2" s="46">
        <v>254.0</v>
      </c>
      <c r="E2" s="46">
        <v>221.0</v>
      </c>
    </row>
    <row r="3">
      <c r="A3" s="39" t="s">
        <v>435</v>
      </c>
      <c r="B3" s="39" t="s">
        <v>4262</v>
      </c>
      <c r="C3" s="35" t="s">
        <v>4263</v>
      </c>
      <c r="D3" s="46">
        <v>254.0</v>
      </c>
      <c r="E3" s="46">
        <v>1.0</v>
      </c>
    </row>
    <row r="4">
      <c r="A4" s="39" t="s">
        <v>435</v>
      </c>
      <c r="B4" s="39" t="s">
        <v>4264</v>
      </c>
      <c r="C4" s="35" t="s">
        <v>4265</v>
      </c>
      <c r="D4" s="46">
        <v>254.0</v>
      </c>
      <c r="E4" s="46">
        <v>2.0</v>
      </c>
    </row>
    <row r="5">
      <c r="A5" s="39" t="s">
        <v>435</v>
      </c>
      <c r="B5" s="39" t="s">
        <v>4266</v>
      </c>
      <c r="C5" s="35" t="s">
        <v>4267</v>
      </c>
      <c r="D5" s="46">
        <v>254.0</v>
      </c>
      <c r="E5" s="46">
        <v>3.0</v>
      </c>
    </row>
    <row r="6">
      <c r="A6" s="39" t="s">
        <v>435</v>
      </c>
      <c r="B6" s="39" t="s">
        <v>4268</v>
      </c>
      <c r="C6" s="35" t="s">
        <v>4269</v>
      </c>
      <c r="D6" s="46">
        <v>254.0</v>
      </c>
      <c r="E6" s="46">
        <v>4.0</v>
      </c>
    </row>
    <row r="7">
      <c r="A7" s="39" t="s">
        <v>435</v>
      </c>
      <c r="B7" s="39" t="s">
        <v>4270</v>
      </c>
      <c r="C7" s="35" t="s">
        <v>4271</v>
      </c>
      <c r="D7" s="46">
        <v>254.0</v>
      </c>
      <c r="E7" s="46">
        <v>5.0</v>
      </c>
    </row>
    <row r="8">
      <c r="A8" s="39" t="s">
        <v>435</v>
      </c>
      <c r="B8" s="39" t="s">
        <v>4272</v>
      </c>
      <c r="C8" s="35" t="s">
        <v>4273</v>
      </c>
      <c r="D8" s="46">
        <v>254.0</v>
      </c>
      <c r="E8" s="46">
        <v>6.0</v>
      </c>
    </row>
    <row r="9">
      <c r="A9" s="39" t="s">
        <v>435</v>
      </c>
      <c r="B9" s="39" t="s">
        <v>4274</v>
      </c>
      <c r="C9" s="35" t="s">
        <v>4275</v>
      </c>
      <c r="D9" s="46">
        <v>254.0</v>
      </c>
      <c r="E9" s="46">
        <v>7.0</v>
      </c>
    </row>
    <row r="10">
      <c r="A10" s="39" t="s">
        <v>435</v>
      </c>
      <c r="B10" s="39" t="s">
        <v>4276</v>
      </c>
      <c r="C10" s="35" t="s">
        <v>4277</v>
      </c>
      <c r="D10" s="46">
        <v>254.0</v>
      </c>
      <c r="E10" s="46">
        <v>8.0</v>
      </c>
    </row>
    <row r="11">
      <c r="A11" s="39" t="s">
        <v>435</v>
      </c>
      <c r="B11" s="39" t="s">
        <v>4278</v>
      </c>
      <c r="C11" s="76" t="s">
        <v>4279</v>
      </c>
      <c r="D11" s="46">
        <v>254.0</v>
      </c>
      <c r="E11" s="46">
        <v>9.0</v>
      </c>
    </row>
    <row r="12">
      <c r="A12" s="39" t="s">
        <v>435</v>
      </c>
      <c r="B12" s="39" t="s">
        <v>440</v>
      </c>
      <c r="C12" s="35" t="s">
        <v>4280</v>
      </c>
      <c r="D12" s="46">
        <v>254.0</v>
      </c>
      <c r="E12" s="46">
        <v>10.0</v>
      </c>
    </row>
    <row r="13">
      <c r="A13" s="39" t="s">
        <v>435</v>
      </c>
      <c r="B13" s="39" t="s">
        <v>442</v>
      </c>
      <c r="C13" s="35" t="s">
        <v>4281</v>
      </c>
      <c r="D13" s="46">
        <v>254.0</v>
      </c>
      <c r="E13" s="46">
        <v>11.0</v>
      </c>
    </row>
    <row r="14">
      <c r="A14" s="39" t="s">
        <v>435</v>
      </c>
      <c r="B14" s="39" t="s">
        <v>444</v>
      </c>
      <c r="C14" s="35" t="s">
        <v>4282</v>
      </c>
      <c r="D14" s="46">
        <v>254.0</v>
      </c>
      <c r="E14" s="46">
        <v>12.0</v>
      </c>
    </row>
    <row r="15">
      <c r="A15" s="39" t="s">
        <v>435</v>
      </c>
      <c r="B15" s="39" t="s">
        <v>4283</v>
      </c>
      <c r="C15" s="35" t="s">
        <v>4284</v>
      </c>
      <c r="D15" s="46">
        <v>254.0</v>
      </c>
      <c r="E15" s="46">
        <v>13.0</v>
      </c>
    </row>
    <row r="16">
      <c r="A16" s="39" t="s">
        <v>435</v>
      </c>
      <c r="B16" s="39" t="s">
        <v>448</v>
      </c>
      <c r="C16" s="35" t="s">
        <v>4285</v>
      </c>
      <c r="D16" s="46">
        <v>254.0</v>
      </c>
      <c r="E16" s="46">
        <v>14.0</v>
      </c>
    </row>
    <row r="17">
      <c r="A17" s="39" t="s">
        <v>435</v>
      </c>
      <c r="B17" s="39" t="s">
        <v>450</v>
      </c>
      <c r="C17" s="35" t="s">
        <v>4286</v>
      </c>
      <c r="D17" s="46">
        <v>254.0</v>
      </c>
      <c r="E17" s="46">
        <v>15.0</v>
      </c>
    </row>
    <row r="18">
      <c r="A18" s="59" t="s">
        <v>435</v>
      </c>
      <c r="B18" s="59" t="s">
        <v>4287</v>
      </c>
      <c r="C18" s="51" t="s">
        <v>4288</v>
      </c>
      <c r="D18" s="53">
        <v>254.0</v>
      </c>
      <c r="E18" s="53">
        <v>538.0</v>
      </c>
      <c r="F18" s="87"/>
      <c r="G18" s="87"/>
      <c r="H18" s="87"/>
    </row>
    <row r="19">
      <c r="A19" s="39" t="s">
        <v>416</v>
      </c>
      <c r="B19" s="39" t="s">
        <v>4289</v>
      </c>
      <c r="C19" s="35" t="s">
        <v>4290</v>
      </c>
      <c r="D19" s="46">
        <v>256.0</v>
      </c>
      <c r="E19" s="46">
        <v>70.0</v>
      </c>
    </row>
    <row r="20">
      <c r="A20" s="39" t="s">
        <v>416</v>
      </c>
      <c r="B20" s="39" t="s">
        <v>4291</v>
      </c>
      <c r="C20" s="35" t="s">
        <v>4292</v>
      </c>
      <c r="D20" s="46">
        <v>256.0</v>
      </c>
      <c r="E20" s="46">
        <v>1.0</v>
      </c>
    </row>
    <row r="21">
      <c r="A21" s="39" t="s">
        <v>416</v>
      </c>
      <c r="B21" s="39" t="s">
        <v>4293</v>
      </c>
      <c r="C21" s="35" t="s">
        <v>4294</v>
      </c>
      <c r="D21" s="46">
        <v>256.0</v>
      </c>
      <c r="E21" s="46">
        <v>2.0</v>
      </c>
    </row>
    <row r="22">
      <c r="A22" s="39" t="s">
        <v>416</v>
      </c>
      <c r="B22" s="39" t="s">
        <v>4295</v>
      </c>
      <c r="C22" s="35" t="s">
        <v>4296</v>
      </c>
      <c r="D22" s="46">
        <v>256.0</v>
      </c>
      <c r="E22" s="46">
        <v>3.0</v>
      </c>
    </row>
    <row r="23">
      <c r="A23" s="39" t="s">
        <v>416</v>
      </c>
      <c r="B23" s="39" t="s">
        <v>4297</v>
      </c>
      <c r="C23" s="35" t="s">
        <v>4298</v>
      </c>
      <c r="D23" s="46">
        <v>256.0</v>
      </c>
      <c r="E23" s="46">
        <v>4.0</v>
      </c>
    </row>
    <row r="24">
      <c r="A24" s="39" t="s">
        <v>416</v>
      </c>
      <c r="B24" s="39" t="s">
        <v>4299</v>
      </c>
      <c r="C24" s="35" t="s">
        <v>4300</v>
      </c>
      <c r="D24" s="46">
        <v>256.0</v>
      </c>
      <c r="E24" s="46">
        <v>5.0</v>
      </c>
    </row>
    <row r="25">
      <c r="A25" s="39" t="s">
        <v>416</v>
      </c>
      <c r="B25" s="39" t="s">
        <v>4301</v>
      </c>
      <c r="C25" s="35" t="s">
        <v>4302</v>
      </c>
      <c r="D25" s="46">
        <v>256.0</v>
      </c>
      <c r="E25" s="46">
        <v>6.0</v>
      </c>
    </row>
    <row r="26">
      <c r="A26" s="39" t="s">
        <v>416</v>
      </c>
      <c r="B26" s="39" t="s">
        <v>414</v>
      </c>
      <c r="C26" s="35" t="s">
        <v>4303</v>
      </c>
      <c r="D26" s="46">
        <v>256.0</v>
      </c>
      <c r="E26" s="46">
        <v>7.0</v>
      </c>
    </row>
    <row r="27">
      <c r="A27" s="39" t="s">
        <v>416</v>
      </c>
      <c r="B27" s="39" t="s">
        <v>4304</v>
      </c>
      <c r="C27" s="35" t="s">
        <v>4305</v>
      </c>
      <c r="D27" s="46">
        <v>256.0</v>
      </c>
      <c r="E27" s="46">
        <v>8.0</v>
      </c>
    </row>
    <row r="28">
      <c r="A28" s="39" t="s">
        <v>416</v>
      </c>
      <c r="B28" s="39" t="s">
        <v>4306</v>
      </c>
      <c r="C28" s="76" t="s">
        <v>4307</v>
      </c>
      <c r="D28" s="46">
        <v>256.0</v>
      </c>
      <c r="E28" s="46">
        <v>9.0</v>
      </c>
    </row>
    <row r="29">
      <c r="A29" s="39" t="s">
        <v>416</v>
      </c>
      <c r="B29" s="39" t="s">
        <v>421</v>
      </c>
      <c r="C29" s="35" t="s">
        <v>4308</v>
      </c>
      <c r="D29" s="46">
        <v>256.0</v>
      </c>
      <c r="E29" s="46">
        <v>10.0</v>
      </c>
    </row>
    <row r="30">
      <c r="A30" s="39" t="s">
        <v>416</v>
      </c>
      <c r="B30" s="39" t="s">
        <v>423</v>
      </c>
      <c r="C30" s="35" t="s">
        <v>4309</v>
      </c>
      <c r="D30" s="46">
        <v>256.0</v>
      </c>
      <c r="E30" s="46">
        <v>11.0</v>
      </c>
    </row>
    <row r="31">
      <c r="A31" s="39" t="s">
        <v>416</v>
      </c>
      <c r="B31" s="39" t="s">
        <v>425</v>
      </c>
      <c r="C31" s="35" t="s">
        <v>4310</v>
      </c>
      <c r="D31" s="46">
        <v>256.0</v>
      </c>
      <c r="E31" s="46">
        <v>12.0</v>
      </c>
    </row>
    <row r="32">
      <c r="A32" s="39" t="s">
        <v>416</v>
      </c>
      <c r="B32" s="39" t="s">
        <v>427</v>
      </c>
      <c r="C32" s="35" t="s">
        <v>4311</v>
      </c>
      <c r="D32" s="46">
        <v>256.0</v>
      </c>
      <c r="E32" s="46">
        <v>13.0</v>
      </c>
    </row>
    <row r="33">
      <c r="A33" s="39" t="s">
        <v>416</v>
      </c>
      <c r="B33" s="39" t="s">
        <v>429</v>
      </c>
      <c r="C33" s="35" t="s">
        <v>4312</v>
      </c>
      <c r="D33" s="46">
        <v>256.0</v>
      </c>
      <c r="E33" s="46">
        <v>14.0</v>
      </c>
    </row>
    <row r="34">
      <c r="A34" s="39" t="s">
        <v>416</v>
      </c>
      <c r="B34" s="39" t="s">
        <v>431</v>
      </c>
      <c r="C34" s="35" t="s">
        <v>4313</v>
      </c>
      <c r="D34" s="46">
        <v>256.0</v>
      </c>
      <c r="E34" s="46">
        <v>15.0</v>
      </c>
    </row>
    <row r="35">
      <c r="A35" s="59" t="s">
        <v>416</v>
      </c>
      <c r="B35" s="59" t="s">
        <v>433</v>
      </c>
      <c r="C35" s="51" t="s">
        <v>4314</v>
      </c>
      <c r="D35" s="53">
        <v>256.0</v>
      </c>
      <c r="E35" s="53">
        <v>539.0</v>
      </c>
      <c r="F35" s="87"/>
      <c r="G35" s="87"/>
      <c r="H35" s="87"/>
    </row>
    <row r="36">
      <c r="A36" s="39" t="s">
        <v>397</v>
      </c>
      <c r="B36" s="39" t="s">
        <v>4315</v>
      </c>
      <c r="C36" s="35" t="s">
        <v>4316</v>
      </c>
      <c r="D36" s="46">
        <v>259.0</v>
      </c>
      <c r="E36" s="46">
        <v>220.0</v>
      </c>
    </row>
    <row r="37">
      <c r="A37" s="39" t="s">
        <v>397</v>
      </c>
      <c r="B37" s="39" t="s">
        <v>4317</v>
      </c>
      <c r="C37" s="35" t="s">
        <v>4318</v>
      </c>
      <c r="D37" s="46">
        <v>259.0</v>
      </c>
      <c r="E37" s="46">
        <v>1.0</v>
      </c>
    </row>
    <row r="38">
      <c r="A38" s="39" t="s">
        <v>397</v>
      </c>
      <c r="B38" s="39" t="s">
        <v>4319</v>
      </c>
      <c r="C38" s="35" t="s">
        <v>4320</v>
      </c>
      <c r="D38" s="46">
        <v>259.0</v>
      </c>
      <c r="E38" s="46">
        <v>2.0</v>
      </c>
    </row>
    <row r="39">
      <c r="A39" s="39" t="s">
        <v>397</v>
      </c>
      <c r="B39" s="39" t="s">
        <v>4321</v>
      </c>
      <c r="C39" s="35" t="s">
        <v>4322</v>
      </c>
      <c r="D39" s="46">
        <v>259.0</v>
      </c>
      <c r="E39" s="46">
        <v>3.0</v>
      </c>
    </row>
    <row r="40">
      <c r="A40" s="39" t="s">
        <v>397</v>
      </c>
      <c r="B40" s="39" t="s">
        <v>4323</v>
      </c>
      <c r="C40" s="35" t="s">
        <v>4324</v>
      </c>
      <c r="D40" s="46">
        <v>259.0</v>
      </c>
      <c r="E40" s="46">
        <v>4.0</v>
      </c>
    </row>
    <row r="41">
      <c r="A41" s="39" t="s">
        <v>397</v>
      </c>
      <c r="B41" s="39" t="s">
        <v>4325</v>
      </c>
      <c r="C41" s="35" t="s">
        <v>4326</v>
      </c>
      <c r="D41" s="46">
        <v>259.0</v>
      </c>
      <c r="E41" s="46">
        <v>5.0</v>
      </c>
    </row>
    <row r="42">
      <c r="A42" s="39" t="s">
        <v>397</v>
      </c>
      <c r="B42" s="39" t="s">
        <v>4327</v>
      </c>
      <c r="C42" s="35" t="s">
        <v>4328</v>
      </c>
      <c r="D42" s="46">
        <v>259.0</v>
      </c>
      <c r="E42" s="46">
        <v>6.0</v>
      </c>
    </row>
    <row r="43">
      <c r="A43" s="39" t="s">
        <v>397</v>
      </c>
      <c r="B43" s="39" t="s">
        <v>4329</v>
      </c>
      <c r="C43" s="35" t="s">
        <v>4330</v>
      </c>
      <c r="D43" s="46">
        <v>259.0</v>
      </c>
      <c r="E43" s="46">
        <v>7.0</v>
      </c>
    </row>
    <row r="44">
      <c r="A44" s="39" t="s">
        <v>397</v>
      </c>
      <c r="B44" s="39" t="s">
        <v>4331</v>
      </c>
      <c r="C44" s="35" t="s">
        <v>4332</v>
      </c>
      <c r="D44" s="46">
        <v>259.0</v>
      </c>
      <c r="E44" s="46">
        <v>8.0</v>
      </c>
    </row>
    <row r="45">
      <c r="A45" s="39" t="s">
        <v>397</v>
      </c>
      <c r="B45" s="39" t="s">
        <v>4333</v>
      </c>
      <c r="C45" s="76" t="s">
        <v>4334</v>
      </c>
      <c r="D45" s="46">
        <v>259.0</v>
      </c>
      <c r="E45" s="46">
        <v>9.0</v>
      </c>
    </row>
    <row r="46">
      <c r="A46" s="39" t="s">
        <v>397</v>
      </c>
      <c r="B46" s="39" t="s">
        <v>402</v>
      </c>
      <c r="C46" s="35" t="s">
        <v>4335</v>
      </c>
      <c r="D46" s="46">
        <v>259.0</v>
      </c>
      <c r="E46" s="46">
        <v>10.0</v>
      </c>
    </row>
    <row r="47">
      <c r="A47" s="39" t="s">
        <v>397</v>
      </c>
      <c r="B47" s="39" t="s">
        <v>404</v>
      </c>
      <c r="C47" s="35" t="s">
        <v>4336</v>
      </c>
      <c r="D47" s="46">
        <v>259.0</v>
      </c>
      <c r="E47" s="46">
        <v>11.0</v>
      </c>
    </row>
    <row r="48">
      <c r="A48" s="39" t="s">
        <v>397</v>
      </c>
      <c r="B48" s="39" t="s">
        <v>406</v>
      </c>
      <c r="C48" s="35" t="s">
        <v>4337</v>
      </c>
      <c r="D48" s="46">
        <v>259.0</v>
      </c>
      <c r="E48" s="46">
        <v>12.0</v>
      </c>
    </row>
    <row r="49">
      <c r="A49" s="39" t="s">
        <v>397</v>
      </c>
      <c r="B49" s="39" t="s">
        <v>4338</v>
      </c>
      <c r="C49" s="35" t="s">
        <v>4339</v>
      </c>
      <c r="D49" s="46">
        <v>259.0</v>
      </c>
      <c r="E49" s="46">
        <v>13.0</v>
      </c>
    </row>
    <row r="50">
      <c r="A50" s="39" t="s">
        <v>397</v>
      </c>
      <c r="B50" s="39" t="s">
        <v>410</v>
      </c>
      <c r="C50" s="35" t="s">
        <v>4340</v>
      </c>
      <c r="D50" s="46">
        <v>259.0</v>
      </c>
      <c r="E50" s="46">
        <v>14.0</v>
      </c>
    </row>
    <row r="51">
      <c r="A51" s="39" t="s">
        <v>397</v>
      </c>
      <c r="B51" s="39" t="s">
        <v>412</v>
      </c>
      <c r="C51" s="35" t="s">
        <v>4341</v>
      </c>
      <c r="D51" s="46">
        <v>259.0</v>
      </c>
      <c r="E51" s="46">
        <v>15.0</v>
      </c>
    </row>
    <row r="52">
      <c r="A52" s="59" t="s">
        <v>397</v>
      </c>
      <c r="B52" s="59" t="s">
        <v>414</v>
      </c>
      <c r="C52" s="51" t="s">
        <v>4342</v>
      </c>
      <c r="D52" s="53">
        <v>259.0</v>
      </c>
      <c r="E52" s="53">
        <v>540.0</v>
      </c>
      <c r="F52" s="87"/>
      <c r="G52" s="87"/>
      <c r="H52" s="87"/>
    </row>
    <row r="53">
      <c r="A53" s="39" t="s">
        <v>397</v>
      </c>
      <c r="C53" s="35" t="s">
        <v>4343</v>
      </c>
      <c r="D53" s="46">
        <v>259.0</v>
      </c>
      <c r="E53" s="46">
        <v>27.0</v>
      </c>
    </row>
    <row r="54">
      <c r="A54" s="39" t="s">
        <v>377</v>
      </c>
      <c r="B54" s="39" t="s">
        <v>4344</v>
      </c>
      <c r="C54" s="35" t="s">
        <v>4345</v>
      </c>
      <c r="D54" s="46">
        <v>255.0</v>
      </c>
      <c r="E54" s="46">
        <v>65.0</v>
      </c>
    </row>
    <row r="55">
      <c r="A55" s="39" t="s">
        <v>377</v>
      </c>
      <c r="B55" s="39" t="s">
        <v>4346</v>
      </c>
      <c r="C55" s="35" t="s">
        <v>4347</v>
      </c>
      <c r="D55" s="46">
        <v>255.0</v>
      </c>
      <c r="E55" s="46">
        <v>1.0</v>
      </c>
    </row>
    <row r="56">
      <c r="A56" s="39" t="s">
        <v>377</v>
      </c>
      <c r="B56" s="39" t="s">
        <v>4348</v>
      </c>
      <c r="C56" s="35" t="s">
        <v>4349</v>
      </c>
      <c r="D56" s="46">
        <v>255.0</v>
      </c>
      <c r="E56" s="46">
        <v>2.0</v>
      </c>
    </row>
    <row r="57">
      <c r="A57" s="39" t="s">
        <v>377</v>
      </c>
      <c r="B57" s="39" t="s">
        <v>4350</v>
      </c>
      <c r="C57" s="35" t="s">
        <v>4351</v>
      </c>
      <c r="D57" s="46">
        <v>255.0</v>
      </c>
      <c r="E57" s="46">
        <v>3.0</v>
      </c>
    </row>
    <row r="58">
      <c r="A58" s="39" t="s">
        <v>377</v>
      </c>
      <c r="B58" s="39" t="s">
        <v>4352</v>
      </c>
      <c r="C58" s="35" t="s">
        <v>4353</v>
      </c>
      <c r="D58" s="46">
        <v>255.0</v>
      </c>
      <c r="E58" s="46">
        <v>4.0</v>
      </c>
    </row>
    <row r="59">
      <c r="A59" s="39" t="s">
        <v>377</v>
      </c>
      <c r="B59" s="39" t="s">
        <v>4354</v>
      </c>
      <c r="C59" s="35" t="s">
        <v>4355</v>
      </c>
      <c r="D59" s="46">
        <v>255.0</v>
      </c>
      <c r="E59" s="46">
        <v>5.0</v>
      </c>
    </row>
    <row r="60">
      <c r="A60" s="39" t="s">
        <v>377</v>
      </c>
      <c r="B60" s="39" t="s">
        <v>4356</v>
      </c>
      <c r="C60" s="35" t="s">
        <v>4357</v>
      </c>
      <c r="D60" s="46">
        <v>255.0</v>
      </c>
      <c r="E60" s="46">
        <v>6.0</v>
      </c>
    </row>
    <row r="61">
      <c r="A61" s="39" t="s">
        <v>377</v>
      </c>
      <c r="B61" s="39" t="s">
        <v>4358</v>
      </c>
      <c r="C61" s="35" t="s">
        <v>4359</v>
      </c>
      <c r="D61" s="46">
        <v>255.0</v>
      </c>
      <c r="E61" s="46">
        <v>7.0</v>
      </c>
    </row>
    <row r="62">
      <c r="A62" s="39" t="s">
        <v>377</v>
      </c>
      <c r="B62" s="39" t="s">
        <v>4360</v>
      </c>
      <c r="C62" s="35" t="s">
        <v>4361</v>
      </c>
      <c r="D62" s="46">
        <v>255.0</v>
      </c>
      <c r="E62" s="46">
        <v>8.0</v>
      </c>
    </row>
    <row r="63">
      <c r="A63" s="39" t="s">
        <v>377</v>
      </c>
      <c r="B63" s="39" t="s">
        <v>4362</v>
      </c>
      <c r="C63" s="76" t="s">
        <v>4363</v>
      </c>
      <c r="D63" s="46">
        <v>255.0</v>
      </c>
      <c r="E63" s="46">
        <v>9.0</v>
      </c>
    </row>
    <row r="64">
      <c r="A64" s="39" t="s">
        <v>377</v>
      </c>
      <c r="B64" s="39" t="s">
        <v>383</v>
      </c>
      <c r="C64" s="35" t="s">
        <v>4364</v>
      </c>
      <c r="D64" s="46">
        <v>255.0</v>
      </c>
      <c r="E64" s="46">
        <v>10.0</v>
      </c>
    </row>
    <row r="65">
      <c r="A65" s="39" t="s">
        <v>377</v>
      </c>
      <c r="B65" s="39" t="s">
        <v>385</v>
      </c>
      <c r="C65" s="35" t="s">
        <v>4365</v>
      </c>
      <c r="D65" s="46">
        <v>255.0</v>
      </c>
      <c r="E65" s="46">
        <v>11.0</v>
      </c>
    </row>
    <row r="66">
      <c r="A66" s="39" t="s">
        <v>377</v>
      </c>
      <c r="B66" s="39" t="s">
        <v>389</v>
      </c>
      <c r="C66" s="35" t="s">
        <v>4366</v>
      </c>
      <c r="D66" s="46">
        <v>255.0</v>
      </c>
      <c r="E66" s="46">
        <v>12.0</v>
      </c>
    </row>
    <row r="67">
      <c r="A67" s="39" t="s">
        <v>377</v>
      </c>
      <c r="B67" s="39" t="s">
        <v>387</v>
      </c>
      <c r="C67" s="35" t="s">
        <v>4367</v>
      </c>
      <c r="D67" s="46">
        <v>255.0</v>
      </c>
      <c r="E67" s="46">
        <v>13.0</v>
      </c>
    </row>
    <row r="68">
      <c r="A68" s="39" t="s">
        <v>377</v>
      </c>
      <c r="B68" s="39" t="s">
        <v>393</v>
      </c>
      <c r="C68" s="35" t="s">
        <v>4368</v>
      </c>
      <c r="D68" s="46">
        <v>255.0</v>
      </c>
      <c r="E68" s="46">
        <v>14.0</v>
      </c>
    </row>
    <row r="69">
      <c r="A69" s="39" t="s">
        <v>377</v>
      </c>
      <c r="B69" s="39" t="s">
        <v>391</v>
      </c>
      <c r="C69" s="35" t="s">
        <v>4369</v>
      </c>
      <c r="D69" s="46">
        <v>255.0</v>
      </c>
      <c r="E69" s="46">
        <v>15.0</v>
      </c>
    </row>
    <row r="70">
      <c r="A70" s="59" t="s">
        <v>377</v>
      </c>
      <c r="B70" s="59" t="s">
        <v>395</v>
      </c>
      <c r="C70" s="51" t="s">
        <v>4370</v>
      </c>
      <c r="D70" s="53">
        <v>255.0</v>
      </c>
      <c r="E70" s="53">
        <v>66.0</v>
      </c>
      <c r="F70" s="87"/>
      <c r="G70" s="87"/>
      <c r="H70" s="87"/>
    </row>
    <row r="71">
      <c r="A71" s="39" t="s">
        <v>3501</v>
      </c>
      <c r="B71" s="39" t="s">
        <v>4371</v>
      </c>
      <c r="C71" s="35" t="s">
        <v>4372</v>
      </c>
      <c r="D71" s="46">
        <v>234.0</v>
      </c>
      <c r="E71" s="46">
        <v>1.0</v>
      </c>
      <c r="F71" s="56" t="s">
        <v>4373</v>
      </c>
    </row>
    <row r="72">
      <c r="A72" s="39" t="s">
        <v>3501</v>
      </c>
      <c r="B72" s="39" t="s">
        <v>4374</v>
      </c>
      <c r="C72" s="35" t="s">
        <v>4375</v>
      </c>
      <c r="D72" s="46">
        <v>234.0</v>
      </c>
      <c r="E72" s="46">
        <v>2.0</v>
      </c>
      <c r="F72" s="56" t="s">
        <v>4376</v>
      </c>
    </row>
    <row r="73">
      <c r="A73" s="39" t="s">
        <v>3501</v>
      </c>
      <c r="B73" s="39" t="s">
        <v>4374</v>
      </c>
      <c r="C73" s="35" t="s">
        <v>4377</v>
      </c>
      <c r="D73" s="46">
        <v>234.0</v>
      </c>
      <c r="E73" s="46">
        <v>3.0</v>
      </c>
      <c r="F73" s="56" t="s">
        <v>4376</v>
      </c>
    </row>
    <row r="74">
      <c r="A74" s="39" t="s">
        <v>3501</v>
      </c>
      <c r="B74" s="39" t="s">
        <v>4378</v>
      </c>
      <c r="C74" s="35" t="s">
        <v>4379</v>
      </c>
      <c r="D74" s="46">
        <v>234.0</v>
      </c>
      <c r="E74" s="46">
        <v>4.0</v>
      </c>
      <c r="F74" s="56" t="s">
        <v>4380</v>
      </c>
    </row>
    <row r="75">
      <c r="A75" s="39" t="s">
        <v>3501</v>
      </c>
      <c r="B75" s="39" t="s">
        <v>4381</v>
      </c>
      <c r="C75" s="35" t="s">
        <v>4382</v>
      </c>
      <c r="D75" s="46">
        <v>234.0</v>
      </c>
      <c r="E75" s="46">
        <v>5.0</v>
      </c>
      <c r="F75" s="56" t="s">
        <v>4383</v>
      </c>
    </row>
    <row r="76">
      <c r="A76" s="39" t="s">
        <v>3501</v>
      </c>
      <c r="B76" s="39" t="s">
        <v>4384</v>
      </c>
      <c r="C76" s="35" t="s">
        <v>4385</v>
      </c>
      <c r="D76" s="46">
        <v>234.0</v>
      </c>
      <c r="E76" s="46">
        <v>6.0</v>
      </c>
      <c r="F76" s="56" t="s">
        <v>4386</v>
      </c>
    </row>
    <row r="77">
      <c r="A77" s="39" t="s">
        <v>3501</v>
      </c>
      <c r="B77" s="39" t="s">
        <v>4387</v>
      </c>
      <c r="C77" s="35" t="s">
        <v>4388</v>
      </c>
      <c r="D77" s="46">
        <v>234.0</v>
      </c>
      <c r="E77" s="46">
        <v>7.0</v>
      </c>
      <c r="F77" s="56" t="s">
        <v>4389</v>
      </c>
    </row>
    <row r="78">
      <c r="A78" s="39" t="s">
        <v>3501</v>
      </c>
      <c r="B78" s="39" t="s">
        <v>4390</v>
      </c>
      <c r="C78" s="38" t="s">
        <v>4391</v>
      </c>
      <c r="D78" s="46">
        <v>234.0</v>
      </c>
      <c r="E78" s="46">
        <v>8.0</v>
      </c>
      <c r="F78" s="56" t="s">
        <v>4392</v>
      </c>
    </row>
    <row r="79">
      <c r="A79" s="39" t="s">
        <v>3501</v>
      </c>
      <c r="B79" s="39" t="s">
        <v>4393</v>
      </c>
      <c r="C79" s="35" t="s">
        <v>4394</v>
      </c>
      <c r="D79" s="46">
        <v>234.0</v>
      </c>
      <c r="E79" s="46">
        <v>9.0</v>
      </c>
      <c r="F79" s="56" t="s">
        <v>4395</v>
      </c>
    </row>
    <row r="80">
      <c r="A80" s="39" t="s">
        <v>3501</v>
      </c>
      <c r="B80" s="39" t="s">
        <v>4393</v>
      </c>
      <c r="C80" s="35" t="s">
        <v>4396</v>
      </c>
      <c r="D80" s="46">
        <v>234.0</v>
      </c>
      <c r="E80" s="46">
        <v>10.0</v>
      </c>
      <c r="F80" s="56" t="s">
        <v>4395</v>
      </c>
    </row>
    <row r="81">
      <c r="A81" s="39" t="s">
        <v>3501</v>
      </c>
      <c r="B81" s="39" t="s">
        <v>4397</v>
      </c>
      <c r="C81" s="35" t="s">
        <v>4398</v>
      </c>
      <c r="D81" s="46">
        <v>234.0</v>
      </c>
      <c r="E81" s="46">
        <v>11.0</v>
      </c>
      <c r="F81" s="56" t="s">
        <v>4399</v>
      </c>
    </row>
    <row r="82">
      <c r="A82" s="39" t="s">
        <v>3501</v>
      </c>
      <c r="B82" s="39" t="s">
        <v>4397</v>
      </c>
      <c r="C82" s="35" t="s">
        <v>4400</v>
      </c>
      <c r="D82" s="46">
        <v>234.0</v>
      </c>
      <c r="E82" s="46">
        <v>12.0</v>
      </c>
      <c r="F82" s="56" t="s">
        <v>4399</v>
      </c>
    </row>
    <row r="83">
      <c r="A83" s="39" t="s">
        <v>3501</v>
      </c>
      <c r="B83" s="39" t="s">
        <v>4401</v>
      </c>
      <c r="C83" s="35" t="s">
        <v>4402</v>
      </c>
      <c r="D83" s="46">
        <v>234.0</v>
      </c>
      <c r="E83" s="46">
        <v>13.0</v>
      </c>
      <c r="F83" s="56" t="s">
        <v>4403</v>
      </c>
    </row>
    <row r="84">
      <c r="A84" s="39" t="s">
        <v>3501</v>
      </c>
      <c r="B84" s="39" t="s">
        <v>4401</v>
      </c>
      <c r="C84" s="35" t="s">
        <v>4404</v>
      </c>
      <c r="D84" s="46">
        <v>234.0</v>
      </c>
      <c r="E84" s="46">
        <v>14.0</v>
      </c>
      <c r="F84" s="56" t="s">
        <v>4403</v>
      </c>
    </row>
    <row r="85">
      <c r="A85" s="39" t="s">
        <v>3501</v>
      </c>
      <c r="B85" s="39" t="s">
        <v>4405</v>
      </c>
      <c r="C85" s="35" t="s">
        <v>4406</v>
      </c>
      <c r="D85" s="46">
        <v>234.0</v>
      </c>
      <c r="E85" s="46">
        <v>15.0</v>
      </c>
      <c r="F85" s="56" t="s">
        <v>4407</v>
      </c>
    </row>
    <row r="86">
      <c r="A86" s="39" t="s">
        <v>3501</v>
      </c>
      <c r="B86" s="39" t="s">
        <v>4405</v>
      </c>
      <c r="C86" s="35" t="s">
        <v>4408</v>
      </c>
      <c r="D86" s="46">
        <v>234.0</v>
      </c>
      <c r="E86" s="46">
        <v>16.0</v>
      </c>
      <c r="F86" s="56" t="s">
        <v>4407</v>
      </c>
    </row>
    <row r="87">
      <c r="A87" s="39" t="s">
        <v>3501</v>
      </c>
      <c r="B87" s="39" t="s">
        <v>4409</v>
      </c>
      <c r="C87" s="35" t="s">
        <v>4410</v>
      </c>
      <c r="D87" s="46">
        <v>234.0</v>
      </c>
      <c r="E87" s="46">
        <v>17.0</v>
      </c>
      <c r="F87" s="56" t="s">
        <v>4411</v>
      </c>
    </row>
    <row r="88">
      <c r="A88" s="39" t="s">
        <v>3501</v>
      </c>
      <c r="B88" s="39" t="s">
        <v>4409</v>
      </c>
      <c r="C88" s="35" t="s">
        <v>4412</v>
      </c>
      <c r="D88" s="46">
        <v>234.0</v>
      </c>
      <c r="E88" s="46">
        <v>18.0</v>
      </c>
      <c r="F88" s="56" t="s">
        <v>4411</v>
      </c>
    </row>
    <row r="89">
      <c r="A89" s="39" t="s">
        <v>3501</v>
      </c>
      <c r="B89" s="39" t="s">
        <v>4413</v>
      </c>
      <c r="C89" s="35" t="s">
        <v>4414</v>
      </c>
      <c r="D89" s="46">
        <v>234.0</v>
      </c>
      <c r="E89" s="46">
        <v>19.0</v>
      </c>
      <c r="F89" s="56" t="s">
        <v>4415</v>
      </c>
    </row>
    <row r="90">
      <c r="A90" s="39" t="s">
        <v>3501</v>
      </c>
      <c r="B90" s="39" t="s">
        <v>4413</v>
      </c>
      <c r="C90" s="35" t="s">
        <v>4416</v>
      </c>
      <c r="D90" s="46">
        <v>234.0</v>
      </c>
      <c r="E90" s="46">
        <v>20.0</v>
      </c>
      <c r="F90" s="56" t="s">
        <v>4415</v>
      </c>
    </row>
    <row r="91">
      <c r="A91" s="39" t="s">
        <v>3501</v>
      </c>
      <c r="B91" s="39" t="s">
        <v>4417</v>
      </c>
      <c r="C91" s="35" t="s">
        <v>4418</v>
      </c>
      <c r="D91" s="46">
        <v>234.0</v>
      </c>
      <c r="E91" s="46">
        <v>21.0</v>
      </c>
      <c r="F91" s="56" t="s">
        <v>4419</v>
      </c>
    </row>
    <row r="92">
      <c r="A92" s="39" t="s">
        <v>3501</v>
      </c>
      <c r="B92" s="39" t="s">
        <v>4420</v>
      </c>
      <c r="C92" s="35" t="s">
        <v>4421</v>
      </c>
      <c r="D92" s="46">
        <v>234.0</v>
      </c>
      <c r="E92" s="46">
        <v>22.0</v>
      </c>
      <c r="F92" s="56" t="s">
        <v>4422</v>
      </c>
    </row>
    <row r="93">
      <c r="A93" s="39" t="s">
        <v>3501</v>
      </c>
      <c r="B93" s="39" t="s">
        <v>4417</v>
      </c>
      <c r="C93" s="35" t="s">
        <v>4423</v>
      </c>
      <c r="D93" s="46">
        <v>234.0</v>
      </c>
      <c r="E93" s="46">
        <v>23.0</v>
      </c>
      <c r="F93" s="56" t="s">
        <v>4419</v>
      </c>
    </row>
    <row r="94">
      <c r="A94" s="39" t="s">
        <v>3501</v>
      </c>
      <c r="B94" s="39" t="s">
        <v>4420</v>
      </c>
      <c r="C94" s="35" t="s">
        <v>4424</v>
      </c>
      <c r="D94" s="46">
        <v>234.0</v>
      </c>
      <c r="E94" s="46">
        <v>24.0</v>
      </c>
      <c r="F94" s="56" t="s">
        <v>4422</v>
      </c>
    </row>
    <row r="95">
      <c r="A95" s="39" t="s">
        <v>3501</v>
      </c>
      <c r="B95" s="39" t="s">
        <v>4425</v>
      </c>
      <c r="C95" s="35" t="s">
        <v>4426</v>
      </c>
      <c r="D95" s="46">
        <v>234.0</v>
      </c>
      <c r="E95" s="46">
        <v>25.0</v>
      </c>
      <c r="F95" s="56" t="s">
        <v>4427</v>
      </c>
    </row>
    <row r="96">
      <c r="A96" s="39" t="s">
        <v>3501</v>
      </c>
      <c r="B96" s="39" t="s">
        <v>4428</v>
      </c>
      <c r="C96" s="35" t="s">
        <v>4429</v>
      </c>
      <c r="D96" s="46">
        <v>234.0</v>
      </c>
      <c r="E96" s="46">
        <v>26.0</v>
      </c>
      <c r="F96" s="56" t="s">
        <v>4430</v>
      </c>
    </row>
    <row r="97">
      <c r="A97" s="39" t="s">
        <v>3501</v>
      </c>
      <c r="B97" s="39" t="s">
        <v>4431</v>
      </c>
      <c r="C97" s="35" t="s">
        <v>4432</v>
      </c>
      <c r="D97" s="46">
        <v>234.0</v>
      </c>
      <c r="E97" s="46">
        <v>27.0</v>
      </c>
      <c r="F97" s="56" t="s">
        <v>4427</v>
      </c>
    </row>
    <row r="98">
      <c r="A98" s="39" t="s">
        <v>3501</v>
      </c>
      <c r="B98" s="39" t="s">
        <v>4428</v>
      </c>
      <c r="C98" s="35" t="s">
        <v>4433</v>
      </c>
      <c r="D98" s="46">
        <v>234.0</v>
      </c>
      <c r="E98" s="46">
        <v>28.0</v>
      </c>
      <c r="F98" s="56" t="s">
        <v>4430</v>
      </c>
    </row>
    <row r="99">
      <c r="A99" s="39" t="s">
        <v>3501</v>
      </c>
      <c r="B99" s="39" t="s">
        <v>4434</v>
      </c>
      <c r="C99" s="35" t="s">
        <v>4435</v>
      </c>
      <c r="D99" s="46">
        <v>234.0</v>
      </c>
      <c r="E99" s="46">
        <v>29.0</v>
      </c>
      <c r="F99" s="56" t="s">
        <v>4436</v>
      </c>
    </row>
    <row r="100">
      <c r="A100" s="39" t="s">
        <v>3501</v>
      </c>
      <c r="B100" s="39" t="s">
        <v>4437</v>
      </c>
      <c r="C100" s="35" t="s">
        <v>4438</v>
      </c>
      <c r="D100" s="46">
        <v>234.0</v>
      </c>
      <c r="E100" s="46">
        <v>30.0</v>
      </c>
      <c r="F100" s="56" t="s">
        <v>4439</v>
      </c>
    </row>
    <row r="101">
      <c r="A101" s="39" t="s">
        <v>3501</v>
      </c>
      <c r="B101" s="39" t="s">
        <v>3929</v>
      </c>
      <c r="C101" s="35" t="s">
        <v>4440</v>
      </c>
      <c r="D101" s="46">
        <v>234.0</v>
      </c>
      <c r="E101" s="46">
        <v>31.0</v>
      </c>
      <c r="F101" s="56" t="s">
        <v>4441</v>
      </c>
    </row>
    <row r="102">
      <c r="A102" s="39" t="s">
        <v>3501</v>
      </c>
      <c r="B102" s="39" t="s">
        <v>4442</v>
      </c>
      <c r="C102" s="35" t="s">
        <v>4443</v>
      </c>
      <c r="D102" s="46">
        <v>234.0</v>
      </c>
      <c r="E102" s="46">
        <v>32.0</v>
      </c>
      <c r="F102" s="56" t="s">
        <v>4444</v>
      </c>
    </row>
    <row r="103">
      <c r="A103" s="39" t="s">
        <v>3501</v>
      </c>
      <c r="B103" s="39" t="s">
        <v>4445</v>
      </c>
      <c r="C103" s="35" t="s">
        <v>4446</v>
      </c>
      <c r="D103" s="46">
        <v>234.0</v>
      </c>
      <c r="E103" s="46">
        <v>33.0</v>
      </c>
      <c r="F103" s="56" t="s">
        <v>4447</v>
      </c>
    </row>
    <row r="104">
      <c r="A104" s="39" t="s">
        <v>3501</v>
      </c>
      <c r="B104" s="39" t="s">
        <v>4448</v>
      </c>
      <c r="C104" s="35" t="s">
        <v>4449</v>
      </c>
      <c r="D104" s="46">
        <v>234.0</v>
      </c>
      <c r="E104" s="46">
        <v>34.0</v>
      </c>
      <c r="F104" s="56" t="s">
        <v>4450</v>
      </c>
    </row>
    <row r="105">
      <c r="A105" s="39" t="s">
        <v>3501</v>
      </c>
      <c r="B105" s="39" t="s">
        <v>4451</v>
      </c>
      <c r="C105" s="35" t="s">
        <v>4452</v>
      </c>
      <c r="D105" s="46">
        <v>234.0</v>
      </c>
      <c r="E105" s="46">
        <v>35.0</v>
      </c>
      <c r="F105" s="56" t="s">
        <v>4453</v>
      </c>
    </row>
    <row r="106">
      <c r="A106" s="39" t="s">
        <v>3501</v>
      </c>
      <c r="B106" s="39" t="s">
        <v>4454</v>
      </c>
      <c r="C106" s="35" t="s">
        <v>4455</v>
      </c>
      <c r="D106" s="46">
        <v>234.0</v>
      </c>
      <c r="E106" s="46">
        <v>36.0</v>
      </c>
      <c r="F106" s="56" t="s">
        <v>4456</v>
      </c>
    </row>
    <row r="107">
      <c r="A107" s="39" t="s">
        <v>3501</v>
      </c>
      <c r="B107" s="39" t="s">
        <v>4457</v>
      </c>
      <c r="C107" s="35" t="s">
        <v>4458</v>
      </c>
      <c r="D107" s="46">
        <v>234.0</v>
      </c>
      <c r="E107" s="46">
        <v>37.0</v>
      </c>
      <c r="F107" s="56" t="s">
        <v>4459</v>
      </c>
    </row>
    <row r="108">
      <c r="A108" s="39" t="s">
        <v>3501</v>
      </c>
      <c r="B108" s="39" t="s">
        <v>3729</v>
      </c>
      <c r="C108" s="35" t="s">
        <v>4460</v>
      </c>
      <c r="D108" s="46">
        <v>234.0</v>
      </c>
      <c r="E108" s="46">
        <v>38.0</v>
      </c>
      <c r="F108" s="56" t="s">
        <v>4461</v>
      </c>
    </row>
    <row r="109">
      <c r="A109" s="39" t="s">
        <v>3501</v>
      </c>
      <c r="B109" s="39" t="s">
        <v>4462</v>
      </c>
      <c r="C109" s="35" t="s">
        <v>4463</v>
      </c>
      <c r="D109" s="46">
        <v>234.0</v>
      </c>
      <c r="E109" s="46">
        <v>39.0</v>
      </c>
      <c r="F109" s="56" t="s">
        <v>4464</v>
      </c>
    </row>
    <row r="110">
      <c r="A110" s="39" t="s">
        <v>3501</v>
      </c>
      <c r="B110" s="39" t="s">
        <v>4465</v>
      </c>
      <c r="C110" s="35" t="s">
        <v>4466</v>
      </c>
      <c r="D110" s="46">
        <v>234.0</v>
      </c>
      <c r="E110" s="46">
        <v>40.0</v>
      </c>
      <c r="F110" s="56" t="s">
        <v>4467</v>
      </c>
    </row>
    <row r="111">
      <c r="A111" s="39" t="s">
        <v>3501</v>
      </c>
      <c r="B111" s="39" t="s">
        <v>4468</v>
      </c>
      <c r="C111" s="35" t="s">
        <v>4469</v>
      </c>
      <c r="D111" s="46">
        <v>234.0</v>
      </c>
      <c r="E111" s="46">
        <v>41.0</v>
      </c>
      <c r="F111" s="56" t="s">
        <v>4470</v>
      </c>
    </row>
    <row r="112">
      <c r="A112" s="39" t="s">
        <v>3501</v>
      </c>
      <c r="B112" s="39" t="s">
        <v>4471</v>
      </c>
      <c r="C112" s="35" t="s">
        <v>4472</v>
      </c>
      <c r="D112" s="46">
        <v>234.0</v>
      </c>
      <c r="E112" s="46">
        <v>42.0</v>
      </c>
      <c r="F112" s="56" t="s">
        <v>4473</v>
      </c>
    </row>
    <row r="113">
      <c r="A113" s="39" t="s">
        <v>3501</v>
      </c>
      <c r="B113" s="39" t="s">
        <v>4474</v>
      </c>
      <c r="C113" s="35" t="s">
        <v>4475</v>
      </c>
      <c r="D113" s="46">
        <v>234.0</v>
      </c>
      <c r="E113" s="46">
        <v>43.0</v>
      </c>
      <c r="F113" s="39" t="s">
        <v>4476</v>
      </c>
    </row>
    <row r="114">
      <c r="A114" s="39" t="s">
        <v>3501</v>
      </c>
      <c r="B114" s="39" t="s">
        <v>4477</v>
      </c>
      <c r="C114" s="35" t="s">
        <v>4478</v>
      </c>
      <c r="D114" s="46">
        <v>234.0</v>
      </c>
      <c r="E114" s="46">
        <v>44.0</v>
      </c>
      <c r="F114" s="56" t="s">
        <v>4479</v>
      </c>
    </row>
    <row r="115">
      <c r="A115" s="39" t="s">
        <v>3501</v>
      </c>
      <c r="B115" s="39" t="s">
        <v>4480</v>
      </c>
      <c r="C115" s="35" t="s">
        <v>4481</v>
      </c>
      <c r="D115" s="46">
        <v>234.0</v>
      </c>
      <c r="E115" s="46">
        <v>45.0</v>
      </c>
      <c r="F115" s="56" t="s">
        <v>4482</v>
      </c>
    </row>
    <row r="116">
      <c r="A116" s="39" t="s">
        <v>3501</v>
      </c>
      <c r="B116" s="39" t="s">
        <v>4483</v>
      </c>
      <c r="C116" s="35" t="s">
        <v>4484</v>
      </c>
      <c r="D116" s="46">
        <v>234.0</v>
      </c>
      <c r="E116" s="46">
        <v>46.0</v>
      </c>
      <c r="F116" s="56" t="s">
        <v>4485</v>
      </c>
    </row>
    <row r="117">
      <c r="A117" s="39" t="s">
        <v>3501</v>
      </c>
      <c r="B117" s="39" t="s">
        <v>4486</v>
      </c>
      <c r="C117" s="35" t="s">
        <v>4487</v>
      </c>
      <c r="D117" s="46">
        <v>234.0</v>
      </c>
      <c r="E117" s="46">
        <v>47.0</v>
      </c>
      <c r="F117" s="56" t="s">
        <v>4488</v>
      </c>
    </row>
    <row r="118">
      <c r="A118" s="39" t="s">
        <v>3501</v>
      </c>
      <c r="B118" s="39" t="s">
        <v>4489</v>
      </c>
      <c r="C118" s="35" t="s">
        <v>4490</v>
      </c>
      <c r="D118" s="46">
        <v>234.0</v>
      </c>
      <c r="E118" s="46">
        <v>48.0</v>
      </c>
      <c r="F118" s="56" t="s">
        <v>4491</v>
      </c>
    </row>
    <row r="119">
      <c r="A119" s="39" t="s">
        <v>3501</v>
      </c>
      <c r="B119" s="39" t="s">
        <v>4434</v>
      </c>
      <c r="C119" s="35" t="s">
        <v>4492</v>
      </c>
      <c r="D119" s="46">
        <v>234.0</v>
      </c>
      <c r="E119" s="46">
        <v>49.0</v>
      </c>
      <c r="F119" s="56" t="s">
        <v>4436</v>
      </c>
    </row>
    <row r="120">
      <c r="A120" s="39" t="s">
        <v>3501</v>
      </c>
      <c r="B120" s="39" t="s">
        <v>4437</v>
      </c>
      <c r="C120" s="35" t="s">
        <v>4493</v>
      </c>
      <c r="D120" s="46">
        <v>234.0</v>
      </c>
      <c r="E120" s="46">
        <v>50.0</v>
      </c>
      <c r="F120" s="56" t="s">
        <v>4439</v>
      </c>
    </row>
    <row r="121">
      <c r="A121" s="39" t="s">
        <v>3501</v>
      </c>
      <c r="B121" s="39" t="s">
        <v>3929</v>
      </c>
      <c r="C121" s="35" t="s">
        <v>4494</v>
      </c>
      <c r="D121" s="46">
        <v>234.0</v>
      </c>
      <c r="E121" s="46">
        <v>51.0</v>
      </c>
      <c r="F121" s="56" t="s">
        <v>4441</v>
      </c>
    </row>
    <row r="122">
      <c r="A122" s="39" t="s">
        <v>3501</v>
      </c>
      <c r="B122" s="39" t="s">
        <v>4442</v>
      </c>
      <c r="C122" s="35" t="s">
        <v>4495</v>
      </c>
      <c r="D122" s="46">
        <v>234.0</v>
      </c>
      <c r="E122" s="46">
        <v>52.0</v>
      </c>
      <c r="F122" s="56" t="s">
        <v>4444</v>
      </c>
    </row>
    <row r="123">
      <c r="A123" s="39" t="s">
        <v>3501</v>
      </c>
      <c r="B123" s="39" t="s">
        <v>4445</v>
      </c>
      <c r="C123" s="35" t="s">
        <v>4496</v>
      </c>
      <c r="D123" s="46">
        <v>234.0</v>
      </c>
      <c r="E123" s="46">
        <v>53.0</v>
      </c>
      <c r="F123" s="56" t="s">
        <v>4447</v>
      </c>
    </row>
    <row r="124">
      <c r="A124" s="39" t="s">
        <v>3501</v>
      </c>
      <c r="B124" s="39" t="s">
        <v>4448</v>
      </c>
      <c r="C124" s="35" t="s">
        <v>4497</v>
      </c>
      <c r="D124" s="46">
        <v>234.0</v>
      </c>
      <c r="E124" s="46">
        <v>54.0</v>
      </c>
      <c r="F124" s="56" t="s">
        <v>4450</v>
      </c>
    </row>
    <row r="125">
      <c r="A125" s="39" t="s">
        <v>3501</v>
      </c>
      <c r="B125" s="39" t="s">
        <v>4451</v>
      </c>
      <c r="C125" s="35" t="s">
        <v>4498</v>
      </c>
      <c r="D125" s="46">
        <v>234.0</v>
      </c>
      <c r="E125" s="46">
        <v>55.0</v>
      </c>
      <c r="F125" s="56" t="s">
        <v>4453</v>
      </c>
    </row>
    <row r="126">
      <c r="A126" s="39" t="s">
        <v>3501</v>
      </c>
      <c r="B126" s="39" t="s">
        <v>4454</v>
      </c>
      <c r="C126" s="35" t="s">
        <v>4499</v>
      </c>
      <c r="D126" s="46">
        <v>234.0</v>
      </c>
      <c r="E126" s="46">
        <v>56.0</v>
      </c>
      <c r="F126" s="56" t="s">
        <v>4456</v>
      </c>
    </row>
    <row r="127">
      <c r="A127" s="39" t="s">
        <v>3501</v>
      </c>
      <c r="B127" s="39" t="s">
        <v>4457</v>
      </c>
      <c r="C127" s="35" t="s">
        <v>4500</v>
      </c>
      <c r="D127" s="46">
        <v>234.0</v>
      </c>
      <c r="E127" s="46">
        <v>57.0</v>
      </c>
      <c r="F127" s="56" t="s">
        <v>4459</v>
      </c>
    </row>
    <row r="128">
      <c r="A128" s="39" t="s">
        <v>3501</v>
      </c>
      <c r="B128" s="39" t="s">
        <v>3729</v>
      </c>
      <c r="C128" s="35" t="s">
        <v>4501</v>
      </c>
      <c r="D128" s="46">
        <v>234.0</v>
      </c>
      <c r="E128" s="46">
        <v>58.0</v>
      </c>
      <c r="F128" s="56" t="s">
        <v>4461</v>
      </c>
    </row>
    <row r="129">
      <c r="A129" s="39" t="s">
        <v>3501</v>
      </c>
      <c r="B129" s="39" t="s">
        <v>4462</v>
      </c>
      <c r="C129" s="35" t="s">
        <v>4502</v>
      </c>
      <c r="D129" s="46">
        <v>234.0</v>
      </c>
      <c r="E129" s="46">
        <v>59.0</v>
      </c>
      <c r="F129" s="56" t="s">
        <v>4464</v>
      </c>
    </row>
    <row r="130">
      <c r="A130" s="39" t="s">
        <v>3501</v>
      </c>
      <c r="B130" s="39" t="s">
        <v>4503</v>
      </c>
      <c r="C130" s="35" t="s">
        <v>4504</v>
      </c>
      <c r="D130" s="46">
        <v>234.0</v>
      </c>
      <c r="E130" s="46">
        <v>60.0</v>
      </c>
      <c r="F130" s="56" t="s">
        <v>4467</v>
      </c>
    </row>
    <row r="131">
      <c r="A131" s="39" t="s">
        <v>3501</v>
      </c>
      <c r="B131" s="39" t="s">
        <v>4468</v>
      </c>
      <c r="C131" s="35" t="s">
        <v>4505</v>
      </c>
      <c r="D131" s="46">
        <v>234.0</v>
      </c>
      <c r="E131" s="46">
        <v>61.0</v>
      </c>
      <c r="F131" s="56" t="s">
        <v>4470</v>
      </c>
    </row>
    <row r="132">
      <c r="A132" s="39" t="s">
        <v>3501</v>
      </c>
      <c r="B132" s="39" t="s">
        <v>4471</v>
      </c>
      <c r="C132" s="35" t="s">
        <v>4506</v>
      </c>
      <c r="D132" s="46">
        <v>234.0</v>
      </c>
      <c r="E132" s="46">
        <v>62.0</v>
      </c>
      <c r="F132" s="56" t="s">
        <v>4473</v>
      </c>
    </row>
    <row r="133">
      <c r="A133" s="39" t="s">
        <v>3501</v>
      </c>
      <c r="B133" s="39" t="s">
        <v>4474</v>
      </c>
      <c r="C133" s="35" t="s">
        <v>4507</v>
      </c>
      <c r="D133" s="46">
        <v>234.0</v>
      </c>
      <c r="E133" s="46">
        <v>63.0</v>
      </c>
      <c r="F133" s="56" t="s">
        <v>4508</v>
      </c>
    </row>
    <row r="134">
      <c r="A134" s="39" t="s">
        <v>3501</v>
      </c>
      <c r="B134" s="39" t="s">
        <v>4477</v>
      </c>
      <c r="C134" s="35" t="s">
        <v>4509</v>
      </c>
      <c r="D134" s="46">
        <v>234.0</v>
      </c>
      <c r="E134" s="46">
        <v>64.0</v>
      </c>
      <c r="F134" s="56" t="s">
        <v>4479</v>
      </c>
    </row>
    <row r="135">
      <c r="A135" s="39" t="s">
        <v>3501</v>
      </c>
      <c r="B135" s="39" t="s">
        <v>4480</v>
      </c>
      <c r="C135" s="35" t="s">
        <v>4510</v>
      </c>
      <c r="D135" s="46">
        <v>234.0</v>
      </c>
      <c r="E135" s="46">
        <v>65.0</v>
      </c>
      <c r="F135" s="56" t="s">
        <v>4482</v>
      </c>
    </row>
    <row r="136">
      <c r="A136" s="39" t="s">
        <v>3501</v>
      </c>
      <c r="B136" s="39" t="s">
        <v>4483</v>
      </c>
      <c r="C136" s="35" t="s">
        <v>4511</v>
      </c>
      <c r="D136" s="46">
        <v>234.0</v>
      </c>
      <c r="E136" s="46">
        <v>66.0</v>
      </c>
      <c r="F136" s="56" t="s">
        <v>4485</v>
      </c>
    </row>
    <row r="137">
      <c r="A137" s="39" t="s">
        <v>3501</v>
      </c>
      <c r="B137" s="39" t="s">
        <v>4486</v>
      </c>
      <c r="C137" s="35" t="s">
        <v>4512</v>
      </c>
      <c r="D137" s="46">
        <v>234.0</v>
      </c>
      <c r="E137" s="46">
        <v>67.0</v>
      </c>
      <c r="F137" s="56" t="s">
        <v>4488</v>
      </c>
    </row>
    <row r="138">
      <c r="A138" s="39" t="s">
        <v>3501</v>
      </c>
      <c r="B138" s="39" t="s">
        <v>4489</v>
      </c>
      <c r="C138" s="35" t="s">
        <v>4513</v>
      </c>
      <c r="D138" s="46">
        <v>234.0</v>
      </c>
      <c r="E138" s="46">
        <v>68.0</v>
      </c>
      <c r="F138" s="56" t="s">
        <v>4491</v>
      </c>
    </row>
    <row r="139">
      <c r="A139" s="39" t="s">
        <v>4514</v>
      </c>
      <c r="B139" s="39" t="s">
        <v>4515</v>
      </c>
      <c r="C139" s="39" t="s">
        <v>4516</v>
      </c>
      <c r="D139" s="46">
        <v>234.0</v>
      </c>
      <c r="E139" s="46">
        <v>69.0</v>
      </c>
      <c r="G139" s="39" t="s">
        <v>4517</v>
      </c>
    </row>
    <row r="140">
      <c r="A140" s="39" t="s">
        <v>4514</v>
      </c>
      <c r="B140" s="39" t="s">
        <v>4518</v>
      </c>
      <c r="C140" s="39" t="s">
        <v>4519</v>
      </c>
      <c r="D140" s="46">
        <v>234.0</v>
      </c>
      <c r="E140" s="46">
        <v>70.0</v>
      </c>
      <c r="G140" s="39" t="s">
        <v>4517</v>
      </c>
    </row>
    <row r="141">
      <c r="A141" s="39" t="s">
        <v>4514</v>
      </c>
      <c r="B141" s="39" t="s">
        <v>4520</v>
      </c>
      <c r="C141" s="39" t="s">
        <v>4521</v>
      </c>
      <c r="D141" s="46">
        <v>234.0</v>
      </c>
      <c r="E141" s="46">
        <v>71.0</v>
      </c>
      <c r="G141" s="39" t="s">
        <v>4517</v>
      </c>
    </row>
    <row r="142">
      <c r="A142" s="39" t="s">
        <v>4514</v>
      </c>
      <c r="B142" s="39" t="s">
        <v>4522</v>
      </c>
      <c r="C142" s="39" t="s">
        <v>4523</v>
      </c>
      <c r="D142" s="46">
        <v>234.0</v>
      </c>
      <c r="E142" s="46">
        <v>72.0</v>
      </c>
      <c r="G142" s="39" t="s">
        <v>4517</v>
      </c>
    </row>
    <row r="143">
      <c r="A143" s="39" t="s">
        <v>4514</v>
      </c>
      <c r="B143" s="39" t="s">
        <v>133</v>
      </c>
      <c r="C143" s="39" t="s">
        <v>4524</v>
      </c>
      <c r="D143" s="46">
        <v>234.0</v>
      </c>
      <c r="E143" s="46">
        <v>73.0</v>
      </c>
      <c r="G143" s="39" t="s">
        <v>4517</v>
      </c>
    </row>
    <row r="144">
      <c r="A144" s="39" t="s">
        <v>378</v>
      </c>
      <c r="B144" s="38" t="s">
        <v>3999</v>
      </c>
      <c r="C144" s="35" t="s">
        <v>4525</v>
      </c>
      <c r="D144" s="46">
        <v>234.0</v>
      </c>
      <c r="E144" s="46">
        <v>74.0</v>
      </c>
    </row>
    <row r="145">
      <c r="A145" s="39" t="s">
        <v>378</v>
      </c>
      <c r="B145" s="38" t="s">
        <v>3791</v>
      </c>
      <c r="C145" s="35" t="s">
        <v>4526</v>
      </c>
      <c r="D145" s="46">
        <v>234.0</v>
      </c>
      <c r="E145" s="46">
        <v>75.0</v>
      </c>
    </row>
    <row r="146">
      <c r="A146" s="39" t="s">
        <v>378</v>
      </c>
      <c r="B146" s="38" t="s">
        <v>3793</v>
      </c>
      <c r="C146" s="35" t="s">
        <v>4527</v>
      </c>
      <c r="D146" s="46">
        <v>234.0</v>
      </c>
      <c r="E146" s="46">
        <v>76.0</v>
      </c>
    </row>
    <row r="147">
      <c r="A147" s="39" t="s">
        <v>378</v>
      </c>
      <c r="B147" s="38" t="s">
        <v>3795</v>
      </c>
      <c r="C147" s="35" t="s">
        <v>4528</v>
      </c>
      <c r="D147" s="46">
        <v>234.0</v>
      </c>
      <c r="E147" s="46">
        <v>77.0</v>
      </c>
    </row>
    <row r="148">
      <c r="A148" s="39" t="s">
        <v>378</v>
      </c>
      <c r="B148" s="39" t="s">
        <v>3797</v>
      </c>
      <c r="C148" s="35" t="s">
        <v>4529</v>
      </c>
      <c r="D148" s="46">
        <v>234.0</v>
      </c>
      <c r="E148" s="46">
        <v>78.0</v>
      </c>
    </row>
    <row r="149">
      <c r="A149" s="39" t="s">
        <v>378</v>
      </c>
      <c r="B149" s="39" t="s">
        <v>3799</v>
      </c>
      <c r="C149" s="35" t="s">
        <v>4530</v>
      </c>
      <c r="D149" s="46">
        <v>234.0</v>
      </c>
      <c r="E149" s="46">
        <v>79.0</v>
      </c>
    </row>
    <row r="150">
      <c r="A150" s="39" t="s">
        <v>378</v>
      </c>
      <c r="B150" s="39" t="s">
        <v>3801</v>
      </c>
      <c r="C150" s="35" t="s">
        <v>4531</v>
      </c>
      <c r="D150" s="46">
        <v>234.0</v>
      </c>
      <c r="E150" s="46">
        <v>80.0</v>
      </c>
    </row>
    <row r="151">
      <c r="A151" s="39" t="s">
        <v>378</v>
      </c>
      <c r="B151" s="39" t="s">
        <v>3803</v>
      </c>
      <c r="C151" s="35" t="s">
        <v>4532</v>
      </c>
      <c r="D151" s="46">
        <v>234.0</v>
      </c>
      <c r="E151" s="46">
        <v>81.0</v>
      </c>
    </row>
    <row r="152">
      <c r="A152" s="39" t="s">
        <v>378</v>
      </c>
      <c r="B152" s="38" t="s">
        <v>160</v>
      </c>
      <c r="C152" s="35" t="s">
        <v>4533</v>
      </c>
      <c r="D152" s="46">
        <v>234.0</v>
      </c>
      <c r="E152" s="46">
        <v>82.0</v>
      </c>
    </row>
    <row r="153">
      <c r="A153" s="39" t="s">
        <v>378</v>
      </c>
      <c r="B153" s="38" t="s">
        <v>3806</v>
      </c>
      <c r="C153" s="35" t="s">
        <v>4534</v>
      </c>
      <c r="D153" s="46">
        <v>234.0</v>
      </c>
      <c r="E153" s="46">
        <v>83.0</v>
      </c>
    </row>
    <row r="154">
      <c r="A154" s="39" t="s">
        <v>378</v>
      </c>
      <c r="B154" s="38" t="s">
        <v>3808</v>
      </c>
      <c r="C154" s="35" t="s">
        <v>4535</v>
      </c>
      <c r="D154" s="46">
        <v>234.0</v>
      </c>
      <c r="E154" s="46">
        <v>84.0</v>
      </c>
    </row>
    <row r="155">
      <c r="A155" s="39" t="s">
        <v>378</v>
      </c>
      <c r="B155" s="38" t="s">
        <v>3810</v>
      </c>
      <c r="C155" s="35" t="s">
        <v>4536</v>
      </c>
      <c r="D155" s="46">
        <v>234.0</v>
      </c>
      <c r="E155" s="46">
        <v>85.0</v>
      </c>
    </row>
    <row r="156">
      <c r="A156" s="39" t="s">
        <v>378</v>
      </c>
      <c r="B156" s="76" t="s">
        <v>3812</v>
      </c>
      <c r="C156" s="35" t="s">
        <v>4537</v>
      </c>
      <c r="D156" s="46">
        <v>234.0</v>
      </c>
      <c r="E156" s="46">
        <v>86.0</v>
      </c>
    </row>
    <row r="157">
      <c r="A157" s="39" t="s">
        <v>378</v>
      </c>
      <c r="B157" s="76" t="s">
        <v>3814</v>
      </c>
      <c r="C157" s="35" t="s">
        <v>4538</v>
      </c>
      <c r="D157" s="46">
        <v>234.0</v>
      </c>
      <c r="E157" s="46">
        <v>87.0</v>
      </c>
    </row>
    <row r="158">
      <c r="A158" s="39" t="s">
        <v>378</v>
      </c>
      <c r="B158" s="76" t="s">
        <v>3816</v>
      </c>
      <c r="C158" s="35" t="s">
        <v>4539</v>
      </c>
      <c r="D158" s="46">
        <v>234.0</v>
      </c>
      <c r="E158" s="46">
        <v>88.0</v>
      </c>
    </row>
    <row r="159">
      <c r="A159" s="39" t="s">
        <v>378</v>
      </c>
      <c r="B159" s="76" t="s">
        <v>3818</v>
      </c>
      <c r="C159" s="35" t="s">
        <v>4540</v>
      </c>
      <c r="D159" s="46">
        <v>234.0</v>
      </c>
      <c r="E159" s="46">
        <v>89.0</v>
      </c>
    </row>
    <row r="160">
      <c r="A160" s="39" t="s">
        <v>378</v>
      </c>
      <c r="B160" s="76" t="s">
        <v>3820</v>
      </c>
      <c r="C160" s="35" t="s">
        <v>4541</v>
      </c>
      <c r="D160" s="46">
        <v>234.0</v>
      </c>
      <c r="E160" s="46">
        <v>90.0</v>
      </c>
    </row>
    <row r="161">
      <c r="A161" s="39" t="s">
        <v>378</v>
      </c>
      <c r="B161" s="76" t="s">
        <v>3822</v>
      </c>
      <c r="C161" s="35" t="s">
        <v>4542</v>
      </c>
      <c r="D161" s="46">
        <v>234.0</v>
      </c>
      <c r="E161" s="46">
        <v>91.0</v>
      </c>
    </row>
    <row r="162">
      <c r="A162" s="39" t="s">
        <v>378</v>
      </c>
      <c r="B162" s="76" t="s">
        <v>3824</v>
      </c>
      <c r="C162" s="35" t="s">
        <v>4543</v>
      </c>
      <c r="D162" s="46">
        <v>234.0</v>
      </c>
      <c r="E162" s="46">
        <v>92.0</v>
      </c>
    </row>
    <row r="163">
      <c r="A163" s="39" t="s">
        <v>378</v>
      </c>
      <c r="B163" s="76" t="s">
        <v>3826</v>
      </c>
      <c r="C163" s="35" t="s">
        <v>4544</v>
      </c>
      <c r="D163" s="46">
        <v>234.0</v>
      </c>
      <c r="E163" s="46">
        <v>93.0</v>
      </c>
    </row>
    <row r="164">
      <c r="A164" s="39" t="s">
        <v>378</v>
      </c>
      <c r="B164" s="76" t="s">
        <v>3828</v>
      </c>
      <c r="C164" s="35" t="s">
        <v>4545</v>
      </c>
      <c r="D164" s="46">
        <v>234.0</v>
      </c>
      <c r="E164" s="46">
        <v>94.0</v>
      </c>
    </row>
    <row r="165">
      <c r="A165" s="39" t="s">
        <v>3501</v>
      </c>
      <c r="B165" s="39" t="s">
        <v>4546</v>
      </c>
      <c r="C165" s="35" t="s">
        <v>4547</v>
      </c>
      <c r="D165" s="46">
        <v>234.0</v>
      </c>
      <c r="E165" s="46">
        <v>95.0</v>
      </c>
      <c r="F165" s="56" t="s">
        <v>4548</v>
      </c>
    </row>
    <row r="166">
      <c r="A166" s="39" t="s">
        <v>3501</v>
      </c>
      <c r="B166" s="39" t="s">
        <v>4549</v>
      </c>
      <c r="C166" s="35" t="s">
        <v>4550</v>
      </c>
      <c r="D166" s="46">
        <v>234.0</v>
      </c>
      <c r="E166" s="46">
        <v>96.0</v>
      </c>
      <c r="F166" s="56" t="s">
        <v>4551</v>
      </c>
    </row>
    <row r="167">
      <c r="A167" s="39" t="s">
        <v>3501</v>
      </c>
      <c r="B167" s="39" t="s">
        <v>4552</v>
      </c>
      <c r="C167" s="35" t="s">
        <v>4553</v>
      </c>
      <c r="D167" s="46">
        <v>234.0</v>
      </c>
      <c r="E167" s="46">
        <v>97.0</v>
      </c>
      <c r="F167" s="56" t="s">
        <v>4554</v>
      </c>
    </row>
    <row r="168">
      <c r="A168" s="39" t="s">
        <v>3501</v>
      </c>
      <c r="B168" s="39" t="s">
        <v>4555</v>
      </c>
      <c r="C168" s="35" t="s">
        <v>4556</v>
      </c>
      <c r="D168" s="46">
        <v>234.0</v>
      </c>
      <c r="E168" s="46">
        <v>98.0</v>
      </c>
      <c r="F168" s="56" t="s">
        <v>4557</v>
      </c>
    </row>
    <row r="169">
      <c r="A169" s="39" t="s">
        <v>3501</v>
      </c>
      <c r="B169" s="39" t="s">
        <v>4558</v>
      </c>
      <c r="C169" s="35" t="s">
        <v>4559</v>
      </c>
      <c r="D169" s="46">
        <v>234.0</v>
      </c>
      <c r="E169" s="46">
        <v>99.0</v>
      </c>
      <c r="F169" s="56" t="s">
        <v>4560</v>
      </c>
    </row>
    <row r="170">
      <c r="A170" s="39" t="s">
        <v>3501</v>
      </c>
      <c r="B170" s="39" t="s">
        <v>4393</v>
      </c>
      <c r="C170" s="35" t="s">
        <v>4561</v>
      </c>
      <c r="D170" s="46">
        <v>234.0</v>
      </c>
      <c r="E170" s="46">
        <v>100.0</v>
      </c>
      <c r="F170" s="56" t="s">
        <v>4562</v>
      </c>
    </row>
    <row r="171">
      <c r="A171" s="39" t="s">
        <v>3501</v>
      </c>
      <c r="B171" s="39" t="s">
        <v>4563</v>
      </c>
      <c r="C171" s="35" t="s">
        <v>4564</v>
      </c>
      <c r="D171" s="46">
        <v>234.0</v>
      </c>
      <c r="E171" s="46">
        <v>101.0</v>
      </c>
      <c r="F171" s="56" t="s">
        <v>4565</v>
      </c>
    </row>
    <row r="172">
      <c r="A172" s="39" t="s">
        <v>3501</v>
      </c>
      <c r="B172" s="39" t="s">
        <v>4371</v>
      </c>
      <c r="C172" s="35" t="s">
        <v>4566</v>
      </c>
      <c r="D172" s="46">
        <v>234.0</v>
      </c>
      <c r="E172" s="46">
        <v>102.0</v>
      </c>
      <c r="F172" s="56" t="s">
        <v>4373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19.75"/>
    <col customWidth="1" min="3" max="3" width="43.13"/>
    <col customWidth="1" min="4" max="5" width="9.63"/>
    <col customWidth="1" min="6" max="6" width="74.38"/>
    <col customWidth="1" min="7" max="7" width="13.38"/>
    <col customWidth="1" min="8" max="8" width="28.0"/>
  </cols>
  <sheetData>
    <row r="1">
      <c r="A1" s="43" t="s">
        <v>78</v>
      </c>
      <c r="B1" s="43" t="s">
        <v>54</v>
      </c>
      <c r="C1" s="43" t="s">
        <v>3579</v>
      </c>
      <c r="D1" s="44" t="s">
        <v>3425</v>
      </c>
      <c r="E1" s="44" t="s">
        <v>788</v>
      </c>
      <c r="F1" s="43" t="s">
        <v>792</v>
      </c>
      <c r="G1" s="43" t="s">
        <v>793</v>
      </c>
      <c r="H1" s="43" t="s">
        <v>3580</v>
      </c>
    </row>
    <row r="2">
      <c r="A2" s="38" t="s">
        <v>4567</v>
      </c>
      <c r="B2" s="38" t="s">
        <v>4568</v>
      </c>
      <c r="C2" s="4" t="s">
        <v>4569</v>
      </c>
      <c r="D2" s="46">
        <v>237.0</v>
      </c>
      <c r="E2" s="46">
        <v>1.0</v>
      </c>
      <c r="F2" s="38" t="s">
        <v>4570</v>
      </c>
      <c r="G2" s="35"/>
    </row>
    <row r="3">
      <c r="A3" s="38" t="s">
        <v>4567</v>
      </c>
      <c r="B3" s="38" t="s">
        <v>4571</v>
      </c>
      <c r="C3" s="35" t="s">
        <v>4572</v>
      </c>
      <c r="D3" s="46">
        <v>237.0</v>
      </c>
      <c r="E3" s="46">
        <v>2.0</v>
      </c>
      <c r="F3" s="38" t="s">
        <v>4573</v>
      </c>
      <c r="G3" s="35"/>
    </row>
    <row r="4">
      <c r="A4" s="38" t="s">
        <v>4567</v>
      </c>
      <c r="B4" s="38" t="s">
        <v>4571</v>
      </c>
      <c r="C4" s="35" t="s">
        <v>4574</v>
      </c>
      <c r="D4" s="46">
        <v>237.0</v>
      </c>
      <c r="E4" s="46">
        <v>3.0</v>
      </c>
      <c r="F4" s="38" t="s">
        <v>4575</v>
      </c>
      <c r="G4" s="35"/>
    </row>
    <row r="5">
      <c r="A5" s="38" t="s">
        <v>4567</v>
      </c>
      <c r="B5" s="38" t="s">
        <v>4576</v>
      </c>
      <c r="C5" s="35" t="s">
        <v>4577</v>
      </c>
      <c r="D5" s="46">
        <v>237.0</v>
      </c>
      <c r="E5" s="46">
        <v>4.0</v>
      </c>
      <c r="F5" s="38" t="s">
        <v>4578</v>
      </c>
      <c r="G5" s="35"/>
    </row>
    <row r="6">
      <c r="A6" s="38" t="s">
        <v>4567</v>
      </c>
      <c r="B6" s="38" t="s">
        <v>4576</v>
      </c>
      <c r="C6" s="35" t="s">
        <v>4579</v>
      </c>
      <c r="D6" s="46">
        <v>237.0</v>
      </c>
      <c r="E6" s="46">
        <v>5.0</v>
      </c>
      <c r="F6" s="38" t="s">
        <v>4580</v>
      </c>
      <c r="G6" s="35"/>
    </row>
    <row r="7">
      <c r="A7" s="38" t="s">
        <v>4567</v>
      </c>
      <c r="B7" s="38" t="s">
        <v>4581</v>
      </c>
      <c r="C7" s="35" t="s">
        <v>4582</v>
      </c>
      <c r="D7" s="46">
        <v>237.0</v>
      </c>
      <c r="E7" s="46">
        <v>6.0</v>
      </c>
      <c r="F7" s="38" t="s">
        <v>4583</v>
      </c>
      <c r="G7" s="35"/>
    </row>
    <row r="8">
      <c r="A8" s="38" t="s">
        <v>4567</v>
      </c>
      <c r="B8" s="38" t="s">
        <v>4581</v>
      </c>
      <c r="C8" s="35" t="s">
        <v>4584</v>
      </c>
      <c r="D8" s="46">
        <v>237.0</v>
      </c>
      <c r="E8" s="46">
        <v>7.0</v>
      </c>
      <c r="F8" s="38" t="s">
        <v>4585</v>
      </c>
      <c r="G8" s="35"/>
    </row>
    <row r="9">
      <c r="A9" s="38" t="s">
        <v>4567</v>
      </c>
      <c r="B9" s="38" t="s">
        <v>4586</v>
      </c>
      <c r="C9" s="4" t="s">
        <v>4587</v>
      </c>
      <c r="D9" s="46">
        <v>237.0</v>
      </c>
      <c r="E9" s="46">
        <v>8.0</v>
      </c>
      <c r="F9" s="38" t="s">
        <v>4588</v>
      </c>
      <c r="G9" s="35"/>
    </row>
    <row r="10">
      <c r="A10" s="38" t="s">
        <v>4567</v>
      </c>
      <c r="B10" s="38" t="s">
        <v>4586</v>
      </c>
      <c r="C10" s="4" t="s">
        <v>4589</v>
      </c>
      <c r="D10" s="46">
        <v>237.0</v>
      </c>
      <c r="E10" s="46">
        <v>9.0</v>
      </c>
      <c r="F10" s="38" t="s">
        <v>4590</v>
      </c>
      <c r="G10" s="35"/>
    </row>
    <row r="11">
      <c r="A11" s="38" t="s">
        <v>4567</v>
      </c>
      <c r="B11" s="57" t="s">
        <v>4591</v>
      </c>
      <c r="C11" s="4" t="s">
        <v>4592</v>
      </c>
      <c r="D11" s="46">
        <v>237.0</v>
      </c>
      <c r="E11" s="46">
        <v>10.0</v>
      </c>
      <c r="F11" s="38" t="s">
        <v>4593</v>
      </c>
      <c r="G11" s="35"/>
    </row>
    <row r="12">
      <c r="A12" s="38" t="s">
        <v>4567</v>
      </c>
      <c r="B12" s="57" t="s">
        <v>4591</v>
      </c>
      <c r="C12" s="4" t="s">
        <v>4594</v>
      </c>
      <c r="D12" s="46">
        <v>237.0</v>
      </c>
      <c r="E12" s="46">
        <v>11.0</v>
      </c>
      <c r="F12" s="38" t="s">
        <v>4595</v>
      </c>
      <c r="G12" s="35"/>
    </row>
    <row r="13">
      <c r="A13" s="38" t="s">
        <v>4567</v>
      </c>
      <c r="B13" s="38" t="s">
        <v>4596</v>
      </c>
      <c r="C13" s="4" t="s">
        <v>4597</v>
      </c>
      <c r="D13" s="46">
        <v>237.0</v>
      </c>
      <c r="E13" s="46">
        <v>12.0</v>
      </c>
      <c r="F13" s="38" t="s">
        <v>4598</v>
      </c>
      <c r="G13" s="35"/>
    </row>
    <row r="14">
      <c r="A14" s="38" t="s">
        <v>4567</v>
      </c>
      <c r="B14" s="38" t="s">
        <v>4596</v>
      </c>
      <c r="C14" s="4" t="s">
        <v>4599</v>
      </c>
      <c r="D14" s="46">
        <v>237.0</v>
      </c>
      <c r="E14" s="46">
        <v>13.0</v>
      </c>
      <c r="F14" s="38" t="s">
        <v>4600</v>
      </c>
      <c r="G14" s="35"/>
    </row>
    <row r="15">
      <c r="A15" s="38" t="s">
        <v>4567</v>
      </c>
      <c r="B15" s="57" t="s">
        <v>4601</v>
      </c>
      <c r="C15" s="35" t="s">
        <v>4602</v>
      </c>
      <c r="D15" s="46">
        <v>237.0</v>
      </c>
      <c r="E15" s="46">
        <v>14.0</v>
      </c>
      <c r="F15" s="38" t="s">
        <v>4603</v>
      </c>
      <c r="G15" s="35"/>
    </row>
    <row r="16">
      <c r="A16" s="38" t="s">
        <v>4567</v>
      </c>
      <c r="B16" s="57" t="s">
        <v>4601</v>
      </c>
      <c r="C16" s="35" t="s">
        <v>4604</v>
      </c>
      <c r="D16" s="46">
        <v>237.0</v>
      </c>
      <c r="E16" s="46">
        <v>15.0</v>
      </c>
      <c r="F16" s="38" t="s">
        <v>4605</v>
      </c>
      <c r="G16" s="35"/>
    </row>
    <row r="17">
      <c r="A17" s="38" t="s">
        <v>4567</v>
      </c>
      <c r="B17" s="57" t="s">
        <v>4606</v>
      </c>
      <c r="C17" s="35" t="s">
        <v>4607</v>
      </c>
      <c r="D17" s="46">
        <v>237.0</v>
      </c>
      <c r="E17" s="46">
        <v>16.0</v>
      </c>
      <c r="F17" s="86" t="s">
        <v>4608</v>
      </c>
      <c r="G17" s="35"/>
    </row>
    <row r="18">
      <c r="A18" s="38" t="s">
        <v>4567</v>
      </c>
      <c r="B18" s="57" t="s">
        <v>4606</v>
      </c>
      <c r="C18" s="35" t="s">
        <v>4609</v>
      </c>
      <c r="D18" s="46">
        <v>237.0</v>
      </c>
      <c r="E18" s="46">
        <v>17.0</v>
      </c>
      <c r="F18" s="86" t="s">
        <v>4610</v>
      </c>
      <c r="G18" s="35"/>
    </row>
    <row r="19">
      <c r="A19" s="38" t="s">
        <v>4567</v>
      </c>
      <c r="B19" s="38" t="s">
        <v>4611</v>
      </c>
      <c r="C19" s="35" t="s">
        <v>4612</v>
      </c>
      <c r="D19" s="46">
        <v>237.0</v>
      </c>
      <c r="E19" s="46">
        <v>18.0</v>
      </c>
      <c r="F19" s="86" t="s">
        <v>4613</v>
      </c>
      <c r="G19" s="35"/>
    </row>
    <row r="20">
      <c r="A20" s="38" t="s">
        <v>4567</v>
      </c>
      <c r="B20" s="38" t="s">
        <v>4611</v>
      </c>
      <c r="C20" s="35" t="s">
        <v>4614</v>
      </c>
      <c r="D20" s="46">
        <v>237.0</v>
      </c>
      <c r="E20" s="46">
        <v>19.0</v>
      </c>
      <c r="F20" s="86" t="s">
        <v>4615</v>
      </c>
      <c r="G20" s="35"/>
    </row>
    <row r="21">
      <c r="A21" s="38" t="s">
        <v>4567</v>
      </c>
      <c r="B21" s="38" t="s">
        <v>4616</v>
      </c>
      <c r="C21" s="4" t="s">
        <v>4617</v>
      </c>
      <c r="D21" s="46">
        <v>237.0</v>
      </c>
      <c r="E21" s="46">
        <v>20.0</v>
      </c>
      <c r="F21" s="86" t="s">
        <v>4618</v>
      </c>
      <c r="G21" s="35"/>
    </row>
    <row r="22">
      <c r="A22" s="38" t="s">
        <v>4567</v>
      </c>
      <c r="B22" s="38" t="s">
        <v>4616</v>
      </c>
      <c r="C22" s="4" t="s">
        <v>4619</v>
      </c>
      <c r="D22" s="46">
        <v>237.0</v>
      </c>
      <c r="E22" s="46">
        <v>21.0</v>
      </c>
      <c r="F22" s="86" t="s">
        <v>4618</v>
      </c>
      <c r="G22" s="35"/>
    </row>
    <row r="23">
      <c r="A23" s="38" t="s">
        <v>4567</v>
      </c>
      <c r="B23" s="57" t="s">
        <v>4620</v>
      </c>
      <c r="C23" s="76" t="s">
        <v>4621</v>
      </c>
      <c r="D23" s="46">
        <v>237.0</v>
      </c>
      <c r="E23" s="46">
        <v>22.0</v>
      </c>
      <c r="F23" s="38" t="s">
        <v>4622</v>
      </c>
      <c r="G23" s="35"/>
    </row>
    <row r="24">
      <c r="A24" s="38" t="s">
        <v>4567</v>
      </c>
      <c r="B24" s="57" t="s">
        <v>4620</v>
      </c>
      <c r="C24" s="76" t="s">
        <v>4623</v>
      </c>
      <c r="D24" s="46">
        <v>237.0</v>
      </c>
      <c r="E24" s="46">
        <v>23.0</v>
      </c>
      <c r="F24" s="38" t="s">
        <v>4624</v>
      </c>
      <c r="G24" s="35"/>
    </row>
    <row r="25">
      <c r="A25" s="38" t="s">
        <v>4567</v>
      </c>
      <c r="B25" s="57" t="s">
        <v>4625</v>
      </c>
      <c r="C25" s="4" t="s">
        <v>4626</v>
      </c>
      <c r="D25" s="46">
        <v>237.0</v>
      </c>
      <c r="E25" s="46">
        <v>24.0</v>
      </c>
      <c r="F25" s="38" t="s">
        <v>4627</v>
      </c>
      <c r="G25" s="35"/>
    </row>
    <row r="26">
      <c r="A26" s="38" t="s">
        <v>4567</v>
      </c>
      <c r="B26" s="57" t="s">
        <v>4625</v>
      </c>
      <c r="C26" s="4" t="s">
        <v>4628</v>
      </c>
      <c r="D26" s="46">
        <v>237.0</v>
      </c>
      <c r="E26" s="46">
        <v>25.0</v>
      </c>
      <c r="F26" s="38" t="s">
        <v>4629</v>
      </c>
      <c r="G26" s="35"/>
    </row>
    <row r="27">
      <c r="A27" s="38" t="s">
        <v>4567</v>
      </c>
      <c r="B27" s="38" t="s">
        <v>4568</v>
      </c>
      <c r="C27" s="4" t="s">
        <v>4630</v>
      </c>
      <c r="D27" s="46">
        <v>237.0</v>
      </c>
      <c r="E27" s="46">
        <v>31.0</v>
      </c>
      <c r="F27" s="38" t="s">
        <v>4631</v>
      </c>
      <c r="G27" s="35"/>
    </row>
    <row r="28">
      <c r="A28" s="39" t="s">
        <v>68</v>
      </c>
      <c r="B28" s="38" t="s">
        <v>3791</v>
      </c>
      <c r="C28" s="35" t="s">
        <v>4632</v>
      </c>
      <c r="D28" s="46">
        <v>246.0</v>
      </c>
      <c r="E28" s="46">
        <v>1.0</v>
      </c>
      <c r="F28" s="35"/>
      <c r="G28" s="35"/>
    </row>
    <row r="29">
      <c r="A29" s="39" t="s">
        <v>68</v>
      </c>
      <c r="B29" s="38" t="s">
        <v>3793</v>
      </c>
      <c r="C29" s="35" t="s">
        <v>4633</v>
      </c>
      <c r="D29" s="46">
        <v>246.0</v>
      </c>
      <c r="E29" s="46">
        <v>2.0</v>
      </c>
      <c r="F29" s="35"/>
      <c r="G29" s="35"/>
    </row>
    <row r="30">
      <c r="A30" s="39" t="s">
        <v>68</v>
      </c>
      <c r="B30" s="38" t="s">
        <v>3795</v>
      </c>
      <c r="C30" s="35" t="s">
        <v>4634</v>
      </c>
      <c r="D30" s="46">
        <v>246.0</v>
      </c>
      <c r="E30" s="46">
        <v>3.0</v>
      </c>
      <c r="F30" s="35"/>
      <c r="G30" s="35"/>
    </row>
    <row r="31">
      <c r="A31" s="39" t="s">
        <v>68</v>
      </c>
      <c r="B31" s="39" t="s">
        <v>3797</v>
      </c>
      <c r="C31" s="35" t="s">
        <v>4635</v>
      </c>
      <c r="D31" s="46">
        <v>246.0</v>
      </c>
      <c r="E31" s="46">
        <v>4.0</v>
      </c>
      <c r="F31" s="35"/>
      <c r="G31" s="35"/>
    </row>
    <row r="32">
      <c r="A32" s="39" t="s">
        <v>68</v>
      </c>
      <c r="B32" s="39" t="s">
        <v>3799</v>
      </c>
      <c r="C32" s="35" t="s">
        <v>4636</v>
      </c>
      <c r="D32" s="46">
        <v>246.0</v>
      </c>
      <c r="E32" s="46">
        <v>5.0</v>
      </c>
      <c r="F32" s="35"/>
      <c r="G32" s="35"/>
    </row>
    <row r="33">
      <c r="A33" s="39" t="s">
        <v>68</v>
      </c>
      <c r="B33" s="39" t="s">
        <v>3801</v>
      </c>
      <c r="C33" s="35" t="s">
        <v>4637</v>
      </c>
      <c r="D33" s="46">
        <v>246.0</v>
      </c>
      <c r="E33" s="46">
        <v>6.0</v>
      </c>
      <c r="F33" s="35"/>
      <c r="G33" s="35"/>
    </row>
    <row r="34">
      <c r="A34" s="39" t="s">
        <v>68</v>
      </c>
      <c r="B34" s="39" t="s">
        <v>3803</v>
      </c>
      <c r="C34" s="35" t="s">
        <v>4638</v>
      </c>
      <c r="D34" s="46">
        <v>246.0</v>
      </c>
      <c r="E34" s="46">
        <v>7.0</v>
      </c>
      <c r="F34" s="35"/>
      <c r="G34" s="35"/>
    </row>
    <row r="35">
      <c r="A35" s="39" t="s">
        <v>68</v>
      </c>
      <c r="B35" s="38" t="s">
        <v>160</v>
      </c>
      <c r="C35" s="35" t="s">
        <v>4639</v>
      </c>
      <c r="D35" s="46">
        <v>246.0</v>
      </c>
      <c r="E35" s="46">
        <v>8.0</v>
      </c>
      <c r="F35" s="35"/>
      <c r="G35" s="35"/>
    </row>
    <row r="36">
      <c r="A36" s="39" t="s">
        <v>68</v>
      </c>
      <c r="B36" s="38" t="s">
        <v>3806</v>
      </c>
      <c r="C36" s="35" t="s">
        <v>4640</v>
      </c>
      <c r="D36" s="46">
        <v>246.0</v>
      </c>
      <c r="E36" s="46">
        <v>9.0</v>
      </c>
      <c r="F36" s="35"/>
      <c r="G36" s="35"/>
    </row>
    <row r="37">
      <c r="A37" s="39" t="s">
        <v>68</v>
      </c>
      <c r="B37" s="38" t="s">
        <v>3808</v>
      </c>
      <c r="C37" s="35" t="s">
        <v>4641</v>
      </c>
      <c r="D37" s="46">
        <v>246.0</v>
      </c>
      <c r="E37" s="46">
        <v>10.0</v>
      </c>
      <c r="F37" s="35"/>
      <c r="G37" s="35"/>
    </row>
    <row r="38">
      <c r="A38" s="39" t="s">
        <v>68</v>
      </c>
      <c r="B38" s="38" t="s">
        <v>3810</v>
      </c>
      <c r="C38" s="35" t="s">
        <v>4642</v>
      </c>
      <c r="D38" s="46">
        <v>246.0</v>
      </c>
      <c r="E38" s="46">
        <v>11.0</v>
      </c>
      <c r="F38" s="35"/>
      <c r="G38" s="35"/>
    </row>
    <row r="39">
      <c r="A39" s="39" t="s">
        <v>68</v>
      </c>
      <c r="B39" s="76" t="s">
        <v>3812</v>
      </c>
      <c r="C39" s="35" t="s">
        <v>4643</v>
      </c>
      <c r="D39" s="46">
        <v>246.0</v>
      </c>
      <c r="E39" s="46">
        <v>12.0</v>
      </c>
      <c r="F39" s="35"/>
      <c r="G39" s="35"/>
    </row>
    <row r="40">
      <c r="A40" s="39" t="s">
        <v>68</v>
      </c>
      <c r="B40" s="76" t="s">
        <v>3814</v>
      </c>
      <c r="C40" s="35" t="s">
        <v>4644</v>
      </c>
      <c r="D40" s="46">
        <v>246.0</v>
      </c>
      <c r="E40" s="46">
        <v>13.0</v>
      </c>
      <c r="F40" s="35"/>
      <c r="G40" s="35"/>
    </row>
    <row r="41">
      <c r="A41" s="39" t="s">
        <v>68</v>
      </c>
      <c r="B41" s="76" t="s">
        <v>3816</v>
      </c>
      <c r="C41" s="35" t="s">
        <v>4645</v>
      </c>
      <c r="D41" s="46">
        <v>246.0</v>
      </c>
      <c r="E41" s="46">
        <v>14.0</v>
      </c>
      <c r="F41" s="35"/>
      <c r="G41" s="35"/>
    </row>
    <row r="42">
      <c r="A42" s="39" t="s">
        <v>68</v>
      </c>
      <c r="B42" s="76" t="s">
        <v>3818</v>
      </c>
      <c r="C42" s="35" t="s">
        <v>4646</v>
      </c>
      <c r="D42" s="46">
        <v>246.0</v>
      </c>
      <c r="E42" s="46">
        <v>15.0</v>
      </c>
      <c r="F42" s="35"/>
      <c r="G42" s="35"/>
    </row>
    <row r="43">
      <c r="A43" s="39" t="s">
        <v>68</v>
      </c>
      <c r="B43" s="76" t="s">
        <v>3820</v>
      </c>
      <c r="C43" s="35" t="s">
        <v>4647</v>
      </c>
      <c r="D43" s="46">
        <v>246.0</v>
      </c>
      <c r="E43" s="46">
        <v>16.0</v>
      </c>
      <c r="F43" s="35"/>
      <c r="G43" s="35"/>
    </row>
    <row r="44">
      <c r="A44" s="39" t="s">
        <v>68</v>
      </c>
      <c r="B44" s="76" t="s">
        <v>3822</v>
      </c>
      <c r="C44" s="35" t="s">
        <v>4648</v>
      </c>
      <c r="D44" s="46">
        <v>246.0</v>
      </c>
      <c r="E44" s="46">
        <v>17.0</v>
      </c>
      <c r="F44" s="35"/>
      <c r="G44" s="35"/>
    </row>
    <row r="45">
      <c r="A45" s="39" t="s">
        <v>68</v>
      </c>
      <c r="B45" s="76" t="s">
        <v>3824</v>
      </c>
      <c r="C45" s="35" t="s">
        <v>4649</v>
      </c>
      <c r="D45" s="46">
        <v>246.0</v>
      </c>
      <c r="E45" s="46">
        <v>18.0</v>
      </c>
      <c r="F45" s="35"/>
      <c r="G45" s="35"/>
    </row>
    <row r="46">
      <c r="A46" s="39" t="s">
        <v>68</v>
      </c>
      <c r="B46" s="76" t="s">
        <v>3826</v>
      </c>
      <c r="C46" s="35" t="s">
        <v>4650</v>
      </c>
      <c r="D46" s="46">
        <v>246.0</v>
      </c>
      <c r="E46" s="46">
        <v>19.0</v>
      </c>
      <c r="F46" s="35"/>
      <c r="G46" s="35"/>
    </row>
    <row r="47">
      <c r="A47" s="39" t="s">
        <v>68</v>
      </c>
      <c r="B47" s="76" t="s">
        <v>3828</v>
      </c>
      <c r="C47" s="35" t="s">
        <v>4651</v>
      </c>
      <c r="D47" s="46">
        <v>246.0</v>
      </c>
      <c r="E47" s="46">
        <v>20.0</v>
      </c>
      <c r="F47" s="35"/>
      <c r="G47" s="35"/>
    </row>
    <row r="48">
      <c r="A48" s="38" t="s">
        <v>3834</v>
      </c>
      <c r="B48" s="38" t="s">
        <v>3902</v>
      </c>
      <c r="C48" s="35"/>
      <c r="D48" s="46">
        <v>246.0</v>
      </c>
      <c r="E48" s="46">
        <v>21.0</v>
      </c>
      <c r="F48" s="38" t="s">
        <v>4652</v>
      </c>
      <c r="G48" s="35"/>
    </row>
    <row r="49">
      <c r="A49" s="38" t="s">
        <v>3834</v>
      </c>
      <c r="B49" s="38" t="s">
        <v>3428</v>
      </c>
      <c r="C49" s="35" t="s">
        <v>4653</v>
      </c>
      <c r="D49" s="46">
        <v>246.0</v>
      </c>
      <c r="E49" s="46">
        <v>22.0</v>
      </c>
      <c r="F49" s="38" t="s">
        <v>4654</v>
      </c>
      <c r="G49" s="35"/>
    </row>
    <row r="50">
      <c r="A50" s="38" t="s">
        <v>3834</v>
      </c>
      <c r="B50" s="38" t="s">
        <v>3431</v>
      </c>
      <c r="C50" s="38" t="s">
        <v>4655</v>
      </c>
      <c r="D50" s="46">
        <v>246.0</v>
      </c>
      <c r="E50" s="46">
        <v>23.0</v>
      </c>
      <c r="F50" s="38" t="s">
        <v>4654</v>
      </c>
      <c r="G50" s="35"/>
    </row>
    <row r="51">
      <c r="A51" s="38" t="s">
        <v>3834</v>
      </c>
      <c r="B51" s="38" t="s">
        <v>3433</v>
      </c>
      <c r="C51" s="38" t="s">
        <v>4656</v>
      </c>
      <c r="D51" s="46">
        <v>246.0</v>
      </c>
      <c r="E51" s="46">
        <v>24.0</v>
      </c>
      <c r="F51" s="38" t="s">
        <v>4654</v>
      </c>
      <c r="G51" s="35"/>
    </row>
    <row r="52">
      <c r="A52" s="38" t="s">
        <v>3834</v>
      </c>
      <c r="B52" s="38" t="s">
        <v>3435</v>
      </c>
      <c r="C52" s="35" t="s">
        <v>4657</v>
      </c>
      <c r="D52" s="46">
        <v>246.0</v>
      </c>
      <c r="E52" s="46">
        <v>25.0</v>
      </c>
      <c r="F52" s="38" t="s">
        <v>4654</v>
      </c>
      <c r="G52" s="35"/>
    </row>
    <row r="53">
      <c r="A53" s="38" t="s">
        <v>3834</v>
      </c>
      <c r="B53" s="38" t="s">
        <v>3437</v>
      </c>
      <c r="C53" s="35" t="s">
        <v>4658</v>
      </c>
      <c r="D53" s="46">
        <v>246.0</v>
      </c>
      <c r="E53" s="46">
        <v>26.0</v>
      </c>
      <c r="F53" s="38" t="s">
        <v>4654</v>
      </c>
      <c r="G53" s="35"/>
    </row>
    <row r="54">
      <c r="A54" s="38" t="s">
        <v>3501</v>
      </c>
      <c r="B54" s="38" t="s">
        <v>4659</v>
      </c>
      <c r="C54" s="35" t="s">
        <v>4660</v>
      </c>
      <c r="D54" s="46">
        <v>246.0</v>
      </c>
      <c r="E54" s="46">
        <v>27.0</v>
      </c>
      <c r="F54" s="86" t="s">
        <v>4661</v>
      </c>
      <c r="G54" s="35"/>
    </row>
    <row r="55">
      <c r="A55" s="38" t="s">
        <v>3501</v>
      </c>
      <c r="B55" s="38" t="s">
        <v>4659</v>
      </c>
      <c r="C55" s="35" t="s">
        <v>4662</v>
      </c>
      <c r="D55" s="46">
        <v>246.0</v>
      </c>
      <c r="E55" s="46">
        <v>28.0</v>
      </c>
      <c r="F55" s="86" t="s">
        <v>4663</v>
      </c>
      <c r="G55" s="35"/>
    </row>
    <row r="56">
      <c r="A56" s="38" t="s">
        <v>3501</v>
      </c>
      <c r="B56" s="38" t="s">
        <v>4664</v>
      </c>
      <c r="C56" s="4" t="s">
        <v>4665</v>
      </c>
      <c r="D56" s="46">
        <v>246.0</v>
      </c>
      <c r="E56" s="46">
        <v>29.0</v>
      </c>
      <c r="F56" s="86" t="s">
        <v>4666</v>
      </c>
      <c r="G56" s="35"/>
    </row>
    <row r="57">
      <c r="A57" s="38" t="s">
        <v>3501</v>
      </c>
      <c r="B57" s="38" t="s">
        <v>4664</v>
      </c>
      <c r="C57" s="4" t="s">
        <v>4667</v>
      </c>
      <c r="D57" s="46">
        <v>246.0</v>
      </c>
      <c r="E57" s="46">
        <v>30.0</v>
      </c>
      <c r="F57" s="86" t="s">
        <v>4668</v>
      </c>
      <c r="G57" s="35"/>
    </row>
    <row r="58">
      <c r="A58" s="38" t="s">
        <v>3501</v>
      </c>
      <c r="B58" s="88" t="s">
        <v>4669</v>
      </c>
      <c r="C58" s="38" t="s">
        <v>4670</v>
      </c>
      <c r="D58" s="46">
        <v>246.0</v>
      </c>
      <c r="E58" s="46">
        <v>31.0</v>
      </c>
      <c r="F58" s="38" t="s">
        <v>4671</v>
      </c>
      <c r="G58" s="35"/>
    </row>
    <row r="59">
      <c r="A59" s="38" t="s">
        <v>3501</v>
      </c>
      <c r="B59" s="88" t="s">
        <v>4669</v>
      </c>
      <c r="C59" s="38" t="s">
        <v>4672</v>
      </c>
      <c r="D59" s="46">
        <v>246.0</v>
      </c>
      <c r="E59" s="46">
        <v>32.0</v>
      </c>
      <c r="F59" s="38" t="s">
        <v>4673</v>
      </c>
      <c r="G59" s="35"/>
    </row>
    <row r="60">
      <c r="A60" s="38" t="s">
        <v>3501</v>
      </c>
      <c r="B60" s="88" t="s">
        <v>4674</v>
      </c>
      <c r="C60" s="35" t="s">
        <v>4675</v>
      </c>
      <c r="D60" s="46">
        <v>246.0</v>
      </c>
      <c r="E60" s="46">
        <v>33.0</v>
      </c>
      <c r="F60" s="38" t="s">
        <v>4676</v>
      </c>
      <c r="G60" s="35"/>
    </row>
    <row r="61">
      <c r="A61" s="38" t="s">
        <v>3501</v>
      </c>
      <c r="B61" s="88" t="s">
        <v>4674</v>
      </c>
      <c r="C61" s="35" t="s">
        <v>4677</v>
      </c>
      <c r="D61" s="46">
        <v>246.0</v>
      </c>
      <c r="E61" s="46">
        <v>34.0</v>
      </c>
      <c r="F61" s="38" t="s">
        <v>4678</v>
      </c>
      <c r="G61" s="35"/>
    </row>
    <row r="62">
      <c r="A62" s="38" t="s">
        <v>3501</v>
      </c>
      <c r="B62" s="77" t="s">
        <v>4679</v>
      </c>
      <c r="C62" s="35" t="s">
        <v>4680</v>
      </c>
      <c r="D62" s="46">
        <v>246.0</v>
      </c>
      <c r="E62" s="46">
        <v>35.0</v>
      </c>
      <c r="F62" s="86" t="s">
        <v>4681</v>
      </c>
      <c r="G62" s="35"/>
    </row>
    <row r="63">
      <c r="A63" s="38" t="s">
        <v>3501</v>
      </c>
      <c r="B63" s="77" t="s">
        <v>4679</v>
      </c>
      <c r="C63" s="35" t="s">
        <v>4682</v>
      </c>
      <c r="D63" s="46">
        <v>246.0</v>
      </c>
      <c r="E63" s="46">
        <v>36.0</v>
      </c>
      <c r="F63" s="86" t="s">
        <v>4683</v>
      </c>
      <c r="G63" s="35"/>
    </row>
    <row r="64">
      <c r="A64" s="38" t="s">
        <v>3501</v>
      </c>
      <c r="B64" s="88" t="s">
        <v>4684</v>
      </c>
      <c r="C64" s="35" t="s">
        <v>4685</v>
      </c>
      <c r="D64" s="46">
        <v>246.0</v>
      </c>
      <c r="E64" s="46">
        <v>37.0</v>
      </c>
      <c r="F64" s="38" t="s">
        <v>4686</v>
      </c>
      <c r="G64" s="35"/>
    </row>
    <row r="65">
      <c r="A65" s="38" t="s">
        <v>3501</v>
      </c>
      <c r="B65" s="88" t="s">
        <v>4684</v>
      </c>
      <c r="C65" s="35" t="s">
        <v>4687</v>
      </c>
      <c r="D65" s="46">
        <v>246.0</v>
      </c>
      <c r="E65" s="46">
        <v>38.0</v>
      </c>
      <c r="F65" s="38" t="s">
        <v>4688</v>
      </c>
      <c r="G65" s="35"/>
    </row>
    <row r="66">
      <c r="A66" s="38" t="s">
        <v>3501</v>
      </c>
      <c r="B66" s="77" t="s">
        <v>4689</v>
      </c>
      <c r="C66" s="35" t="s">
        <v>4690</v>
      </c>
      <c r="D66" s="46">
        <v>246.0</v>
      </c>
      <c r="E66" s="46">
        <v>39.0</v>
      </c>
      <c r="F66" s="38" t="s">
        <v>4691</v>
      </c>
      <c r="G66" s="35"/>
    </row>
    <row r="67">
      <c r="A67" s="38" t="s">
        <v>3501</v>
      </c>
      <c r="B67" s="77" t="s">
        <v>4689</v>
      </c>
      <c r="C67" s="35" t="s">
        <v>4692</v>
      </c>
      <c r="D67" s="46">
        <v>246.0</v>
      </c>
      <c r="E67" s="46">
        <v>40.0</v>
      </c>
      <c r="F67" s="38" t="s">
        <v>4693</v>
      </c>
      <c r="G67" s="35"/>
    </row>
    <row r="68">
      <c r="A68" s="38" t="s">
        <v>3501</v>
      </c>
      <c r="B68" s="88" t="s">
        <v>4694</v>
      </c>
      <c r="C68" s="4" t="s">
        <v>4695</v>
      </c>
      <c r="D68" s="46">
        <v>246.0</v>
      </c>
      <c r="E68" s="46">
        <v>41.0</v>
      </c>
      <c r="F68" s="86" t="s">
        <v>4696</v>
      </c>
      <c r="G68" s="35"/>
    </row>
    <row r="69">
      <c r="A69" s="38" t="s">
        <v>3501</v>
      </c>
      <c r="B69" s="88" t="s">
        <v>4694</v>
      </c>
      <c r="C69" s="4" t="s">
        <v>4697</v>
      </c>
      <c r="D69" s="46">
        <v>246.0</v>
      </c>
      <c r="E69" s="46">
        <v>42.0</v>
      </c>
      <c r="F69" s="86" t="s">
        <v>4698</v>
      </c>
      <c r="G69" s="35"/>
    </row>
    <row r="70">
      <c r="A70" s="38" t="s">
        <v>3501</v>
      </c>
      <c r="B70" s="77" t="s">
        <v>4699</v>
      </c>
      <c r="C70" s="4" t="s">
        <v>4700</v>
      </c>
      <c r="D70" s="46">
        <v>246.0</v>
      </c>
      <c r="E70" s="46">
        <v>43.0</v>
      </c>
      <c r="F70" s="38" t="s">
        <v>4701</v>
      </c>
      <c r="G70" s="35"/>
    </row>
    <row r="71">
      <c r="A71" s="38" t="s">
        <v>3501</v>
      </c>
      <c r="B71" s="77" t="s">
        <v>4699</v>
      </c>
      <c r="C71" s="4" t="s">
        <v>4702</v>
      </c>
      <c r="D71" s="46">
        <v>246.0</v>
      </c>
      <c r="E71" s="46">
        <v>44.0</v>
      </c>
      <c r="F71" s="38" t="s">
        <v>4703</v>
      </c>
      <c r="G71" s="35"/>
    </row>
    <row r="72">
      <c r="A72" s="38" t="s">
        <v>3501</v>
      </c>
      <c r="B72" s="77" t="s">
        <v>4704</v>
      </c>
      <c r="C72" s="35" t="s">
        <v>4705</v>
      </c>
      <c r="D72" s="46">
        <v>246.0</v>
      </c>
      <c r="E72" s="46">
        <v>45.0</v>
      </c>
      <c r="F72" s="38" t="s">
        <v>4706</v>
      </c>
      <c r="G72" s="35"/>
    </row>
    <row r="73">
      <c r="A73" s="38" t="s">
        <v>3501</v>
      </c>
      <c r="B73" s="77" t="s">
        <v>4704</v>
      </c>
      <c r="C73" s="35" t="s">
        <v>4707</v>
      </c>
      <c r="D73" s="46">
        <v>246.0</v>
      </c>
      <c r="E73" s="46">
        <v>46.0</v>
      </c>
      <c r="F73" s="38" t="s">
        <v>4708</v>
      </c>
      <c r="G73" s="35"/>
    </row>
    <row r="74">
      <c r="A74" s="38" t="s">
        <v>3501</v>
      </c>
      <c r="B74" s="77" t="s">
        <v>4709</v>
      </c>
      <c r="C74" s="4" t="s">
        <v>4710</v>
      </c>
      <c r="D74" s="46">
        <v>246.0</v>
      </c>
      <c r="E74" s="46">
        <v>47.0</v>
      </c>
      <c r="F74" s="38" t="s">
        <v>4711</v>
      </c>
      <c r="G74" s="35"/>
    </row>
    <row r="75">
      <c r="A75" s="38" t="s">
        <v>3501</v>
      </c>
      <c r="B75" s="77" t="s">
        <v>4709</v>
      </c>
      <c r="C75" s="4" t="s">
        <v>4712</v>
      </c>
      <c r="D75" s="46">
        <v>246.0</v>
      </c>
      <c r="E75" s="46">
        <v>48.0</v>
      </c>
      <c r="F75" s="38" t="s">
        <v>4713</v>
      </c>
      <c r="G75" s="35"/>
    </row>
    <row r="76">
      <c r="A76" s="38" t="s">
        <v>3501</v>
      </c>
      <c r="B76" s="88" t="s">
        <v>4714</v>
      </c>
      <c r="C76" s="35" t="s">
        <v>4715</v>
      </c>
      <c r="D76" s="46">
        <v>246.0</v>
      </c>
      <c r="E76" s="46">
        <v>49.0</v>
      </c>
      <c r="F76" s="86" t="s">
        <v>4716</v>
      </c>
      <c r="G76" s="35"/>
    </row>
    <row r="77">
      <c r="A77" s="38" t="s">
        <v>3501</v>
      </c>
      <c r="B77" s="88" t="s">
        <v>4714</v>
      </c>
      <c r="C77" s="35" t="s">
        <v>4717</v>
      </c>
      <c r="D77" s="46">
        <v>246.0</v>
      </c>
      <c r="E77" s="46">
        <v>50.0</v>
      </c>
      <c r="F77" s="86" t="s">
        <v>4718</v>
      </c>
      <c r="G77" s="35"/>
    </row>
    <row r="78">
      <c r="A78" s="38" t="s">
        <v>3501</v>
      </c>
      <c r="B78" s="88" t="s">
        <v>4719</v>
      </c>
      <c r="C78" s="35" t="s">
        <v>4720</v>
      </c>
      <c r="D78" s="46">
        <v>246.0</v>
      </c>
      <c r="E78" s="46">
        <v>51.0</v>
      </c>
      <c r="F78" s="38" t="s">
        <v>4721</v>
      </c>
      <c r="G78" s="35"/>
    </row>
    <row r="79">
      <c r="A79" s="38" t="s">
        <v>3501</v>
      </c>
      <c r="B79" s="88" t="s">
        <v>4719</v>
      </c>
      <c r="C79" s="76" t="s">
        <v>4722</v>
      </c>
      <c r="D79" s="46">
        <v>246.0</v>
      </c>
      <c r="E79" s="46">
        <v>52.0</v>
      </c>
      <c r="F79" s="38" t="s">
        <v>4723</v>
      </c>
      <c r="G79" s="35"/>
    </row>
    <row r="80">
      <c r="A80" s="38" t="s">
        <v>3501</v>
      </c>
      <c r="B80" s="88" t="s">
        <v>4724</v>
      </c>
      <c r="C80" s="4" t="s">
        <v>4725</v>
      </c>
      <c r="D80" s="46">
        <v>246.0</v>
      </c>
      <c r="E80" s="46">
        <v>53.0</v>
      </c>
      <c r="F80" s="86" t="s">
        <v>4726</v>
      </c>
      <c r="G80" s="35"/>
    </row>
    <row r="81">
      <c r="A81" s="38" t="s">
        <v>3501</v>
      </c>
      <c r="B81" s="88" t="s">
        <v>4724</v>
      </c>
      <c r="C81" s="4" t="s">
        <v>4727</v>
      </c>
      <c r="D81" s="46">
        <v>246.0</v>
      </c>
      <c r="E81" s="46">
        <v>54.0</v>
      </c>
      <c r="F81" s="86" t="s">
        <v>4728</v>
      </c>
      <c r="G81" s="35"/>
    </row>
    <row r="82">
      <c r="A82" s="38" t="s">
        <v>3501</v>
      </c>
      <c r="B82" s="88" t="s">
        <v>4729</v>
      </c>
      <c r="C82" s="4" t="s">
        <v>4730</v>
      </c>
      <c r="D82" s="46">
        <v>246.0</v>
      </c>
      <c r="E82" s="46">
        <v>55.0</v>
      </c>
      <c r="F82" s="86" t="s">
        <v>4731</v>
      </c>
      <c r="G82" s="35"/>
    </row>
    <row r="83">
      <c r="A83" s="38" t="s">
        <v>3501</v>
      </c>
      <c r="B83" s="88" t="s">
        <v>4729</v>
      </c>
      <c r="C83" s="4" t="s">
        <v>4732</v>
      </c>
      <c r="D83" s="46">
        <v>246.0</v>
      </c>
      <c r="E83" s="46">
        <v>56.0</v>
      </c>
      <c r="F83" s="86" t="s">
        <v>4733</v>
      </c>
      <c r="G83" s="35"/>
    </row>
    <row r="84">
      <c r="A84" s="38" t="s">
        <v>3501</v>
      </c>
      <c r="B84" s="88" t="s">
        <v>4734</v>
      </c>
      <c r="C84" s="4" t="s">
        <v>4735</v>
      </c>
      <c r="D84" s="46">
        <v>246.0</v>
      </c>
      <c r="E84" s="46">
        <v>57.0</v>
      </c>
      <c r="F84" s="86" t="s">
        <v>4736</v>
      </c>
      <c r="G84" s="35"/>
    </row>
    <row r="85">
      <c r="A85" s="38" t="s">
        <v>3501</v>
      </c>
      <c r="B85" s="88" t="s">
        <v>4734</v>
      </c>
      <c r="C85" s="4" t="s">
        <v>4737</v>
      </c>
      <c r="D85" s="46">
        <v>246.0</v>
      </c>
      <c r="E85" s="46">
        <v>58.0</v>
      </c>
      <c r="F85" s="86" t="s">
        <v>4738</v>
      </c>
      <c r="G85" s="35"/>
    </row>
    <row r="86">
      <c r="A86" s="39" t="s">
        <v>68</v>
      </c>
      <c r="B86" s="38" t="s">
        <v>3999</v>
      </c>
      <c r="C86" s="35" t="s">
        <v>4739</v>
      </c>
      <c r="D86" s="46">
        <v>246.0</v>
      </c>
      <c r="E86" s="46">
        <v>64.0</v>
      </c>
      <c r="F86" s="35"/>
      <c r="G86" s="35"/>
    </row>
    <row r="87">
      <c r="A87" s="38" t="s">
        <v>4740</v>
      </c>
      <c r="B87" s="77" t="s">
        <v>4741</v>
      </c>
      <c r="C87" s="35" t="s">
        <v>4742</v>
      </c>
      <c r="D87" s="46">
        <v>248.0</v>
      </c>
      <c r="E87" s="46">
        <v>1.0</v>
      </c>
      <c r="F87" s="86" t="s">
        <v>4743</v>
      </c>
      <c r="G87" s="35"/>
    </row>
    <row r="88">
      <c r="A88" s="38" t="s">
        <v>4740</v>
      </c>
      <c r="B88" s="77" t="s">
        <v>4744</v>
      </c>
      <c r="C88" s="35" t="s">
        <v>4745</v>
      </c>
      <c r="D88" s="46">
        <v>248.0</v>
      </c>
      <c r="E88" s="46">
        <v>2.0</v>
      </c>
      <c r="F88" s="38" t="s">
        <v>4746</v>
      </c>
      <c r="G88" s="35"/>
    </row>
    <row r="89">
      <c r="A89" s="38" t="s">
        <v>4740</v>
      </c>
      <c r="B89" s="77" t="s">
        <v>4744</v>
      </c>
      <c r="C89" s="35" t="s">
        <v>4747</v>
      </c>
      <c r="D89" s="46">
        <v>248.0</v>
      </c>
      <c r="E89" s="46">
        <v>3.0</v>
      </c>
      <c r="F89" s="38" t="s">
        <v>4748</v>
      </c>
      <c r="G89" s="35"/>
    </row>
    <row r="90">
      <c r="A90" s="38" t="s">
        <v>4740</v>
      </c>
      <c r="B90" s="88" t="s">
        <v>4749</v>
      </c>
      <c r="C90" s="4" t="s">
        <v>4750</v>
      </c>
      <c r="D90" s="46">
        <v>248.0</v>
      </c>
      <c r="E90" s="46">
        <v>4.0</v>
      </c>
      <c r="F90" s="86" t="s">
        <v>4751</v>
      </c>
      <c r="G90" s="35"/>
    </row>
    <row r="91">
      <c r="A91" s="38" t="s">
        <v>4740</v>
      </c>
      <c r="B91" s="88" t="s">
        <v>4749</v>
      </c>
      <c r="C91" s="4" t="s">
        <v>4752</v>
      </c>
      <c r="D91" s="46">
        <v>248.0</v>
      </c>
      <c r="E91" s="46">
        <v>5.0</v>
      </c>
      <c r="F91" s="86" t="s">
        <v>4753</v>
      </c>
      <c r="G91" s="35"/>
    </row>
    <row r="92">
      <c r="A92" s="38" t="s">
        <v>4740</v>
      </c>
      <c r="B92" s="88" t="s">
        <v>4754</v>
      </c>
      <c r="C92" s="76" t="s">
        <v>4755</v>
      </c>
      <c r="D92" s="46">
        <v>248.0</v>
      </c>
      <c r="E92" s="46">
        <v>6.0</v>
      </c>
      <c r="F92" s="38" t="s">
        <v>4756</v>
      </c>
      <c r="G92" s="35"/>
    </row>
    <row r="93">
      <c r="A93" s="38" t="s">
        <v>4740</v>
      </c>
      <c r="B93" s="88" t="s">
        <v>4754</v>
      </c>
      <c r="C93" s="76" t="s">
        <v>4757</v>
      </c>
      <c r="D93" s="46">
        <v>248.0</v>
      </c>
      <c r="E93" s="46">
        <v>7.0</v>
      </c>
      <c r="F93" s="38" t="s">
        <v>4758</v>
      </c>
      <c r="G93" s="35"/>
    </row>
    <row r="94">
      <c r="A94" s="38" t="s">
        <v>4740</v>
      </c>
      <c r="B94" s="77" t="s">
        <v>4759</v>
      </c>
      <c r="C94" s="4" t="s">
        <v>4760</v>
      </c>
      <c r="D94" s="46">
        <v>248.0</v>
      </c>
      <c r="E94" s="46">
        <v>8.0</v>
      </c>
      <c r="F94" s="86" t="s">
        <v>4761</v>
      </c>
      <c r="G94" s="35"/>
    </row>
    <row r="95">
      <c r="A95" s="38" t="s">
        <v>4740</v>
      </c>
      <c r="B95" s="77" t="s">
        <v>4759</v>
      </c>
      <c r="C95" s="4" t="s">
        <v>4762</v>
      </c>
      <c r="D95" s="46">
        <v>248.0</v>
      </c>
      <c r="E95" s="46">
        <v>9.0</v>
      </c>
      <c r="F95" s="86" t="s">
        <v>4763</v>
      </c>
      <c r="G95" s="35"/>
    </row>
    <row r="96">
      <c r="A96" s="38" t="s">
        <v>4740</v>
      </c>
      <c r="B96" s="77" t="s">
        <v>3872</v>
      </c>
      <c r="C96" s="76" t="s">
        <v>4764</v>
      </c>
      <c r="D96" s="46">
        <v>248.0</v>
      </c>
      <c r="E96" s="46">
        <v>10.0</v>
      </c>
      <c r="F96" s="38" t="s">
        <v>4765</v>
      </c>
      <c r="G96" s="35"/>
    </row>
    <row r="97">
      <c r="A97" s="38" t="s">
        <v>4740</v>
      </c>
      <c r="B97" s="88" t="s">
        <v>3872</v>
      </c>
      <c r="C97" s="76" t="s">
        <v>4766</v>
      </c>
      <c r="D97" s="46">
        <v>248.0</v>
      </c>
      <c r="E97" s="46">
        <v>11.0</v>
      </c>
      <c r="F97" s="38" t="s">
        <v>4767</v>
      </c>
      <c r="G97" s="35"/>
    </row>
    <row r="98">
      <c r="A98" s="38" t="s">
        <v>4740</v>
      </c>
      <c r="B98" s="88" t="s">
        <v>4768</v>
      </c>
      <c r="C98" s="76" t="s">
        <v>4769</v>
      </c>
      <c r="D98" s="46">
        <v>248.0</v>
      </c>
      <c r="E98" s="46">
        <v>12.0</v>
      </c>
      <c r="F98" s="86" t="s">
        <v>4770</v>
      </c>
      <c r="G98" s="35"/>
    </row>
    <row r="99">
      <c r="A99" s="38" t="s">
        <v>4740</v>
      </c>
      <c r="B99" s="88" t="s">
        <v>4768</v>
      </c>
      <c r="C99" s="76" t="s">
        <v>4771</v>
      </c>
      <c r="D99" s="46">
        <v>248.0</v>
      </c>
      <c r="E99" s="46">
        <v>13.0</v>
      </c>
      <c r="F99" s="86" t="s">
        <v>4772</v>
      </c>
      <c r="G99" s="35"/>
    </row>
    <row r="100">
      <c r="A100" s="38" t="s">
        <v>4740</v>
      </c>
      <c r="B100" s="88" t="s">
        <v>4773</v>
      </c>
      <c r="C100" s="76" t="s">
        <v>4774</v>
      </c>
      <c r="D100" s="46">
        <v>248.0</v>
      </c>
      <c r="E100" s="46">
        <v>14.0</v>
      </c>
      <c r="F100" s="38" t="s">
        <v>4775</v>
      </c>
      <c r="G100" s="35"/>
    </row>
    <row r="101">
      <c r="A101" s="38" t="s">
        <v>4740</v>
      </c>
      <c r="B101" s="88" t="s">
        <v>4773</v>
      </c>
      <c r="C101" s="76" t="s">
        <v>4776</v>
      </c>
      <c r="D101" s="46">
        <v>248.0</v>
      </c>
      <c r="E101" s="46">
        <v>15.0</v>
      </c>
      <c r="F101" s="38" t="s">
        <v>4777</v>
      </c>
      <c r="G101" s="35"/>
    </row>
    <row r="102">
      <c r="A102" s="38" t="s">
        <v>4740</v>
      </c>
      <c r="B102" s="88" t="s">
        <v>3953</v>
      </c>
      <c r="C102" s="4" t="s">
        <v>4778</v>
      </c>
      <c r="D102" s="46">
        <v>248.0</v>
      </c>
      <c r="E102" s="46">
        <v>16.0</v>
      </c>
      <c r="F102" s="38" t="s">
        <v>4779</v>
      </c>
      <c r="G102" s="35"/>
    </row>
    <row r="103">
      <c r="A103" s="38" t="s">
        <v>4740</v>
      </c>
      <c r="B103" s="88" t="s">
        <v>3953</v>
      </c>
      <c r="C103" s="4" t="s">
        <v>4780</v>
      </c>
      <c r="D103" s="46">
        <v>248.0</v>
      </c>
      <c r="E103" s="46">
        <v>17.0</v>
      </c>
      <c r="F103" s="38" t="s">
        <v>4781</v>
      </c>
      <c r="G103" s="35"/>
    </row>
    <row r="104">
      <c r="A104" s="38" t="s">
        <v>4740</v>
      </c>
      <c r="B104" s="77" t="s">
        <v>4782</v>
      </c>
      <c r="C104" s="4" t="s">
        <v>4783</v>
      </c>
      <c r="D104" s="46">
        <v>248.0</v>
      </c>
      <c r="E104" s="46">
        <v>18.0</v>
      </c>
      <c r="F104" s="86" t="s">
        <v>4784</v>
      </c>
      <c r="G104" s="35"/>
    </row>
    <row r="105">
      <c r="A105" s="38" t="s">
        <v>4740</v>
      </c>
      <c r="B105" s="77" t="s">
        <v>4782</v>
      </c>
      <c r="C105" s="4" t="s">
        <v>4785</v>
      </c>
      <c r="D105" s="46">
        <v>248.0</v>
      </c>
      <c r="E105" s="46">
        <v>19.0</v>
      </c>
      <c r="F105" s="86" t="s">
        <v>4786</v>
      </c>
      <c r="G105" s="35"/>
    </row>
    <row r="106">
      <c r="A106" s="38" t="s">
        <v>4740</v>
      </c>
      <c r="B106" s="77" t="s">
        <v>4787</v>
      </c>
      <c r="C106" s="35" t="s">
        <v>4788</v>
      </c>
      <c r="D106" s="46">
        <v>248.0</v>
      </c>
      <c r="E106" s="46">
        <v>20.0</v>
      </c>
      <c r="F106" s="86" t="s">
        <v>4789</v>
      </c>
      <c r="G106" s="35"/>
    </row>
    <row r="107">
      <c r="A107" s="38" t="s">
        <v>4740</v>
      </c>
      <c r="B107" s="77" t="s">
        <v>4787</v>
      </c>
      <c r="C107" s="35" t="s">
        <v>4790</v>
      </c>
      <c r="D107" s="46">
        <v>248.0</v>
      </c>
      <c r="E107" s="46">
        <v>21.0</v>
      </c>
      <c r="F107" s="86" t="s">
        <v>4791</v>
      </c>
      <c r="G107" s="35"/>
    </row>
    <row r="108">
      <c r="A108" s="38" t="s">
        <v>4740</v>
      </c>
      <c r="B108" s="77" t="s">
        <v>4741</v>
      </c>
      <c r="C108" s="35" t="s">
        <v>4792</v>
      </c>
      <c r="D108" s="46">
        <v>248.0</v>
      </c>
      <c r="E108" s="46">
        <v>27.0</v>
      </c>
      <c r="F108" s="86" t="s">
        <v>4793</v>
      </c>
      <c r="G108" s="35"/>
    </row>
    <row r="109">
      <c r="A109" s="38" t="s">
        <v>148</v>
      </c>
      <c r="B109" s="38" t="s">
        <v>200</v>
      </c>
      <c r="C109" s="4" t="s">
        <v>4794</v>
      </c>
      <c r="D109" s="46">
        <v>312.0</v>
      </c>
      <c r="E109" s="46">
        <v>6.0</v>
      </c>
      <c r="F109" s="39" t="s">
        <v>4795</v>
      </c>
      <c r="G109" s="38" t="s">
        <v>4796</v>
      </c>
    </row>
    <row r="110">
      <c r="A110" s="38" t="s">
        <v>148</v>
      </c>
      <c r="B110" s="38" t="s">
        <v>202</v>
      </c>
      <c r="C110" s="76" t="s">
        <v>4797</v>
      </c>
      <c r="D110" s="46">
        <v>312.0</v>
      </c>
      <c r="E110" s="46">
        <v>8.0</v>
      </c>
      <c r="F110" s="39" t="s">
        <v>4798</v>
      </c>
      <c r="G110" s="38" t="s">
        <v>4799</v>
      </c>
    </row>
    <row r="111">
      <c r="A111" s="38" t="s">
        <v>148</v>
      </c>
      <c r="B111" s="38" t="s">
        <v>4800</v>
      </c>
      <c r="C111" s="76" t="s">
        <v>4801</v>
      </c>
      <c r="D111" s="46">
        <v>312.0</v>
      </c>
      <c r="E111" s="46">
        <v>10.0</v>
      </c>
      <c r="F111" s="38" t="s">
        <v>4802</v>
      </c>
      <c r="G111" s="35"/>
    </row>
    <row r="112">
      <c r="A112" s="38" t="s">
        <v>232</v>
      </c>
      <c r="B112" s="38" t="s">
        <v>4803</v>
      </c>
      <c r="C112" s="76" t="s">
        <v>4804</v>
      </c>
      <c r="D112" s="46">
        <v>306.0</v>
      </c>
      <c r="E112" s="46">
        <v>7.0</v>
      </c>
      <c r="F112" s="39" t="s">
        <v>4805</v>
      </c>
      <c r="G112" s="38" t="s">
        <v>4806</v>
      </c>
    </row>
    <row r="113">
      <c r="A113" s="38" t="s">
        <v>232</v>
      </c>
      <c r="B113" s="38" t="s">
        <v>283</v>
      </c>
      <c r="C113" s="4" t="s">
        <v>4807</v>
      </c>
      <c r="D113" s="46">
        <v>306.0</v>
      </c>
      <c r="E113" s="46">
        <v>8.0</v>
      </c>
      <c r="F113" s="39" t="s">
        <v>4808</v>
      </c>
      <c r="G113" s="38" t="s">
        <v>4809</v>
      </c>
    </row>
    <row r="114">
      <c r="A114" s="38" t="s">
        <v>232</v>
      </c>
      <c r="B114" s="39" t="s">
        <v>4810</v>
      </c>
      <c r="C114" s="4" t="s">
        <v>4811</v>
      </c>
      <c r="D114" s="46">
        <v>306.0</v>
      </c>
      <c r="E114" s="46">
        <v>10.0</v>
      </c>
      <c r="F114" s="39" t="s">
        <v>4812</v>
      </c>
      <c r="G114" s="35"/>
    </row>
    <row r="115">
      <c r="A115" s="38" t="s">
        <v>307</v>
      </c>
      <c r="B115" s="38" t="s">
        <v>343</v>
      </c>
      <c r="C115" s="4" t="s">
        <v>4813</v>
      </c>
      <c r="D115" s="46">
        <v>279.0</v>
      </c>
      <c r="E115" s="46">
        <v>1.0</v>
      </c>
      <c r="F115" s="39" t="s">
        <v>4814</v>
      </c>
      <c r="G115" s="38" t="s">
        <v>4815</v>
      </c>
      <c r="H115" s="39" t="s">
        <v>4816</v>
      </c>
    </row>
    <row r="116">
      <c r="A116" s="38" t="s">
        <v>307</v>
      </c>
      <c r="B116" s="38" t="s">
        <v>4817</v>
      </c>
      <c r="C116" s="76" t="s">
        <v>4818</v>
      </c>
      <c r="D116" s="46">
        <v>279.0</v>
      </c>
      <c r="E116" s="46">
        <v>2.0</v>
      </c>
      <c r="F116" s="38" t="s">
        <v>4819</v>
      </c>
      <c r="G116" s="35"/>
    </row>
    <row r="117">
      <c r="A117" s="38" t="s">
        <v>307</v>
      </c>
      <c r="B117" s="38" t="s">
        <v>4820</v>
      </c>
      <c r="C117" s="4" t="s">
        <v>4821</v>
      </c>
      <c r="D117" s="46">
        <v>279.0</v>
      </c>
      <c r="E117" s="46">
        <v>8.0</v>
      </c>
      <c r="F117" s="39" t="s">
        <v>4814</v>
      </c>
      <c r="G117" s="38" t="s">
        <v>4822</v>
      </c>
      <c r="H117" s="39" t="s">
        <v>4816</v>
      </c>
    </row>
    <row r="118">
      <c r="A118" s="38" t="s">
        <v>454</v>
      </c>
      <c r="B118" s="38" t="s">
        <v>500</v>
      </c>
      <c r="C118" s="76" t="s">
        <v>4823</v>
      </c>
      <c r="D118" s="46">
        <v>293.0</v>
      </c>
      <c r="E118" s="46">
        <v>1.0</v>
      </c>
      <c r="F118" s="39" t="s">
        <v>4824</v>
      </c>
      <c r="G118" s="38" t="s">
        <v>4825</v>
      </c>
      <c r="H118" s="39" t="s">
        <v>4816</v>
      </c>
    </row>
    <row r="119">
      <c r="A119" s="38" t="s">
        <v>454</v>
      </c>
      <c r="B119" s="38" t="s">
        <v>502</v>
      </c>
      <c r="C119" s="76" t="s">
        <v>4826</v>
      </c>
      <c r="D119" s="46">
        <v>293.0</v>
      </c>
      <c r="E119" s="46">
        <v>2.0</v>
      </c>
      <c r="F119" s="39" t="s">
        <v>4827</v>
      </c>
      <c r="G119" s="38" t="s">
        <v>4828</v>
      </c>
    </row>
    <row r="120">
      <c r="A120" s="38" t="s">
        <v>454</v>
      </c>
      <c r="B120" s="38" t="s">
        <v>4829</v>
      </c>
      <c r="C120" s="76" t="s">
        <v>4830</v>
      </c>
      <c r="D120" s="46">
        <v>293.0</v>
      </c>
      <c r="E120" s="46">
        <v>4.0</v>
      </c>
      <c r="F120" s="38" t="s">
        <v>4831</v>
      </c>
      <c r="G120" s="35"/>
    </row>
    <row r="121">
      <c r="A121" s="38" t="s">
        <v>513</v>
      </c>
      <c r="B121" s="38" t="s">
        <v>4832</v>
      </c>
      <c r="C121" s="76" t="s">
        <v>4833</v>
      </c>
      <c r="D121" s="46">
        <v>300.0</v>
      </c>
      <c r="E121" s="46">
        <v>6.0</v>
      </c>
      <c r="F121" s="39" t="s">
        <v>4834</v>
      </c>
      <c r="G121" s="38" t="s">
        <v>4835</v>
      </c>
    </row>
    <row r="122">
      <c r="A122" s="38" t="s">
        <v>513</v>
      </c>
      <c r="B122" s="38" t="s">
        <v>554</v>
      </c>
      <c r="C122" s="4" t="s">
        <v>4836</v>
      </c>
      <c r="D122" s="46">
        <v>300.0</v>
      </c>
      <c r="E122" s="46">
        <v>8.0</v>
      </c>
      <c r="F122" s="39" t="s">
        <v>4837</v>
      </c>
      <c r="G122" s="38" t="s">
        <v>4838</v>
      </c>
    </row>
    <row r="123">
      <c r="A123" s="38" t="s">
        <v>513</v>
      </c>
      <c r="B123" s="38" t="s">
        <v>4839</v>
      </c>
      <c r="C123" s="76" t="s">
        <v>4840</v>
      </c>
      <c r="D123" s="46">
        <v>300.0</v>
      </c>
      <c r="E123" s="46">
        <v>10.0</v>
      </c>
      <c r="F123" s="38" t="s">
        <v>4841</v>
      </c>
      <c r="G123" s="38"/>
    </row>
    <row r="124">
      <c r="A124" s="38" t="s">
        <v>513</v>
      </c>
      <c r="B124" s="38" t="s">
        <v>549</v>
      </c>
      <c r="C124" s="4" t="s">
        <v>4842</v>
      </c>
      <c r="D124" s="46">
        <v>300.0</v>
      </c>
      <c r="E124" s="46">
        <v>11.0</v>
      </c>
      <c r="F124" s="39" t="s">
        <v>4843</v>
      </c>
      <c r="G124" s="38" t="s">
        <v>4844</v>
      </c>
    </row>
    <row r="125">
      <c r="A125" s="38" t="s">
        <v>586</v>
      </c>
      <c r="B125" s="38" t="s">
        <v>635</v>
      </c>
      <c r="C125" s="4" t="s">
        <v>4845</v>
      </c>
      <c r="D125" s="46">
        <v>287.0</v>
      </c>
      <c r="E125" s="46">
        <v>6.0</v>
      </c>
      <c r="F125" s="39" t="s">
        <v>4846</v>
      </c>
      <c r="G125" s="38" t="s">
        <v>4847</v>
      </c>
    </row>
    <row r="126">
      <c r="A126" s="38" t="s">
        <v>586</v>
      </c>
      <c r="B126" s="38" t="s">
        <v>4848</v>
      </c>
      <c r="C126" s="76" t="s">
        <v>4849</v>
      </c>
      <c r="D126" s="46">
        <v>287.0</v>
      </c>
      <c r="E126" s="46">
        <v>9.0</v>
      </c>
      <c r="F126" s="39" t="s">
        <v>4850</v>
      </c>
      <c r="G126" s="38" t="s">
        <v>4851</v>
      </c>
    </row>
    <row r="127">
      <c r="A127" s="38" t="s">
        <v>586</v>
      </c>
      <c r="B127" s="39" t="s">
        <v>4852</v>
      </c>
      <c r="C127" s="4" t="s">
        <v>4853</v>
      </c>
      <c r="D127" s="46">
        <v>287.0</v>
      </c>
      <c r="E127" s="46">
        <v>10.0</v>
      </c>
      <c r="F127" s="39" t="s">
        <v>4854</v>
      </c>
      <c r="G127" s="35"/>
    </row>
    <row r="128">
      <c r="A128" s="38" t="s">
        <v>648</v>
      </c>
      <c r="B128" s="38" t="s">
        <v>707</v>
      </c>
      <c r="C128" s="4" t="s">
        <v>4855</v>
      </c>
      <c r="D128" s="46">
        <v>321.0</v>
      </c>
      <c r="E128" s="46">
        <v>6.0</v>
      </c>
      <c r="F128" s="39" t="s">
        <v>4856</v>
      </c>
      <c r="G128" s="38" t="s">
        <v>4857</v>
      </c>
      <c r="H128" s="39" t="s">
        <v>4816</v>
      </c>
    </row>
    <row r="129">
      <c r="A129" s="38" t="s">
        <v>648</v>
      </c>
      <c r="B129" s="38" t="s">
        <v>705</v>
      </c>
      <c r="C129" s="76" t="s">
        <v>4858</v>
      </c>
      <c r="D129" s="46">
        <v>321.0</v>
      </c>
      <c r="E129" s="46">
        <v>9.0</v>
      </c>
      <c r="F129" s="39" t="s">
        <v>4859</v>
      </c>
      <c r="G129" s="38" t="s">
        <v>4860</v>
      </c>
    </row>
    <row r="130">
      <c r="A130" s="38" t="s">
        <v>648</v>
      </c>
      <c r="B130" s="38" t="s">
        <v>4861</v>
      </c>
      <c r="C130" s="4" t="s">
        <v>4862</v>
      </c>
      <c r="D130" s="46">
        <v>321.0</v>
      </c>
      <c r="E130" s="46">
        <v>10.0</v>
      </c>
      <c r="F130" s="38" t="s">
        <v>4863</v>
      </c>
      <c r="G130" s="35"/>
    </row>
    <row r="131">
      <c r="A131" s="39" t="s">
        <v>716</v>
      </c>
      <c r="B131" s="39" t="s">
        <v>763</v>
      </c>
      <c r="C131" s="4" t="s">
        <v>4864</v>
      </c>
      <c r="D131" s="47">
        <v>283.0</v>
      </c>
      <c r="E131" s="47">
        <v>6.0</v>
      </c>
      <c r="F131" s="39" t="s">
        <v>4865</v>
      </c>
      <c r="G131" s="39" t="s">
        <v>4866</v>
      </c>
    </row>
    <row r="132">
      <c r="A132" s="39" t="s">
        <v>716</v>
      </c>
      <c r="B132" s="39" t="s">
        <v>761</v>
      </c>
      <c r="C132" s="4" t="s">
        <v>4867</v>
      </c>
      <c r="D132" s="47">
        <v>283.0</v>
      </c>
      <c r="E132" s="47">
        <v>8.0</v>
      </c>
      <c r="F132" s="39" t="s">
        <v>4865</v>
      </c>
      <c r="G132" s="39" t="s">
        <v>4868</v>
      </c>
    </row>
    <row r="133">
      <c r="A133" s="39" t="s">
        <v>716</v>
      </c>
      <c r="B133" s="39" t="s">
        <v>4869</v>
      </c>
      <c r="C133" s="39" t="s">
        <v>4870</v>
      </c>
      <c r="D133" s="47">
        <v>283.0</v>
      </c>
      <c r="E133" s="47">
        <v>10.0</v>
      </c>
      <c r="F133" s="39" t="s">
        <v>4871</v>
      </c>
    </row>
    <row r="134">
      <c r="A134" s="59" t="s">
        <v>716</v>
      </c>
      <c r="B134" s="59" t="s">
        <v>765</v>
      </c>
      <c r="C134" s="59" t="s">
        <v>4872</v>
      </c>
      <c r="D134" s="89">
        <v>283.0</v>
      </c>
      <c r="E134" s="89">
        <v>11.0</v>
      </c>
      <c r="F134" s="59" t="s">
        <v>4873</v>
      </c>
      <c r="G134" s="59" t="s">
        <v>4874</v>
      </c>
      <c r="H134" s="8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3.25"/>
    <col customWidth="1" min="3" max="3" width="42.63"/>
    <col customWidth="1" min="6" max="6" width="107.25"/>
  </cols>
  <sheetData>
    <row r="1">
      <c r="A1" s="43" t="s">
        <v>78</v>
      </c>
      <c r="B1" s="43" t="s">
        <v>54</v>
      </c>
      <c r="C1" s="43" t="s">
        <v>3579</v>
      </c>
      <c r="D1" s="44" t="s">
        <v>3425</v>
      </c>
      <c r="E1" s="44" t="s">
        <v>788</v>
      </c>
      <c r="F1" s="43" t="s">
        <v>792</v>
      </c>
      <c r="G1" s="43" t="s">
        <v>793</v>
      </c>
    </row>
    <row r="2">
      <c r="A2" s="39" t="s">
        <v>135</v>
      </c>
      <c r="B2" s="57" t="s">
        <v>4875</v>
      </c>
      <c r="C2" s="4" t="s">
        <v>4876</v>
      </c>
      <c r="D2" s="46">
        <v>284.0</v>
      </c>
      <c r="E2" s="46">
        <v>1.0</v>
      </c>
      <c r="F2" s="38" t="s">
        <v>4877</v>
      </c>
      <c r="G2" s="35"/>
    </row>
    <row r="3">
      <c r="A3" s="39" t="s">
        <v>135</v>
      </c>
      <c r="B3" s="35" t="s">
        <v>4878</v>
      </c>
      <c r="C3" s="76" t="s">
        <v>4879</v>
      </c>
      <c r="D3" s="46">
        <v>284.0</v>
      </c>
      <c r="E3" s="46">
        <v>2.0</v>
      </c>
      <c r="F3" s="38" t="s">
        <v>4880</v>
      </c>
      <c r="G3" s="35"/>
    </row>
    <row r="4">
      <c r="A4" s="39" t="s">
        <v>135</v>
      </c>
      <c r="B4" s="57" t="s">
        <v>4881</v>
      </c>
      <c r="C4" s="4" t="s">
        <v>4882</v>
      </c>
      <c r="D4" s="46">
        <v>284.0</v>
      </c>
      <c r="E4" s="46">
        <v>3.0</v>
      </c>
      <c r="F4" s="38" t="s">
        <v>4883</v>
      </c>
      <c r="G4" s="35"/>
    </row>
    <row r="5">
      <c r="A5" s="39" t="s">
        <v>135</v>
      </c>
      <c r="B5" s="57" t="s">
        <v>4884</v>
      </c>
      <c r="C5" s="4" t="s">
        <v>4885</v>
      </c>
      <c r="D5" s="46">
        <v>284.0</v>
      </c>
      <c r="E5" s="46">
        <v>9.0</v>
      </c>
      <c r="F5" s="38" t="s">
        <v>4886</v>
      </c>
      <c r="G5" s="35"/>
    </row>
    <row r="6">
      <c r="A6" s="39" t="s">
        <v>513</v>
      </c>
      <c r="B6" s="57" t="s">
        <v>4835</v>
      </c>
      <c r="C6" s="4" t="s">
        <v>4887</v>
      </c>
      <c r="D6" s="46">
        <v>296.0</v>
      </c>
      <c r="E6" s="46">
        <v>1.0</v>
      </c>
      <c r="F6" s="39" t="s">
        <v>4888</v>
      </c>
      <c r="G6" s="35"/>
    </row>
    <row r="7">
      <c r="A7" s="39" t="s">
        <v>513</v>
      </c>
      <c r="B7" s="35" t="s">
        <v>4889</v>
      </c>
      <c r="C7" s="76" t="s">
        <v>4890</v>
      </c>
      <c r="D7" s="46">
        <v>296.0</v>
      </c>
      <c r="E7" s="46">
        <v>2.0</v>
      </c>
      <c r="F7" s="39" t="s">
        <v>4891</v>
      </c>
      <c r="G7" s="35"/>
    </row>
    <row r="8">
      <c r="A8" s="39" t="s">
        <v>513</v>
      </c>
      <c r="B8" s="57" t="s">
        <v>4892</v>
      </c>
      <c r="C8" s="4" t="s">
        <v>4893</v>
      </c>
      <c r="D8" s="46">
        <v>296.0</v>
      </c>
      <c r="E8" s="46">
        <v>3.0</v>
      </c>
      <c r="F8" s="39" t="s">
        <v>4894</v>
      </c>
      <c r="G8" s="35"/>
    </row>
    <row r="9">
      <c r="A9" s="39" t="s">
        <v>513</v>
      </c>
      <c r="B9" s="35" t="s">
        <v>4895</v>
      </c>
      <c r="C9" s="76" t="s">
        <v>4896</v>
      </c>
      <c r="D9" s="46">
        <v>296.0</v>
      </c>
      <c r="E9" s="46">
        <v>9.0</v>
      </c>
      <c r="F9" s="39" t="s">
        <v>4897</v>
      </c>
      <c r="G9" s="35"/>
    </row>
    <row r="10">
      <c r="A10" s="39" t="s">
        <v>4898</v>
      </c>
      <c r="B10" s="57" t="s">
        <v>4899</v>
      </c>
      <c r="C10" s="4" t="s">
        <v>4900</v>
      </c>
      <c r="D10" s="46">
        <v>286.0</v>
      </c>
      <c r="E10" s="46">
        <v>1.0</v>
      </c>
      <c r="F10" s="38" t="s">
        <v>4901</v>
      </c>
      <c r="G10" s="35"/>
    </row>
    <row r="11">
      <c r="A11" s="39" t="s">
        <v>4898</v>
      </c>
      <c r="B11" s="57" t="s">
        <v>4902</v>
      </c>
      <c r="C11" s="4" t="s">
        <v>4903</v>
      </c>
      <c r="D11" s="46">
        <v>286.0</v>
      </c>
      <c r="E11" s="46">
        <v>2.0</v>
      </c>
      <c r="F11" s="38" t="s">
        <v>4904</v>
      </c>
      <c r="G11" s="35"/>
    </row>
    <row r="12">
      <c r="A12" s="39" t="s">
        <v>4898</v>
      </c>
      <c r="B12" s="35" t="s">
        <v>4905</v>
      </c>
      <c r="C12" s="76" t="s">
        <v>4906</v>
      </c>
      <c r="D12" s="46">
        <v>286.0</v>
      </c>
      <c r="E12" s="46">
        <v>3.0</v>
      </c>
      <c r="F12" s="38" t="s">
        <v>4907</v>
      </c>
      <c r="G12" s="35"/>
    </row>
    <row r="13">
      <c r="A13" s="39" t="s">
        <v>4898</v>
      </c>
      <c r="B13" s="35" t="s">
        <v>4908</v>
      </c>
      <c r="C13" s="76" t="s">
        <v>4909</v>
      </c>
      <c r="D13" s="46">
        <v>286.0</v>
      </c>
      <c r="E13" s="46">
        <v>9.0</v>
      </c>
      <c r="F13" s="38" t="s">
        <v>4910</v>
      </c>
      <c r="G13" s="35"/>
    </row>
    <row r="14">
      <c r="A14" s="39" t="s">
        <v>148</v>
      </c>
      <c r="B14" s="35" t="s">
        <v>3923</v>
      </c>
      <c r="C14" s="76" t="s">
        <v>4911</v>
      </c>
      <c r="D14" s="46">
        <v>299.0</v>
      </c>
      <c r="E14" s="46">
        <v>1.0</v>
      </c>
      <c r="F14" s="38" t="s">
        <v>4912</v>
      </c>
      <c r="G14" s="35"/>
    </row>
    <row r="15">
      <c r="A15" s="39" t="s">
        <v>148</v>
      </c>
      <c r="B15" s="35" t="s">
        <v>4913</v>
      </c>
      <c r="C15" s="76" t="s">
        <v>4914</v>
      </c>
      <c r="D15" s="46">
        <v>299.0</v>
      </c>
      <c r="E15" s="46">
        <v>2.0</v>
      </c>
      <c r="F15" s="38" t="s">
        <v>4915</v>
      </c>
      <c r="G15" s="35"/>
    </row>
    <row r="16">
      <c r="A16" s="39" t="s">
        <v>148</v>
      </c>
      <c r="B16" s="57" t="s">
        <v>4916</v>
      </c>
      <c r="C16" s="4" t="s">
        <v>4917</v>
      </c>
      <c r="D16" s="46">
        <v>299.0</v>
      </c>
      <c r="E16" s="46">
        <v>3.0</v>
      </c>
      <c r="F16" s="38" t="s">
        <v>4918</v>
      </c>
      <c r="G16" s="35"/>
    </row>
    <row r="17">
      <c r="A17" s="39" t="s">
        <v>148</v>
      </c>
      <c r="B17" s="57" t="s">
        <v>4919</v>
      </c>
      <c r="C17" s="4" t="s">
        <v>4920</v>
      </c>
      <c r="D17" s="46">
        <v>299.0</v>
      </c>
      <c r="E17" s="46">
        <v>9.0</v>
      </c>
      <c r="F17" s="38" t="s">
        <v>4921</v>
      </c>
      <c r="G17" s="35"/>
    </row>
    <row r="18">
      <c r="A18" s="39" t="s">
        <v>226</v>
      </c>
      <c r="B18" s="35" t="s">
        <v>4922</v>
      </c>
      <c r="C18" s="76" t="s">
        <v>4923</v>
      </c>
      <c r="D18" s="46">
        <v>264.0</v>
      </c>
      <c r="E18" s="46">
        <v>1.0</v>
      </c>
      <c r="F18" s="38" t="s">
        <v>4924</v>
      </c>
      <c r="G18" s="35"/>
    </row>
    <row r="19">
      <c r="A19" s="39" t="s">
        <v>226</v>
      </c>
      <c r="B19" s="57" t="s">
        <v>4925</v>
      </c>
      <c r="C19" s="4" t="s">
        <v>4926</v>
      </c>
      <c r="D19" s="46">
        <v>264.0</v>
      </c>
      <c r="E19" s="46">
        <v>2.0</v>
      </c>
      <c r="F19" s="38" t="s">
        <v>4927</v>
      </c>
      <c r="G19" s="35"/>
    </row>
    <row r="20">
      <c r="A20" s="39" t="s">
        <v>226</v>
      </c>
      <c r="B20" s="35" t="s">
        <v>4928</v>
      </c>
      <c r="C20" s="76" t="s">
        <v>4929</v>
      </c>
      <c r="D20" s="46">
        <v>264.0</v>
      </c>
      <c r="E20" s="46">
        <v>3.0</v>
      </c>
      <c r="F20" s="38" t="s">
        <v>4930</v>
      </c>
      <c r="G20" s="35"/>
    </row>
    <row r="21">
      <c r="A21" s="39" t="s">
        <v>226</v>
      </c>
      <c r="B21" s="57" t="s">
        <v>4931</v>
      </c>
      <c r="C21" s="4" t="s">
        <v>4932</v>
      </c>
      <c r="D21" s="46">
        <v>264.0</v>
      </c>
      <c r="E21" s="46">
        <v>9.0</v>
      </c>
      <c r="F21" s="38" t="s">
        <v>4933</v>
      </c>
      <c r="G21" s="35"/>
    </row>
    <row r="22">
      <c r="A22" s="39" t="s">
        <v>232</v>
      </c>
      <c r="B22" s="35" t="s">
        <v>4934</v>
      </c>
      <c r="C22" s="76" t="s">
        <v>4935</v>
      </c>
      <c r="D22" s="46">
        <v>268.0</v>
      </c>
      <c r="E22" s="46">
        <v>1.0</v>
      </c>
      <c r="F22" s="38" t="s">
        <v>4936</v>
      </c>
      <c r="G22" s="35"/>
    </row>
    <row r="23">
      <c r="A23" s="39" t="s">
        <v>232</v>
      </c>
      <c r="B23" s="57" t="s">
        <v>4937</v>
      </c>
      <c r="C23" s="4" t="s">
        <v>4938</v>
      </c>
      <c r="D23" s="46">
        <v>268.0</v>
      </c>
      <c r="E23" s="46">
        <v>2.0</v>
      </c>
      <c r="F23" s="38" t="s">
        <v>4939</v>
      </c>
      <c r="G23" s="35"/>
    </row>
    <row r="24">
      <c r="A24" s="39" t="s">
        <v>232</v>
      </c>
      <c r="B24" s="57" t="s">
        <v>4940</v>
      </c>
      <c r="C24" s="4" t="s">
        <v>4941</v>
      </c>
      <c r="D24" s="46">
        <v>268.0</v>
      </c>
      <c r="E24" s="46">
        <v>3.0</v>
      </c>
      <c r="F24" s="38" t="s">
        <v>4942</v>
      </c>
      <c r="G24" s="35"/>
    </row>
    <row r="25">
      <c r="A25" s="39" t="s">
        <v>232</v>
      </c>
      <c r="B25" s="35" t="s">
        <v>4943</v>
      </c>
      <c r="C25" s="76" t="s">
        <v>4944</v>
      </c>
      <c r="D25" s="46">
        <v>268.0</v>
      </c>
      <c r="E25" s="46">
        <v>9.0</v>
      </c>
      <c r="F25" s="38" t="s">
        <v>4945</v>
      </c>
      <c r="G25" s="35"/>
    </row>
    <row r="26">
      <c r="A26" s="39" t="s">
        <v>307</v>
      </c>
      <c r="B26" s="35" t="s">
        <v>4946</v>
      </c>
      <c r="C26" s="76" t="s">
        <v>4947</v>
      </c>
      <c r="D26" s="46">
        <v>271.0</v>
      </c>
      <c r="E26" s="46">
        <v>1.0</v>
      </c>
      <c r="F26" s="38" t="s">
        <v>4948</v>
      </c>
      <c r="G26" s="35"/>
    </row>
    <row r="27">
      <c r="A27" s="39" t="s">
        <v>307</v>
      </c>
      <c r="B27" s="35" t="s">
        <v>4949</v>
      </c>
      <c r="C27" s="76" t="s">
        <v>4950</v>
      </c>
      <c r="D27" s="46">
        <v>271.0</v>
      </c>
      <c r="E27" s="46">
        <v>2.0</v>
      </c>
      <c r="F27" s="38" t="s">
        <v>4951</v>
      </c>
      <c r="G27" s="35"/>
    </row>
    <row r="28">
      <c r="A28" s="39" t="s">
        <v>307</v>
      </c>
      <c r="B28" s="57" t="s">
        <v>4952</v>
      </c>
      <c r="C28" s="4" t="s">
        <v>4953</v>
      </c>
      <c r="D28" s="46">
        <v>271.0</v>
      </c>
      <c r="E28" s="46">
        <v>3.0</v>
      </c>
      <c r="F28" s="38" t="s">
        <v>4954</v>
      </c>
      <c r="G28" s="35"/>
    </row>
    <row r="29">
      <c r="A29" s="39" t="s">
        <v>307</v>
      </c>
      <c r="B29" s="57" t="s">
        <v>4955</v>
      </c>
      <c r="C29" s="4" t="s">
        <v>4956</v>
      </c>
      <c r="D29" s="46">
        <v>271.0</v>
      </c>
      <c r="E29" s="46">
        <v>9.0</v>
      </c>
      <c r="F29" s="38" t="s">
        <v>4957</v>
      </c>
      <c r="G29" s="35"/>
    </row>
    <row r="30">
      <c r="A30" s="39" t="s">
        <v>454</v>
      </c>
      <c r="B30" s="35" t="s">
        <v>4958</v>
      </c>
      <c r="C30" s="76" t="s">
        <v>4959</v>
      </c>
      <c r="D30" s="46">
        <v>281.0</v>
      </c>
      <c r="E30" s="46">
        <v>1.0</v>
      </c>
      <c r="F30" s="38" t="s">
        <v>4960</v>
      </c>
      <c r="G30" s="35"/>
    </row>
    <row r="31">
      <c r="A31" s="39" t="s">
        <v>454</v>
      </c>
      <c r="B31" s="35" t="s">
        <v>4961</v>
      </c>
      <c r="C31" s="76" t="s">
        <v>4962</v>
      </c>
      <c r="D31" s="46">
        <v>281.0</v>
      </c>
      <c r="E31" s="46">
        <v>2.0</v>
      </c>
      <c r="F31" s="38" t="s">
        <v>4963</v>
      </c>
      <c r="G31" s="35"/>
    </row>
    <row r="32">
      <c r="A32" s="39" t="s">
        <v>454</v>
      </c>
      <c r="B32" s="35" t="s">
        <v>4964</v>
      </c>
      <c r="C32" s="76" t="s">
        <v>4965</v>
      </c>
      <c r="D32" s="46">
        <v>281.0</v>
      </c>
      <c r="E32" s="46">
        <v>3.0</v>
      </c>
      <c r="F32" s="38" t="s">
        <v>4966</v>
      </c>
      <c r="G32" s="35"/>
    </row>
    <row r="33">
      <c r="A33" s="39" t="s">
        <v>454</v>
      </c>
      <c r="B33" s="35" t="s">
        <v>4967</v>
      </c>
      <c r="C33" s="76" t="s">
        <v>4968</v>
      </c>
      <c r="D33" s="46">
        <v>281.0</v>
      </c>
      <c r="E33" s="46">
        <v>9.0</v>
      </c>
      <c r="F33" s="38" t="s">
        <v>4969</v>
      </c>
      <c r="G33" s="35"/>
    </row>
    <row r="34">
      <c r="A34" s="39" t="s">
        <v>586</v>
      </c>
      <c r="B34" s="39" t="s">
        <v>4970</v>
      </c>
      <c r="C34" s="76" t="s">
        <v>4971</v>
      </c>
      <c r="D34" s="46">
        <v>292.0</v>
      </c>
      <c r="E34" s="46">
        <v>1.0</v>
      </c>
      <c r="F34" s="38" t="s">
        <v>4972</v>
      </c>
      <c r="G34" s="35"/>
    </row>
    <row r="35">
      <c r="A35" s="39" t="s">
        <v>586</v>
      </c>
      <c r="B35" s="57" t="s">
        <v>4973</v>
      </c>
      <c r="C35" s="4" t="s">
        <v>4974</v>
      </c>
      <c r="D35" s="46">
        <v>292.0</v>
      </c>
      <c r="E35" s="46">
        <v>2.0</v>
      </c>
      <c r="F35" s="38" t="s">
        <v>4975</v>
      </c>
      <c r="G35" s="35"/>
    </row>
    <row r="36">
      <c r="A36" s="39" t="s">
        <v>586</v>
      </c>
      <c r="B36" s="57" t="s">
        <v>4976</v>
      </c>
      <c r="C36" s="4" t="s">
        <v>4977</v>
      </c>
      <c r="D36" s="46">
        <v>292.0</v>
      </c>
      <c r="E36" s="46">
        <v>3.0</v>
      </c>
      <c r="F36" s="38" t="s">
        <v>4978</v>
      </c>
      <c r="G36" s="35"/>
    </row>
    <row r="37">
      <c r="A37" s="38" t="s">
        <v>586</v>
      </c>
      <c r="B37" s="38" t="s">
        <v>4979</v>
      </c>
      <c r="C37" s="76" t="s">
        <v>4980</v>
      </c>
      <c r="D37" s="46">
        <v>292.0</v>
      </c>
      <c r="E37" s="46">
        <v>9.0</v>
      </c>
      <c r="F37" s="38" t="s">
        <v>4981</v>
      </c>
      <c r="G37" s="35"/>
    </row>
    <row r="38">
      <c r="A38" s="38" t="s">
        <v>648</v>
      </c>
      <c r="B38" s="35" t="s">
        <v>4982</v>
      </c>
      <c r="C38" s="35" t="s">
        <v>4983</v>
      </c>
      <c r="D38" s="46">
        <v>303.0</v>
      </c>
      <c r="E38" s="46">
        <v>1.0</v>
      </c>
      <c r="F38" s="38" t="s">
        <v>4984</v>
      </c>
      <c r="G38" s="35"/>
    </row>
    <row r="39">
      <c r="A39" s="38" t="s">
        <v>648</v>
      </c>
      <c r="B39" s="35" t="s">
        <v>4985</v>
      </c>
      <c r="C39" s="35" t="s">
        <v>4986</v>
      </c>
      <c r="D39" s="46">
        <v>303.0</v>
      </c>
      <c r="E39" s="46">
        <v>2.0</v>
      </c>
      <c r="F39" s="38" t="s">
        <v>4987</v>
      </c>
      <c r="G39" s="35"/>
    </row>
    <row r="40">
      <c r="A40" s="38" t="s">
        <v>648</v>
      </c>
      <c r="B40" s="38" t="s">
        <v>4988</v>
      </c>
      <c r="C40" s="35" t="s">
        <v>4989</v>
      </c>
      <c r="D40" s="46">
        <v>303.0</v>
      </c>
      <c r="E40" s="46">
        <v>3.0</v>
      </c>
      <c r="F40" s="38" t="s">
        <v>4990</v>
      </c>
      <c r="G40" s="35"/>
    </row>
    <row r="41">
      <c r="A41" s="38" t="s">
        <v>648</v>
      </c>
      <c r="B41" s="35" t="s">
        <v>3691</v>
      </c>
      <c r="C41" s="35" t="s">
        <v>4991</v>
      </c>
      <c r="D41" s="46">
        <v>303.0</v>
      </c>
      <c r="E41" s="46">
        <v>9.0</v>
      </c>
      <c r="F41" s="38" t="s">
        <v>4992</v>
      </c>
      <c r="G41" s="35"/>
    </row>
    <row r="42">
      <c r="A42" s="38" t="s">
        <v>716</v>
      </c>
      <c r="B42" s="35" t="s">
        <v>4993</v>
      </c>
      <c r="C42" s="35" t="s">
        <v>4994</v>
      </c>
      <c r="D42" s="46">
        <v>310.0</v>
      </c>
      <c r="E42" s="46">
        <v>1.0</v>
      </c>
      <c r="F42" s="38" t="s">
        <v>4995</v>
      </c>
      <c r="G42" s="35"/>
    </row>
    <row r="43">
      <c r="A43" s="38" t="s">
        <v>716</v>
      </c>
      <c r="B43" s="35" t="s">
        <v>4996</v>
      </c>
      <c r="C43" s="35" t="s">
        <v>4997</v>
      </c>
      <c r="D43" s="46">
        <v>310.0</v>
      </c>
      <c r="E43" s="46">
        <v>3.0</v>
      </c>
      <c r="F43" s="38" t="s">
        <v>4998</v>
      </c>
      <c r="G43" s="35"/>
    </row>
    <row r="44">
      <c r="A44" s="38" t="s">
        <v>716</v>
      </c>
      <c r="B44" s="35" t="s">
        <v>4999</v>
      </c>
      <c r="C44" s="35" t="s">
        <v>5000</v>
      </c>
      <c r="D44" s="46">
        <v>310.0</v>
      </c>
      <c r="E44" s="46">
        <v>2.0</v>
      </c>
      <c r="F44" s="38" t="s">
        <v>5001</v>
      </c>
      <c r="G44" s="35"/>
    </row>
    <row r="45">
      <c r="A45" s="38" t="s">
        <v>716</v>
      </c>
      <c r="B45" s="35" t="s">
        <v>5002</v>
      </c>
      <c r="C45" s="35" t="s">
        <v>5003</v>
      </c>
      <c r="D45" s="46">
        <v>310.0</v>
      </c>
      <c r="E45" s="46">
        <v>9.0</v>
      </c>
      <c r="F45" s="38" t="s">
        <v>5004</v>
      </c>
      <c r="G45" s="35"/>
    </row>
    <row r="46">
      <c r="A46" s="39" t="s">
        <v>68</v>
      </c>
      <c r="B46" s="39" t="s">
        <v>3791</v>
      </c>
      <c r="C46" s="35" t="s">
        <v>5005</v>
      </c>
      <c r="D46" s="47">
        <v>247.0</v>
      </c>
      <c r="E46" s="47">
        <v>1.0</v>
      </c>
    </row>
    <row r="47">
      <c r="A47" s="39" t="s">
        <v>68</v>
      </c>
      <c r="B47" s="39" t="s">
        <v>3793</v>
      </c>
      <c r="C47" s="35" t="s">
        <v>5006</v>
      </c>
      <c r="D47" s="47">
        <v>247.0</v>
      </c>
      <c r="E47" s="47">
        <v>2.0</v>
      </c>
    </row>
    <row r="48">
      <c r="A48" s="39" t="s">
        <v>68</v>
      </c>
      <c r="B48" s="39" t="s">
        <v>3795</v>
      </c>
      <c r="C48" s="35" t="s">
        <v>5007</v>
      </c>
      <c r="D48" s="47">
        <v>247.0</v>
      </c>
      <c r="E48" s="47">
        <v>3.0</v>
      </c>
    </row>
    <row r="49">
      <c r="A49" s="39" t="s">
        <v>68</v>
      </c>
      <c r="B49" s="39" t="s">
        <v>3797</v>
      </c>
      <c r="C49" s="35" t="s">
        <v>5008</v>
      </c>
      <c r="D49" s="47">
        <v>247.0</v>
      </c>
      <c r="E49" s="47">
        <v>4.0</v>
      </c>
    </row>
    <row r="50">
      <c r="A50" s="39" t="s">
        <v>68</v>
      </c>
      <c r="B50" s="39" t="s">
        <v>3799</v>
      </c>
      <c r="C50" s="35" t="s">
        <v>5009</v>
      </c>
      <c r="D50" s="47">
        <v>247.0</v>
      </c>
      <c r="E50" s="47">
        <v>5.0</v>
      </c>
    </row>
    <row r="51">
      <c r="A51" s="39" t="s">
        <v>68</v>
      </c>
      <c r="B51" s="39" t="s">
        <v>3801</v>
      </c>
      <c r="C51" s="35" t="s">
        <v>5010</v>
      </c>
      <c r="D51" s="47">
        <v>247.0</v>
      </c>
      <c r="E51" s="47">
        <v>6.0</v>
      </c>
    </row>
    <row r="52">
      <c r="A52" s="39" t="s">
        <v>68</v>
      </c>
      <c r="B52" s="39" t="s">
        <v>3803</v>
      </c>
      <c r="C52" s="35" t="s">
        <v>5011</v>
      </c>
      <c r="D52" s="47">
        <v>247.0</v>
      </c>
      <c r="E52" s="47">
        <v>7.0</v>
      </c>
    </row>
    <row r="53">
      <c r="A53" s="39" t="s">
        <v>68</v>
      </c>
      <c r="B53" s="39" t="s">
        <v>160</v>
      </c>
      <c r="C53" s="35" t="s">
        <v>5012</v>
      </c>
      <c r="D53" s="47">
        <v>247.0</v>
      </c>
      <c r="E53" s="47">
        <v>8.0</v>
      </c>
    </row>
    <row r="54">
      <c r="A54" s="39" t="s">
        <v>68</v>
      </c>
      <c r="B54" s="39" t="s">
        <v>3806</v>
      </c>
      <c r="C54" s="35" t="s">
        <v>5013</v>
      </c>
      <c r="D54" s="47">
        <v>247.0</v>
      </c>
      <c r="E54" s="47">
        <v>9.0</v>
      </c>
    </row>
    <row r="55">
      <c r="A55" s="39" t="s">
        <v>68</v>
      </c>
      <c r="B55" s="39" t="s">
        <v>5014</v>
      </c>
      <c r="C55" s="35" t="s">
        <v>5015</v>
      </c>
      <c r="D55" s="47">
        <v>247.0</v>
      </c>
      <c r="E55" s="47">
        <v>10.0</v>
      </c>
    </row>
    <row r="56">
      <c r="A56" s="39" t="s">
        <v>68</v>
      </c>
      <c r="B56" s="39" t="s">
        <v>3810</v>
      </c>
      <c r="C56" s="35" t="s">
        <v>5016</v>
      </c>
      <c r="D56" s="47">
        <v>247.0</v>
      </c>
      <c r="E56" s="47">
        <v>11.0</v>
      </c>
    </row>
    <row r="57">
      <c r="A57" s="39" t="s">
        <v>68</v>
      </c>
      <c r="B57" s="39" t="s">
        <v>5017</v>
      </c>
      <c r="C57" s="35" t="s">
        <v>5018</v>
      </c>
      <c r="D57" s="47">
        <v>247.0</v>
      </c>
      <c r="E57" s="47">
        <v>12.0</v>
      </c>
    </row>
    <row r="58">
      <c r="A58" s="39" t="s">
        <v>68</v>
      </c>
      <c r="B58" s="39" t="s">
        <v>5019</v>
      </c>
      <c r="C58" s="35" t="s">
        <v>5020</v>
      </c>
      <c r="D58" s="47">
        <v>247.0</v>
      </c>
      <c r="E58" s="47">
        <v>13.0</v>
      </c>
    </row>
    <row r="59">
      <c r="A59" s="39" t="s">
        <v>68</v>
      </c>
      <c r="B59" s="39" t="s">
        <v>3816</v>
      </c>
      <c r="C59" s="35" t="s">
        <v>5021</v>
      </c>
      <c r="D59" s="47">
        <v>247.0</v>
      </c>
      <c r="E59" s="47">
        <v>14.0</v>
      </c>
    </row>
    <row r="60">
      <c r="A60" s="39" t="s">
        <v>68</v>
      </c>
      <c r="B60" s="39" t="s">
        <v>3818</v>
      </c>
      <c r="C60" s="35" t="s">
        <v>5022</v>
      </c>
      <c r="D60" s="47">
        <v>247.0</v>
      </c>
      <c r="E60" s="47">
        <v>15.0</v>
      </c>
    </row>
    <row r="61">
      <c r="A61" s="39" t="s">
        <v>68</v>
      </c>
      <c r="B61" s="39" t="s">
        <v>3820</v>
      </c>
      <c r="C61" s="35" t="s">
        <v>5023</v>
      </c>
      <c r="D61" s="47">
        <v>247.0</v>
      </c>
      <c r="E61" s="47">
        <v>16.0</v>
      </c>
    </row>
    <row r="62">
      <c r="A62" s="39" t="s">
        <v>68</v>
      </c>
      <c r="B62" s="39" t="s">
        <v>3822</v>
      </c>
      <c r="C62" s="35" t="s">
        <v>5024</v>
      </c>
      <c r="D62" s="47">
        <v>247.0</v>
      </c>
      <c r="E62" s="47">
        <v>17.0</v>
      </c>
    </row>
    <row r="63">
      <c r="A63" s="39" t="s">
        <v>68</v>
      </c>
      <c r="B63" s="39" t="s">
        <v>3824</v>
      </c>
      <c r="C63" s="35" t="s">
        <v>5025</v>
      </c>
      <c r="D63" s="47">
        <v>247.0</v>
      </c>
      <c r="E63" s="47">
        <v>18.0</v>
      </c>
    </row>
    <row r="64">
      <c r="A64" s="39" t="s">
        <v>68</v>
      </c>
      <c r="B64" s="39" t="s">
        <v>5026</v>
      </c>
      <c r="C64" s="35" t="s">
        <v>5027</v>
      </c>
      <c r="D64" s="47">
        <v>247.0</v>
      </c>
      <c r="E64" s="47">
        <v>19.0</v>
      </c>
    </row>
    <row r="65">
      <c r="A65" s="39" t="s">
        <v>68</v>
      </c>
      <c r="B65" s="39" t="s">
        <v>5028</v>
      </c>
      <c r="C65" s="35" t="s">
        <v>5029</v>
      </c>
      <c r="D65" s="47">
        <v>247.0</v>
      </c>
      <c r="E65" s="47">
        <v>20.0</v>
      </c>
    </row>
    <row r="66">
      <c r="A66" s="39" t="s">
        <v>68</v>
      </c>
      <c r="B66" s="39" t="s">
        <v>3999</v>
      </c>
      <c r="C66" s="35" t="s">
        <v>5030</v>
      </c>
      <c r="D66" s="47">
        <v>247.0</v>
      </c>
      <c r="E66" s="47">
        <v>103.0</v>
      </c>
    </row>
    <row r="67">
      <c r="A67" s="39" t="s">
        <v>68</v>
      </c>
      <c r="B67" s="39" t="s">
        <v>5031</v>
      </c>
      <c r="C67" s="38" t="s">
        <v>5032</v>
      </c>
      <c r="D67" s="47">
        <v>247.0</v>
      </c>
      <c r="E67" s="47">
        <v>248.0</v>
      </c>
    </row>
    <row r="68">
      <c r="A68" s="39" t="s">
        <v>792</v>
      </c>
      <c r="B68" s="39" t="s">
        <v>5033</v>
      </c>
      <c r="C68" s="39" t="s">
        <v>5034</v>
      </c>
      <c r="D68" s="47">
        <v>247.0</v>
      </c>
      <c r="E68" s="47">
        <v>21.0</v>
      </c>
      <c r="F68" s="39" t="s">
        <v>5035</v>
      </c>
    </row>
    <row r="69">
      <c r="A69" s="39" t="s">
        <v>792</v>
      </c>
      <c r="B69" s="39" t="s">
        <v>5036</v>
      </c>
      <c r="C69" s="39" t="s">
        <v>5037</v>
      </c>
      <c r="D69" s="47">
        <v>247.0</v>
      </c>
      <c r="E69" s="47">
        <v>22.0</v>
      </c>
      <c r="F69" s="39" t="s">
        <v>5038</v>
      </c>
    </row>
    <row r="70">
      <c r="A70" s="39" t="s">
        <v>792</v>
      </c>
      <c r="B70" s="39" t="s">
        <v>5039</v>
      </c>
      <c r="C70" s="39" t="s">
        <v>5040</v>
      </c>
      <c r="D70" s="47">
        <v>247.0</v>
      </c>
      <c r="E70" s="47">
        <v>23.0</v>
      </c>
      <c r="F70" s="39" t="s">
        <v>5041</v>
      </c>
    </row>
    <row r="71">
      <c r="A71" s="39" t="s">
        <v>792</v>
      </c>
      <c r="B71" s="39" t="s">
        <v>5042</v>
      </c>
      <c r="C71" s="39" t="s">
        <v>5043</v>
      </c>
      <c r="D71" s="47">
        <v>247.0</v>
      </c>
      <c r="E71" s="47">
        <v>24.0</v>
      </c>
      <c r="F71" s="39" t="s">
        <v>5044</v>
      </c>
    </row>
    <row r="72">
      <c r="A72" s="39" t="s">
        <v>792</v>
      </c>
      <c r="B72" s="39" t="s">
        <v>5045</v>
      </c>
      <c r="C72" s="39" t="s">
        <v>5046</v>
      </c>
      <c r="D72" s="47">
        <v>247.0</v>
      </c>
      <c r="E72" s="47">
        <v>25.0</v>
      </c>
      <c r="F72" s="39" t="s">
        <v>5047</v>
      </c>
    </row>
    <row r="73">
      <c r="A73" s="39" t="s">
        <v>792</v>
      </c>
      <c r="B73" s="39" t="s">
        <v>5048</v>
      </c>
      <c r="C73" s="39" t="s">
        <v>5049</v>
      </c>
      <c r="D73" s="47">
        <v>247.0</v>
      </c>
      <c r="E73" s="47">
        <v>26.0</v>
      </c>
      <c r="F73" s="39" t="s">
        <v>5050</v>
      </c>
    </row>
    <row r="74">
      <c r="A74" s="39" t="s">
        <v>792</v>
      </c>
      <c r="B74" s="39" t="s">
        <v>5051</v>
      </c>
      <c r="C74" s="39" t="s">
        <v>5052</v>
      </c>
      <c r="D74" s="47">
        <v>247.0</v>
      </c>
      <c r="E74" s="47">
        <v>27.0</v>
      </c>
      <c r="F74" s="39" t="s">
        <v>5053</v>
      </c>
    </row>
    <row r="75">
      <c r="A75" s="39" t="s">
        <v>792</v>
      </c>
      <c r="B75" s="39" t="s">
        <v>5054</v>
      </c>
      <c r="C75" s="39" t="s">
        <v>5055</v>
      </c>
      <c r="D75" s="47">
        <v>247.0</v>
      </c>
      <c r="E75" s="47">
        <v>28.0</v>
      </c>
      <c r="F75" s="39" t="s">
        <v>5056</v>
      </c>
    </row>
    <row r="76">
      <c r="A76" s="39" t="s">
        <v>792</v>
      </c>
      <c r="B76" s="39" t="s">
        <v>5057</v>
      </c>
      <c r="C76" s="39" t="s">
        <v>5058</v>
      </c>
      <c r="D76" s="47">
        <v>247.0</v>
      </c>
      <c r="E76" s="47">
        <v>29.0</v>
      </c>
      <c r="F76" s="39" t="s">
        <v>5059</v>
      </c>
    </row>
    <row r="77">
      <c r="A77" s="39" t="s">
        <v>792</v>
      </c>
      <c r="B77" s="39" t="s">
        <v>5060</v>
      </c>
      <c r="C77" s="39" t="s">
        <v>5061</v>
      </c>
      <c r="D77" s="47">
        <v>247.0</v>
      </c>
      <c r="E77" s="47">
        <v>30.0</v>
      </c>
      <c r="F77" s="39" t="s">
        <v>5062</v>
      </c>
    </row>
    <row r="78">
      <c r="A78" s="39" t="s">
        <v>792</v>
      </c>
      <c r="B78" s="39" t="s">
        <v>5063</v>
      </c>
      <c r="C78" s="39" t="s">
        <v>5064</v>
      </c>
      <c r="D78" s="47">
        <v>247.0</v>
      </c>
      <c r="E78" s="47">
        <v>31.0</v>
      </c>
      <c r="F78" s="39" t="s">
        <v>5065</v>
      </c>
    </row>
    <row r="79">
      <c r="A79" s="39" t="s">
        <v>792</v>
      </c>
      <c r="B79" s="39" t="s">
        <v>4483</v>
      </c>
      <c r="C79" s="39" t="s">
        <v>5066</v>
      </c>
      <c r="D79" s="47">
        <v>247.0</v>
      </c>
      <c r="E79" s="47">
        <v>32.0</v>
      </c>
      <c r="F79" s="39" t="s">
        <v>5067</v>
      </c>
    </row>
    <row r="80">
      <c r="A80" s="39" t="s">
        <v>792</v>
      </c>
      <c r="B80" s="39" t="s">
        <v>5068</v>
      </c>
      <c r="C80" s="39" t="s">
        <v>5069</v>
      </c>
      <c r="D80" s="47">
        <v>247.0</v>
      </c>
      <c r="E80" s="47">
        <v>33.0</v>
      </c>
      <c r="F80" s="39" t="s">
        <v>5070</v>
      </c>
    </row>
    <row r="81">
      <c r="A81" s="39" t="s">
        <v>792</v>
      </c>
      <c r="B81" s="39" t="s">
        <v>4474</v>
      </c>
      <c r="C81" s="39" t="s">
        <v>5071</v>
      </c>
      <c r="D81" s="47">
        <v>247.0</v>
      </c>
      <c r="E81" s="47">
        <v>34.0</v>
      </c>
      <c r="F81" s="39" t="s">
        <v>5072</v>
      </c>
    </row>
    <row r="82">
      <c r="A82" s="39" t="s">
        <v>792</v>
      </c>
      <c r="B82" s="39" t="s">
        <v>5073</v>
      </c>
      <c r="C82" s="39" t="s">
        <v>5074</v>
      </c>
      <c r="D82" s="47">
        <v>247.0</v>
      </c>
      <c r="E82" s="47">
        <v>35.0</v>
      </c>
      <c r="F82" s="39" t="s">
        <v>5075</v>
      </c>
    </row>
    <row r="83">
      <c r="A83" s="39" t="s">
        <v>792</v>
      </c>
      <c r="B83" s="39" t="s">
        <v>5076</v>
      </c>
      <c r="C83" s="39" t="s">
        <v>5077</v>
      </c>
      <c r="D83" s="47">
        <v>247.0</v>
      </c>
      <c r="E83" s="47">
        <v>36.0</v>
      </c>
      <c r="F83" s="39" t="s">
        <v>5078</v>
      </c>
    </row>
    <row r="84">
      <c r="A84" s="39" t="s">
        <v>792</v>
      </c>
      <c r="B84" s="39" t="s">
        <v>5079</v>
      </c>
      <c r="C84" s="39" t="s">
        <v>5080</v>
      </c>
      <c r="D84" s="47">
        <v>247.0</v>
      </c>
      <c r="E84" s="47">
        <v>37.0</v>
      </c>
      <c r="F84" s="39" t="s">
        <v>5081</v>
      </c>
    </row>
    <row r="85">
      <c r="A85" s="39" t="s">
        <v>792</v>
      </c>
      <c r="B85" s="39" t="s">
        <v>5082</v>
      </c>
      <c r="C85" s="39" t="s">
        <v>5083</v>
      </c>
      <c r="D85" s="47">
        <v>247.0</v>
      </c>
      <c r="E85" s="47">
        <v>38.0</v>
      </c>
      <c r="F85" s="39" t="s">
        <v>5084</v>
      </c>
    </row>
    <row r="86">
      <c r="A86" s="39" t="s">
        <v>792</v>
      </c>
      <c r="B86" s="39" t="s">
        <v>5085</v>
      </c>
      <c r="C86" s="39" t="s">
        <v>5086</v>
      </c>
      <c r="D86" s="47">
        <v>247.0</v>
      </c>
      <c r="E86" s="47">
        <v>39.0</v>
      </c>
      <c r="F86" s="39" t="s">
        <v>5087</v>
      </c>
    </row>
    <row r="87">
      <c r="A87" s="39" t="s">
        <v>792</v>
      </c>
      <c r="B87" s="39" t="s">
        <v>5088</v>
      </c>
      <c r="C87" s="39" t="s">
        <v>5089</v>
      </c>
      <c r="D87" s="47">
        <v>247.0</v>
      </c>
      <c r="E87" s="47">
        <v>40.0</v>
      </c>
      <c r="F87" s="39" t="s">
        <v>5090</v>
      </c>
    </row>
    <row r="88">
      <c r="A88" s="39" t="s">
        <v>792</v>
      </c>
      <c r="B88" s="39" t="s">
        <v>5091</v>
      </c>
      <c r="C88" s="39" t="s">
        <v>5092</v>
      </c>
      <c r="D88" s="47">
        <v>247.0</v>
      </c>
      <c r="E88" s="47">
        <v>41.0</v>
      </c>
      <c r="F88" s="39" t="s">
        <v>5093</v>
      </c>
    </row>
    <row r="89">
      <c r="A89" s="39" t="s">
        <v>792</v>
      </c>
      <c r="B89" s="39" t="s">
        <v>5094</v>
      </c>
      <c r="C89" s="39" t="s">
        <v>5095</v>
      </c>
      <c r="D89" s="47">
        <v>247.0</v>
      </c>
      <c r="E89" s="47">
        <v>42.0</v>
      </c>
      <c r="F89" s="39" t="s">
        <v>5096</v>
      </c>
    </row>
    <row r="90">
      <c r="A90" s="39" t="s">
        <v>792</v>
      </c>
      <c r="B90" s="39" t="s">
        <v>5097</v>
      </c>
      <c r="C90" s="39" t="s">
        <v>5098</v>
      </c>
      <c r="D90" s="47">
        <v>247.0</v>
      </c>
      <c r="E90" s="47">
        <v>43.0</v>
      </c>
      <c r="F90" s="39" t="s">
        <v>5099</v>
      </c>
    </row>
    <row r="91">
      <c r="A91" s="39" t="s">
        <v>792</v>
      </c>
      <c r="B91" s="39" t="s">
        <v>5100</v>
      </c>
      <c r="C91" s="39" t="s">
        <v>5101</v>
      </c>
      <c r="D91" s="47">
        <v>247.0</v>
      </c>
      <c r="E91" s="47">
        <v>44.0</v>
      </c>
      <c r="F91" s="39" t="s">
        <v>5102</v>
      </c>
    </row>
    <row r="92">
      <c r="A92" s="39" t="s">
        <v>792</v>
      </c>
      <c r="B92" s="39" t="s">
        <v>5103</v>
      </c>
      <c r="C92" s="39" t="s">
        <v>5104</v>
      </c>
      <c r="D92" s="47">
        <v>247.0</v>
      </c>
      <c r="E92" s="47">
        <v>45.0</v>
      </c>
      <c r="F92" s="39" t="s">
        <v>5105</v>
      </c>
    </row>
    <row r="93">
      <c r="A93" s="39" t="s">
        <v>792</v>
      </c>
      <c r="B93" s="39" t="s">
        <v>5106</v>
      </c>
      <c r="C93" s="39" t="s">
        <v>5107</v>
      </c>
      <c r="D93" s="47">
        <v>247.0</v>
      </c>
      <c r="E93" s="47">
        <v>46.0</v>
      </c>
      <c r="F93" s="39" t="s">
        <v>5108</v>
      </c>
    </row>
    <row r="94">
      <c r="A94" s="39" t="s">
        <v>792</v>
      </c>
      <c r="B94" s="39" t="s">
        <v>5109</v>
      </c>
      <c r="C94" s="39" t="s">
        <v>5110</v>
      </c>
      <c r="D94" s="47">
        <v>247.0</v>
      </c>
      <c r="E94" s="47">
        <v>47.0</v>
      </c>
      <c r="F94" s="39" t="s">
        <v>5111</v>
      </c>
    </row>
    <row r="95">
      <c r="A95" s="39" t="s">
        <v>792</v>
      </c>
      <c r="B95" s="39" t="s">
        <v>5112</v>
      </c>
      <c r="C95" s="39" t="s">
        <v>5113</v>
      </c>
      <c r="D95" s="47">
        <v>247.0</v>
      </c>
      <c r="E95" s="47">
        <v>48.0</v>
      </c>
      <c r="F95" s="39" t="s">
        <v>5114</v>
      </c>
    </row>
    <row r="96">
      <c r="A96" s="39" t="s">
        <v>792</v>
      </c>
      <c r="B96" s="39" t="s">
        <v>5115</v>
      </c>
      <c r="C96" s="39" t="s">
        <v>5116</v>
      </c>
      <c r="D96" s="47">
        <v>247.0</v>
      </c>
      <c r="E96" s="47">
        <v>49.0</v>
      </c>
      <c r="F96" s="39" t="s">
        <v>5117</v>
      </c>
    </row>
    <row r="97">
      <c r="A97" s="39" t="s">
        <v>792</v>
      </c>
      <c r="B97" s="39" t="s">
        <v>5118</v>
      </c>
      <c r="C97" s="39" t="s">
        <v>5119</v>
      </c>
      <c r="D97" s="47">
        <v>247.0</v>
      </c>
      <c r="E97" s="47">
        <v>50.0</v>
      </c>
      <c r="F97" s="39" t="s">
        <v>5120</v>
      </c>
    </row>
    <row r="98">
      <c r="A98" s="39" t="s">
        <v>792</v>
      </c>
      <c r="B98" s="39" t="s">
        <v>5121</v>
      </c>
      <c r="C98" s="39" t="s">
        <v>5122</v>
      </c>
      <c r="D98" s="47">
        <v>247.0</v>
      </c>
      <c r="E98" s="47">
        <v>51.0</v>
      </c>
      <c r="F98" s="39" t="s">
        <v>5123</v>
      </c>
    </row>
    <row r="99">
      <c r="A99" s="39" t="s">
        <v>792</v>
      </c>
      <c r="B99" s="39" t="s">
        <v>5124</v>
      </c>
      <c r="C99" s="39" t="s">
        <v>5125</v>
      </c>
      <c r="D99" s="47">
        <v>247.0</v>
      </c>
      <c r="E99" s="47">
        <v>52.0</v>
      </c>
      <c r="F99" s="39" t="s">
        <v>5126</v>
      </c>
    </row>
    <row r="100">
      <c r="A100" s="39" t="s">
        <v>792</v>
      </c>
      <c r="B100" s="39" t="s">
        <v>5127</v>
      </c>
      <c r="C100" s="39" t="s">
        <v>5128</v>
      </c>
      <c r="D100" s="47">
        <v>247.0</v>
      </c>
      <c r="E100" s="47">
        <v>53.0</v>
      </c>
      <c r="F100" s="39" t="s">
        <v>5129</v>
      </c>
    </row>
    <row r="101">
      <c r="A101" s="39" t="s">
        <v>792</v>
      </c>
      <c r="B101" s="39" t="s">
        <v>5130</v>
      </c>
      <c r="C101" s="39" t="s">
        <v>5131</v>
      </c>
      <c r="D101" s="47">
        <v>247.0</v>
      </c>
      <c r="E101" s="47">
        <v>54.0</v>
      </c>
      <c r="F101" s="39" t="s">
        <v>5132</v>
      </c>
    </row>
    <row r="102">
      <c r="A102" s="39" t="s">
        <v>792</v>
      </c>
      <c r="B102" s="39" t="s">
        <v>5133</v>
      </c>
      <c r="C102" s="39" t="s">
        <v>5134</v>
      </c>
      <c r="D102" s="47">
        <v>247.0</v>
      </c>
      <c r="E102" s="47">
        <v>55.0</v>
      </c>
      <c r="F102" s="39" t="s">
        <v>5135</v>
      </c>
    </row>
    <row r="103">
      <c r="A103" s="39" t="s">
        <v>792</v>
      </c>
      <c r="B103" s="39" t="s">
        <v>5136</v>
      </c>
      <c r="C103" s="39" t="s">
        <v>5137</v>
      </c>
      <c r="D103" s="47">
        <v>247.0</v>
      </c>
      <c r="E103" s="47">
        <v>56.0</v>
      </c>
      <c r="F103" s="39" t="s">
        <v>5138</v>
      </c>
    </row>
    <row r="104">
      <c r="A104" s="39" t="s">
        <v>792</v>
      </c>
      <c r="B104" s="39" t="s">
        <v>5139</v>
      </c>
      <c r="C104" s="39" t="s">
        <v>5140</v>
      </c>
      <c r="D104" s="47">
        <v>247.0</v>
      </c>
      <c r="E104" s="47">
        <v>57.0</v>
      </c>
      <c r="F104" s="39" t="s">
        <v>5141</v>
      </c>
    </row>
    <row r="105">
      <c r="A105" s="39" t="s">
        <v>792</v>
      </c>
      <c r="B105" s="39" t="s">
        <v>5142</v>
      </c>
      <c r="C105" s="39" t="s">
        <v>5143</v>
      </c>
      <c r="D105" s="47">
        <v>247.0</v>
      </c>
      <c r="E105" s="47">
        <v>58.0</v>
      </c>
      <c r="F105" s="39" t="s">
        <v>5144</v>
      </c>
    </row>
    <row r="106">
      <c r="A106" s="39" t="s">
        <v>792</v>
      </c>
      <c r="B106" s="39" t="s">
        <v>5145</v>
      </c>
      <c r="C106" s="39" t="s">
        <v>5146</v>
      </c>
      <c r="D106" s="47">
        <v>247.0</v>
      </c>
      <c r="E106" s="47">
        <v>59.0</v>
      </c>
      <c r="F106" s="39" t="s">
        <v>5147</v>
      </c>
    </row>
    <row r="107">
      <c r="A107" s="39" t="s">
        <v>792</v>
      </c>
      <c r="B107" s="39" t="s">
        <v>5148</v>
      </c>
      <c r="C107" s="39" t="s">
        <v>5149</v>
      </c>
      <c r="D107" s="47">
        <v>247.0</v>
      </c>
      <c r="E107" s="47">
        <v>60.0</v>
      </c>
      <c r="F107" s="39" t="s">
        <v>5150</v>
      </c>
    </row>
    <row r="108">
      <c r="A108" s="39" t="s">
        <v>792</v>
      </c>
      <c r="B108" s="39" t="s">
        <v>5151</v>
      </c>
      <c r="C108" s="39" t="s">
        <v>5152</v>
      </c>
      <c r="D108" s="47">
        <v>247.0</v>
      </c>
      <c r="E108" s="47">
        <v>61.0</v>
      </c>
      <c r="F108" s="39" t="s">
        <v>5153</v>
      </c>
    </row>
    <row r="109">
      <c r="A109" s="39" t="s">
        <v>792</v>
      </c>
      <c r="B109" s="39" t="s">
        <v>5154</v>
      </c>
      <c r="C109" s="39" t="s">
        <v>5155</v>
      </c>
      <c r="D109" s="47">
        <v>247.0</v>
      </c>
      <c r="E109" s="47">
        <v>62.0</v>
      </c>
      <c r="F109" s="39" t="s">
        <v>5156</v>
      </c>
    </row>
    <row r="110">
      <c r="A110" s="39" t="s">
        <v>792</v>
      </c>
      <c r="B110" s="39" t="s">
        <v>5157</v>
      </c>
      <c r="C110" s="39" t="s">
        <v>5158</v>
      </c>
      <c r="D110" s="47">
        <v>247.0</v>
      </c>
      <c r="E110" s="47">
        <v>63.0</v>
      </c>
      <c r="F110" s="39" t="s">
        <v>5159</v>
      </c>
    </row>
    <row r="111">
      <c r="A111" s="39" t="s">
        <v>792</v>
      </c>
      <c r="B111" s="39" t="s">
        <v>5160</v>
      </c>
      <c r="C111" s="39" t="s">
        <v>5161</v>
      </c>
      <c r="D111" s="47">
        <v>247.0</v>
      </c>
      <c r="E111" s="47">
        <v>64.0</v>
      </c>
      <c r="F111" s="39" t="s">
        <v>5162</v>
      </c>
    </row>
    <row r="112">
      <c r="A112" s="39" t="s">
        <v>792</v>
      </c>
      <c r="B112" s="39" t="s">
        <v>5163</v>
      </c>
      <c r="C112" s="39" t="s">
        <v>5164</v>
      </c>
      <c r="D112" s="47">
        <v>247.0</v>
      </c>
      <c r="E112" s="47">
        <v>65.0</v>
      </c>
      <c r="F112" s="39" t="s">
        <v>5165</v>
      </c>
    </row>
    <row r="113">
      <c r="A113" s="39" t="s">
        <v>792</v>
      </c>
      <c r="B113" s="39" t="s">
        <v>5166</v>
      </c>
      <c r="C113" s="39" t="s">
        <v>5167</v>
      </c>
      <c r="D113" s="47">
        <v>247.0</v>
      </c>
      <c r="E113" s="47">
        <v>66.0</v>
      </c>
      <c r="F113" s="39" t="s">
        <v>5168</v>
      </c>
    </row>
    <row r="114">
      <c r="A114" s="39" t="s">
        <v>792</v>
      </c>
      <c r="B114" s="39" t="s">
        <v>5169</v>
      </c>
      <c r="C114" s="39" t="s">
        <v>5170</v>
      </c>
      <c r="D114" s="47">
        <v>247.0</v>
      </c>
      <c r="E114" s="47">
        <v>67.0</v>
      </c>
      <c r="F114" s="39" t="s">
        <v>5171</v>
      </c>
    </row>
    <row r="115">
      <c r="A115" s="39" t="s">
        <v>792</v>
      </c>
      <c r="B115" s="39" t="s">
        <v>5172</v>
      </c>
      <c r="C115" s="39" t="s">
        <v>5173</v>
      </c>
      <c r="D115" s="47">
        <v>247.0</v>
      </c>
      <c r="E115" s="47">
        <v>68.0</v>
      </c>
      <c r="F115" s="39" t="s">
        <v>5174</v>
      </c>
    </row>
    <row r="116">
      <c r="A116" s="39" t="s">
        <v>792</v>
      </c>
      <c r="B116" s="39" t="s">
        <v>5175</v>
      </c>
      <c r="C116" s="39" t="s">
        <v>5176</v>
      </c>
      <c r="D116" s="47">
        <v>247.0</v>
      </c>
      <c r="E116" s="47">
        <v>69.0</v>
      </c>
      <c r="F116" s="39" t="s">
        <v>5177</v>
      </c>
    </row>
    <row r="117">
      <c r="A117" s="39" t="s">
        <v>792</v>
      </c>
      <c r="B117" s="39" t="s">
        <v>5178</v>
      </c>
      <c r="C117" s="39" t="s">
        <v>5179</v>
      </c>
      <c r="D117" s="47">
        <v>247.0</v>
      </c>
      <c r="E117" s="47">
        <v>70.0</v>
      </c>
      <c r="F117" s="39" t="s">
        <v>5180</v>
      </c>
    </row>
    <row r="118">
      <c r="A118" s="39" t="s">
        <v>792</v>
      </c>
      <c r="B118" s="39" t="s">
        <v>5181</v>
      </c>
      <c r="C118" s="39" t="s">
        <v>5182</v>
      </c>
      <c r="D118" s="47">
        <v>247.0</v>
      </c>
      <c r="E118" s="47">
        <v>71.0</v>
      </c>
      <c r="F118" s="39" t="s">
        <v>5183</v>
      </c>
    </row>
    <row r="119">
      <c r="A119" s="39" t="s">
        <v>792</v>
      </c>
      <c r="B119" s="39" t="s">
        <v>5184</v>
      </c>
      <c r="C119" s="39" t="s">
        <v>5185</v>
      </c>
      <c r="D119" s="47">
        <v>247.0</v>
      </c>
      <c r="E119" s="47">
        <v>72.0</v>
      </c>
      <c r="F119" s="39" t="s">
        <v>5186</v>
      </c>
    </row>
    <row r="120">
      <c r="A120" s="39" t="s">
        <v>792</v>
      </c>
      <c r="B120" s="39" t="s">
        <v>5187</v>
      </c>
      <c r="C120" s="39" t="s">
        <v>5188</v>
      </c>
      <c r="D120" s="47">
        <v>247.0</v>
      </c>
      <c r="E120" s="47">
        <v>73.0</v>
      </c>
      <c r="F120" s="39" t="s">
        <v>5189</v>
      </c>
    </row>
    <row r="121">
      <c r="A121" s="39" t="s">
        <v>792</v>
      </c>
      <c r="B121" s="39" t="s">
        <v>5190</v>
      </c>
      <c r="C121" s="39" t="s">
        <v>5191</v>
      </c>
      <c r="D121" s="47">
        <v>247.0</v>
      </c>
      <c r="E121" s="47">
        <v>74.0</v>
      </c>
      <c r="F121" s="39" t="s">
        <v>5192</v>
      </c>
    </row>
    <row r="122">
      <c r="A122" s="39" t="s">
        <v>792</v>
      </c>
      <c r="B122" s="39" t="s">
        <v>5193</v>
      </c>
      <c r="C122" s="39" t="s">
        <v>5194</v>
      </c>
      <c r="D122" s="47">
        <v>247.0</v>
      </c>
      <c r="E122" s="47">
        <v>75.0</v>
      </c>
      <c r="F122" s="39" t="s">
        <v>5195</v>
      </c>
    </row>
    <row r="123">
      <c r="A123" s="39" t="s">
        <v>5196</v>
      </c>
      <c r="B123" s="39" t="s">
        <v>133</v>
      </c>
      <c r="C123" s="39" t="s">
        <v>5197</v>
      </c>
      <c r="D123" s="47">
        <v>247.0</v>
      </c>
      <c r="E123" s="47">
        <v>76.0</v>
      </c>
    </row>
    <row r="124">
      <c r="A124" s="39" t="s">
        <v>5196</v>
      </c>
      <c r="B124" s="39" t="s">
        <v>4522</v>
      </c>
      <c r="C124" s="39" t="s">
        <v>5198</v>
      </c>
      <c r="D124" s="47">
        <v>247.0</v>
      </c>
      <c r="E124" s="47">
        <v>77.0</v>
      </c>
    </row>
    <row r="125">
      <c r="A125" s="39" t="s">
        <v>5196</v>
      </c>
      <c r="B125" s="39" t="s">
        <v>4520</v>
      </c>
      <c r="C125" s="39" t="s">
        <v>5199</v>
      </c>
      <c r="D125" s="47">
        <v>247.0</v>
      </c>
      <c r="E125" s="47">
        <v>78.0</v>
      </c>
    </row>
    <row r="126">
      <c r="A126" s="39" t="s">
        <v>5196</v>
      </c>
      <c r="B126" s="39" t="s">
        <v>4518</v>
      </c>
      <c r="C126" s="39" t="s">
        <v>5200</v>
      </c>
      <c r="D126" s="47">
        <v>247.0</v>
      </c>
      <c r="E126" s="47">
        <v>79.0</v>
      </c>
    </row>
    <row r="127">
      <c r="A127" s="39" t="s">
        <v>5196</v>
      </c>
      <c r="B127" s="39" t="s">
        <v>4515</v>
      </c>
      <c r="C127" s="39" t="s">
        <v>5201</v>
      </c>
      <c r="D127" s="47">
        <v>247.0</v>
      </c>
      <c r="E127" s="47">
        <v>80.0</v>
      </c>
    </row>
    <row r="128">
      <c r="A128" s="39" t="s">
        <v>792</v>
      </c>
      <c r="B128" s="39" t="s">
        <v>5202</v>
      </c>
      <c r="C128" s="39" t="s">
        <v>5203</v>
      </c>
      <c r="D128" s="47">
        <v>247.0</v>
      </c>
      <c r="E128" s="47">
        <v>81.0</v>
      </c>
      <c r="F128" s="39" t="s">
        <v>5204</v>
      </c>
    </row>
    <row r="129">
      <c r="A129" s="39" t="s">
        <v>792</v>
      </c>
      <c r="B129" s="39" t="s">
        <v>5205</v>
      </c>
      <c r="C129" s="39" t="s">
        <v>5206</v>
      </c>
      <c r="D129" s="47">
        <v>247.0</v>
      </c>
      <c r="E129" s="47">
        <v>82.0</v>
      </c>
      <c r="F129" s="39" t="s">
        <v>5207</v>
      </c>
    </row>
    <row r="130">
      <c r="A130" s="39" t="s">
        <v>792</v>
      </c>
      <c r="B130" s="39" t="s">
        <v>5208</v>
      </c>
      <c r="C130" s="39" t="s">
        <v>5209</v>
      </c>
      <c r="D130" s="47">
        <v>247.0</v>
      </c>
      <c r="E130" s="47">
        <v>83.0</v>
      </c>
      <c r="F130" s="39" t="s">
        <v>5210</v>
      </c>
    </row>
    <row r="131">
      <c r="A131" s="39" t="s">
        <v>792</v>
      </c>
      <c r="B131" s="39" t="s">
        <v>5211</v>
      </c>
      <c r="C131" s="4" t="s">
        <v>5212</v>
      </c>
      <c r="D131" s="47">
        <v>247.0</v>
      </c>
      <c r="E131" s="47">
        <v>84.0</v>
      </c>
      <c r="F131" s="39" t="s">
        <v>5213</v>
      </c>
    </row>
    <row r="132">
      <c r="A132" s="39" t="s">
        <v>792</v>
      </c>
      <c r="B132" s="39" t="s">
        <v>5214</v>
      </c>
      <c r="C132" s="4" t="s">
        <v>5215</v>
      </c>
      <c r="D132" s="47">
        <v>247.0</v>
      </c>
      <c r="E132" s="47">
        <v>85.0</v>
      </c>
      <c r="F132" s="39" t="s">
        <v>5216</v>
      </c>
    </row>
    <row r="133">
      <c r="A133" s="39" t="s">
        <v>792</v>
      </c>
      <c r="B133" s="39" t="s">
        <v>5217</v>
      </c>
      <c r="C133" s="4" t="s">
        <v>5218</v>
      </c>
      <c r="D133" s="47">
        <v>247.0</v>
      </c>
      <c r="E133" s="47">
        <v>86.0</v>
      </c>
      <c r="F133" s="39" t="s">
        <v>5219</v>
      </c>
    </row>
    <row r="134">
      <c r="A134" s="39" t="s">
        <v>792</v>
      </c>
      <c r="B134" s="39" t="s">
        <v>5220</v>
      </c>
      <c r="C134" s="4" t="s">
        <v>5221</v>
      </c>
      <c r="D134" s="47">
        <v>247.0</v>
      </c>
      <c r="E134" s="47">
        <v>87.0</v>
      </c>
      <c r="F134" s="39" t="s">
        <v>5222</v>
      </c>
    </row>
    <row r="135">
      <c r="A135" s="39" t="s">
        <v>792</v>
      </c>
      <c r="B135" s="39" t="s">
        <v>5223</v>
      </c>
      <c r="C135" s="4" t="s">
        <v>5224</v>
      </c>
      <c r="D135" s="47">
        <v>247.0</v>
      </c>
      <c r="E135" s="47">
        <v>88.0</v>
      </c>
      <c r="F135" s="39" t="s">
        <v>5225</v>
      </c>
    </row>
    <row r="136">
      <c r="A136" s="39" t="s">
        <v>792</v>
      </c>
      <c r="B136" s="39" t="s">
        <v>5226</v>
      </c>
      <c r="C136" s="4" t="s">
        <v>5227</v>
      </c>
      <c r="D136" s="47">
        <v>247.0</v>
      </c>
      <c r="E136" s="47">
        <v>89.0</v>
      </c>
      <c r="F136" s="39" t="s">
        <v>5228</v>
      </c>
    </row>
    <row r="137">
      <c r="A137" s="39" t="s">
        <v>792</v>
      </c>
      <c r="B137" s="39" t="s">
        <v>5229</v>
      </c>
      <c r="C137" s="4" t="s">
        <v>5230</v>
      </c>
      <c r="D137" s="47">
        <v>247.0</v>
      </c>
      <c r="E137" s="47">
        <v>90.0</v>
      </c>
      <c r="F137" s="39" t="s">
        <v>5231</v>
      </c>
    </row>
    <row r="138">
      <c r="A138" s="39" t="s">
        <v>792</v>
      </c>
      <c r="B138" s="39" t="s">
        <v>4437</v>
      </c>
      <c r="C138" s="4" t="s">
        <v>5232</v>
      </c>
      <c r="D138" s="47">
        <v>247.0</v>
      </c>
      <c r="E138" s="47">
        <v>91.0</v>
      </c>
      <c r="F138" s="39" t="s">
        <v>5233</v>
      </c>
    </row>
    <row r="139">
      <c r="A139" s="39" t="s">
        <v>792</v>
      </c>
      <c r="B139" s="39" t="s">
        <v>5234</v>
      </c>
      <c r="C139" s="4" t="s">
        <v>5235</v>
      </c>
      <c r="D139" s="47">
        <v>247.0</v>
      </c>
      <c r="E139" s="47">
        <v>92.0</v>
      </c>
      <c r="F139" s="39" t="s">
        <v>5236</v>
      </c>
    </row>
    <row r="140">
      <c r="A140" s="39" t="s">
        <v>792</v>
      </c>
      <c r="B140" s="39" t="s">
        <v>5237</v>
      </c>
      <c r="C140" s="4" t="s">
        <v>5238</v>
      </c>
      <c r="D140" s="47">
        <v>247.0</v>
      </c>
      <c r="E140" s="47">
        <v>93.0</v>
      </c>
      <c r="F140" s="39" t="s">
        <v>5239</v>
      </c>
    </row>
    <row r="141">
      <c r="A141" s="39" t="s">
        <v>792</v>
      </c>
      <c r="B141" s="39" t="s">
        <v>5240</v>
      </c>
      <c r="C141" s="4" t="s">
        <v>5241</v>
      </c>
      <c r="D141" s="47">
        <v>247.0</v>
      </c>
      <c r="E141" s="47">
        <v>94.0</v>
      </c>
      <c r="F141" s="39" t="s">
        <v>5242</v>
      </c>
    </row>
    <row r="142">
      <c r="A142" s="39" t="s">
        <v>792</v>
      </c>
      <c r="B142" s="39" t="s">
        <v>5243</v>
      </c>
      <c r="C142" s="4" t="s">
        <v>5244</v>
      </c>
      <c r="D142" s="47">
        <v>247.0</v>
      </c>
      <c r="E142" s="47">
        <v>95.0</v>
      </c>
      <c r="F142" s="39" t="s">
        <v>5245</v>
      </c>
    </row>
    <row r="143">
      <c r="A143" s="39" t="s">
        <v>792</v>
      </c>
      <c r="B143" s="39" t="s">
        <v>5246</v>
      </c>
      <c r="C143" s="4" t="s">
        <v>5247</v>
      </c>
      <c r="D143" s="47">
        <v>247.0</v>
      </c>
      <c r="E143" s="47">
        <v>96.0</v>
      </c>
      <c r="F143" s="39" t="s">
        <v>5248</v>
      </c>
    </row>
    <row r="144">
      <c r="A144" s="39" t="s">
        <v>792</v>
      </c>
      <c r="B144" s="39" t="s">
        <v>5249</v>
      </c>
      <c r="C144" s="4" t="s">
        <v>5250</v>
      </c>
      <c r="D144" s="47">
        <v>247.0</v>
      </c>
      <c r="E144" s="47">
        <v>97.0</v>
      </c>
      <c r="F144" s="39" t="s">
        <v>5251</v>
      </c>
    </row>
    <row r="145">
      <c r="A145" s="39" t="s">
        <v>4514</v>
      </c>
      <c r="B145" s="39" t="s">
        <v>4515</v>
      </c>
      <c r="C145" s="39" t="s">
        <v>5252</v>
      </c>
      <c r="D145" s="47">
        <v>247.0</v>
      </c>
      <c r="E145" s="47">
        <v>98.0</v>
      </c>
      <c r="F145" s="39" t="s">
        <v>4517</v>
      </c>
    </row>
    <row r="146">
      <c r="A146" s="39" t="s">
        <v>4514</v>
      </c>
      <c r="B146" s="39" t="s">
        <v>4518</v>
      </c>
      <c r="C146" s="39" t="s">
        <v>5253</v>
      </c>
      <c r="D146" s="47">
        <v>247.0</v>
      </c>
      <c r="E146" s="47">
        <v>99.0</v>
      </c>
      <c r="F146" s="39" t="s">
        <v>4517</v>
      </c>
    </row>
    <row r="147">
      <c r="A147" s="39" t="s">
        <v>4514</v>
      </c>
      <c r="B147" s="39" t="s">
        <v>4520</v>
      </c>
      <c r="C147" s="39" t="s">
        <v>5254</v>
      </c>
      <c r="D147" s="47">
        <v>247.0</v>
      </c>
      <c r="E147" s="47">
        <v>100.0</v>
      </c>
      <c r="F147" s="39" t="s">
        <v>4517</v>
      </c>
    </row>
    <row r="148">
      <c r="A148" s="39" t="s">
        <v>4514</v>
      </c>
      <c r="B148" s="39" t="s">
        <v>4522</v>
      </c>
      <c r="C148" s="39" t="s">
        <v>5255</v>
      </c>
      <c r="D148" s="47">
        <v>247.0</v>
      </c>
      <c r="E148" s="47">
        <v>101.0</v>
      </c>
      <c r="F148" s="39" t="s">
        <v>4517</v>
      </c>
    </row>
    <row r="149">
      <c r="A149" s="39" t="s">
        <v>4514</v>
      </c>
      <c r="B149" s="39" t="s">
        <v>133</v>
      </c>
      <c r="C149" s="39" t="s">
        <v>5256</v>
      </c>
      <c r="D149" s="47">
        <v>247.0</v>
      </c>
      <c r="E149" s="47">
        <v>102.0</v>
      </c>
      <c r="F149" s="39" t="s">
        <v>4517</v>
      </c>
    </row>
    <row r="150">
      <c r="A150" s="39" t="s">
        <v>792</v>
      </c>
      <c r="B150" s="39" t="s">
        <v>5154</v>
      </c>
      <c r="C150" s="39" t="s">
        <v>5257</v>
      </c>
      <c r="D150" s="47">
        <v>247.0</v>
      </c>
      <c r="E150" s="47">
        <v>104.0</v>
      </c>
      <c r="F150" s="39" t="s">
        <v>5156</v>
      </c>
    </row>
    <row r="151">
      <c r="A151" s="39" t="s">
        <v>792</v>
      </c>
      <c r="B151" s="39" t="s">
        <v>5172</v>
      </c>
      <c r="C151" s="39" t="s">
        <v>5258</v>
      </c>
      <c r="D151" s="47">
        <v>247.0</v>
      </c>
      <c r="E151" s="47">
        <v>105.0</v>
      </c>
      <c r="F151" s="39" t="s">
        <v>5174</v>
      </c>
    </row>
    <row r="152">
      <c r="A152" s="39" t="s">
        <v>792</v>
      </c>
      <c r="B152" s="39" t="s">
        <v>5127</v>
      </c>
      <c r="C152" s="39" t="s">
        <v>5259</v>
      </c>
      <c r="D152" s="47">
        <v>247.0</v>
      </c>
      <c r="E152" s="47">
        <v>106.0</v>
      </c>
      <c r="F152" s="39" t="s">
        <v>5129</v>
      </c>
    </row>
    <row r="153">
      <c r="A153" s="39" t="s">
        <v>792</v>
      </c>
      <c r="B153" s="39" t="s">
        <v>5106</v>
      </c>
      <c r="C153" s="39" t="s">
        <v>5260</v>
      </c>
      <c r="D153" s="47">
        <v>247.0</v>
      </c>
      <c r="E153" s="47">
        <v>107.0</v>
      </c>
      <c r="F153" s="39" t="s">
        <v>5108</v>
      </c>
    </row>
    <row r="154">
      <c r="A154" s="39" t="s">
        <v>792</v>
      </c>
      <c r="B154" s="39" t="s">
        <v>5234</v>
      </c>
      <c r="C154" s="39" t="s">
        <v>5261</v>
      </c>
      <c r="D154" s="47">
        <v>247.0</v>
      </c>
      <c r="E154" s="47">
        <v>108.0</v>
      </c>
      <c r="F154" s="39" t="s">
        <v>5236</v>
      </c>
    </row>
    <row r="155">
      <c r="A155" s="39" t="s">
        <v>792</v>
      </c>
      <c r="B155" s="39" t="s">
        <v>5033</v>
      </c>
      <c r="C155" s="39" t="s">
        <v>5262</v>
      </c>
      <c r="D155" s="47">
        <v>247.0</v>
      </c>
      <c r="E155" s="47">
        <v>109.0</v>
      </c>
      <c r="F155" s="39" t="s">
        <v>5035</v>
      </c>
    </row>
    <row r="156">
      <c r="A156" s="39" t="s">
        <v>792</v>
      </c>
      <c r="B156" s="39" t="s">
        <v>5076</v>
      </c>
      <c r="C156" s="39" t="s">
        <v>5263</v>
      </c>
      <c r="D156" s="47">
        <v>247.0</v>
      </c>
      <c r="E156" s="47">
        <v>110.0</v>
      </c>
      <c r="F156" s="39" t="s">
        <v>5078</v>
      </c>
    </row>
    <row r="157">
      <c r="A157" s="39" t="s">
        <v>792</v>
      </c>
      <c r="B157" s="39" t="s">
        <v>5193</v>
      </c>
      <c r="C157" s="39" t="s">
        <v>5264</v>
      </c>
      <c r="D157" s="47">
        <v>247.0</v>
      </c>
      <c r="E157" s="47">
        <v>111.0</v>
      </c>
      <c r="F157" s="39" t="s">
        <v>5195</v>
      </c>
    </row>
    <row r="158">
      <c r="A158" s="39" t="s">
        <v>792</v>
      </c>
      <c r="B158" s="39" t="s">
        <v>5063</v>
      </c>
      <c r="C158" s="39" t="s">
        <v>5265</v>
      </c>
      <c r="D158" s="47">
        <v>247.0</v>
      </c>
      <c r="E158" s="47">
        <v>112.0</v>
      </c>
      <c r="F158" s="39" t="s">
        <v>5065</v>
      </c>
    </row>
    <row r="159">
      <c r="A159" s="39" t="s">
        <v>792</v>
      </c>
      <c r="B159" s="39" t="s">
        <v>5048</v>
      </c>
      <c r="C159" s="39" t="s">
        <v>5266</v>
      </c>
      <c r="D159" s="47">
        <v>247.0</v>
      </c>
      <c r="E159" s="47">
        <v>113.0</v>
      </c>
      <c r="F159" s="39" t="s">
        <v>5050</v>
      </c>
    </row>
    <row r="160">
      <c r="A160" s="39" t="s">
        <v>792</v>
      </c>
      <c r="B160" s="39" t="s">
        <v>5136</v>
      </c>
      <c r="C160" s="39" t="s">
        <v>5267</v>
      </c>
      <c r="D160" s="47">
        <v>247.0</v>
      </c>
      <c r="E160" s="47">
        <v>114.0</v>
      </c>
      <c r="F160" s="39" t="s">
        <v>5138</v>
      </c>
    </row>
    <row r="161">
      <c r="A161" s="39" t="s">
        <v>792</v>
      </c>
      <c r="B161" s="39" t="s">
        <v>5091</v>
      </c>
      <c r="C161" s="39" t="s">
        <v>5268</v>
      </c>
      <c r="D161" s="47">
        <v>247.0</v>
      </c>
      <c r="E161" s="47">
        <v>115.0</v>
      </c>
      <c r="F161" s="39" t="s">
        <v>5093</v>
      </c>
    </row>
    <row r="162">
      <c r="A162" s="39" t="s">
        <v>792</v>
      </c>
      <c r="B162" s="39" t="s">
        <v>5160</v>
      </c>
      <c r="C162" s="39" t="s">
        <v>5269</v>
      </c>
      <c r="D162" s="47">
        <v>247.0</v>
      </c>
      <c r="E162" s="47">
        <v>116.0</v>
      </c>
      <c r="F162" s="39" t="s">
        <v>5162</v>
      </c>
    </row>
    <row r="163">
      <c r="A163" s="39" t="s">
        <v>792</v>
      </c>
      <c r="B163" s="39" t="s">
        <v>5169</v>
      </c>
      <c r="C163" s="39" t="s">
        <v>5270</v>
      </c>
      <c r="D163" s="47">
        <v>247.0</v>
      </c>
      <c r="E163" s="47">
        <v>117.0</v>
      </c>
      <c r="F163" s="39" t="s">
        <v>5171</v>
      </c>
    </row>
    <row r="164">
      <c r="A164" s="39" t="s">
        <v>792</v>
      </c>
      <c r="B164" s="39" t="s">
        <v>5130</v>
      </c>
      <c r="C164" s="39" t="s">
        <v>5271</v>
      </c>
      <c r="D164" s="47">
        <v>247.0</v>
      </c>
      <c r="E164" s="47">
        <v>118.0</v>
      </c>
      <c r="F164" s="39" t="s">
        <v>5132</v>
      </c>
    </row>
    <row r="165">
      <c r="A165" s="39" t="s">
        <v>792</v>
      </c>
      <c r="B165" s="39" t="s">
        <v>5112</v>
      </c>
      <c r="C165" s="39" t="s">
        <v>5272</v>
      </c>
      <c r="D165" s="47">
        <v>247.0</v>
      </c>
      <c r="E165" s="47">
        <v>119.0</v>
      </c>
      <c r="F165" s="39" t="s">
        <v>5114</v>
      </c>
    </row>
    <row r="166">
      <c r="A166" s="39" t="s">
        <v>792</v>
      </c>
      <c r="B166" s="39" t="s">
        <v>5237</v>
      </c>
      <c r="C166" s="39" t="s">
        <v>5273</v>
      </c>
      <c r="D166" s="47">
        <v>247.0</v>
      </c>
      <c r="E166" s="47">
        <v>120.0</v>
      </c>
      <c r="F166" s="39" t="s">
        <v>5239</v>
      </c>
    </row>
    <row r="167">
      <c r="A167" s="39" t="s">
        <v>792</v>
      </c>
      <c r="B167" s="39" t="s">
        <v>5039</v>
      </c>
      <c r="C167" s="39" t="s">
        <v>5274</v>
      </c>
      <c r="D167" s="47">
        <v>247.0</v>
      </c>
      <c r="E167" s="47">
        <v>121.0</v>
      </c>
      <c r="F167" s="39" t="s">
        <v>5041</v>
      </c>
    </row>
    <row r="168">
      <c r="A168" s="39" t="s">
        <v>792</v>
      </c>
      <c r="B168" s="39" t="s">
        <v>5082</v>
      </c>
      <c r="C168" s="39" t="s">
        <v>5275</v>
      </c>
      <c r="D168" s="47">
        <v>247.0</v>
      </c>
      <c r="E168" s="47">
        <v>122.0</v>
      </c>
      <c r="F168" s="39" t="s">
        <v>5084</v>
      </c>
    </row>
    <row r="169">
      <c r="A169" s="39" t="s">
        <v>792</v>
      </c>
      <c r="B169" s="39" t="s">
        <v>5190</v>
      </c>
      <c r="C169" s="39" t="s">
        <v>5276</v>
      </c>
      <c r="D169" s="47">
        <v>247.0</v>
      </c>
      <c r="E169" s="47">
        <v>123.0</v>
      </c>
      <c r="F169" s="39" t="s">
        <v>5192</v>
      </c>
    </row>
    <row r="170">
      <c r="A170" s="39" t="s">
        <v>792</v>
      </c>
      <c r="B170" s="39" t="s">
        <v>5068</v>
      </c>
      <c r="C170" s="39" t="s">
        <v>5277</v>
      </c>
      <c r="D170" s="47">
        <v>247.0</v>
      </c>
      <c r="E170" s="47">
        <v>124.0</v>
      </c>
      <c r="F170" s="39" t="s">
        <v>5070</v>
      </c>
    </row>
    <row r="171">
      <c r="A171" s="39" t="s">
        <v>792</v>
      </c>
      <c r="B171" s="39" t="s">
        <v>5054</v>
      </c>
      <c r="C171" s="39" t="s">
        <v>5278</v>
      </c>
      <c r="D171" s="47">
        <v>247.0</v>
      </c>
      <c r="E171" s="47">
        <v>125.0</v>
      </c>
      <c r="F171" s="39" t="s">
        <v>5056</v>
      </c>
    </row>
    <row r="172">
      <c r="A172" s="39" t="s">
        <v>792</v>
      </c>
      <c r="B172" s="39" t="s">
        <v>5142</v>
      </c>
      <c r="C172" s="39" t="s">
        <v>5279</v>
      </c>
      <c r="D172" s="47">
        <v>247.0</v>
      </c>
      <c r="E172" s="47">
        <v>126.0</v>
      </c>
      <c r="F172" s="39" t="s">
        <v>5144</v>
      </c>
    </row>
    <row r="173">
      <c r="A173" s="39" t="s">
        <v>792</v>
      </c>
      <c r="B173" s="39" t="s">
        <v>5097</v>
      </c>
      <c r="C173" s="39" t="s">
        <v>5280</v>
      </c>
      <c r="D173" s="47">
        <v>247.0</v>
      </c>
      <c r="E173" s="47">
        <v>127.0</v>
      </c>
      <c r="F173" s="39" t="s">
        <v>5099</v>
      </c>
    </row>
    <row r="174">
      <c r="A174" s="39" t="s">
        <v>792</v>
      </c>
      <c r="B174" s="39" t="s">
        <v>5157</v>
      </c>
      <c r="C174" s="39" t="s">
        <v>5281</v>
      </c>
      <c r="D174" s="47">
        <v>247.0</v>
      </c>
      <c r="E174" s="47">
        <v>128.0</v>
      </c>
      <c r="F174" s="39" t="s">
        <v>5159</v>
      </c>
    </row>
    <row r="175">
      <c r="A175" s="39" t="s">
        <v>792</v>
      </c>
      <c r="B175" s="39" t="s">
        <v>5166</v>
      </c>
      <c r="C175" s="39" t="s">
        <v>5282</v>
      </c>
      <c r="D175" s="47">
        <v>247.0</v>
      </c>
      <c r="E175" s="47">
        <v>129.0</v>
      </c>
      <c r="F175" s="39" t="s">
        <v>5168</v>
      </c>
    </row>
    <row r="176">
      <c r="A176" s="39" t="s">
        <v>792</v>
      </c>
      <c r="B176" s="39" t="s">
        <v>5121</v>
      </c>
      <c r="C176" s="39" t="s">
        <v>5283</v>
      </c>
      <c r="D176" s="47">
        <v>247.0</v>
      </c>
      <c r="E176" s="47">
        <v>130.0</v>
      </c>
      <c r="F176" s="39" t="s">
        <v>5123</v>
      </c>
    </row>
    <row r="177">
      <c r="A177" s="39" t="s">
        <v>792</v>
      </c>
      <c r="B177" s="39" t="s">
        <v>5109</v>
      </c>
      <c r="C177" s="39" t="s">
        <v>5284</v>
      </c>
      <c r="D177" s="47">
        <v>247.0</v>
      </c>
      <c r="E177" s="47">
        <v>131.0</v>
      </c>
      <c r="F177" s="39" t="s">
        <v>5111</v>
      </c>
    </row>
    <row r="178">
      <c r="A178" s="39" t="s">
        <v>792</v>
      </c>
      <c r="B178" s="39" t="s">
        <v>5240</v>
      </c>
      <c r="C178" s="39" t="s">
        <v>5285</v>
      </c>
      <c r="D178" s="47">
        <v>247.0</v>
      </c>
      <c r="E178" s="47">
        <v>132.0</v>
      </c>
      <c r="F178" s="39" t="s">
        <v>5242</v>
      </c>
    </row>
    <row r="179">
      <c r="A179" s="39" t="s">
        <v>792</v>
      </c>
      <c r="B179" s="39" t="s">
        <v>5036</v>
      </c>
      <c r="C179" s="39" t="s">
        <v>5286</v>
      </c>
      <c r="D179" s="47">
        <v>247.0</v>
      </c>
      <c r="E179" s="47">
        <v>133.0</v>
      </c>
      <c r="F179" s="39" t="s">
        <v>5038</v>
      </c>
    </row>
    <row r="180">
      <c r="A180" s="39" t="s">
        <v>792</v>
      </c>
      <c r="B180" s="39" t="s">
        <v>5079</v>
      </c>
      <c r="C180" s="39" t="s">
        <v>5287</v>
      </c>
      <c r="D180" s="47">
        <v>247.0</v>
      </c>
      <c r="E180" s="47">
        <v>134.0</v>
      </c>
      <c r="F180" s="39" t="s">
        <v>5081</v>
      </c>
    </row>
    <row r="181">
      <c r="A181" s="39" t="s">
        <v>792</v>
      </c>
      <c r="B181" s="39" t="s">
        <v>5187</v>
      </c>
      <c r="C181" s="39" t="s">
        <v>5288</v>
      </c>
      <c r="D181" s="47">
        <v>247.0</v>
      </c>
      <c r="E181" s="47">
        <v>135.0</v>
      </c>
      <c r="F181" s="39" t="s">
        <v>5189</v>
      </c>
    </row>
    <row r="182">
      <c r="A182" s="39" t="s">
        <v>792</v>
      </c>
      <c r="B182" s="39" t="s">
        <v>4483</v>
      </c>
      <c r="C182" s="39" t="s">
        <v>5289</v>
      </c>
      <c r="D182" s="47">
        <v>247.0</v>
      </c>
      <c r="E182" s="47">
        <v>136.0</v>
      </c>
      <c r="F182" s="39" t="s">
        <v>5067</v>
      </c>
    </row>
    <row r="183">
      <c r="A183" s="39" t="s">
        <v>792</v>
      </c>
      <c r="B183" s="39" t="s">
        <v>5051</v>
      </c>
      <c r="C183" s="39" t="s">
        <v>5290</v>
      </c>
      <c r="D183" s="47">
        <v>247.0</v>
      </c>
      <c r="E183" s="47">
        <v>137.0</v>
      </c>
      <c r="F183" s="39" t="s">
        <v>5053</v>
      </c>
    </row>
    <row r="184">
      <c r="A184" s="39" t="s">
        <v>792</v>
      </c>
      <c r="B184" s="39" t="s">
        <v>5139</v>
      </c>
      <c r="C184" s="39" t="s">
        <v>5291</v>
      </c>
      <c r="D184" s="47">
        <v>247.0</v>
      </c>
      <c r="E184" s="47">
        <v>138.0</v>
      </c>
      <c r="F184" s="39" t="s">
        <v>5141</v>
      </c>
    </row>
    <row r="185">
      <c r="A185" s="39" t="s">
        <v>792</v>
      </c>
      <c r="B185" s="39" t="s">
        <v>5094</v>
      </c>
      <c r="C185" s="39" t="s">
        <v>5292</v>
      </c>
      <c r="D185" s="47">
        <v>247.0</v>
      </c>
      <c r="E185" s="47">
        <v>139.0</v>
      </c>
      <c r="F185" s="39" t="s">
        <v>5096</v>
      </c>
    </row>
    <row r="186">
      <c r="A186" s="39" t="s">
        <v>792</v>
      </c>
      <c r="B186" s="39" t="s">
        <v>5151</v>
      </c>
      <c r="C186" s="39" t="s">
        <v>5293</v>
      </c>
      <c r="D186" s="47">
        <v>247.0</v>
      </c>
      <c r="E186" s="47">
        <v>140.0</v>
      </c>
      <c r="F186" s="39" t="s">
        <v>5153</v>
      </c>
    </row>
    <row r="187">
      <c r="A187" s="39" t="s">
        <v>792</v>
      </c>
      <c r="B187" s="39" t="s">
        <v>5175</v>
      </c>
      <c r="C187" s="39" t="s">
        <v>5294</v>
      </c>
      <c r="D187" s="47">
        <v>247.0</v>
      </c>
      <c r="E187" s="47">
        <v>141.0</v>
      </c>
      <c r="F187" s="39" t="s">
        <v>5177</v>
      </c>
    </row>
    <row r="188">
      <c r="A188" s="39" t="s">
        <v>792</v>
      </c>
      <c r="B188" s="39" t="s">
        <v>5124</v>
      </c>
      <c r="C188" s="39" t="s">
        <v>5295</v>
      </c>
      <c r="D188" s="47">
        <v>247.0</v>
      </c>
      <c r="E188" s="47">
        <v>142.0</v>
      </c>
      <c r="F188" s="39" t="s">
        <v>5126</v>
      </c>
    </row>
    <row r="189">
      <c r="A189" s="39" t="s">
        <v>792</v>
      </c>
      <c r="B189" s="39" t="s">
        <v>5115</v>
      </c>
      <c r="C189" s="39" t="s">
        <v>5296</v>
      </c>
      <c r="D189" s="47">
        <v>247.0</v>
      </c>
      <c r="E189" s="47">
        <v>143.0</v>
      </c>
      <c r="F189" s="39" t="s">
        <v>5117</v>
      </c>
    </row>
    <row r="190">
      <c r="A190" s="39" t="s">
        <v>792</v>
      </c>
      <c r="B190" s="39" t="s">
        <v>5246</v>
      </c>
      <c r="C190" s="39" t="s">
        <v>5297</v>
      </c>
      <c r="D190" s="47">
        <v>247.0</v>
      </c>
      <c r="E190" s="47">
        <v>144.0</v>
      </c>
      <c r="F190" s="39" t="s">
        <v>5248</v>
      </c>
    </row>
    <row r="191">
      <c r="A191" s="39" t="s">
        <v>792</v>
      </c>
      <c r="B191" s="39" t="s">
        <v>5042</v>
      </c>
      <c r="C191" s="39" t="s">
        <v>5298</v>
      </c>
      <c r="D191" s="47">
        <v>247.0</v>
      </c>
      <c r="E191" s="47">
        <v>145.0</v>
      </c>
      <c r="F191" s="39" t="s">
        <v>5044</v>
      </c>
    </row>
    <row r="192">
      <c r="A192" s="39" t="s">
        <v>792</v>
      </c>
      <c r="B192" s="39" t="s">
        <v>5085</v>
      </c>
      <c r="C192" s="39" t="s">
        <v>5299</v>
      </c>
      <c r="D192" s="47">
        <v>247.0</v>
      </c>
      <c r="E192" s="47">
        <v>146.0</v>
      </c>
      <c r="F192" s="39" t="s">
        <v>5087</v>
      </c>
    </row>
    <row r="193">
      <c r="A193" s="39" t="s">
        <v>792</v>
      </c>
      <c r="B193" s="39" t="s">
        <v>5184</v>
      </c>
      <c r="C193" s="39" t="s">
        <v>5300</v>
      </c>
      <c r="D193" s="47">
        <v>247.0</v>
      </c>
      <c r="E193" s="47">
        <v>147.0</v>
      </c>
      <c r="F193" s="39" t="s">
        <v>5186</v>
      </c>
    </row>
    <row r="194">
      <c r="A194" s="39" t="s">
        <v>792</v>
      </c>
      <c r="B194" s="39" t="s">
        <v>4474</v>
      </c>
      <c r="C194" s="39" t="s">
        <v>5301</v>
      </c>
      <c r="D194" s="47">
        <v>247.0</v>
      </c>
      <c r="E194" s="47">
        <v>148.0</v>
      </c>
      <c r="F194" s="39" t="s">
        <v>5072</v>
      </c>
    </row>
    <row r="195">
      <c r="A195" s="39" t="s">
        <v>792</v>
      </c>
      <c r="B195" s="39" t="s">
        <v>5057</v>
      </c>
      <c r="C195" s="39" t="s">
        <v>5302</v>
      </c>
      <c r="D195" s="47">
        <v>247.0</v>
      </c>
      <c r="E195" s="47">
        <v>149.0</v>
      </c>
      <c r="F195" s="39" t="s">
        <v>5059</v>
      </c>
    </row>
    <row r="196">
      <c r="A196" s="39" t="s">
        <v>792</v>
      </c>
      <c r="B196" s="39" t="s">
        <v>5145</v>
      </c>
      <c r="C196" s="39" t="s">
        <v>5303</v>
      </c>
      <c r="D196" s="47">
        <v>247.0</v>
      </c>
      <c r="E196" s="47">
        <v>150.0</v>
      </c>
      <c r="F196" s="39" t="s">
        <v>5147</v>
      </c>
    </row>
    <row r="197">
      <c r="A197" s="39" t="s">
        <v>792</v>
      </c>
      <c r="B197" s="39" t="s">
        <v>5100</v>
      </c>
      <c r="C197" s="39" t="s">
        <v>5304</v>
      </c>
      <c r="D197" s="47">
        <v>247.0</v>
      </c>
      <c r="E197" s="47">
        <v>151.0</v>
      </c>
      <c r="F197" s="39" t="s">
        <v>5102</v>
      </c>
    </row>
    <row r="198">
      <c r="A198" s="39" t="s">
        <v>792</v>
      </c>
      <c r="B198" s="39" t="s">
        <v>5163</v>
      </c>
      <c r="C198" s="39" t="s">
        <v>5305</v>
      </c>
      <c r="D198" s="47">
        <v>247.0</v>
      </c>
      <c r="E198" s="47">
        <v>152.0</v>
      </c>
      <c r="F198" s="39" t="s">
        <v>5165</v>
      </c>
    </row>
    <row r="199">
      <c r="A199" s="39" t="s">
        <v>792</v>
      </c>
      <c r="B199" s="39" t="s">
        <v>5178</v>
      </c>
      <c r="C199" s="39" t="s">
        <v>5306</v>
      </c>
      <c r="D199" s="47">
        <v>247.0</v>
      </c>
      <c r="E199" s="47">
        <v>153.0</v>
      </c>
      <c r="F199" s="39" t="s">
        <v>5180</v>
      </c>
    </row>
    <row r="200">
      <c r="A200" s="39" t="s">
        <v>792</v>
      </c>
      <c r="B200" s="39" t="s">
        <v>5133</v>
      </c>
      <c r="C200" s="39" t="s">
        <v>5307</v>
      </c>
      <c r="D200" s="47">
        <v>247.0</v>
      </c>
      <c r="E200" s="47">
        <v>154.0</v>
      </c>
      <c r="F200" s="39" t="s">
        <v>5135</v>
      </c>
    </row>
    <row r="201">
      <c r="A201" s="39" t="s">
        <v>792</v>
      </c>
      <c r="B201" s="39" t="s">
        <v>5118</v>
      </c>
      <c r="C201" s="39" t="s">
        <v>5308</v>
      </c>
      <c r="D201" s="47">
        <v>247.0</v>
      </c>
      <c r="E201" s="47">
        <v>155.0</v>
      </c>
      <c r="F201" s="39" t="s">
        <v>5120</v>
      </c>
    </row>
    <row r="202">
      <c r="A202" s="39" t="s">
        <v>792</v>
      </c>
      <c r="B202" s="39" t="s">
        <v>5243</v>
      </c>
      <c r="C202" s="39" t="s">
        <v>5309</v>
      </c>
      <c r="D202" s="47">
        <v>247.0</v>
      </c>
      <c r="E202" s="47">
        <v>156.0</v>
      </c>
      <c r="F202" s="39" t="s">
        <v>5245</v>
      </c>
    </row>
    <row r="203">
      <c r="A203" s="39" t="s">
        <v>792</v>
      </c>
      <c r="B203" s="39" t="s">
        <v>5045</v>
      </c>
      <c r="C203" s="39" t="s">
        <v>5310</v>
      </c>
      <c r="D203" s="47">
        <v>247.0</v>
      </c>
      <c r="E203" s="47">
        <v>157.0</v>
      </c>
      <c r="F203" s="39" t="s">
        <v>5047</v>
      </c>
    </row>
    <row r="204">
      <c r="A204" s="39" t="s">
        <v>792</v>
      </c>
      <c r="B204" s="39" t="s">
        <v>5088</v>
      </c>
      <c r="C204" s="39" t="s">
        <v>5311</v>
      </c>
      <c r="D204" s="47">
        <v>247.0</v>
      </c>
      <c r="E204" s="47">
        <v>158.0</v>
      </c>
      <c r="F204" s="39" t="s">
        <v>5090</v>
      </c>
    </row>
    <row r="205">
      <c r="A205" s="39" t="s">
        <v>792</v>
      </c>
      <c r="B205" s="39" t="s">
        <v>5181</v>
      </c>
      <c r="C205" s="39" t="s">
        <v>5312</v>
      </c>
      <c r="D205" s="47">
        <v>247.0</v>
      </c>
      <c r="E205" s="47">
        <v>159.0</v>
      </c>
      <c r="F205" s="39" t="s">
        <v>5183</v>
      </c>
    </row>
    <row r="206">
      <c r="A206" s="39" t="s">
        <v>792</v>
      </c>
      <c r="B206" s="39" t="s">
        <v>5073</v>
      </c>
      <c r="C206" s="39" t="s">
        <v>5313</v>
      </c>
      <c r="D206" s="47">
        <v>247.0</v>
      </c>
      <c r="E206" s="47">
        <v>160.0</v>
      </c>
      <c r="F206" s="39" t="s">
        <v>5075</v>
      </c>
    </row>
    <row r="207">
      <c r="A207" s="39" t="s">
        <v>792</v>
      </c>
      <c r="B207" s="39" t="s">
        <v>5060</v>
      </c>
      <c r="C207" s="39" t="s">
        <v>5314</v>
      </c>
      <c r="D207" s="47">
        <v>247.0</v>
      </c>
      <c r="E207" s="47">
        <v>161.0</v>
      </c>
      <c r="F207" s="39" t="s">
        <v>5062</v>
      </c>
    </row>
    <row r="208">
      <c r="A208" s="39" t="s">
        <v>792</v>
      </c>
      <c r="B208" s="39" t="s">
        <v>5148</v>
      </c>
      <c r="C208" s="39" t="s">
        <v>5315</v>
      </c>
      <c r="D208" s="47">
        <v>247.0</v>
      </c>
      <c r="E208" s="47">
        <v>162.0</v>
      </c>
      <c r="F208" s="39" t="s">
        <v>5150</v>
      </c>
    </row>
    <row r="209">
      <c r="A209" s="39" t="s">
        <v>792</v>
      </c>
      <c r="B209" s="39" t="s">
        <v>5103</v>
      </c>
      <c r="C209" s="39" t="s">
        <v>5316</v>
      </c>
      <c r="D209" s="47">
        <v>247.0</v>
      </c>
      <c r="E209" s="47">
        <v>163.0</v>
      </c>
      <c r="F209" s="39" t="s">
        <v>5105</v>
      </c>
    </row>
    <row r="210">
      <c r="A210" s="39" t="s">
        <v>792</v>
      </c>
      <c r="B210" s="39" t="s">
        <v>5217</v>
      </c>
      <c r="C210" s="39" t="s">
        <v>5317</v>
      </c>
      <c r="D210" s="47">
        <v>247.0</v>
      </c>
      <c r="E210" s="47">
        <v>164.0</v>
      </c>
      <c r="F210" s="39" t="s">
        <v>5219</v>
      </c>
    </row>
    <row r="211">
      <c r="A211" s="39" t="s">
        <v>792</v>
      </c>
      <c r="B211" s="39" t="s">
        <v>5220</v>
      </c>
      <c r="C211" s="4" t="s">
        <v>5318</v>
      </c>
      <c r="D211" s="47">
        <v>247.0</v>
      </c>
      <c r="E211" s="47">
        <v>165.0</v>
      </c>
      <c r="F211" s="39" t="s">
        <v>5222</v>
      </c>
    </row>
    <row r="212">
      <c r="A212" s="39" t="s">
        <v>792</v>
      </c>
      <c r="B212" s="39" t="s">
        <v>5205</v>
      </c>
      <c r="C212" s="4" t="s">
        <v>5319</v>
      </c>
      <c r="D212" s="47">
        <v>247.0</v>
      </c>
      <c r="E212" s="47">
        <v>166.0</v>
      </c>
      <c r="F212" s="39" t="s">
        <v>5207</v>
      </c>
    </row>
    <row r="213">
      <c r="A213" s="39" t="s">
        <v>792</v>
      </c>
      <c r="B213" s="39" t="s">
        <v>5249</v>
      </c>
      <c r="C213" s="4" t="s">
        <v>5320</v>
      </c>
      <c r="D213" s="47">
        <v>247.0</v>
      </c>
      <c r="E213" s="47">
        <v>167.0</v>
      </c>
      <c r="F213" s="39" t="s">
        <v>5251</v>
      </c>
    </row>
    <row r="214">
      <c r="A214" s="39" t="s">
        <v>792</v>
      </c>
      <c r="B214" s="39" t="s">
        <v>5229</v>
      </c>
      <c r="C214" s="4" t="s">
        <v>5321</v>
      </c>
      <c r="D214" s="47">
        <v>247.0</v>
      </c>
      <c r="E214" s="47">
        <v>168.0</v>
      </c>
      <c r="F214" s="39" t="s">
        <v>5231</v>
      </c>
    </row>
    <row r="215">
      <c r="A215" s="39" t="s">
        <v>792</v>
      </c>
      <c r="B215" s="39" t="s">
        <v>5202</v>
      </c>
      <c r="C215" s="4" t="s">
        <v>5322</v>
      </c>
      <c r="D215" s="47">
        <v>247.0</v>
      </c>
      <c r="E215" s="47">
        <v>169.0</v>
      </c>
      <c r="F215" s="39" t="s">
        <v>5204</v>
      </c>
    </row>
    <row r="216">
      <c r="A216" s="39" t="s">
        <v>792</v>
      </c>
      <c r="B216" s="39" t="s">
        <v>4437</v>
      </c>
      <c r="C216" s="4" t="s">
        <v>5323</v>
      </c>
      <c r="D216" s="47">
        <v>247.0</v>
      </c>
      <c r="E216" s="47">
        <v>170.0</v>
      </c>
      <c r="F216" s="39" t="s">
        <v>5233</v>
      </c>
    </row>
    <row r="217">
      <c r="A217" s="39" t="s">
        <v>792</v>
      </c>
      <c r="B217" s="39" t="s">
        <v>5223</v>
      </c>
      <c r="C217" s="39" t="s">
        <v>5324</v>
      </c>
      <c r="D217" s="47">
        <v>247.0</v>
      </c>
      <c r="E217" s="47">
        <v>171.0</v>
      </c>
      <c r="F217" s="39" t="s">
        <v>5225</v>
      </c>
    </row>
    <row r="218">
      <c r="A218" s="39" t="s">
        <v>792</v>
      </c>
      <c r="B218" s="39" t="s">
        <v>5214</v>
      </c>
      <c r="C218" s="4" t="s">
        <v>5325</v>
      </c>
      <c r="D218" s="47">
        <v>247.0</v>
      </c>
      <c r="E218" s="47">
        <v>172.0</v>
      </c>
      <c r="F218" s="39" t="s">
        <v>5216</v>
      </c>
    </row>
    <row r="219">
      <c r="A219" s="39" t="s">
        <v>792</v>
      </c>
      <c r="B219" s="39" t="s">
        <v>5226</v>
      </c>
      <c r="C219" s="4" t="s">
        <v>5326</v>
      </c>
      <c r="D219" s="47">
        <v>247.0</v>
      </c>
      <c r="E219" s="47">
        <v>173.0</v>
      </c>
      <c r="F219" s="39" t="s">
        <v>5228</v>
      </c>
    </row>
    <row r="220">
      <c r="A220" s="39" t="s">
        <v>792</v>
      </c>
      <c r="B220" s="39" t="s">
        <v>5211</v>
      </c>
      <c r="C220" s="4" t="s">
        <v>5327</v>
      </c>
      <c r="D220" s="47">
        <v>247.0</v>
      </c>
      <c r="E220" s="47">
        <v>174.0</v>
      </c>
      <c r="F220" s="39" t="s">
        <v>5213</v>
      </c>
    </row>
    <row r="221">
      <c r="A221" s="39" t="s">
        <v>792</v>
      </c>
      <c r="B221" s="39" t="s">
        <v>5208</v>
      </c>
      <c r="C221" s="4" t="s">
        <v>5328</v>
      </c>
      <c r="D221" s="47">
        <v>247.0</v>
      </c>
      <c r="E221" s="47">
        <v>175.0</v>
      </c>
      <c r="F221" s="39" t="s">
        <v>5210</v>
      </c>
    </row>
    <row r="222">
      <c r="A222" s="39" t="s">
        <v>792</v>
      </c>
      <c r="B222" s="39" t="s">
        <v>5208</v>
      </c>
      <c r="C222" s="4" t="s">
        <v>5329</v>
      </c>
      <c r="D222" s="47">
        <v>247.0</v>
      </c>
      <c r="E222" s="47">
        <v>176.0</v>
      </c>
      <c r="F222" s="39" t="s">
        <v>5210</v>
      </c>
    </row>
    <row r="223">
      <c r="A223" s="39" t="s">
        <v>792</v>
      </c>
      <c r="B223" s="39" t="s">
        <v>5211</v>
      </c>
      <c r="C223" s="4" t="s">
        <v>5330</v>
      </c>
      <c r="D223" s="47">
        <v>247.0</v>
      </c>
      <c r="E223" s="47">
        <v>177.0</v>
      </c>
      <c r="F223" s="39" t="s">
        <v>5213</v>
      </c>
    </row>
    <row r="224">
      <c r="A224" s="39" t="s">
        <v>792</v>
      </c>
      <c r="B224" s="39" t="s">
        <v>5226</v>
      </c>
      <c r="C224" s="4" t="s">
        <v>5331</v>
      </c>
      <c r="D224" s="47">
        <v>247.0</v>
      </c>
      <c r="E224" s="47">
        <v>178.0</v>
      </c>
      <c r="F224" s="39" t="s">
        <v>5228</v>
      </c>
    </row>
    <row r="225">
      <c r="A225" s="39" t="s">
        <v>792</v>
      </c>
      <c r="B225" s="39" t="s">
        <v>5214</v>
      </c>
      <c r="C225" s="4" t="s">
        <v>5332</v>
      </c>
      <c r="D225" s="47">
        <v>247.0</v>
      </c>
      <c r="E225" s="47">
        <v>179.0</v>
      </c>
      <c r="F225" s="39" t="s">
        <v>5216</v>
      </c>
    </row>
    <row r="226">
      <c r="A226" s="39" t="s">
        <v>792</v>
      </c>
      <c r="B226" s="39" t="s">
        <v>5223</v>
      </c>
      <c r="C226" s="4" t="s">
        <v>5333</v>
      </c>
      <c r="D226" s="47">
        <v>247.0</v>
      </c>
      <c r="E226" s="47">
        <v>180.0</v>
      </c>
      <c r="F226" s="39" t="s">
        <v>5225</v>
      </c>
    </row>
    <row r="227">
      <c r="A227" s="39" t="s">
        <v>792</v>
      </c>
      <c r="B227" s="39" t="s">
        <v>4437</v>
      </c>
      <c r="C227" s="4" t="s">
        <v>5334</v>
      </c>
      <c r="D227" s="47">
        <v>247.0</v>
      </c>
      <c r="E227" s="47">
        <v>181.0</v>
      </c>
      <c r="F227" s="39" t="s">
        <v>5233</v>
      </c>
    </row>
    <row r="228">
      <c r="A228" s="39" t="s">
        <v>792</v>
      </c>
      <c r="B228" s="39" t="s">
        <v>5202</v>
      </c>
      <c r="C228" s="4" t="s">
        <v>5335</v>
      </c>
      <c r="D228" s="47">
        <v>247.0</v>
      </c>
      <c r="E228" s="47">
        <v>182.0</v>
      </c>
      <c r="F228" s="39" t="s">
        <v>5204</v>
      </c>
    </row>
    <row r="229">
      <c r="A229" s="39" t="s">
        <v>792</v>
      </c>
      <c r="B229" s="39" t="s">
        <v>5229</v>
      </c>
      <c r="C229" s="4" t="s">
        <v>5336</v>
      </c>
      <c r="D229" s="47">
        <v>247.0</v>
      </c>
      <c r="E229" s="47">
        <v>183.0</v>
      </c>
      <c r="F229" s="39" t="s">
        <v>5231</v>
      </c>
    </row>
    <row r="230">
      <c r="A230" s="39" t="s">
        <v>792</v>
      </c>
      <c r="B230" s="39" t="s">
        <v>5249</v>
      </c>
      <c r="C230" s="4" t="s">
        <v>5337</v>
      </c>
      <c r="D230" s="47">
        <v>247.0</v>
      </c>
      <c r="E230" s="47">
        <v>184.0</v>
      </c>
      <c r="F230" s="39" t="s">
        <v>5251</v>
      </c>
    </row>
    <row r="231">
      <c r="A231" s="39" t="s">
        <v>792</v>
      </c>
      <c r="B231" s="39" t="s">
        <v>5205</v>
      </c>
      <c r="C231" s="4" t="s">
        <v>5338</v>
      </c>
      <c r="D231" s="47">
        <v>247.0</v>
      </c>
      <c r="E231" s="47">
        <v>185.0</v>
      </c>
      <c r="F231" s="39" t="s">
        <v>5207</v>
      </c>
    </row>
    <row r="232">
      <c r="A232" s="39" t="s">
        <v>792</v>
      </c>
      <c r="B232" s="39" t="s">
        <v>5220</v>
      </c>
      <c r="C232" s="4" t="s">
        <v>5339</v>
      </c>
      <c r="D232" s="47">
        <v>247.0</v>
      </c>
      <c r="E232" s="47">
        <v>186.0</v>
      </c>
      <c r="F232" s="39" t="s">
        <v>5222</v>
      </c>
    </row>
    <row r="233">
      <c r="A233" s="39" t="s">
        <v>792</v>
      </c>
      <c r="B233" s="39" t="s">
        <v>5217</v>
      </c>
      <c r="C233" s="4" t="s">
        <v>5340</v>
      </c>
      <c r="D233" s="47">
        <v>247.0</v>
      </c>
      <c r="E233" s="47">
        <v>187.0</v>
      </c>
      <c r="F233" s="39" t="s">
        <v>5219</v>
      </c>
    </row>
    <row r="234">
      <c r="A234" s="39" t="s">
        <v>792</v>
      </c>
      <c r="B234" s="39" t="s">
        <v>5103</v>
      </c>
      <c r="C234" s="4" t="s">
        <v>5341</v>
      </c>
      <c r="D234" s="47">
        <v>247.0</v>
      </c>
      <c r="E234" s="47">
        <v>188.0</v>
      </c>
      <c r="F234" s="39" t="s">
        <v>5105</v>
      </c>
    </row>
    <row r="235">
      <c r="A235" s="39" t="s">
        <v>792</v>
      </c>
      <c r="B235" s="39" t="s">
        <v>5148</v>
      </c>
      <c r="C235" s="39" t="s">
        <v>5342</v>
      </c>
      <c r="D235" s="47">
        <v>247.0</v>
      </c>
      <c r="E235" s="47">
        <v>189.0</v>
      </c>
      <c r="F235" s="39" t="s">
        <v>5150</v>
      </c>
    </row>
    <row r="236">
      <c r="A236" s="39" t="s">
        <v>792</v>
      </c>
      <c r="B236" s="39" t="s">
        <v>5060</v>
      </c>
      <c r="C236" s="39" t="s">
        <v>5343</v>
      </c>
      <c r="D236" s="47">
        <v>247.0</v>
      </c>
      <c r="E236" s="47">
        <v>190.0</v>
      </c>
      <c r="F236" s="39" t="s">
        <v>5062</v>
      </c>
    </row>
    <row r="237">
      <c r="A237" s="39" t="s">
        <v>792</v>
      </c>
      <c r="B237" s="39" t="s">
        <v>5073</v>
      </c>
      <c r="C237" s="39" t="s">
        <v>5344</v>
      </c>
      <c r="D237" s="47">
        <v>247.0</v>
      </c>
      <c r="E237" s="47">
        <v>191.0</v>
      </c>
      <c r="F237" s="39" t="s">
        <v>5075</v>
      </c>
    </row>
    <row r="238">
      <c r="A238" s="39" t="s">
        <v>792</v>
      </c>
      <c r="B238" s="39" t="s">
        <v>5181</v>
      </c>
      <c r="C238" s="39" t="s">
        <v>5345</v>
      </c>
      <c r="D238" s="47">
        <v>247.0</v>
      </c>
      <c r="E238" s="47">
        <v>192.0</v>
      </c>
      <c r="F238" s="39" t="s">
        <v>5183</v>
      </c>
    </row>
    <row r="239">
      <c r="A239" s="39" t="s">
        <v>792</v>
      </c>
      <c r="B239" s="39" t="s">
        <v>5088</v>
      </c>
      <c r="C239" s="39" t="s">
        <v>5346</v>
      </c>
      <c r="D239" s="47">
        <v>247.0</v>
      </c>
      <c r="E239" s="47">
        <v>193.0</v>
      </c>
      <c r="F239" s="39" t="s">
        <v>5090</v>
      </c>
    </row>
    <row r="240">
      <c r="A240" s="39" t="s">
        <v>792</v>
      </c>
      <c r="B240" s="39" t="s">
        <v>5045</v>
      </c>
      <c r="C240" s="39" t="s">
        <v>5347</v>
      </c>
      <c r="D240" s="47">
        <v>247.0</v>
      </c>
      <c r="E240" s="47">
        <v>194.0</v>
      </c>
      <c r="F240" s="39" t="s">
        <v>5047</v>
      </c>
    </row>
    <row r="241">
      <c r="A241" s="39" t="s">
        <v>792</v>
      </c>
      <c r="B241" s="39" t="s">
        <v>5243</v>
      </c>
      <c r="C241" s="39" t="s">
        <v>5348</v>
      </c>
      <c r="D241" s="47">
        <v>247.0</v>
      </c>
      <c r="E241" s="47">
        <v>195.0</v>
      </c>
      <c r="F241" s="39" t="s">
        <v>5245</v>
      </c>
    </row>
    <row r="242">
      <c r="A242" s="39" t="s">
        <v>792</v>
      </c>
      <c r="B242" s="39" t="s">
        <v>5118</v>
      </c>
      <c r="C242" s="39" t="s">
        <v>5349</v>
      </c>
      <c r="D242" s="47">
        <v>247.0</v>
      </c>
      <c r="E242" s="47">
        <v>196.0</v>
      </c>
      <c r="F242" s="39" t="s">
        <v>5120</v>
      </c>
    </row>
    <row r="243">
      <c r="A243" s="39" t="s">
        <v>792</v>
      </c>
      <c r="B243" s="39" t="s">
        <v>5133</v>
      </c>
      <c r="C243" s="39" t="s">
        <v>5350</v>
      </c>
      <c r="D243" s="47">
        <v>247.0</v>
      </c>
      <c r="E243" s="47">
        <v>197.0</v>
      </c>
      <c r="F243" s="39" t="s">
        <v>5135</v>
      </c>
    </row>
    <row r="244">
      <c r="A244" s="39" t="s">
        <v>792</v>
      </c>
      <c r="B244" s="39" t="s">
        <v>5178</v>
      </c>
      <c r="C244" s="39" t="s">
        <v>5351</v>
      </c>
      <c r="D244" s="47">
        <v>247.0</v>
      </c>
      <c r="E244" s="47">
        <v>198.0</v>
      </c>
      <c r="F244" s="39" t="s">
        <v>5180</v>
      </c>
    </row>
    <row r="245">
      <c r="A245" s="39" t="s">
        <v>792</v>
      </c>
      <c r="B245" s="39" t="s">
        <v>5163</v>
      </c>
      <c r="C245" s="39" t="s">
        <v>5352</v>
      </c>
      <c r="D245" s="47">
        <v>247.0</v>
      </c>
      <c r="E245" s="47">
        <v>199.0</v>
      </c>
      <c r="F245" s="39" t="s">
        <v>5165</v>
      </c>
    </row>
    <row r="246">
      <c r="A246" s="39" t="s">
        <v>792</v>
      </c>
      <c r="B246" s="39" t="s">
        <v>5100</v>
      </c>
      <c r="C246" s="39" t="s">
        <v>5353</v>
      </c>
      <c r="D246" s="47">
        <v>247.0</v>
      </c>
      <c r="E246" s="47">
        <v>200.0</v>
      </c>
      <c r="F246" s="39" t="s">
        <v>5102</v>
      </c>
    </row>
    <row r="247">
      <c r="A247" s="39" t="s">
        <v>792</v>
      </c>
      <c r="B247" s="39" t="s">
        <v>5145</v>
      </c>
      <c r="C247" s="39" t="s">
        <v>5354</v>
      </c>
      <c r="D247" s="47">
        <v>247.0</v>
      </c>
      <c r="E247" s="47">
        <v>201.0</v>
      </c>
      <c r="F247" s="39" t="s">
        <v>5147</v>
      </c>
    </row>
    <row r="248">
      <c r="A248" s="39" t="s">
        <v>792</v>
      </c>
      <c r="B248" s="39" t="s">
        <v>5057</v>
      </c>
      <c r="C248" s="39" t="s">
        <v>5355</v>
      </c>
      <c r="D248" s="47">
        <v>247.0</v>
      </c>
      <c r="E248" s="47">
        <v>202.0</v>
      </c>
      <c r="F248" s="39" t="s">
        <v>5059</v>
      </c>
    </row>
    <row r="249">
      <c r="A249" s="39" t="s">
        <v>792</v>
      </c>
      <c r="B249" s="39" t="s">
        <v>4474</v>
      </c>
      <c r="C249" s="39" t="s">
        <v>5356</v>
      </c>
      <c r="D249" s="47">
        <v>247.0</v>
      </c>
      <c r="E249" s="47">
        <v>203.0</v>
      </c>
      <c r="F249" s="39" t="s">
        <v>5072</v>
      </c>
    </row>
    <row r="250">
      <c r="A250" s="39" t="s">
        <v>792</v>
      </c>
      <c r="B250" s="39" t="s">
        <v>5184</v>
      </c>
      <c r="C250" s="39" t="s">
        <v>5357</v>
      </c>
      <c r="D250" s="47">
        <v>247.0</v>
      </c>
      <c r="E250" s="47">
        <v>204.0</v>
      </c>
      <c r="F250" s="39" t="s">
        <v>5186</v>
      </c>
    </row>
    <row r="251">
      <c r="A251" s="39" t="s">
        <v>792</v>
      </c>
      <c r="B251" s="39" t="s">
        <v>5085</v>
      </c>
      <c r="C251" s="39" t="s">
        <v>5358</v>
      </c>
      <c r="D251" s="47">
        <v>247.0</v>
      </c>
      <c r="E251" s="47">
        <v>205.0</v>
      </c>
      <c r="F251" s="39" t="s">
        <v>5087</v>
      </c>
    </row>
    <row r="252">
      <c r="A252" s="39" t="s">
        <v>792</v>
      </c>
      <c r="B252" s="39" t="s">
        <v>5042</v>
      </c>
      <c r="C252" s="39" t="s">
        <v>5359</v>
      </c>
      <c r="D252" s="47">
        <v>247.0</v>
      </c>
      <c r="E252" s="47">
        <v>206.0</v>
      </c>
      <c r="F252" s="39" t="s">
        <v>5044</v>
      </c>
    </row>
    <row r="253">
      <c r="A253" s="39" t="s">
        <v>792</v>
      </c>
      <c r="B253" s="39" t="s">
        <v>5246</v>
      </c>
      <c r="C253" s="39" t="s">
        <v>5360</v>
      </c>
      <c r="D253" s="47">
        <v>247.0</v>
      </c>
      <c r="E253" s="47">
        <v>207.0</v>
      </c>
      <c r="F253" s="39" t="s">
        <v>5248</v>
      </c>
    </row>
    <row r="254">
      <c r="A254" s="39" t="s">
        <v>792</v>
      </c>
      <c r="B254" s="39" t="s">
        <v>5115</v>
      </c>
      <c r="C254" s="39" t="s">
        <v>5361</v>
      </c>
      <c r="D254" s="47">
        <v>247.0</v>
      </c>
      <c r="E254" s="47">
        <v>208.0</v>
      </c>
      <c r="F254" s="39" t="s">
        <v>5117</v>
      </c>
    </row>
    <row r="255">
      <c r="A255" s="39" t="s">
        <v>792</v>
      </c>
      <c r="B255" s="39" t="s">
        <v>5124</v>
      </c>
      <c r="C255" s="39" t="s">
        <v>5362</v>
      </c>
      <c r="D255" s="47">
        <v>247.0</v>
      </c>
      <c r="E255" s="47">
        <v>209.0</v>
      </c>
      <c r="F255" s="39" t="s">
        <v>5126</v>
      </c>
    </row>
    <row r="256">
      <c r="A256" s="39" t="s">
        <v>792</v>
      </c>
      <c r="B256" s="39" t="s">
        <v>5175</v>
      </c>
      <c r="C256" s="39" t="s">
        <v>5363</v>
      </c>
      <c r="D256" s="47">
        <v>247.0</v>
      </c>
      <c r="E256" s="47">
        <v>210.0</v>
      </c>
      <c r="F256" s="39" t="s">
        <v>5177</v>
      </c>
    </row>
    <row r="257">
      <c r="A257" s="39" t="s">
        <v>792</v>
      </c>
      <c r="B257" s="39" t="s">
        <v>5151</v>
      </c>
      <c r="C257" s="39" t="s">
        <v>5364</v>
      </c>
      <c r="D257" s="47">
        <v>247.0</v>
      </c>
      <c r="E257" s="47">
        <v>211.0</v>
      </c>
      <c r="F257" s="39" t="s">
        <v>5153</v>
      </c>
    </row>
    <row r="258">
      <c r="A258" s="39" t="s">
        <v>792</v>
      </c>
      <c r="B258" s="39" t="s">
        <v>5094</v>
      </c>
      <c r="C258" s="39" t="s">
        <v>5365</v>
      </c>
      <c r="D258" s="47">
        <v>247.0</v>
      </c>
      <c r="E258" s="47">
        <v>212.0</v>
      </c>
      <c r="F258" s="39" t="s">
        <v>5096</v>
      </c>
    </row>
    <row r="259">
      <c r="A259" s="39" t="s">
        <v>792</v>
      </c>
      <c r="B259" s="39" t="s">
        <v>5139</v>
      </c>
      <c r="C259" s="39" t="s">
        <v>5366</v>
      </c>
      <c r="D259" s="47">
        <v>247.0</v>
      </c>
      <c r="E259" s="47">
        <v>213.0</v>
      </c>
      <c r="F259" s="39" t="s">
        <v>5141</v>
      </c>
    </row>
    <row r="260">
      <c r="A260" s="39" t="s">
        <v>792</v>
      </c>
      <c r="B260" s="39" t="s">
        <v>5051</v>
      </c>
      <c r="C260" s="39" t="s">
        <v>5367</v>
      </c>
      <c r="D260" s="47">
        <v>247.0</v>
      </c>
      <c r="E260" s="47">
        <v>214.0</v>
      </c>
      <c r="F260" s="39" t="s">
        <v>5053</v>
      </c>
    </row>
    <row r="261">
      <c r="A261" s="39" t="s">
        <v>792</v>
      </c>
      <c r="B261" s="39" t="s">
        <v>4483</v>
      </c>
      <c r="C261" s="39" t="s">
        <v>5368</v>
      </c>
      <c r="D261" s="47">
        <v>247.0</v>
      </c>
      <c r="E261" s="47">
        <v>215.0</v>
      </c>
      <c r="F261" s="39" t="s">
        <v>5067</v>
      </c>
    </row>
    <row r="262">
      <c r="A262" s="39" t="s">
        <v>792</v>
      </c>
      <c r="B262" s="39" t="s">
        <v>5187</v>
      </c>
      <c r="C262" s="39" t="s">
        <v>5369</v>
      </c>
      <c r="D262" s="47">
        <v>247.0</v>
      </c>
      <c r="E262" s="47">
        <v>216.0</v>
      </c>
      <c r="F262" s="39" t="s">
        <v>5189</v>
      </c>
    </row>
    <row r="263">
      <c r="A263" s="39" t="s">
        <v>792</v>
      </c>
      <c r="B263" s="39" t="s">
        <v>5079</v>
      </c>
      <c r="C263" s="39" t="s">
        <v>5370</v>
      </c>
      <c r="D263" s="47">
        <v>247.0</v>
      </c>
      <c r="E263" s="47">
        <v>217.0</v>
      </c>
      <c r="F263" s="39" t="s">
        <v>5081</v>
      </c>
    </row>
    <row r="264">
      <c r="A264" s="39" t="s">
        <v>792</v>
      </c>
      <c r="B264" s="39" t="s">
        <v>5036</v>
      </c>
      <c r="C264" s="39" t="s">
        <v>5371</v>
      </c>
      <c r="D264" s="47">
        <v>247.0</v>
      </c>
      <c r="E264" s="47">
        <v>218.0</v>
      </c>
      <c r="F264" s="39" t="s">
        <v>5038</v>
      </c>
    </row>
    <row r="265">
      <c r="A265" s="39" t="s">
        <v>792</v>
      </c>
      <c r="B265" s="39" t="s">
        <v>5240</v>
      </c>
      <c r="C265" s="39" t="s">
        <v>5372</v>
      </c>
      <c r="D265" s="47">
        <v>247.0</v>
      </c>
      <c r="E265" s="47">
        <v>219.0</v>
      </c>
      <c r="F265" s="39" t="s">
        <v>5242</v>
      </c>
    </row>
    <row r="266">
      <c r="A266" s="39" t="s">
        <v>792</v>
      </c>
      <c r="B266" s="39" t="s">
        <v>5109</v>
      </c>
      <c r="C266" s="39" t="s">
        <v>5373</v>
      </c>
      <c r="D266" s="47">
        <v>247.0</v>
      </c>
      <c r="E266" s="47">
        <v>220.0</v>
      </c>
      <c r="F266" s="39" t="s">
        <v>5111</v>
      </c>
    </row>
    <row r="267">
      <c r="A267" s="39" t="s">
        <v>792</v>
      </c>
      <c r="B267" s="39" t="s">
        <v>5121</v>
      </c>
      <c r="C267" s="39" t="s">
        <v>5374</v>
      </c>
      <c r="D267" s="47">
        <v>247.0</v>
      </c>
      <c r="E267" s="47">
        <v>221.0</v>
      </c>
      <c r="F267" s="39" t="s">
        <v>5123</v>
      </c>
    </row>
    <row r="268">
      <c r="A268" s="39" t="s">
        <v>792</v>
      </c>
      <c r="B268" s="39" t="s">
        <v>5166</v>
      </c>
      <c r="C268" s="39" t="s">
        <v>5375</v>
      </c>
      <c r="D268" s="47">
        <v>247.0</v>
      </c>
      <c r="E268" s="47">
        <v>222.0</v>
      </c>
      <c r="F268" s="39" t="s">
        <v>5168</v>
      </c>
    </row>
    <row r="269">
      <c r="A269" s="39" t="s">
        <v>792</v>
      </c>
      <c r="B269" s="39" t="s">
        <v>5157</v>
      </c>
      <c r="C269" s="39" t="s">
        <v>5376</v>
      </c>
      <c r="D269" s="47">
        <v>247.0</v>
      </c>
      <c r="E269" s="47">
        <v>223.0</v>
      </c>
      <c r="F269" s="39" t="s">
        <v>5159</v>
      </c>
    </row>
    <row r="270">
      <c r="A270" s="39" t="s">
        <v>792</v>
      </c>
      <c r="B270" s="39" t="s">
        <v>5097</v>
      </c>
      <c r="C270" s="39" t="s">
        <v>5377</v>
      </c>
      <c r="D270" s="47">
        <v>247.0</v>
      </c>
      <c r="E270" s="47">
        <v>224.0</v>
      </c>
      <c r="F270" s="39" t="s">
        <v>5099</v>
      </c>
    </row>
    <row r="271">
      <c r="A271" s="39" t="s">
        <v>792</v>
      </c>
      <c r="B271" s="39" t="s">
        <v>5142</v>
      </c>
      <c r="C271" s="39" t="s">
        <v>5378</v>
      </c>
      <c r="D271" s="47">
        <v>247.0</v>
      </c>
      <c r="E271" s="47">
        <v>225.0</v>
      </c>
      <c r="F271" s="39" t="s">
        <v>5144</v>
      </c>
    </row>
    <row r="272">
      <c r="A272" s="39" t="s">
        <v>792</v>
      </c>
      <c r="B272" s="39" t="s">
        <v>5054</v>
      </c>
      <c r="C272" s="39" t="s">
        <v>5379</v>
      </c>
      <c r="D272" s="47">
        <v>247.0</v>
      </c>
      <c r="E272" s="47">
        <v>226.0</v>
      </c>
      <c r="F272" s="39" t="s">
        <v>5056</v>
      </c>
    </row>
    <row r="273">
      <c r="A273" s="39" t="s">
        <v>792</v>
      </c>
      <c r="B273" s="39" t="s">
        <v>5068</v>
      </c>
      <c r="C273" s="39" t="s">
        <v>5380</v>
      </c>
      <c r="D273" s="47">
        <v>247.0</v>
      </c>
      <c r="E273" s="47">
        <v>227.0</v>
      </c>
      <c r="F273" s="39" t="s">
        <v>5070</v>
      </c>
    </row>
    <row r="274">
      <c r="A274" s="39" t="s">
        <v>792</v>
      </c>
      <c r="B274" s="39" t="s">
        <v>5190</v>
      </c>
      <c r="C274" s="39" t="s">
        <v>5381</v>
      </c>
      <c r="D274" s="47">
        <v>247.0</v>
      </c>
      <c r="E274" s="47">
        <v>228.0</v>
      </c>
      <c r="F274" s="39" t="s">
        <v>5192</v>
      </c>
    </row>
    <row r="275">
      <c r="A275" s="39" t="s">
        <v>792</v>
      </c>
      <c r="B275" s="39" t="s">
        <v>5082</v>
      </c>
      <c r="C275" s="39" t="s">
        <v>5382</v>
      </c>
      <c r="D275" s="47">
        <v>247.0</v>
      </c>
      <c r="E275" s="47">
        <v>229.0</v>
      </c>
      <c r="F275" s="39" t="s">
        <v>5084</v>
      </c>
    </row>
    <row r="276">
      <c r="A276" s="39" t="s">
        <v>792</v>
      </c>
      <c r="B276" s="39" t="s">
        <v>5039</v>
      </c>
      <c r="C276" s="39" t="s">
        <v>5383</v>
      </c>
      <c r="D276" s="47">
        <v>247.0</v>
      </c>
      <c r="E276" s="47">
        <v>230.0</v>
      </c>
      <c r="F276" s="39" t="s">
        <v>5041</v>
      </c>
    </row>
    <row r="277">
      <c r="A277" s="39" t="s">
        <v>792</v>
      </c>
      <c r="B277" s="39" t="s">
        <v>5237</v>
      </c>
      <c r="C277" s="39" t="s">
        <v>5384</v>
      </c>
      <c r="D277" s="47">
        <v>247.0</v>
      </c>
      <c r="E277" s="47">
        <v>231.0</v>
      </c>
      <c r="F277" s="39" t="s">
        <v>5239</v>
      </c>
    </row>
    <row r="278">
      <c r="A278" s="39" t="s">
        <v>792</v>
      </c>
      <c r="B278" s="39" t="s">
        <v>5112</v>
      </c>
      <c r="C278" s="39" t="s">
        <v>5385</v>
      </c>
      <c r="D278" s="47">
        <v>247.0</v>
      </c>
      <c r="E278" s="47">
        <v>232.0</v>
      </c>
      <c r="F278" s="39" t="s">
        <v>5114</v>
      </c>
    </row>
    <row r="279">
      <c r="A279" s="39" t="s">
        <v>792</v>
      </c>
      <c r="B279" s="39" t="s">
        <v>5130</v>
      </c>
      <c r="C279" s="39" t="s">
        <v>5386</v>
      </c>
      <c r="D279" s="47">
        <v>247.0</v>
      </c>
      <c r="E279" s="47">
        <v>233.0</v>
      </c>
      <c r="F279" s="39" t="s">
        <v>5132</v>
      </c>
    </row>
    <row r="280">
      <c r="A280" s="39" t="s">
        <v>792</v>
      </c>
      <c r="B280" s="39" t="s">
        <v>5169</v>
      </c>
      <c r="C280" s="39" t="s">
        <v>5387</v>
      </c>
      <c r="D280" s="47">
        <v>247.0</v>
      </c>
      <c r="E280" s="47">
        <v>234.0</v>
      </c>
      <c r="F280" s="39" t="s">
        <v>5171</v>
      </c>
    </row>
    <row r="281">
      <c r="A281" s="39" t="s">
        <v>792</v>
      </c>
      <c r="B281" s="39" t="s">
        <v>5160</v>
      </c>
      <c r="C281" s="39" t="s">
        <v>5388</v>
      </c>
      <c r="D281" s="47">
        <v>247.0</v>
      </c>
      <c r="E281" s="47">
        <v>235.0</v>
      </c>
      <c r="F281" s="39" t="s">
        <v>5162</v>
      </c>
    </row>
    <row r="282">
      <c r="A282" s="39" t="s">
        <v>792</v>
      </c>
      <c r="B282" s="39" t="s">
        <v>5091</v>
      </c>
      <c r="C282" s="39" t="s">
        <v>5389</v>
      </c>
      <c r="D282" s="47">
        <v>247.0</v>
      </c>
      <c r="E282" s="47">
        <v>236.0</v>
      </c>
      <c r="F282" s="39" t="s">
        <v>5093</v>
      </c>
    </row>
    <row r="283">
      <c r="A283" s="39" t="s">
        <v>792</v>
      </c>
      <c r="B283" s="39" t="s">
        <v>5136</v>
      </c>
      <c r="C283" s="39" t="s">
        <v>5390</v>
      </c>
      <c r="D283" s="47">
        <v>247.0</v>
      </c>
      <c r="E283" s="47">
        <v>237.0</v>
      </c>
      <c r="F283" s="39" t="s">
        <v>5138</v>
      </c>
    </row>
    <row r="284">
      <c r="A284" s="39" t="s">
        <v>792</v>
      </c>
      <c r="B284" s="39" t="s">
        <v>5048</v>
      </c>
      <c r="C284" s="39" t="s">
        <v>5391</v>
      </c>
      <c r="D284" s="47">
        <v>247.0</v>
      </c>
      <c r="E284" s="47">
        <v>238.0</v>
      </c>
      <c r="F284" s="39" t="s">
        <v>5050</v>
      </c>
    </row>
    <row r="285">
      <c r="A285" s="39" t="s">
        <v>792</v>
      </c>
      <c r="B285" s="39" t="s">
        <v>5063</v>
      </c>
      <c r="C285" s="39" t="s">
        <v>5392</v>
      </c>
      <c r="D285" s="47">
        <v>247.0</v>
      </c>
      <c r="E285" s="47">
        <v>239.0</v>
      </c>
      <c r="F285" s="39" t="s">
        <v>5065</v>
      </c>
    </row>
    <row r="286">
      <c r="A286" s="39" t="s">
        <v>792</v>
      </c>
      <c r="B286" s="39" t="s">
        <v>5193</v>
      </c>
      <c r="C286" s="39" t="s">
        <v>5393</v>
      </c>
      <c r="D286" s="47">
        <v>247.0</v>
      </c>
      <c r="E286" s="47">
        <v>240.0</v>
      </c>
      <c r="F286" s="39" t="s">
        <v>5195</v>
      </c>
    </row>
    <row r="287">
      <c r="A287" s="39" t="s">
        <v>792</v>
      </c>
      <c r="B287" s="39" t="s">
        <v>5076</v>
      </c>
      <c r="C287" s="39" t="s">
        <v>5394</v>
      </c>
      <c r="D287" s="47">
        <v>247.0</v>
      </c>
      <c r="E287" s="47">
        <v>241.0</v>
      </c>
      <c r="F287" s="39" t="s">
        <v>5078</v>
      </c>
    </row>
    <row r="288">
      <c r="A288" s="39" t="s">
        <v>792</v>
      </c>
      <c r="B288" s="39" t="s">
        <v>5033</v>
      </c>
      <c r="C288" s="39" t="s">
        <v>5395</v>
      </c>
      <c r="D288" s="47">
        <v>247.0</v>
      </c>
      <c r="E288" s="47">
        <v>242.0</v>
      </c>
      <c r="F288" s="39" t="s">
        <v>5035</v>
      </c>
    </row>
    <row r="289">
      <c r="A289" s="39" t="s">
        <v>792</v>
      </c>
      <c r="B289" s="39" t="s">
        <v>5234</v>
      </c>
      <c r="C289" s="39" t="s">
        <v>5396</v>
      </c>
      <c r="D289" s="47">
        <v>247.0</v>
      </c>
      <c r="E289" s="47">
        <v>243.0</v>
      </c>
      <c r="F289" s="39" t="s">
        <v>5236</v>
      </c>
    </row>
    <row r="290">
      <c r="A290" s="39" t="s">
        <v>792</v>
      </c>
      <c r="B290" s="39" t="s">
        <v>5106</v>
      </c>
      <c r="C290" s="39" t="s">
        <v>5397</v>
      </c>
      <c r="D290" s="47">
        <v>247.0</v>
      </c>
      <c r="E290" s="47">
        <v>244.0</v>
      </c>
      <c r="F290" s="39" t="s">
        <v>5108</v>
      </c>
    </row>
    <row r="291">
      <c r="A291" s="39" t="s">
        <v>792</v>
      </c>
      <c r="B291" s="39" t="s">
        <v>5127</v>
      </c>
      <c r="C291" s="39" t="s">
        <v>5398</v>
      </c>
      <c r="D291" s="47">
        <v>247.0</v>
      </c>
      <c r="E291" s="47">
        <v>245.0</v>
      </c>
      <c r="F291" s="39" t="s">
        <v>5129</v>
      </c>
    </row>
    <row r="292">
      <c r="A292" s="39" t="s">
        <v>792</v>
      </c>
      <c r="B292" s="39" t="s">
        <v>5172</v>
      </c>
      <c r="C292" s="39" t="s">
        <v>5399</v>
      </c>
      <c r="D292" s="47">
        <v>247.0</v>
      </c>
      <c r="E292" s="47">
        <v>246.0</v>
      </c>
      <c r="F292" s="39" t="s">
        <v>5174</v>
      </c>
    </row>
    <row r="293">
      <c r="A293" s="39" t="s">
        <v>792</v>
      </c>
      <c r="B293" s="39" t="s">
        <v>5154</v>
      </c>
      <c r="C293" s="39" t="s">
        <v>5400</v>
      </c>
      <c r="D293" s="47">
        <v>247.0</v>
      </c>
      <c r="E293" s="47">
        <v>247.0</v>
      </c>
      <c r="F293" s="39" t="s">
        <v>5156</v>
      </c>
    </row>
  </sheetData>
  <autoFilter ref="$A$1:$G$293"/>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5.25"/>
    <col customWidth="1" min="3" max="3" width="42.5"/>
    <col customWidth="1" min="4" max="5" width="7.88"/>
  </cols>
  <sheetData>
    <row r="1">
      <c r="A1" s="43" t="s">
        <v>78</v>
      </c>
      <c r="B1" s="43" t="s">
        <v>54</v>
      </c>
      <c r="C1" s="43" t="s">
        <v>3579</v>
      </c>
      <c r="D1" s="44" t="s">
        <v>3425</v>
      </c>
      <c r="E1" s="44" t="s">
        <v>788</v>
      </c>
      <c r="F1" s="43" t="s">
        <v>792</v>
      </c>
      <c r="G1" s="43" t="s">
        <v>793</v>
      </c>
    </row>
    <row r="2">
      <c r="A2" s="39" t="s">
        <v>378</v>
      </c>
      <c r="B2" s="38" t="s">
        <v>3810</v>
      </c>
      <c r="C2" s="35" t="s">
        <v>4536</v>
      </c>
      <c r="D2" s="46">
        <v>234.0</v>
      </c>
      <c r="E2" s="46">
        <v>85.0</v>
      </c>
    </row>
    <row r="3">
      <c r="A3" s="39" t="s">
        <v>378</v>
      </c>
      <c r="B3" s="39" t="s">
        <v>3797</v>
      </c>
      <c r="C3" s="35" t="s">
        <v>4529</v>
      </c>
      <c r="D3" s="46">
        <v>234.0</v>
      </c>
      <c r="E3" s="46">
        <v>78.0</v>
      </c>
    </row>
    <row r="4">
      <c r="A4" s="39" t="s">
        <v>378</v>
      </c>
      <c r="B4" s="76" t="s">
        <v>3814</v>
      </c>
      <c r="C4" s="35" t="s">
        <v>4538</v>
      </c>
      <c r="D4" s="46">
        <v>234.0</v>
      </c>
      <c r="E4" s="46">
        <v>87.0</v>
      </c>
    </row>
    <row r="5">
      <c r="A5" s="39" t="s">
        <v>378</v>
      </c>
      <c r="B5" s="76" t="s">
        <v>3816</v>
      </c>
      <c r="C5" s="35" t="s">
        <v>4539</v>
      </c>
      <c r="D5" s="46">
        <v>234.0</v>
      </c>
      <c r="E5" s="46">
        <v>88.0</v>
      </c>
    </row>
    <row r="6">
      <c r="A6" s="39" t="s">
        <v>378</v>
      </c>
      <c r="B6" s="39" t="s">
        <v>3803</v>
      </c>
      <c r="C6" s="35" t="s">
        <v>4532</v>
      </c>
      <c r="D6" s="46">
        <v>234.0</v>
      </c>
      <c r="E6" s="46">
        <v>81.0</v>
      </c>
    </row>
    <row r="7">
      <c r="A7" s="39" t="s">
        <v>378</v>
      </c>
      <c r="B7" s="76" t="s">
        <v>3826</v>
      </c>
      <c r="C7" s="35" t="s">
        <v>4544</v>
      </c>
      <c r="D7" s="46">
        <v>234.0</v>
      </c>
      <c r="E7" s="46">
        <v>93.0</v>
      </c>
    </row>
    <row r="8">
      <c r="A8" s="39" t="s">
        <v>378</v>
      </c>
      <c r="B8" s="76" t="s">
        <v>3828</v>
      </c>
      <c r="C8" s="35" t="s">
        <v>4545</v>
      </c>
      <c r="D8" s="46">
        <v>234.0</v>
      </c>
      <c r="E8" s="46">
        <v>94.0</v>
      </c>
    </row>
    <row r="9">
      <c r="A9" s="39" t="s">
        <v>378</v>
      </c>
      <c r="B9" s="38" t="s">
        <v>3808</v>
      </c>
      <c r="C9" s="35" t="s">
        <v>4535</v>
      </c>
      <c r="D9" s="46">
        <v>234.0</v>
      </c>
      <c r="E9" s="46">
        <v>84.0</v>
      </c>
    </row>
    <row r="10">
      <c r="A10" s="39" t="s">
        <v>378</v>
      </c>
      <c r="B10" s="39" t="s">
        <v>3801</v>
      </c>
      <c r="C10" s="35" t="s">
        <v>4531</v>
      </c>
      <c r="D10" s="46">
        <v>234.0</v>
      </c>
      <c r="E10" s="46">
        <v>80.0</v>
      </c>
    </row>
    <row r="11">
      <c r="A11" s="39" t="s">
        <v>378</v>
      </c>
      <c r="B11" s="76" t="s">
        <v>3822</v>
      </c>
      <c r="C11" s="35" t="s">
        <v>4542</v>
      </c>
      <c r="D11" s="46">
        <v>234.0</v>
      </c>
      <c r="E11" s="46">
        <v>91.0</v>
      </c>
    </row>
    <row r="12">
      <c r="A12" s="39" t="s">
        <v>378</v>
      </c>
      <c r="B12" s="38" t="s">
        <v>3791</v>
      </c>
      <c r="C12" s="35" t="s">
        <v>4526</v>
      </c>
      <c r="D12" s="46">
        <v>234.0</v>
      </c>
      <c r="E12" s="46">
        <v>75.0</v>
      </c>
    </row>
    <row r="13">
      <c r="A13" s="39" t="s">
        <v>378</v>
      </c>
      <c r="B13" s="76" t="s">
        <v>3812</v>
      </c>
      <c r="C13" s="35" t="s">
        <v>4537</v>
      </c>
      <c r="D13" s="46">
        <v>234.0</v>
      </c>
      <c r="E13" s="46">
        <v>86.0</v>
      </c>
    </row>
    <row r="14">
      <c r="A14" s="39" t="s">
        <v>378</v>
      </c>
      <c r="B14" s="76" t="s">
        <v>3824</v>
      </c>
      <c r="C14" s="35" t="s">
        <v>4543</v>
      </c>
      <c r="D14" s="46">
        <v>234.0</v>
      </c>
      <c r="E14" s="46">
        <v>92.0</v>
      </c>
    </row>
    <row r="15">
      <c r="A15" s="39" t="s">
        <v>378</v>
      </c>
      <c r="B15" s="39" t="s">
        <v>3799</v>
      </c>
      <c r="C15" s="35" t="s">
        <v>4530</v>
      </c>
      <c r="D15" s="46">
        <v>234.0</v>
      </c>
      <c r="E15" s="46">
        <v>79.0</v>
      </c>
    </row>
    <row r="16">
      <c r="A16" s="39" t="s">
        <v>378</v>
      </c>
      <c r="B16" s="76" t="s">
        <v>3820</v>
      </c>
      <c r="C16" s="35" t="s">
        <v>4541</v>
      </c>
      <c r="D16" s="46">
        <v>234.0</v>
      </c>
      <c r="E16" s="46">
        <v>90.0</v>
      </c>
    </row>
    <row r="17">
      <c r="A17" s="39" t="s">
        <v>378</v>
      </c>
      <c r="B17" s="38" t="s">
        <v>3795</v>
      </c>
      <c r="C17" s="35" t="s">
        <v>4528</v>
      </c>
      <c r="D17" s="46">
        <v>234.0</v>
      </c>
      <c r="E17" s="46">
        <v>77.0</v>
      </c>
    </row>
    <row r="18">
      <c r="A18" s="39" t="s">
        <v>378</v>
      </c>
      <c r="B18" s="38" t="s">
        <v>160</v>
      </c>
      <c r="C18" s="35" t="s">
        <v>4533</v>
      </c>
      <c r="D18" s="46">
        <v>234.0</v>
      </c>
      <c r="E18" s="46">
        <v>82.0</v>
      </c>
    </row>
    <row r="19">
      <c r="A19" s="39" t="s">
        <v>378</v>
      </c>
      <c r="B19" s="38" t="s">
        <v>3793</v>
      </c>
      <c r="C19" s="35" t="s">
        <v>4527</v>
      </c>
      <c r="D19" s="46">
        <v>234.0</v>
      </c>
      <c r="E19" s="46">
        <v>76.0</v>
      </c>
    </row>
    <row r="20">
      <c r="A20" s="39" t="s">
        <v>378</v>
      </c>
      <c r="B20" s="38" t="s">
        <v>3999</v>
      </c>
      <c r="C20" s="35" t="s">
        <v>4525</v>
      </c>
      <c r="D20" s="46">
        <v>234.0</v>
      </c>
      <c r="E20" s="46">
        <v>74.0</v>
      </c>
    </row>
    <row r="21">
      <c r="A21" s="39" t="s">
        <v>378</v>
      </c>
      <c r="B21" s="38" t="s">
        <v>3806</v>
      </c>
      <c r="C21" s="35" t="s">
        <v>4534</v>
      </c>
      <c r="D21" s="46">
        <v>234.0</v>
      </c>
      <c r="E21" s="46">
        <v>83.0</v>
      </c>
    </row>
    <row r="22">
      <c r="A22" s="39" t="s">
        <v>378</v>
      </c>
      <c r="B22" s="76" t="s">
        <v>3818</v>
      </c>
      <c r="C22" s="35" t="s">
        <v>4540</v>
      </c>
      <c r="D22" s="46">
        <v>234.0</v>
      </c>
      <c r="E22" s="46">
        <v>89.0</v>
      </c>
    </row>
    <row r="23">
      <c r="A23" s="59" t="s">
        <v>378</v>
      </c>
      <c r="B23" s="51" t="s">
        <v>5031</v>
      </c>
      <c r="C23" s="51" t="s">
        <v>5401</v>
      </c>
      <c r="D23" s="53">
        <v>234.0</v>
      </c>
      <c r="E23" s="53">
        <v>103.0</v>
      </c>
      <c r="F23" s="87"/>
      <c r="G23" s="87"/>
    </row>
    <row r="24">
      <c r="A24" s="39" t="s">
        <v>136</v>
      </c>
      <c r="B24" s="38" t="s">
        <v>3810</v>
      </c>
      <c r="C24" s="35" t="s">
        <v>5016</v>
      </c>
      <c r="D24" s="46">
        <v>247.0</v>
      </c>
      <c r="E24" s="46">
        <v>11.0</v>
      </c>
    </row>
    <row r="25">
      <c r="A25" s="39" t="s">
        <v>136</v>
      </c>
      <c r="B25" s="39" t="s">
        <v>3797</v>
      </c>
      <c r="C25" s="35" t="s">
        <v>5008</v>
      </c>
      <c r="D25" s="46">
        <v>247.0</v>
      </c>
      <c r="E25" s="46">
        <v>4.0</v>
      </c>
    </row>
    <row r="26">
      <c r="A26" s="39" t="s">
        <v>136</v>
      </c>
      <c r="B26" s="76" t="s">
        <v>3814</v>
      </c>
      <c r="C26" s="35" t="s">
        <v>5020</v>
      </c>
      <c r="D26" s="46">
        <v>247.0</v>
      </c>
      <c r="E26" s="46">
        <v>13.0</v>
      </c>
    </row>
    <row r="27">
      <c r="A27" s="39" t="s">
        <v>136</v>
      </c>
      <c r="B27" s="76" t="s">
        <v>3816</v>
      </c>
      <c r="C27" s="35" t="s">
        <v>5021</v>
      </c>
      <c r="D27" s="46">
        <v>247.0</v>
      </c>
      <c r="E27" s="46">
        <v>14.0</v>
      </c>
    </row>
    <row r="28">
      <c r="A28" s="39" t="s">
        <v>136</v>
      </c>
      <c r="B28" s="39" t="s">
        <v>3803</v>
      </c>
      <c r="C28" s="35" t="s">
        <v>5011</v>
      </c>
      <c r="D28" s="46">
        <v>247.0</v>
      </c>
      <c r="E28" s="46">
        <v>7.0</v>
      </c>
    </row>
    <row r="29">
      <c r="A29" s="39" t="s">
        <v>136</v>
      </c>
      <c r="B29" s="76" t="s">
        <v>3826</v>
      </c>
      <c r="C29" s="35" t="s">
        <v>5027</v>
      </c>
      <c r="D29" s="46">
        <v>247.0</v>
      </c>
      <c r="E29" s="46">
        <v>19.0</v>
      </c>
    </row>
    <row r="30">
      <c r="A30" s="39" t="s">
        <v>136</v>
      </c>
      <c r="B30" s="76" t="s">
        <v>3828</v>
      </c>
      <c r="C30" s="35" t="s">
        <v>5029</v>
      </c>
      <c r="D30" s="46">
        <v>247.0</v>
      </c>
      <c r="E30" s="46">
        <v>20.0</v>
      </c>
    </row>
    <row r="31">
      <c r="A31" s="39" t="s">
        <v>136</v>
      </c>
      <c r="B31" s="38" t="s">
        <v>3808</v>
      </c>
      <c r="C31" s="35" t="s">
        <v>5015</v>
      </c>
      <c r="D31" s="46">
        <v>247.0</v>
      </c>
      <c r="E31" s="46">
        <v>10.0</v>
      </c>
    </row>
    <row r="32">
      <c r="A32" s="39" t="s">
        <v>136</v>
      </c>
      <c r="B32" s="39" t="s">
        <v>3801</v>
      </c>
      <c r="C32" s="35" t="s">
        <v>5010</v>
      </c>
      <c r="D32" s="46">
        <v>247.0</v>
      </c>
      <c r="E32" s="46">
        <v>6.0</v>
      </c>
    </row>
    <row r="33">
      <c r="A33" s="39" t="s">
        <v>136</v>
      </c>
      <c r="B33" s="76" t="s">
        <v>3822</v>
      </c>
      <c r="C33" s="35" t="s">
        <v>5024</v>
      </c>
      <c r="D33" s="46">
        <v>247.0</v>
      </c>
      <c r="E33" s="46">
        <v>17.0</v>
      </c>
    </row>
    <row r="34">
      <c r="A34" s="39" t="s">
        <v>136</v>
      </c>
      <c r="B34" s="38" t="s">
        <v>3791</v>
      </c>
      <c r="C34" s="35" t="s">
        <v>5005</v>
      </c>
      <c r="D34" s="46">
        <v>247.0</v>
      </c>
      <c r="E34" s="46">
        <v>1.0</v>
      </c>
    </row>
    <row r="35">
      <c r="A35" s="39" t="s">
        <v>136</v>
      </c>
      <c r="B35" s="76" t="s">
        <v>3812</v>
      </c>
      <c r="C35" s="35" t="s">
        <v>5018</v>
      </c>
      <c r="D35" s="46">
        <v>247.0</v>
      </c>
      <c r="E35" s="46">
        <v>12.0</v>
      </c>
    </row>
    <row r="36">
      <c r="A36" s="39" t="s">
        <v>136</v>
      </c>
      <c r="B36" s="76" t="s">
        <v>3824</v>
      </c>
      <c r="C36" s="35" t="s">
        <v>5025</v>
      </c>
      <c r="D36" s="46">
        <v>247.0</v>
      </c>
      <c r="E36" s="46">
        <v>18.0</v>
      </c>
    </row>
    <row r="37">
      <c r="A37" s="39" t="s">
        <v>136</v>
      </c>
      <c r="B37" s="39" t="s">
        <v>3799</v>
      </c>
      <c r="C37" s="35" t="s">
        <v>5009</v>
      </c>
      <c r="D37" s="46">
        <v>247.0</v>
      </c>
      <c r="E37" s="46">
        <v>5.0</v>
      </c>
    </row>
    <row r="38">
      <c r="A38" s="39" t="s">
        <v>136</v>
      </c>
      <c r="B38" s="76" t="s">
        <v>3820</v>
      </c>
      <c r="C38" s="35" t="s">
        <v>5023</v>
      </c>
      <c r="D38" s="46">
        <v>247.0</v>
      </c>
      <c r="E38" s="46">
        <v>16.0</v>
      </c>
    </row>
    <row r="39">
      <c r="A39" s="39" t="s">
        <v>136</v>
      </c>
      <c r="B39" s="38" t="s">
        <v>3795</v>
      </c>
      <c r="C39" s="35" t="s">
        <v>5007</v>
      </c>
      <c r="D39" s="46">
        <v>247.0</v>
      </c>
      <c r="E39" s="46">
        <v>3.0</v>
      </c>
    </row>
    <row r="40">
      <c r="A40" s="39" t="s">
        <v>136</v>
      </c>
      <c r="B40" s="38" t="s">
        <v>160</v>
      </c>
      <c r="C40" s="35" t="s">
        <v>5012</v>
      </c>
      <c r="D40" s="46">
        <v>247.0</v>
      </c>
      <c r="E40" s="46">
        <v>8.0</v>
      </c>
    </row>
    <row r="41">
      <c r="A41" s="39" t="s">
        <v>136</v>
      </c>
      <c r="B41" s="38" t="s">
        <v>3793</v>
      </c>
      <c r="C41" s="35" t="s">
        <v>5006</v>
      </c>
      <c r="D41" s="46">
        <v>247.0</v>
      </c>
      <c r="E41" s="46">
        <v>2.0</v>
      </c>
    </row>
    <row r="42">
      <c r="A42" s="39" t="s">
        <v>136</v>
      </c>
      <c r="B42" s="38" t="s">
        <v>3999</v>
      </c>
      <c r="C42" s="35" t="s">
        <v>5030</v>
      </c>
      <c r="D42" s="46">
        <v>247.0</v>
      </c>
      <c r="E42" s="46">
        <v>103.0</v>
      </c>
    </row>
    <row r="43">
      <c r="A43" s="39" t="s">
        <v>136</v>
      </c>
      <c r="B43" s="38" t="s">
        <v>3806</v>
      </c>
      <c r="C43" s="35" t="s">
        <v>5013</v>
      </c>
      <c r="D43" s="46">
        <v>247.0</v>
      </c>
      <c r="E43" s="46">
        <v>9.0</v>
      </c>
    </row>
    <row r="44">
      <c r="A44" s="39" t="s">
        <v>136</v>
      </c>
      <c r="B44" s="76" t="s">
        <v>3818</v>
      </c>
      <c r="C44" s="35" t="s">
        <v>5022</v>
      </c>
      <c r="D44" s="46">
        <v>247.0</v>
      </c>
      <c r="E44" s="46">
        <v>15.0</v>
      </c>
    </row>
    <row r="45">
      <c r="A45" s="59" t="s">
        <v>136</v>
      </c>
      <c r="B45" s="51" t="s">
        <v>5031</v>
      </c>
      <c r="C45" s="51" t="s">
        <v>5032</v>
      </c>
      <c r="D45" s="53">
        <v>247.0</v>
      </c>
      <c r="E45" s="53">
        <v>248.0</v>
      </c>
      <c r="F45" s="87"/>
      <c r="G45" s="87"/>
    </row>
    <row r="46">
      <c r="A46" s="39" t="s">
        <v>168</v>
      </c>
      <c r="B46" s="38" t="s">
        <v>3810</v>
      </c>
      <c r="C46" s="35" t="s">
        <v>4053</v>
      </c>
      <c r="D46" s="46">
        <v>245.0</v>
      </c>
      <c r="E46" s="46">
        <v>11.0</v>
      </c>
    </row>
    <row r="47">
      <c r="A47" s="39" t="s">
        <v>168</v>
      </c>
      <c r="B47" s="39" t="s">
        <v>3797</v>
      </c>
      <c r="C47" s="35" t="s">
        <v>4046</v>
      </c>
      <c r="D47" s="46">
        <v>245.0</v>
      </c>
      <c r="E47" s="46">
        <v>4.0</v>
      </c>
    </row>
    <row r="48">
      <c r="A48" s="39" t="s">
        <v>168</v>
      </c>
      <c r="B48" s="76" t="s">
        <v>3814</v>
      </c>
      <c r="C48" s="35" t="s">
        <v>4055</v>
      </c>
      <c r="D48" s="46">
        <v>245.0</v>
      </c>
      <c r="E48" s="46">
        <v>13.0</v>
      </c>
    </row>
    <row r="49">
      <c r="A49" s="39" t="s">
        <v>168</v>
      </c>
      <c r="B49" s="76" t="s">
        <v>3816</v>
      </c>
      <c r="C49" s="35" t="s">
        <v>4056</v>
      </c>
      <c r="D49" s="46">
        <v>245.0</v>
      </c>
      <c r="E49" s="46">
        <v>14.0</v>
      </c>
    </row>
    <row r="50">
      <c r="A50" s="39" t="s">
        <v>168</v>
      </c>
      <c r="B50" s="39" t="s">
        <v>3803</v>
      </c>
      <c r="C50" s="35" t="s">
        <v>4049</v>
      </c>
      <c r="D50" s="46">
        <v>245.0</v>
      </c>
      <c r="E50" s="46">
        <v>7.0</v>
      </c>
    </row>
    <row r="51">
      <c r="A51" s="39" t="s">
        <v>168</v>
      </c>
      <c r="B51" s="76" t="s">
        <v>3826</v>
      </c>
      <c r="C51" s="35" t="s">
        <v>4061</v>
      </c>
      <c r="D51" s="46">
        <v>245.0</v>
      </c>
      <c r="E51" s="46">
        <v>19.0</v>
      </c>
    </row>
    <row r="52">
      <c r="A52" s="39" t="s">
        <v>168</v>
      </c>
      <c r="B52" s="76" t="s">
        <v>3828</v>
      </c>
      <c r="C52" s="35" t="s">
        <v>4062</v>
      </c>
      <c r="D52" s="46">
        <v>245.0</v>
      </c>
      <c r="E52" s="46">
        <v>20.0</v>
      </c>
    </row>
    <row r="53">
      <c r="A53" s="39" t="s">
        <v>168</v>
      </c>
      <c r="B53" s="38" t="s">
        <v>3808</v>
      </c>
      <c r="C53" s="35" t="s">
        <v>4052</v>
      </c>
      <c r="D53" s="46">
        <v>245.0</v>
      </c>
      <c r="E53" s="46">
        <v>10.0</v>
      </c>
    </row>
    <row r="54">
      <c r="A54" s="39" t="s">
        <v>168</v>
      </c>
      <c r="B54" s="39" t="s">
        <v>3801</v>
      </c>
      <c r="C54" s="35" t="s">
        <v>4048</v>
      </c>
      <c r="D54" s="46">
        <v>245.0</v>
      </c>
      <c r="E54" s="46">
        <v>6.0</v>
      </c>
    </row>
    <row r="55">
      <c r="A55" s="39" t="s">
        <v>168</v>
      </c>
      <c r="B55" s="76" t="s">
        <v>3822</v>
      </c>
      <c r="C55" s="35" t="s">
        <v>4059</v>
      </c>
      <c r="D55" s="46">
        <v>245.0</v>
      </c>
      <c r="E55" s="46">
        <v>17.0</v>
      </c>
    </row>
    <row r="56">
      <c r="A56" s="39" t="s">
        <v>168</v>
      </c>
      <c r="B56" s="38" t="s">
        <v>3791</v>
      </c>
      <c r="C56" s="35" t="s">
        <v>4043</v>
      </c>
      <c r="D56" s="46">
        <v>245.0</v>
      </c>
      <c r="E56" s="46">
        <v>1.0</v>
      </c>
    </row>
    <row r="57">
      <c r="A57" s="39" t="s">
        <v>168</v>
      </c>
      <c r="B57" s="76" t="s">
        <v>3812</v>
      </c>
      <c r="C57" s="35" t="s">
        <v>4054</v>
      </c>
      <c r="D57" s="46">
        <v>245.0</v>
      </c>
      <c r="E57" s="46">
        <v>12.0</v>
      </c>
    </row>
    <row r="58">
      <c r="A58" s="39" t="s">
        <v>168</v>
      </c>
      <c r="B58" s="76" t="s">
        <v>3824</v>
      </c>
      <c r="C58" s="35" t="s">
        <v>4060</v>
      </c>
      <c r="D58" s="46">
        <v>245.0</v>
      </c>
      <c r="E58" s="46">
        <v>18.0</v>
      </c>
    </row>
    <row r="59">
      <c r="A59" s="39" t="s">
        <v>168</v>
      </c>
      <c r="B59" s="39" t="s">
        <v>3799</v>
      </c>
      <c r="C59" s="35" t="s">
        <v>4047</v>
      </c>
      <c r="D59" s="46">
        <v>245.0</v>
      </c>
      <c r="E59" s="46">
        <v>5.0</v>
      </c>
    </row>
    <row r="60">
      <c r="A60" s="39" t="s">
        <v>168</v>
      </c>
      <c r="B60" s="76" t="s">
        <v>3820</v>
      </c>
      <c r="C60" s="35" t="s">
        <v>4058</v>
      </c>
      <c r="D60" s="46">
        <v>245.0</v>
      </c>
      <c r="E60" s="46">
        <v>16.0</v>
      </c>
    </row>
    <row r="61">
      <c r="A61" s="39" t="s">
        <v>168</v>
      </c>
      <c r="B61" s="38" t="s">
        <v>3795</v>
      </c>
      <c r="C61" s="35" t="s">
        <v>4045</v>
      </c>
      <c r="D61" s="46">
        <v>245.0</v>
      </c>
      <c r="E61" s="46">
        <v>3.0</v>
      </c>
    </row>
    <row r="62">
      <c r="A62" s="39" t="s">
        <v>168</v>
      </c>
      <c r="B62" s="38" t="s">
        <v>160</v>
      </c>
      <c r="C62" s="35" t="s">
        <v>4050</v>
      </c>
      <c r="D62" s="46">
        <v>245.0</v>
      </c>
      <c r="E62" s="46">
        <v>8.0</v>
      </c>
    </row>
    <row r="63">
      <c r="A63" s="39" t="s">
        <v>168</v>
      </c>
      <c r="B63" s="38" t="s">
        <v>3793</v>
      </c>
      <c r="C63" s="35" t="s">
        <v>4044</v>
      </c>
      <c r="D63" s="46">
        <v>245.0</v>
      </c>
      <c r="E63" s="46">
        <v>2.0</v>
      </c>
    </row>
    <row r="64">
      <c r="A64" s="39" t="s">
        <v>168</v>
      </c>
      <c r="B64" s="38" t="s">
        <v>3999</v>
      </c>
      <c r="C64" s="35" t="s">
        <v>4229</v>
      </c>
      <c r="D64" s="46">
        <v>245.0</v>
      </c>
      <c r="E64" s="46">
        <v>87.0</v>
      </c>
    </row>
    <row r="65">
      <c r="A65" s="39" t="s">
        <v>168</v>
      </c>
      <c r="B65" s="38" t="s">
        <v>3806</v>
      </c>
      <c r="C65" s="35" t="s">
        <v>4051</v>
      </c>
      <c r="D65" s="46">
        <v>245.0</v>
      </c>
      <c r="E65" s="46">
        <v>9.0</v>
      </c>
    </row>
    <row r="66">
      <c r="A66" s="39" t="s">
        <v>168</v>
      </c>
      <c r="B66" s="76" t="s">
        <v>3818</v>
      </c>
      <c r="C66" s="35" t="s">
        <v>4057</v>
      </c>
      <c r="D66" s="46">
        <v>245.0</v>
      </c>
      <c r="E66" s="46">
        <v>15.0</v>
      </c>
    </row>
    <row r="67">
      <c r="A67" s="59" t="s">
        <v>168</v>
      </c>
      <c r="B67" s="51" t="s">
        <v>5031</v>
      </c>
      <c r="C67" s="51" t="s">
        <v>5402</v>
      </c>
      <c r="D67" s="53">
        <v>245.0</v>
      </c>
      <c r="E67" s="53">
        <v>88.0</v>
      </c>
      <c r="F67" s="87"/>
      <c r="G67" s="87"/>
    </row>
    <row r="68">
      <c r="A68" s="39" t="s">
        <v>321</v>
      </c>
      <c r="B68" s="38" t="s">
        <v>3810</v>
      </c>
      <c r="C68" s="35" t="s">
        <v>5403</v>
      </c>
      <c r="D68" s="46">
        <v>244.0</v>
      </c>
      <c r="E68" s="46">
        <v>11.0</v>
      </c>
    </row>
    <row r="69">
      <c r="A69" s="39" t="s">
        <v>321</v>
      </c>
      <c r="B69" s="39" t="s">
        <v>3797</v>
      </c>
      <c r="C69" s="35" t="s">
        <v>5404</v>
      </c>
      <c r="D69" s="46">
        <v>244.0</v>
      </c>
      <c r="E69" s="46">
        <v>4.0</v>
      </c>
    </row>
    <row r="70">
      <c r="A70" s="39" t="s">
        <v>321</v>
      </c>
      <c r="B70" s="76" t="s">
        <v>3814</v>
      </c>
      <c r="C70" s="35" t="s">
        <v>5405</v>
      </c>
      <c r="D70" s="46">
        <v>244.0</v>
      </c>
      <c r="E70" s="46">
        <v>13.0</v>
      </c>
    </row>
    <row r="71">
      <c r="A71" s="39" t="s">
        <v>321</v>
      </c>
      <c r="B71" s="76" t="s">
        <v>3816</v>
      </c>
      <c r="C71" s="35" t="s">
        <v>5406</v>
      </c>
      <c r="D71" s="46">
        <v>244.0</v>
      </c>
      <c r="E71" s="46">
        <v>14.0</v>
      </c>
    </row>
    <row r="72">
      <c r="A72" s="39" t="s">
        <v>321</v>
      </c>
      <c r="B72" s="39" t="s">
        <v>3803</v>
      </c>
      <c r="C72" s="35" t="s">
        <v>5407</v>
      </c>
      <c r="D72" s="46">
        <v>244.0</v>
      </c>
      <c r="E72" s="46">
        <v>7.0</v>
      </c>
    </row>
    <row r="73">
      <c r="A73" s="39" t="s">
        <v>321</v>
      </c>
      <c r="B73" s="76" t="s">
        <v>3826</v>
      </c>
      <c r="C73" s="35" t="s">
        <v>5408</v>
      </c>
      <c r="D73" s="46">
        <v>244.0</v>
      </c>
      <c r="E73" s="46">
        <v>19.0</v>
      </c>
    </row>
    <row r="74">
      <c r="A74" s="39" t="s">
        <v>321</v>
      </c>
      <c r="B74" s="76" t="s">
        <v>3828</v>
      </c>
      <c r="C74" s="35" t="s">
        <v>5409</v>
      </c>
      <c r="D74" s="46">
        <v>244.0</v>
      </c>
      <c r="E74" s="46">
        <v>20.0</v>
      </c>
    </row>
    <row r="75">
      <c r="A75" s="39" t="s">
        <v>321</v>
      </c>
      <c r="B75" s="38" t="s">
        <v>3808</v>
      </c>
      <c r="C75" s="35" t="s">
        <v>5410</v>
      </c>
      <c r="D75" s="46">
        <v>244.0</v>
      </c>
      <c r="E75" s="46">
        <v>10.0</v>
      </c>
    </row>
    <row r="76">
      <c r="A76" s="39" t="s">
        <v>321</v>
      </c>
      <c r="B76" s="39" t="s">
        <v>3801</v>
      </c>
      <c r="C76" s="35" t="s">
        <v>5411</v>
      </c>
      <c r="D76" s="46">
        <v>244.0</v>
      </c>
      <c r="E76" s="46">
        <v>6.0</v>
      </c>
    </row>
    <row r="77">
      <c r="A77" s="39" t="s">
        <v>321</v>
      </c>
      <c r="B77" s="76" t="s">
        <v>3822</v>
      </c>
      <c r="C77" s="35" t="s">
        <v>5412</v>
      </c>
      <c r="D77" s="46">
        <v>244.0</v>
      </c>
      <c r="E77" s="46">
        <v>17.0</v>
      </c>
    </row>
    <row r="78">
      <c r="A78" s="39" t="s">
        <v>321</v>
      </c>
      <c r="B78" s="38" t="s">
        <v>3791</v>
      </c>
      <c r="C78" s="35" t="s">
        <v>5413</v>
      </c>
      <c r="D78" s="46">
        <v>244.0</v>
      </c>
      <c r="E78" s="46">
        <v>1.0</v>
      </c>
    </row>
    <row r="79">
      <c r="A79" s="39" t="s">
        <v>321</v>
      </c>
      <c r="B79" s="76" t="s">
        <v>3812</v>
      </c>
      <c r="C79" s="35" t="s">
        <v>5414</v>
      </c>
      <c r="D79" s="46">
        <v>244.0</v>
      </c>
      <c r="E79" s="46">
        <v>12.0</v>
      </c>
    </row>
    <row r="80">
      <c r="A80" s="39" t="s">
        <v>321</v>
      </c>
      <c r="B80" s="76" t="s">
        <v>3824</v>
      </c>
      <c r="C80" s="35" t="s">
        <v>5415</v>
      </c>
      <c r="D80" s="46">
        <v>244.0</v>
      </c>
      <c r="E80" s="46">
        <v>18.0</v>
      </c>
    </row>
    <row r="81">
      <c r="A81" s="39" t="s">
        <v>321</v>
      </c>
      <c r="B81" s="39" t="s">
        <v>3799</v>
      </c>
      <c r="C81" s="35" t="s">
        <v>5416</v>
      </c>
      <c r="D81" s="46">
        <v>244.0</v>
      </c>
      <c r="E81" s="46">
        <v>5.0</v>
      </c>
    </row>
    <row r="82">
      <c r="A82" s="39" t="s">
        <v>321</v>
      </c>
      <c r="B82" s="76" t="s">
        <v>3820</v>
      </c>
      <c r="C82" s="35" t="s">
        <v>5417</v>
      </c>
      <c r="D82" s="46">
        <v>244.0</v>
      </c>
      <c r="E82" s="46">
        <v>16.0</v>
      </c>
    </row>
    <row r="83">
      <c r="A83" s="39" t="s">
        <v>321</v>
      </c>
      <c r="B83" s="38" t="s">
        <v>3795</v>
      </c>
      <c r="C83" s="35" t="s">
        <v>5418</v>
      </c>
      <c r="D83" s="46">
        <v>244.0</v>
      </c>
      <c r="E83" s="46">
        <v>3.0</v>
      </c>
    </row>
    <row r="84">
      <c r="A84" s="39" t="s">
        <v>321</v>
      </c>
      <c r="B84" s="38" t="s">
        <v>160</v>
      </c>
      <c r="C84" s="35" t="s">
        <v>5419</v>
      </c>
      <c r="D84" s="46">
        <v>244.0</v>
      </c>
      <c r="E84" s="46">
        <v>8.0</v>
      </c>
    </row>
    <row r="85">
      <c r="A85" s="39" t="s">
        <v>321</v>
      </c>
      <c r="B85" s="38" t="s">
        <v>3793</v>
      </c>
      <c r="C85" s="35" t="s">
        <v>5420</v>
      </c>
      <c r="D85" s="46">
        <v>244.0</v>
      </c>
      <c r="E85" s="46">
        <v>2.0</v>
      </c>
    </row>
    <row r="86">
      <c r="A86" s="39" t="s">
        <v>321</v>
      </c>
      <c r="B86" s="38" t="s">
        <v>3999</v>
      </c>
      <c r="C86" s="35" t="s">
        <v>5421</v>
      </c>
      <c r="D86" s="46">
        <v>244.0</v>
      </c>
      <c r="E86" s="46">
        <v>26.0</v>
      </c>
    </row>
    <row r="87">
      <c r="A87" s="39" t="s">
        <v>321</v>
      </c>
      <c r="B87" s="38" t="s">
        <v>3806</v>
      </c>
      <c r="C87" s="35" t="s">
        <v>5422</v>
      </c>
      <c r="D87" s="46">
        <v>244.0</v>
      </c>
      <c r="E87" s="46">
        <v>9.0</v>
      </c>
    </row>
    <row r="88">
      <c r="A88" s="39" t="s">
        <v>321</v>
      </c>
      <c r="B88" s="76" t="s">
        <v>3818</v>
      </c>
      <c r="C88" s="35" t="s">
        <v>5423</v>
      </c>
      <c r="D88" s="46">
        <v>244.0</v>
      </c>
      <c r="E88" s="46">
        <v>15.0</v>
      </c>
    </row>
    <row r="89">
      <c r="A89" s="59" t="s">
        <v>321</v>
      </c>
      <c r="B89" s="51" t="s">
        <v>5031</v>
      </c>
      <c r="C89" s="51" t="s">
        <v>5424</v>
      </c>
      <c r="D89" s="53">
        <v>244.0</v>
      </c>
      <c r="E89" s="53">
        <v>27.0</v>
      </c>
      <c r="F89" s="87"/>
      <c r="G89" s="87"/>
    </row>
    <row r="90">
      <c r="A90" s="39" t="s">
        <v>186</v>
      </c>
      <c r="B90" s="38" t="s">
        <v>3810</v>
      </c>
      <c r="C90" s="35" t="s">
        <v>3811</v>
      </c>
      <c r="D90" s="46">
        <v>243.0</v>
      </c>
      <c r="E90" s="46">
        <v>11.0</v>
      </c>
    </row>
    <row r="91">
      <c r="A91" s="39" t="s">
        <v>186</v>
      </c>
      <c r="B91" s="39" t="s">
        <v>3797</v>
      </c>
      <c r="C91" s="35" t="s">
        <v>3798</v>
      </c>
      <c r="D91" s="46">
        <v>243.0</v>
      </c>
      <c r="E91" s="46">
        <v>4.0</v>
      </c>
    </row>
    <row r="92">
      <c r="A92" s="39" t="s">
        <v>186</v>
      </c>
      <c r="B92" s="76" t="s">
        <v>3814</v>
      </c>
      <c r="C92" s="35" t="s">
        <v>3815</v>
      </c>
      <c r="D92" s="46">
        <v>243.0</v>
      </c>
      <c r="E92" s="46">
        <v>13.0</v>
      </c>
    </row>
    <row r="93">
      <c r="A93" s="39" t="s">
        <v>186</v>
      </c>
      <c r="B93" s="76" t="s">
        <v>3816</v>
      </c>
      <c r="C93" s="35" t="s">
        <v>3817</v>
      </c>
      <c r="D93" s="46">
        <v>243.0</v>
      </c>
      <c r="E93" s="46">
        <v>14.0</v>
      </c>
    </row>
    <row r="94">
      <c r="A94" s="39" t="s">
        <v>186</v>
      </c>
      <c r="B94" s="39" t="s">
        <v>3803</v>
      </c>
      <c r="C94" s="35" t="s">
        <v>3804</v>
      </c>
      <c r="D94" s="46">
        <v>243.0</v>
      </c>
      <c r="E94" s="46">
        <v>7.0</v>
      </c>
    </row>
    <row r="95">
      <c r="A95" s="39" t="s">
        <v>186</v>
      </c>
      <c r="B95" s="76" t="s">
        <v>3826</v>
      </c>
      <c r="C95" s="35" t="s">
        <v>3827</v>
      </c>
      <c r="D95" s="46">
        <v>243.0</v>
      </c>
      <c r="E95" s="46">
        <v>19.0</v>
      </c>
    </row>
    <row r="96">
      <c r="A96" s="39" t="s">
        <v>186</v>
      </c>
      <c r="B96" s="76" t="s">
        <v>3828</v>
      </c>
      <c r="C96" s="35" t="s">
        <v>3829</v>
      </c>
      <c r="D96" s="46">
        <v>243.0</v>
      </c>
      <c r="E96" s="46">
        <v>20.0</v>
      </c>
    </row>
    <row r="97">
      <c r="A97" s="39" t="s">
        <v>186</v>
      </c>
      <c r="B97" s="38" t="s">
        <v>3808</v>
      </c>
      <c r="C97" s="35" t="s">
        <v>3809</v>
      </c>
      <c r="D97" s="46">
        <v>243.0</v>
      </c>
      <c r="E97" s="46">
        <v>10.0</v>
      </c>
    </row>
    <row r="98">
      <c r="A98" s="39" t="s">
        <v>186</v>
      </c>
      <c r="B98" s="39" t="s">
        <v>3801</v>
      </c>
      <c r="C98" s="35" t="s">
        <v>3802</v>
      </c>
      <c r="D98" s="46">
        <v>243.0</v>
      </c>
      <c r="E98" s="46">
        <v>6.0</v>
      </c>
    </row>
    <row r="99">
      <c r="A99" s="39" t="s">
        <v>186</v>
      </c>
      <c r="B99" s="76" t="s">
        <v>3822</v>
      </c>
      <c r="C99" s="35" t="s">
        <v>3823</v>
      </c>
      <c r="D99" s="46">
        <v>243.0</v>
      </c>
      <c r="E99" s="46">
        <v>17.0</v>
      </c>
    </row>
    <row r="100">
      <c r="A100" s="39" t="s">
        <v>186</v>
      </c>
      <c r="B100" s="38" t="s">
        <v>3791</v>
      </c>
      <c r="C100" s="35" t="s">
        <v>3792</v>
      </c>
      <c r="D100" s="46">
        <v>243.0</v>
      </c>
      <c r="E100" s="46">
        <v>1.0</v>
      </c>
    </row>
    <row r="101">
      <c r="A101" s="39" t="s">
        <v>186</v>
      </c>
      <c r="B101" s="76" t="s">
        <v>3812</v>
      </c>
      <c r="C101" s="35" t="s">
        <v>3813</v>
      </c>
      <c r="D101" s="46">
        <v>243.0</v>
      </c>
      <c r="E101" s="46">
        <v>12.0</v>
      </c>
    </row>
    <row r="102">
      <c r="A102" s="39" t="s">
        <v>186</v>
      </c>
      <c r="B102" s="76" t="s">
        <v>3824</v>
      </c>
      <c r="C102" s="35" t="s">
        <v>3825</v>
      </c>
      <c r="D102" s="46">
        <v>243.0</v>
      </c>
      <c r="E102" s="46">
        <v>18.0</v>
      </c>
    </row>
    <row r="103">
      <c r="A103" s="39" t="s">
        <v>186</v>
      </c>
      <c r="B103" s="39" t="s">
        <v>3799</v>
      </c>
      <c r="C103" s="35" t="s">
        <v>3800</v>
      </c>
      <c r="D103" s="46">
        <v>243.0</v>
      </c>
      <c r="E103" s="46">
        <v>5.0</v>
      </c>
    </row>
    <row r="104">
      <c r="A104" s="39" t="s">
        <v>186</v>
      </c>
      <c r="B104" s="76" t="s">
        <v>3820</v>
      </c>
      <c r="C104" s="35" t="s">
        <v>3821</v>
      </c>
      <c r="D104" s="46">
        <v>243.0</v>
      </c>
      <c r="E104" s="46">
        <v>16.0</v>
      </c>
    </row>
    <row r="105">
      <c r="A105" s="39" t="s">
        <v>186</v>
      </c>
      <c r="B105" s="38" t="s">
        <v>3795</v>
      </c>
      <c r="C105" s="35" t="s">
        <v>3796</v>
      </c>
      <c r="D105" s="46">
        <v>243.0</v>
      </c>
      <c r="E105" s="46">
        <v>3.0</v>
      </c>
    </row>
    <row r="106">
      <c r="A106" s="39" t="s">
        <v>186</v>
      </c>
      <c r="B106" s="38" t="s">
        <v>160</v>
      </c>
      <c r="C106" s="35" t="s">
        <v>3805</v>
      </c>
      <c r="D106" s="46">
        <v>243.0</v>
      </c>
      <c r="E106" s="46">
        <v>8.0</v>
      </c>
    </row>
    <row r="107">
      <c r="A107" s="39" t="s">
        <v>186</v>
      </c>
      <c r="B107" s="38" t="s">
        <v>3793</v>
      </c>
      <c r="C107" s="35" t="s">
        <v>3794</v>
      </c>
      <c r="D107" s="46">
        <v>243.0</v>
      </c>
      <c r="E107" s="46">
        <v>2.0</v>
      </c>
    </row>
    <row r="108">
      <c r="A108" s="39" t="s">
        <v>186</v>
      </c>
      <c r="B108" s="38" t="s">
        <v>3999</v>
      </c>
      <c r="C108" s="35" t="s">
        <v>4000</v>
      </c>
      <c r="D108" s="46">
        <v>243.0</v>
      </c>
      <c r="E108" s="46">
        <v>112.0</v>
      </c>
    </row>
    <row r="109">
      <c r="A109" s="39" t="s">
        <v>186</v>
      </c>
      <c r="B109" s="38" t="s">
        <v>3806</v>
      </c>
      <c r="C109" s="35" t="s">
        <v>3807</v>
      </c>
      <c r="D109" s="46">
        <v>243.0</v>
      </c>
      <c r="E109" s="46">
        <v>9.0</v>
      </c>
    </row>
    <row r="110">
      <c r="A110" s="39" t="s">
        <v>186</v>
      </c>
      <c r="B110" s="76" t="s">
        <v>3818</v>
      </c>
      <c r="C110" s="35" t="s">
        <v>3819</v>
      </c>
      <c r="D110" s="46">
        <v>243.0</v>
      </c>
      <c r="E110" s="46">
        <v>15.0</v>
      </c>
    </row>
    <row r="111">
      <c r="A111" s="59" t="s">
        <v>186</v>
      </c>
      <c r="B111" s="51" t="s">
        <v>5031</v>
      </c>
      <c r="C111" s="51" t="s">
        <v>5425</v>
      </c>
      <c r="D111" s="53">
        <v>243.0</v>
      </c>
      <c r="E111" s="53">
        <v>113.0</v>
      </c>
      <c r="F111" s="87"/>
      <c r="G111" s="87"/>
    </row>
    <row r="112">
      <c r="A112" s="39" t="s">
        <v>66</v>
      </c>
      <c r="B112" s="38" t="s">
        <v>3810</v>
      </c>
      <c r="C112" s="35" t="s">
        <v>4642</v>
      </c>
      <c r="D112" s="46">
        <v>246.0</v>
      </c>
      <c r="E112" s="46">
        <v>11.0</v>
      </c>
    </row>
    <row r="113">
      <c r="A113" s="39" t="s">
        <v>66</v>
      </c>
      <c r="B113" s="39" t="s">
        <v>3797</v>
      </c>
      <c r="C113" s="35" t="s">
        <v>4635</v>
      </c>
      <c r="D113" s="46">
        <v>246.0</v>
      </c>
      <c r="E113" s="46">
        <v>4.0</v>
      </c>
    </row>
    <row r="114">
      <c r="A114" s="39" t="s">
        <v>66</v>
      </c>
      <c r="B114" s="76" t="s">
        <v>3814</v>
      </c>
      <c r="C114" s="35" t="s">
        <v>4644</v>
      </c>
      <c r="D114" s="46">
        <v>246.0</v>
      </c>
      <c r="E114" s="46">
        <v>13.0</v>
      </c>
    </row>
    <row r="115">
      <c r="A115" s="39" t="s">
        <v>66</v>
      </c>
      <c r="B115" s="76" t="s">
        <v>3816</v>
      </c>
      <c r="C115" s="35" t="s">
        <v>4645</v>
      </c>
      <c r="D115" s="46">
        <v>246.0</v>
      </c>
      <c r="E115" s="46">
        <v>14.0</v>
      </c>
    </row>
    <row r="116">
      <c r="A116" s="39" t="s">
        <v>66</v>
      </c>
      <c r="B116" s="39" t="s">
        <v>3803</v>
      </c>
      <c r="C116" s="35" t="s">
        <v>4638</v>
      </c>
      <c r="D116" s="46">
        <v>246.0</v>
      </c>
      <c r="E116" s="46">
        <v>7.0</v>
      </c>
    </row>
    <row r="117">
      <c r="A117" s="39" t="s">
        <v>66</v>
      </c>
      <c r="B117" s="76" t="s">
        <v>3826</v>
      </c>
      <c r="C117" s="35" t="s">
        <v>4650</v>
      </c>
      <c r="D117" s="46">
        <v>246.0</v>
      </c>
      <c r="E117" s="46">
        <v>19.0</v>
      </c>
    </row>
    <row r="118">
      <c r="A118" s="39" t="s">
        <v>66</v>
      </c>
      <c r="B118" s="76" t="s">
        <v>3828</v>
      </c>
      <c r="C118" s="35" t="s">
        <v>4651</v>
      </c>
      <c r="D118" s="46">
        <v>246.0</v>
      </c>
      <c r="E118" s="46">
        <v>20.0</v>
      </c>
    </row>
    <row r="119">
      <c r="A119" s="39" t="s">
        <v>66</v>
      </c>
      <c r="B119" s="38" t="s">
        <v>3808</v>
      </c>
      <c r="C119" s="35" t="s">
        <v>4641</v>
      </c>
      <c r="D119" s="46">
        <v>246.0</v>
      </c>
      <c r="E119" s="46">
        <v>10.0</v>
      </c>
    </row>
    <row r="120">
      <c r="A120" s="39" t="s">
        <v>66</v>
      </c>
      <c r="B120" s="39" t="s">
        <v>3801</v>
      </c>
      <c r="C120" s="35" t="s">
        <v>4637</v>
      </c>
      <c r="D120" s="46">
        <v>246.0</v>
      </c>
      <c r="E120" s="46">
        <v>6.0</v>
      </c>
    </row>
    <row r="121">
      <c r="A121" s="39" t="s">
        <v>66</v>
      </c>
      <c r="B121" s="76" t="s">
        <v>3822</v>
      </c>
      <c r="C121" s="35" t="s">
        <v>4648</v>
      </c>
      <c r="D121" s="46">
        <v>246.0</v>
      </c>
      <c r="E121" s="46">
        <v>17.0</v>
      </c>
    </row>
    <row r="122">
      <c r="A122" s="39" t="s">
        <v>66</v>
      </c>
      <c r="B122" s="38" t="s">
        <v>3791</v>
      </c>
      <c r="C122" s="35" t="s">
        <v>4632</v>
      </c>
      <c r="D122" s="46">
        <v>246.0</v>
      </c>
      <c r="E122" s="46">
        <v>1.0</v>
      </c>
    </row>
    <row r="123">
      <c r="A123" s="39" t="s">
        <v>66</v>
      </c>
      <c r="B123" s="76" t="s">
        <v>3812</v>
      </c>
      <c r="C123" s="35" t="s">
        <v>4643</v>
      </c>
      <c r="D123" s="46">
        <v>246.0</v>
      </c>
      <c r="E123" s="46">
        <v>12.0</v>
      </c>
    </row>
    <row r="124">
      <c r="A124" s="39" t="s">
        <v>66</v>
      </c>
      <c r="B124" s="76" t="s">
        <v>3824</v>
      </c>
      <c r="C124" s="35" t="s">
        <v>4649</v>
      </c>
      <c r="D124" s="46">
        <v>246.0</v>
      </c>
      <c r="E124" s="46">
        <v>18.0</v>
      </c>
    </row>
    <row r="125">
      <c r="A125" s="39" t="s">
        <v>66</v>
      </c>
      <c r="B125" s="39" t="s">
        <v>3799</v>
      </c>
      <c r="C125" s="35" t="s">
        <v>4636</v>
      </c>
      <c r="D125" s="46">
        <v>246.0</v>
      </c>
      <c r="E125" s="46">
        <v>5.0</v>
      </c>
    </row>
    <row r="126">
      <c r="A126" s="39" t="s">
        <v>66</v>
      </c>
      <c r="B126" s="76" t="s">
        <v>3820</v>
      </c>
      <c r="C126" s="35" t="s">
        <v>4647</v>
      </c>
      <c r="D126" s="46">
        <v>246.0</v>
      </c>
      <c r="E126" s="46">
        <v>16.0</v>
      </c>
    </row>
    <row r="127">
      <c r="A127" s="39" t="s">
        <v>66</v>
      </c>
      <c r="B127" s="38" t="s">
        <v>3795</v>
      </c>
      <c r="C127" s="35" t="s">
        <v>4634</v>
      </c>
      <c r="D127" s="46">
        <v>246.0</v>
      </c>
      <c r="E127" s="46">
        <v>3.0</v>
      </c>
    </row>
    <row r="128">
      <c r="A128" s="39" t="s">
        <v>66</v>
      </c>
      <c r="B128" s="38" t="s">
        <v>160</v>
      </c>
      <c r="C128" s="35" t="s">
        <v>4639</v>
      </c>
      <c r="D128" s="46">
        <v>246.0</v>
      </c>
      <c r="E128" s="46">
        <v>8.0</v>
      </c>
    </row>
    <row r="129">
      <c r="A129" s="39" t="s">
        <v>66</v>
      </c>
      <c r="B129" s="38" t="s">
        <v>3793</v>
      </c>
      <c r="C129" s="35" t="s">
        <v>4633</v>
      </c>
      <c r="D129" s="46">
        <v>246.0</v>
      </c>
      <c r="E129" s="46">
        <v>2.0</v>
      </c>
    </row>
    <row r="130">
      <c r="A130" s="39" t="s">
        <v>66</v>
      </c>
      <c r="B130" s="38" t="s">
        <v>3999</v>
      </c>
      <c r="C130" s="35" t="s">
        <v>4739</v>
      </c>
      <c r="D130" s="46">
        <v>246.0</v>
      </c>
      <c r="E130" s="46">
        <v>64.0</v>
      </c>
    </row>
    <row r="131">
      <c r="A131" s="39" t="s">
        <v>66</v>
      </c>
      <c r="B131" s="38" t="s">
        <v>3806</v>
      </c>
      <c r="C131" s="35" t="s">
        <v>4640</v>
      </c>
      <c r="D131" s="46">
        <v>246.0</v>
      </c>
      <c r="E131" s="46">
        <v>9.0</v>
      </c>
    </row>
    <row r="132">
      <c r="A132" s="39" t="s">
        <v>66</v>
      </c>
      <c r="B132" s="76" t="s">
        <v>3818</v>
      </c>
      <c r="C132" s="35" t="s">
        <v>4646</v>
      </c>
      <c r="D132" s="46">
        <v>246.0</v>
      </c>
      <c r="E132" s="46">
        <v>15.0</v>
      </c>
    </row>
    <row r="133">
      <c r="A133" s="59" t="s">
        <v>66</v>
      </c>
      <c r="B133" s="51" t="s">
        <v>5031</v>
      </c>
      <c r="C133" s="51" t="s">
        <v>5426</v>
      </c>
      <c r="D133" s="53">
        <v>246.0</v>
      </c>
      <c r="E133" s="53">
        <v>65.0</v>
      </c>
      <c r="F133" s="87"/>
      <c r="G133" s="8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6.5"/>
  </cols>
  <sheetData>
    <row r="1">
      <c r="A1" s="43" t="s">
        <v>78</v>
      </c>
      <c r="B1" s="43" t="s">
        <v>3500</v>
      </c>
      <c r="C1" s="44" t="s">
        <v>788</v>
      </c>
    </row>
    <row r="2">
      <c r="B2" s="39" t="s">
        <v>5427</v>
      </c>
      <c r="C2" s="47">
        <v>243.0</v>
      </c>
    </row>
    <row r="3">
      <c r="A3" s="39" t="s">
        <v>648</v>
      </c>
      <c r="B3" s="39" t="s">
        <v>186</v>
      </c>
      <c r="C3" s="47">
        <v>261.0</v>
      </c>
    </row>
    <row r="4">
      <c r="A4" s="39" t="s">
        <v>232</v>
      </c>
      <c r="B4" s="39" t="s">
        <v>186</v>
      </c>
      <c r="C4" s="47">
        <v>265.0</v>
      </c>
    </row>
    <row r="5">
      <c r="A5" s="39" t="s">
        <v>307</v>
      </c>
      <c r="B5" s="39" t="s">
        <v>186</v>
      </c>
      <c r="C5" s="47">
        <v>266.0</v>
      </c>
    </row>
    <row r="6">
      <c r="A6" s="39" t="s">
        <v>716</v>
      </c>
      <c r="B6" s="39" t="s">
        <v>186</v>
      </c>
      <c r="C6" s="47">
        <v>269.0</v>
      </c>
    </row>
    <row r="7">
      <c r="A7" s="39" t="s">
        <v>513</v>
      </c>
      <c r="B7" s="39" t="s">
        <v>186</v>
      </c>
      <c r="C7" s="47">
        <v>274.0</v>
      </c>
    </row>
    <row r="8">
      <c r="A8" s="39" t="s">
        <v>148</v>
      </c>
      <c r="B8" s="39" t="s">
        <v>186</v>
      </c>
      <c r="C8" s="47">
        <v>277.0</v>
      </c>
    </row>
    <row r="9">
      <c r="A9" s="39" t="s">
        <v>454</v>
      </c>
      <c r="B9" s="39" t="s">
        <v>186</v>
      </c>
      <c r="C9" s="47">
        <v>285.0</v>
      </c>
    </row>
    <row r="10">
      <c r="A10" s="39" t="s">
        <v>586</v>
      </c>
      <c r="B10" s="39" t="s">
        <v>186</v>
      </c>
      <c r="C10" s="47">
        <v>290.0</v>
      </c>
    </row>
    <row r="11">
      <c r="B11" s="39" t="s">
        <v>5428</v>
      </c>
      <c r="C11" s="47">
        <v>245.0</v>
      </c>
    </row>
    <row r="12">
      <c r="A12" s="39" t="s">
        <v>148</v>
      </c>
      <c r="B12" s="39" t="s">
        <v>168</v>
      </c>
      <c r="C12" s="47">
        <v>270.0</v>
      </c>
    </row>
    <row r="13">
      <c r="A13" s="39" t="s">
        <v>232</v>
      </c>
      <c r="B13" s="39" t="s">
        <v>168</v>
      </c>
      <c r="C13" s="47">
        <v>267.0</v>
      </c>
    </row>
    <row r="14">
      <c r="A14" s="39" t="s">
        <v>307</v>
      </c>
      <c r="B14" s="39" t="s">
        <v>168</v>
      </c>
      <c r="C14" s="47">
        <v>263.0</v>
      </c>
    </row>
    <row r="15">
      <c r="A15" s="39" t="s">
        <v>454</v>
      </c>
      <c r="B15" s="39" t="s">
        <v>168</v>
      </c>
      <c r="C15" s="47">
        <v>272.0</v>
      </c>
    </row>
    <row r="16">
      <c r="A16" s="39" t="s">
        <v>513</v>
      </c>
      <c r="B16" s="39" t="s">
        <v>168</v>
      </c>
      <c r="C16" s="47">
        <v>278.0</v>
      </c>
    </row>
    <row r="17">
      <c r="A17" s="39" t="s">
        <v>586</v>
      </c>
      <c r="B17" s="39" t="s">
        <v>168</v>
      </c>
      <c r="C17" s="47">
        <v>311.0</v>
      </c>
    </row>
    <row r="18">
      <c r="A18" s="39" t="s">
        <v>648</v>
      </c>
      <c r="B18" s="39" t="s">
        <v>168</v>
      </c>
      <c r="C18" s="47">
        <v>298.0</v>
      </c>
    </row>
    <row r="19">
      <c r="A19" s="39" t="s">
        <v>716</v>
      </c>
      <c r="B19" s="39" t="s">
        <v>168</v>
      </c>
      <c r="C19" s="47">
        <v>291.0</v>
      </c>
    </row>
    <row r="20">
      <c r="B20" s="39" t="s">
        <v>5429</v>
      </c>
      <c r="C20" s="47">
        <v>246.0</v>
      </c>
    </row>
    <row r="21">
      <c r="A21" s="39"/>
      <c r="B21" s="39" t="s">
        <v>5430</v>
      </c>
      <c r="C21" s="47">
        <v>248.0</v>
      </c>
    </row>
    <row r="22">
      <c r="A22" s="39"/>
      <c r="B22" s="39" t="s">
        <v>5431</v>
      </c>
      <c r="C22" s="47">
        <v>237.0</v>
      </c>
    </row>
    <row r="23">
      <c r="A23" s="39" t="s">
        <v>148</v>
      </c>
      <c r="B23" s="39" t="s">
        <v>4740</v>
      </c>
      <c r="C23" s="47">
        <v>312.0</v>
      </c>
    </row>
    <row r="24">
      <c r="A24" s="39" t="s">
        <v>232</v>
      </c>
      <c r="B24" s="39" t="s">
        <v>4567</v>
      </c>
      <c r="C24" s="47">
        <v>306.0</v>
      </c>
    </row>
    <row r="25">
      <c r="A25" s="39" t="s">
        <v>307</v>
      </c>
      <c r="B25" s="39" t="s">
        <v>4740</v>
      </c>
      <c r="C25" s="47">
        <v>279.0</v>
      </c>
    </row>
    <row r="26">
      <c r="A26" s="39" t="s">
        <v>454</v>
      </c>
      <c r="B26" s="39" t="s">
        <v>4740</v>
      </c>
      <c r="C26" s="47">
        <v>293.0</v>
      </c>
    </row>
    <row r="27">
      <c r="A27" s="39" t="s">
        <v>513</v>
      </c>
      <c r="B27" s="39" t="s">
        <v>4740</v>
      </c>
      <c r="C27" s="47">
        <v>300.0</v>
      </c>
    </row>
    <row r="28">
      <c r="A28" s="39" t="s">
        <v>586</v>
      </c>
      <c r="B28" s="39" t="s">
        <v>4567</v>
      </c>
      <c r="C28" s="47">
        <v>287.0</v>
      </c>
    </row>
    <row r="29">
      <c r="A29" s="39" t="s">
        <v>648</v>
      </c>
      <c r="B29" s="39" t="s">
        <v>4567</v>
      </c>
      <c r="C29" s="47">
        <v>321.0</v>
      </c>
    </row>
    <row r="30">
      <c r="A30" s="39" t="s">
        <v>716</v>
      </c>
      <c r="B30" s="39" t="s">
        <v>4567</v>
      </c>
      <c r="C30" s="47">
        <v>283.0</v>
      </c>
    </row>
    <row r="31">
      <c r="B31" s="39" t="s">
        <v>5432</v>
      </c>
      <c r="C31" s="47">
        <v>247.0</v>
      </c>
    </row>
    <row r="32">
      <c r="A32" s="39" t="s">
        <v>135</v>
      </c>
      <c r="B32" s="39" t="s">
        <v>136</v>
      </c>
      <c r="C32" s="47">
        <v>284.0</v>
      </c>
    </row>
    <row r="33">
      <c r="A33" s="39" t="s">
        <v>4898</v>
      </c>
      <c r="B33" s="39" t="s">
        <v>136</v>
      </c>
      <c r="C33" s="47">
        <v>286.0</v>
      </c>
    </row>
    <row r="34">
      <c r="A34" s="39" t="s">
        <v>148</v>
      </c>
      <c r="B34" s="39" t="s">
        <v>136</v>
      </c>
      <c r="C34" s="47">
        <v>299.0</v>
      </c>
    </row>
    <row r="35">
      <c r="A35" s="39" t="s">
        <v>226</v>
      </c>
      <c r="B35" s="39" t="s">
        <v>136</v>
      </c>
      <c r="C35" s="47">
        <v>264.0</v>
      </c>
    </row>
    <row r="36">
      <c r="A36" s="39" t="s">
        <v>232</v>
      </c>
      <c r="B36" s="39" t="s">
        <v>136</v>
      </c>
      <c r="C36" s="47">
        <v>268.0</v>
      </c>
    </row>
    <row r="37">
      <c r="A37" s="39" t="s">
        <v>307</v>
      </c>
      <c r="B37" s="39" t="s">
        <v>136</v>
      </c>
      <c r="C37" s="47">
        <v>271.0</v>
      </c>
    </row>
    <row r="38">
      <c r="A38" s="39" t="s">
        <v>454</v>
      </c>
      <c r="B38" s="39" t="s">
        <v>136</v>
      </c>
      <c r="C38" s="47">
        <v>281.0</v>
      </c>
    </row>
    <row r="39">
      <c r="A39" s="39" t="s">
        <v>513</v>
      </c>
      <c r="B39" s="39" t="s">
        <v>136</v>
      </c>
      <c r="C39" s="47">
        <v>296.0</v>
      </c>
    </row>
    <row r="40">
      <c r="A40" s="39" t="s">
        <v>586</v>
      </c>
      <c r="B40" s="39" t="s">
        <v>136</v>
      </c>
      <c r="C40" s="47">
        <v>292.0</v>
      </c>
    </row>
    <row r="41">
      <c r="A41" s="39" t="s">
        <v>648</v>
      </c>
      <c r="B41" s="39" t="s">
        <v>136</v>
      </c>
      <c r="C41" s="47">
        <v>303.0</v>
      </c>
    </row>
    <row r="42">
      <c r="A42" s="39" t="s">
        <v>716</v>
      </c>
      <c r="B42" s="39" t="s">
        <v>136</v>
      </c>
      <c r="C42" s="47">
        <v>310.0</v>
      </c>
    </row>
    <row r="43">
      <c r="A43" s="35" t="s">
        <v>307</v>
      </c>
      <c r="B43" s="39" t="s">
        <v>321</v>
      </c>
      <c r="C43" s="45">
        <v>289.0</v>
      </c>
    </row>
    <row r="44">
      <c r="A44" s="35" t="s">
        <v>513</v>
      </c>
      <c r="B44" s="39" t="s">
        <v>321</v>
      </c>
      <c r="C44" s="45">
        <v>275.0</v>
      </c>
    </row>
    <row r="45">
      <c r="A45" s="35" t="s">
        <v>648</v>
      </c>
      <c r="B45" s="39" t="s">
        <v>321</v>
      </c>
      <c r="C45" s="45">
        <v>273.0</v>
      </c>
    </row>
    <row r="46">
      <c r="A46" s="35" t="s">
        <v>716</v>
      </c>
      <c r="B46" s="39" t="s">
        <v>321</v>
      </c>
      <c r="C46" s="45">
        <v>282.0</v>
      </c>
    </row>
    <row r="47">
      <c r="B47" s="39" t="s">
        <v>5433</v>
      </c>
      <c r="C47" s="47">
        <v>244.0</v>
      </c>
    </row>
    <row r="48">
      <c r="A48" s="39" t="s">
        <v>148</v>
      </c>
      <c r="B48" s="39" t="s">
        <v>149</v>
      </c>
      <c r="C48" s="47">
        <v>13.0</v>
      </c>
    </row>
    <row r="49">
      <c r="A49" s="39" t="s">
        <v>148</v>
      </c>
      <c r="B49" s="39" t="s">
        <v>177</v>
      </c>
      <c r="C49" s="47">
        <v>2.0</v>
      </c>
    </row>
    <row r="50">
      <c r="A50" s="39" t="s">
        <v>148</v>
      </c>
      <c r="B50" s="39" t="s">
        <v>203</v>
      </c>
      <c r="C50" s="47">
        <v>8.0</v>
      </c>
    </row>
    <row r="51">
      <c r="A51" s="39" t="s">
        <v>148</v>
      </c>
      <c r="B51" s="39" t="s">
        <v>214</v>
      </c>
      <c r="C51" s="47">
        <v>20.0</v>
      </c>
    </row>
    <row r="52">
      <c r="A52" s="39" t="s">
        <v>232</v>
      </c>
      <c r="B52" s="39" t="s">
        <v>149</v>
      </c>
      <c r="C52" s="47">
        <v>27.0</v>
      </c>
    </row>
    <row r="53">
      <c r="A53" s="39" t="s">
        <v>232</v>
      </c>
      <c r="B53" s="39" t="s">
        <v>177</v>
      </c>
      <c r="C53" s="47">
        <v>3.0</v>
      </c>
    </row>
    <row r="54">
      <c r="A54" s="39" t="s">
        <v>232</v>
      </c>
      <c r="B54" s="39" t="s">
        <v>203</v>
      </c>
      <c r="C54" s="47">
        <v>9.0</v>
      </c>
    </row>
    <row r="55">
      <c r="A55" s="39" t="s">
        <v>232</v>
      </c>
      <c r="B55" s="39" t="s">
        <v>1597</v>
      </c>
      <c r="C55" s="47">
        <v>24.0</v>
      </c>
    </row>
    <row r="56">
      <c r="A56" s="39" t="s">
        <v>307</v>
      </c>
      <c r="B56" s="39" t="s">
        <v>203</v>
      </c>
      <c r="C56" s="47">
        <v>10.0</v>
      </c>
    </row>
    <row r="57">
      <c r="A57" s="39" t="s">
        <v>307</v>
      </c>
      <c r="B57" s="39" t="s">
        <v>214</v>
      </c>
      <c r="C57" s="47">
        <v>21.0</v>
      </c>
    </row>
    <row r="58">
      <c r="A58" s="39" t="s">
        <v>307</v>
      </c>
      <c r="B58" s="39" t="s">
        <v>1597</v>
      </c>
      <c r="C58" s="47">
        <v>25.0</v>
      </c>
    </row>
    <row r="59">
      <c r="A59" s="39" t="s">
        <v>454</v>
      </c>
      <c r="B59" s="39" t="s">
        <v>149</v>
      </c>
      <c r="C59" s="47">
        <v>15.0</v>
      </c>
    </row>
    <row r="60">
      <c r="A60" s="39" t="s">
        <v>454</v>
      </c>
      <c r="B60" s="39" t="s">
        <v>177</v>
      </c>
      <c r="C60" s="47">
        <v>4.0</v>
      </c>
    </row>
    <row r="61">
      <c r="A61" s="39" t="s">
        <v>454</v>
      </c>
      <c r="B61" s="39" t="s">
        <v>1597</v>
      </c>
      <c r="C61" s="47">
        <v>26.0</v>
      </c>
    </row>
    <row r="62">
      <c r="A62" s="39" t="s">
        <v>513</v>
      </c>
      <c r="B62" s="39" t="s">
        <v>203</v>
      </c>
      <c r="C62" s="47">
        <v>7.0</v>
      </c>
    </row>
    <row r="63">
      <c r="A63" s="39" t="s">
        <v>513</v>
      </c>
      <c r="B63" s="39" t="s">
        <v>214</v>
      </c>
      <c r="C63" s="47">
        <v>19.0</v>
      </c>
    </row>
    <row r="64">
      <c r="A64" s="39" t="s">
        <v>513</v>
      </c>
      <c r="B64" s="39" t="s">
        <v>1597</v>
      </c>
      <c r="C64" s="47">
        <v>23.0</v>
      </c>
    </row>
    <row r="65">
      <c r="A65" s="39" t="s">
        <v>586</v>
      </c>
      <c r="B65" s="39" t="s">
        <v>149</v>
      </c>
      <c r="C65" s="47">
        <v>14.0</v>
      </c>
    </row>
    <row r="66">
      <c r="A66" s="39" t="s">
        <v>586</v>
      </c>
      <c r="B66" s="39" t="s">
        <v>177</v>
      </c>
      <c r="C66" s="47">
        <v>5.0</v>
      </c>
    </row>
    <row r="67">
      <c r="A67" s="39" t="s">
        <v>586</v>
      </c>
      <c r="B67" s="39" t="s">
        <v>203</v>
      </c>
      <c r="C67" s="47">
        <v>11.0</v>
      </c>
    </row>
    <row r="68">
      <c r="A68" s="39" t="s">
        <v>648</v>
      </c>
      <c r="B68" s="39" t="s">
        <v>149</v>
      </c>
      <c r="C68" s="47">
        <v>17.0</v>
      </c>
    </row>
    <row r="69">
      <c r="A69" s="39" t="s">
        <v>648</v>
      </c>
      <c r="B69" s="39" t="s">
        <v>177</v>
      </c>
      <c r="C69" s="47">
        <v>6.0</v>
      </c>
    </row>
    <row r="70">
      <c r="A70" s="39" t="s">
        <v>648</v>
      </c>
      <c r="B70" s="39" t="s">
        <v>203</v>
      </c>
      <c r="C70" s="47">
        <v>12.0</v>
      </c>
    </row>
    <row r="71">
      <c r="A71" s="39" t="s">
        <v>716</v>
      </c>
      <c r="B71" s="39" t="s">
        <v>149</v>
      </c>
      <c r="C71" s="47">
        <v>18.0</v>
      </c>
    </row>
    <row r="72">
      <c r="A72" s="39" t="s">
        <v>716</v>
      </c>
      <c r="B72" s="39" t="s">
        <v>214</v>
      </c>
      <c r="C72" s="47">
        <v>22.0</v>
      </c>
    </row>
    <row r="73">
      <c r="A73" s="39" t="s">
        <v>716</v>
      </c>
      <c r="B73" s="39" t="s">
        <v>1597</v>
      </c>
      <c r="C73" s="47">
        <v>16.0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42.38"/>
    <col customWidth="1" min="3" max="3" width="15.88"/>
    <col customWidth="1" min="4" max="4" width="122.75"/>
  </cols>
  <sheetData>
    <row r="1" ht="30.0" customHeight="1">
      <c r="A1" s="90" t="s">
        <v>5434</v>
      </c>
    </row>
    <row r="2" ht="30.0" customHeight="1">
      <c r="A2" s="91" t="s">
        <v>788</v>
      </c>
      <c r="B2" s="91" t="s">
        <v>54</v>
      </c>
      <c r="C2" s="91" t="s">
        <v>5435</v>
      </c>
      <c r="D2" s="91" t="s">
        <v>55</v>
      </c>
    </row>
    <row r="3" ht="16.5" customHeight="1">
      <c r="A3" s="92">
        <v>1.0</v>
      </c>
      <c r="B3" s="92" t="s">
        <v>5436</v>
      </c>
      <c r="C3" s="92" t="s">
        <v>5437</v>
      </c>
      <c r="D3" s="92" t="s">
        <v>5438</v>
      </c>
    </row>
    <row r="4" ht="16.5" customHeight="1">
      <c r="A4" s="92">
        <v>2.0</v>
      </c>
      <c r="B4" s="92" t="s">
        <v>5436</v>
      </c>
      <c r="C4" s="92" t="s">
        <v>5437</v>
      </c>
      <c r="D4" s="92" t="s">
        <v>5438</v>
      </c>
    </row>
    <row r="5" ht="16.5" customHeight="1">
      <c r="A5" s="92">
        <v>3.0</v>
      </c>
      <c r="B5" s="92" t="s">
        <v>5436</v>
      </c>
      <c r="C5" s="92" t="s">
        <v>5437</v>
      </c>
      <c r="D5" s="92" t="s">
        <v>5438</v>
      </c>
    </row>
    <row r="6" ht="16.5" customHeight="1">
      <c r="A6" s="92">
        <v>4.0</v>
      </c>
      <c r="B6" s="92" t="s">
        <v>5436</v>
      </c>
      <c r="C6" s="92" t="s">
        <v>5437</v>
      </c>
      <c r="D6" s="92" t="s">
        <v>5438</v>
      </c>
    </row>
    <row r="7" ht="16.5" customHeight="1">
      <c r="A7" s="92">
        <v>5.0</v>
      </c>
      <c r="B7" s="92" t="s">
        <v>5436</v>
      </c>
      <c r="C7" s="92" t="s">
        <v>5437</v>
      </c>
      <c r="D7" s="92" t="s">
        <v>5438</v>
      </c>
    </row>
    <row r="8" ht="16.5" customHeight="1">
      <c r="A8" s="92">
        <v>6.0</v>
      </c>
      <c r="B8" s="92" t="s">
        <v>5436</v>
      </c>
      <c r="C8" s="92" t="s">
        <v>5437</v>
      </c>
      <c r="D8" s="92" t="s">
        <v>5438</v>
      </c>
    </row>
    <row r="9" ht="16.5" customHeight="1">
      <c r="A9" s="92">
        <v>7.0</v>
      </c>
      <c r="B9" s="92" t="s">
        <v>5436</v>
      </c>
      <c r="C9" s="92" t="s">
        <v>5437</v>
      </c>
      <c r="D9" s="92" t="s">
        <v>5438</v>
      </c>
    </row>
    <row r="10" ht="16.5" customHeight="1">
      <c r="A10" s="92">
        <v>8.0</v>
      </c>
      <c r="B10" s="92" t="s">
        <v>5436</v>
      </c>
      <c r="C10" s="92" t="s">
        <v>5437</v>
      </c>
      <c r="D10" s="92" t="s">
        <v>5438</v>
      </c>
    </row>
    <row r="11" ht="16.5" customHeight="1">
      <c r="A11" s="92">
        <v>9.0</v>
      </c>
      <c r="B11" s="92" t="s">
        <v>5436</v>
      </c>
      <c r="C11" s="92" t="s">
        <v>5437</v>
      </c>
      <c r="D11" s="93" t="s">
        <v>162</v>
      </c>
    </row>
    <row r="12" ht="16.5" customHeight="1">
      <c r="A12" s="92">
        <v>10.0</v>
      </c>
      <c r="B12" s="92" t="s">
        <v>5436</v>
      </c>
      <c r="C12" s="92" t="s">
        <v>5437</v>
      </c>
      <c r="D12" s="92" t="s">
        <v>5438</v>
      </c>
    </row>
    <row r="13" ht="16.5" customHeight="1">
      <c r="A13" s="92">
        <v>11.0</v>
      </c>
      <c r="B13" s="92" t="s">
        <v>5436</v>
      </c>
      <c r="C13" s="92" t="s">
        <v>5437</v>
      </c>
      <c r="D13" s="92" t="s">
        <v>5438</v>
      </c>
    </row>
    <row r="14" ht="16.5" customHeight="1">
      <c r="A14" s="92">
        <v>12.0</v>
      </c>
      <c r="B14" s="92" t="s">
        <v>5436</v>
      </c>
      <c r="C14" s="92" t="s">
        <v>5437</v>
      </c>
      <c r="D14" s="93" t="s">
        <v>209</v>
      </c>
    </row>
    <row r="15" ht="16.5" customHeight="1">
      <c r="A15" s="92">
        <v>13.0</v>
      </c>
      <c r="B15" s="92" t="s">
        <v>5436</v>
      </c>
      <c r="C15" s="92" t="s">
        <v>5437</v>
      </c>
      <c r="D15" s="92" t="s">
        <v>5438</v>
      </c>
    </row>
    <row r="16" ht="16.5" customHeight="1">
      <c r="A16" s="92">
        <v>14.0</v>
      </c>
      <c r="B16" s="92" t="s">
        <v>5436</v>
      </c>
      <c r="C16" s="92" t="s">
        <v>5437</v>
      </c>
      <c r="D16" s="92" t="s">
        <v>5438</v>
      </c>
    </row>
    <row r="17" ht="16.5" customHeight="1">
      <c r="A17" s="92">
        <v>15.0</v>
      </c>
      <c r="B17" s="92" t="s">
        <v>5436</v>
      </c>
      <c r="C17" s="92" t="s">
        <v>5437</v>
      </c>
      <c r="D17" s="92" t="s">
        <v>5438</v>
      </c>
    </row>
    <row r="18" ht="16.5" customHeight="1">
      <c r="A18" s="92">
        <v>16.0</v>
      </c>
      <c r="B18" s="92" t="s">
        <v>5436</v>
      </c>
      <c r="C18" s="92" t="s">
        <v>5437</v>
      </c>
      <c r="D18" s="92" t="s">
        <v>5438</v>
      </c>
    </row>
    <row r="19" ht="16.5" customHeight="1">
      <c r="A19" s="92">
        <v>17.0</v>
      </c>
      <c r="B19" s="92" t="s">
        <v>5436</v>
      </c>
      <c r="C19" s="92" t="s">
        <v>5437</v>
      </c>
      <c r="D19" s="92" t="s">
        <v>5438</v>
      </c>
    </row>
    <row r="20" ht="16.5" customHeight="1">
      <c r="A20" s="92">
        <v>18.0</v>
      </c>
      <c r="B20" s="92" t="s">
        <v>5436</v>
      </c>
      <c r="C20" s="92" t="s">
        <v>5437</v>
      </c>
      <c r="D20" s="92" t="s">
        <v>5438</v>
      </c>
    </row>
    <row r="21" ht="16.5" customHeight="1">
      <c r="A21" s="92">
        <v>19.0</v>
      </c>
      <c r="B21" s="92" t="s">
        <v>5436</v>
      </c>
      <c r="C21" s="92" t="s">
        <v>5437</v>
      </c>
      <c r="D21" s="92" t="s">
        <v>5438</v>
      </c>
    </row>
    <row r="22" ht="16.5" customHeight="1">
      <c r="A22" s="92">
        <v>20.0</v>
      </c>
      <c r="B22" s="92" t="s">
        <v>5436</v>
      </c>
      <c r="C22" s="92" t="s">
        <v>5437</v>
      </c>
      <c r="D22" s="93" t="s">
        <v>560</v>
      </c>
    </row>
    <row r="23" ht="16.5" customHeight="1">
      <c r="A23" s="92">
        <v>21.0</v>
      </c>
      <c r="B23" s="92" t="s">
        <v>5436</v>
      </c>
      <c r="C23" s="92" t="s">
        <v>5437</v>
      </c>
      <c r="D23" s="92" t="s">
        <v>5438</v>
      </c>
    </row>
    <row r="24" ht="16.5" customHeight="1">
      <c r="A24" s="92">
        <v>22.0</v>
      </c>
      <c r="B24" s="92" t="s">
        <v>5436</v>
      </c>
      <c r="C24" s="92" t="s">
        <v>5437</v>
      </c>
      <c r="D24" s="92" t="s">
        <v>5438</v>
      </c>
    </row>
    <row r="25" ht="16.5" customHeight="1">
      <c r="A25" s="92">
        <v>23.0</v>
      </c>
      <c r="B25" s="92" t="s">
        <v>5436</v>
      </c>
      <c r="C25" s="92" t="s">
        <v>5437</v>
      </c>
      <c r="D25" s="93" t="s">
        <v>267</v>
      </c>
    </row>
    <row r="26" ht="16.5" customHeight="1">
      <c r="A26" s="92">
        <v>24.0</v>
      </c>
      <c r="B26" s="92" t="s">
        <v>5436</v>
      </c>
      <c r="C26" s="92" t="s">
        <v>5437</v>
      </c>
      <c r="D26" s="92" t="s">
        <v>5438</v>
      </c>
    </row>
    <row r="27" ht="16.5" customHeight="1">
      <c r="A27" s="92">
        <v>25.0</v>
      </c>
      <c r="B27" s="92" t="s">
        <v>5436</v>
      </c>
      <c r="C27" s="92" t="s">
        <v>5437</v>
      </c>
      <c r="D27" s="92" t="s">
        <v>5438</v>
      </c>
    </row>
    <row r="28" ht="16.5" customHeight="1">
      <c r="A28" s="92">
        <v>26.0</v>
      </c>
      <c r="B28" s="92" t="s">
        <v>5436</v>
      </c>
      <c r="C28" s="92" t="s">
        <v>5437</v>
      </c>
      <c r="D28" s="92" t="s">
        <v>5438</v>
      </c>
    </row>
    <row r="29" ht="16.5" customHeight="1">
      <c r="A29" s="92">
        <v>27.0</v>
      </c>
      <c r="B29" s="92" t="s">
        <v>5436</v>
      </c>
      <c r="C29" s="92" t="s">
        <v>5437</v>
      </c>
      <c r="D29" s="93" t="s">
        <v>293</v>
      </c>
    </row>
    <row r="30" ht="16.5" customHeight="1">
      <c r="A30" s="92">
        <v>28.0</v>
      </c>
      <c r="B30" s="92" t="s">
        <v>5436</v>
      </c>
      <c r="C30" s="92" t="s">
        <v>5437</v>
      </c>
      <c r="D30" s="93" t="s">
        <v>295</v>
      </c>
    </row>
    <row r="31" ht="16.5" customHeight="1">
      <c r="A31" s="92">
        <v>29.0</v>
      </c>
      <c r="B31" s="92" t="s">
        <v>5436</v>
      </c>
      <c r="C31" s="92" t="s">
        <v>5437</v>
      </c>
      <c r="D31" s="93" t="s">
        <v>302</v>
      </c>
    </row>
    <row r="32" ht="16.5" customHeight="1">
      <c r="A32" s="92">
        <v>30.0</v>
      </c>
      <c r="B32" s="92" t="s">
        <v>5436</v>
      </c>
      <c r="C32" s="92" t="s">
        <v>5437</v>
      </c>
      <c r="D32" s="93" t="s">
        <v>304</v>
      </c>
    </row>
    <row r="33" ht="16.5" customHeight="1">
      <c r="A33" s="92">
        <v>31.0</v>
      </c>
      <c r="B33" s="92" t="s">
        <v>5436</v>
      </c>
      <c r="C33" s="92" t="s">
        <v>5437</v>
      </c>
      <c r="D33" s="92" t="s">
        <v>5438</v>
      </c>
    </row>
    <row r="34" ht="16.5" customHeight="1">
      <c r="A34" s="92">
        <v>32.0</v>
      </c>
      <c r="B34" s="92" t="s">
        <v>5436</v>
      </c>
      <c r="C34" s="92" t="s">
        <v>5437</v>
      </c>
      <c r="D34" s="93" t="s">
        <v>349</v>
      </c>
    </row>
    <row r="35" ht="16.5" customHeight="1">
      <c r="A35" s="92">
        <v>33.0</v>
      </c>
      <c r="B35" s="92" t="s">
        <v>5436</v>
      </c>
      <c r="C35" s="92" t="s">
        <v>5437</v>
      </c>
      <c r="D35" s="93" t="s">
        <v>351</v>
      </c>
    </row>
    <row r="36" ht="16.5" customHeight="1">
      <c r="A36" s="92">
        <v>34.0</v>
      </c>
      <c r="B36" s="92" t="s">
        <v>5436</v>
      </c>
      <c r="C36" s="92" t="s">
        <v>5437</v>
      </c>
      <c r="D36" s="92" t="s">
        <v>5438</v>
      </c>
    </row>
    <row r="37" ht="16.5" customHeight="1">
      <c r="A37" s="92">
        <v>35.0</v>
      </c>
      <c r="B37" s="92" t="s">
        <v>5436</v>
      </c>
      <c r="C37" s="92" t="s">
        <v>5437</v>
      </c>
      <c r="D37" s="92" t="s">
        <v>5438</v>
      </c>
    </row>
    <row r="38" ht="16.5" customHeight="1">
      <c r="A38" s="92">
        <v>36.0</v>
      </c>
      <c r="B38" s="92" t="s">
        <v>5436</v>
      </c>
      <c r="C38" s="92" t="s">
        <v>5437</v>
      </c>
      <c r="D38" s="92" t="s">
        <v>5438</v>
      </c>
    </row>
    <row r="39" ht="16.5" customHeight="1">
      <c r="A39" s="92">
        <v>37.0</v>
      </c>
      <c r="B39" s="92" t="s">
        <v>5436</v>
      </c>
      <c r="C39" s="92" t="s">
        <v>5437</v>
      </c>
      <c r="D39" s="93" t="s">
        <v>366</v>
      </c>
    </row>
    <row r="40" ht="16.5" customHeight="1">
      <c r="A40" s="92">
        <v>38.0</v>
      </c>
      <c r="B40" s="92" t="s">
        <v>5436</v>
      </c>
      <c r="C40" s="92" t="s">
        <v>5437</v>
      </c>
      <c r="D40" s="93" t="s">
        <v>372</v>
      </c>
    </row>
    <row r="41" ht="16.5" customHeight="1">
      <c r="A41" s="92">
        <v>39.0</v>
      </c>
      <c r="B41" s="92" t="s">
        <v>5436</v>
      </c>
      <c r="C41" s="92" t="s">
        <v>5437</v>
      </c>
      <c r="D41" s="93" t="s">
        <v>374</v>
      </c>
    </row>
    <row r="42" ht="16.5" customHeight="1">
      <c r="A42" s="92">
        <v>40.0</v>
      </c>
      <c r="B42" s="92" t="s">
        <v>5436</v>
      </c>
      <c r="C42" s="92" t="s">
        <v>5437</v>
      </c>
      <c r="D42" s="93" t="s">
        <v>376</v>
      </c>
    </row>
    <row r="43" ht="16.5" customHeight="1">
      <c r="A43" s="92">
        <v>41.0</v>
      </c>
      <c r="B43" s="92" t="s">
        <v>5436</v>
      </c>
      <c r="C43" s="92" t="s">
        <v>5437</v>
      </c>
      <c r="D43" s="93" t="s">
        <v>5439</v>
      </c>
    </row>
    <row r="44" ht="16.5" customHeight="1">
      <c r="A44" s="92">
        <v>42.0</v>
      </c>
      <c r="B44" s="92" t="s">
        <v>5436</v>
      </c>
      <c r="C44" s="92" t="s">
        <v>5437</v>
      </c>
      <c r="D44" s="92" t="s">
        <v>5438</v>
      </c>
    </row>
    <row r="45" ht="16.5" customHeight="1">
      <c r="A45" s="92">
        <v>43.0</v>
      </c>
      <c r="B45" s="92" t="s">
        <v>5436</v>
      </c>
      <c r="C45" s="92" t="s">
        <v>5437</v>
      </c>
      <c r="D45" s="92" t="s">
        <v>5438</v>
      </c>
    </row>
    <row r="46" ht="16.5" customHeight="1">
      <c r="A46" s="92">
        <v>44.0</v>
      </c>
      <c r="B46" s="92" t="s">
        <v>5436</v>
      </c>
      <c r="C46" s="92" t="s">
        <v>5437</v>
      </c>
      <c r="D46" s="92" t="s">
        <v>5438</v>
      </c>
    </row>
    <row r="47" ht="16.5" customHeight="1">
      <c r="A47" s="92">
        <v>45.0</v>
      </c>
      <c r="B47" s="92" t="s">
        <v>5436</v>
      </c>
      <c r="C47" s="92" t="s">
        <v>5437</v>
      </c>
      <c r="D47" s="92" t="s">
        <v>5438</v>
      </c>
    </row>
    <row r="48" ht="16.5" customHeight="1">
      <c r="A48" s="92">
        <v>46.0</v>
      </c>
      <c r="B48" s="92" t="s">
        <v>5436</v>
      </c>
      <c r="C48" s="92" t="s">
        <v>5437</v>
      </c>
      <c r="D48" s="92" t="s">
        <v>5438</v>
      </c>
    </row>
    <row r="49" ht="16.5" customHeight="1">
      <c r="A49" s="92">
        <v>47.0</v>
      </c>
      <c r="B49" s="92" t="s">
        <v>5436</v>
      </c>
      <c r="C49" s="92" t="s">
        <v>5437</v>
      </c>
      <c r="D49" s="93" t="s">
        <v>510</v>
      </c>
    </row>
    <row r="50" ht="16.5" customHeight="1">
      <c r="A50" s="92">
        <v>48.0</v>
      </c>
      <c r="B50" s="92" t="s">
        <v>5436</v>
      </c>
      <c r="C50" s="92" t="s">
        <v>5437</v>
      </c>
      <c r="D50" s="92" t="s">
        <v>5438</v>
      </c>
    </row>
    <row r="51" ht="16.5" customHeight="1">
      <c r="A51" s="92">
        <v>49.0</v>
      </c>
      <c r="B51" s="92" t="s">
        <v>5436</v>
      </c>
      <c r="C51" s="92" t="s">
        <v>5437</v>
      </c>
      <c r="D51" s="92" t="s">
        <v>5438</v>
      </c>
    </row>
    <row r="52" ht="16.5" customHeight="1">
      <c r="A52" s="92">
        <v>50.0</v>
      </c>
      <c r="B52" s="92" t="s">
        <v>5436</v>
      </c>
      <c r="C52" s="92" t="s">
        <v>5437</v>
      </c>
      <c r="D52" s="92" t="s">
        <v>5438</v>
      </c>
    </row>
    <row r="53" ht="16.5" customHeight="1">
      <c r="A53" s="92">
        <v>51.0</v>
      </c>
      <c r="B53" s="92" t="s">
        <v>5436</v>
      </c>
      <c r="C53" s="92" t="s">
        <v>5437</v>
      </c>
      <c r="D53" s="92" t="s">
        <v>5438</v>
      </c>
    </row>
    <row r="54" ht="16.5" customHeight="1">
      <c r="A54" s="92">
        <v>52.0</v>
      </c>
      <c r="B54" s="92" t="s">
        <v>5436</v>
      </c>
      <c r="C54" s="92" t="s">
        <v>5437</v>
      </c>
      <c r="D54" s="92" t="s">
        <v>5438</v>
      </c>
    </row>
    <row r="55" ht="16.5" customHeight="1">
      <c r="A55" s="92">
        <v>53.0</v>
      </c>
      <c r="B55" s="92" t="s">
        <v>5436</v>
      </c>
      <c r="C55" s="92" t="s">
        <v>5437</v>
      </c>
      <c r="D55" s="92" t="s">
        <v>5438</v>
      </c>
    </row>
    <row r="56" ht="16.5" customHeight="1">
      <c r="A56" s="92">
        <v>54.0</v>
      </c>
      <c r="B56" s="92" t="s">
        <v>5436</v>
      </c>
      <c r="C56" s="92" t="s">
        <v>5437</v>
      </c>
      <c r="D56" s="92" t="s">
        <v>5438</v>
      </c>
    </row>
    <row r="57" ht="16.5" customHeight="1">
      <c r="A57" s="92">
        <v>55.0</v>
      </c>
      <c r="B57" s="92" t="s">
        <v>5436</v>
      </c>
      <c r="C57" s="92" t="s">
        <v>5437</v>
      </c>
      <c r="D57" s="92" t="s">
        <v>5438</v>
      </c>
    </row>
    <row r="58" ht="16.5" customHeight="1">
      <c r="A58" s="92">
        <v>56.0</v>
      </c>
      <c r="B58" s="92" t="s">
        <v>5436</v>
      </c>
      <c r="C58" s="92" t="s">
        <v>5437</v>
      </c>
      <c r="D58" s="92" t="s">
        <v>5438</v>
      </c>
    </row>
    <row r="59" ht="16.5" customHeight="1">
      <c r="A59" s="92">
        <v>57.0</v>
      </c>
      <c r="B59" s="92" t="s">
        <v>5436</v>
      </c>
      <c r="C59" s="92" t="s">
        <v>5437</v>
      </c>
      <c r="D59" s="92" t="s">
        <v>5438</v>
      </c>
    </row>
    <row r="60" ht="16.5" customHeight="1">
      <c r="A60" s="92">
        <v>58.0</v>
      </c>
      <c r="B60" s="92" t="s">
        <v>5436</v>
      </c>
      <c r="C60" s="92" t="s">
        <v>5437</v>
      </c>
      <c r="D60" s="93" t="s">
        <v>689</v>
      </c>
    </row>
    <row r="61" ht="16.5" customHeight="1">
      <c r="A61" s="92">
        <v>59.0</v>
      </c>
      <c r="B61" s="92" t="s">
        <v>5436</v>
      </c>
      <c r="C61" s="92" t="s">
        <v>5437</v>
      </c>
      <c r="D61" s="92" t="s">
        <v>5438</v>
      </c>
    </row>
    <row r="62" ht="16.5" customHeight="1">
      <c r="A62" s="92">
        <v>60.0</v>
      </c>
      <c r="B62" s="92" t="s">
        <v>5436</v>
      </c>
      <c r="C62" s="92" t="s">
        <v>5437</v>
      </c>
      <c r="D62" s="93" t="s">
        <v>5440</v>
      </c>
    </row>
    <row r="63" ht="16.5" customHeight="1">
      <c r="A63" s="92">
        <v>61.0</v>
      </c>
      <c r="B63" s="92" t="s">
        <v>5436</v>
      </c>
      <c r="C63" s="92" t="s">
        <v>5437</v>
      </c>
      <c r="D63" s="92" t="s">
        <v>5438</v>
      </c>
    </row>
    <row r="64" ht="16.5" customHeight="1">
      <c r="A64" s="92">
        <v>62.0</v>
      </c>
      <c r="B64" s="92" t="s">
        <v>5436</v>
      </c>
      <c r="C64" s="92" t="s">
        <v>5437</v>
      </c>
      <c r="D64" s="92" t="s">
        <v>5438</v>
      </c>
    </row>
    <row r="65" ht="16.5" customHeight="1">
      <c r="A65" s="92">
        <v>63.0</v>
      </c>
      <c r="B65" s="92" t="s">
        <v>5436</v>
      </c>
      <c r="C65" s="92" t="s">
        <v>5437</v>
      </c>
      <c r="D65" s="92" t="s">
        <v>5438</v>
      </c>
    </row>
    <row r="66" ht="16.5" customHeight="1">
      <c r="A66" s="92">
        <v>64.0</v>
      </c>
      <c r="B66" s="92" t="s">
        <v>5436</v>
      </c>
      <c r="C66" s="92" t="s">
        <v>5437</v>
      </c>
      <c r="D66" s="92" t="s">
        <v>5438</v>
      </c>
    </row>
    <row r="67" ht="16.5" customHeight="1">
      <c r="A67" s="92">
        <v>65.0</v>
      </c>
      <c r="B67" s="92" t="s">
        <v>5436</v>
      </c>
      <c r="C67" s="92" t="s">
        <v>5437</v>
      </c>
      <c r="D67" s="92" t="s">
        <v>5438</v>
      </c>
    </row>
    <row r="68" ht="16.5" customHeight="1">
      <c r="A68" s="92">
        <v>66.0</v>
      </c>
      <c r="B68" s="92" t="s">
        <v>5436</v>
      </c>
      <c r="C68" s="92" t="s">
        <v>5437</v>
      </c>
      <c r="D68" s="92" t="s">
        <v>5438</v>
      </c>
    </row>
    <row r="69" ht="16.5" customHeight="1">
      <c r="A69" s="92">
        <v>67.0</v>
      </c>
      <c r="B69" s="92" t="s">
        <v>5436</v>
      </c>
      <c r="C69" s="92" t="s">
        <v>5437</v>
      </c>
      <c r="D69" s="92" t="s">
        <v>5438</v>
      </c>
    </row>
    <row r="70" ht="16.5" customHeight="1">
      <c r="A70" s="92">
        <v>68.0</v>
      </c>
      <c r="B70" s="92" t="s">
        <v>5436</v>
      </c>
      <c r="C70" s="92" t="s">
        <v>5437</v>
      </c>
      <c r="D70" s="92" t="s">
        <v>5438</v>
      </c>
    </row>
    <row r="71" ht="16.5" customHeight="1">
      <c r="A71" s="92">
        <v>69.0</v>
      </c>
      <c r="B71" s="92" t="s">
        <v>5436</v>
      </c>
      <c r="C71" s="92" t="s">
        <v>5437</v>
      </c>
      <c r="D71" s="92" t="s">
        <v>5438</v>
      </c>
    </row>
    <row r="72" ht="16.5" customHeight="1">
      <c r="A72" s="92">
        <v>70.0</v>
      </c>
      <c r="B72" s="92" t="s">
        <v>5436</v>
      </c>
      <c r="C72" s="92" t="s">
        <v>5437</v>
      </c>
      <c r="D72" s="92" t="s">
        <v>5438</v>
      </c>
    </row>
    <row r="73" ht="16.5" customHeight="1">
      <c r="A73" s="92">
        <v>71.0</v>
      </c>
      <c r="B73" s="94" t="s">
        <v>5441</v>
      </c>
      <c r="C73" s="92" t="s">
        <v>5437</v>
      </c>
      <c r="D73" s="93" t="s">
        <v>728</v>
      </c>
    </row>
    <row r="74" ht="16.5" customHeight="1">
      <c r="A74" s="92">
        <v>72.0</v>
      </c>
      <c r="B74" s="94" t="s">
        <v>5441</v>
      </c>
      <c r="C74" s="92" t="s">
        <v>5437</v>
      </c>
      <c r="D74" s="92" t="s">
        <v>5442</v>
      </c>
    </row>
    <row r="75" ht="16.5" customHeight="1">
      <c r="A75" s="92">
        <v>73.0</v>
      </c>
      <c r="B75" s="92" t="s">
        <v>5443</v>
      </c>
      <c r="C75" s="92" t="s">
        <v>5437</v>
      </c>
      <c r="D75" s="92" t="s">
        <v>5444</v>
      </c>
    </row>
    <row r="76" ht="16.5" customHeight="1">
      <c r="A76" s="92">
        <v>74.0</v>
      </c>
      <c r="B76" s="94" t="s">
        <v>5441</v>
      </c>
      <c r="C76" s="92" t="s">
        <v>5437</v>
      </c>
      <c r="D76" s="92" t="s">
        <v>5442</v>
      </c>
    </row>
    <row r="77" ht="16.5" customHeight="1">
      <c r="A77" s="92">
        <v>75.0</v>
      </c>
      <c r="B77" s="92" t="s">
        <v>5443</v>
      </c>
      <c r="C77" s="92" t="s">
        <v>5437</v>
      </c>
      <c r="D77" s="92" t="s">
        <v>5444</v>
      </c>
    </row>
    <row r="78" ht="16.5" customHeight="1">
      <c r="A78" s="92">
        <v>76.0</v>
      </c>
      <c r="B78" s="94" t="s">
        <v>5441</v>
      </c>
      <c r="C78" s="92" t="s">
        <v>5437</v>
      </c>
      <c r="D78" s="92" t="s">
        <v>5442</v>
      </c>
    </row>
    <row r="79" ht="16.5" customHeight="1">
      <c r="A79" s="92">
        <v>77.0</v>
      </c>
      <c r="B79" s="92" t="s">
        <v>5445</v>
      </c>
      <c r="C79" s="92" t="s">
        <v>5446</v>
      </c>
      <c r="D79" s="92"/>
    </row>
    <row r="80" ht="16.5" customHeight="1">
      <c r="A80" s="92">
        <v>78.0</v>
      </c>
      <c r="B80" s="92" t="s">
        <v>5447</v>
      </c>
      <c r="C80" s="92" t="s">
        <v>5446</v>
      </c>
      <c r="D80" s="92"/>
    </row>
    <row r="81" ht="16.5" customHeight="1">
      <c r="A81" s="92">
        <v>79.0</v>
      </c>
      <c r="B81" s="92" t="s">
        <v>5448</v>
      </c>
      <c r="C81" s="92" t="s">
        <v>5446</v>
      </c>
      <c r="D81" s="92"/>
    </row>
    <row r="82" ht="16.5" customHeight="1">
      <c r="A82" s="92">
        <v>80.0</v>
      </c>
      <c r="B82" s="92" t="s">
        <v>3929</v>
      </c>
      <c r="C82" s="92" t="s">
        <v>5446</v>
      </c>
      <c r="D82" s="92"/>
    </row>
    <row r="83" ht="16.5" customHeight="1">
      <c r="A83" s="92">
        <v>81.0</v>
      </c>
      <c r="B83" s="92" t="s">
        <v>5449</v>
      </c>
      <c r="C83" s="92" t="s">
        <v>5446</v>
      </c>
      <c r="D83" s="92"/>
    </row>
    <row r="84" ht="16.5" customHeight="1">
      <c r="A84" s="92">
        <v>82.0</v>
      </c>
      <c r="B84" s="92" t="s">
        <v>5450</v>
      </c>
      <c r="C84" s="92" t="s">
        <v>5446</v>
      </c>
      <c r="D84" s="92"/>
    </row>
    <row r="85" ht="16.5" customHeight="1">
      <c r="A85" s="92">
        <v>83.0</v>
      </c>
      <c r="B85" s="92" t="s">
        <v>5451</v>
      </c>
      <c r="C85" s="92" t="s">
        <v>5446</v>
      </c>
      <c r="D85" s="92"/>
    </row>
    <row r="86" ht="16.5" customHeight="1">
      <c r="A86" s="92">
        <v>84.0</v>
      </c>
      <c r="B86" s="92" t="s">
        <v>5452</v>
      </c>
      <c r="C86" s="92" t="s">
        <v>5446</v>
      </c>
      <c r="D86" s="92"/>
    </row>
    <row r="87" ht="16.5" customHeight="1">
      <c r="A87" s="92">
        <v>85.0</v>
      </c>
      <c r="B87" s="92" t="s">
        <v>5453</v>
      </c>
      <c r="C87" s="92" t="s">
        <v>5446</v>
      </c>
      <c r="D87" s="92"/>
    </row>
    <row r="88" ht="16.5" customHeight="1">
      <c r="A88" s="92">
        <v>86.0</v>
      </c>
      <c r="B88" s="92" t="s">
        <v>5454</v>
      </c>
      <c r="C88" s="92" t="s">
        <v>5446</v>
      </c>
      <c r="D88" s="92"/>
    </row>
    <row r="89" ht="16.5" customHeight="1">
      <c r="A89" s="92">
        <v>87.0</v>
      </c>
      <c r="B89" s="92" t="s">
        <v>5455</v>
      </c>
      <c r="C89" s="92" t="s">
        <v>5446</v>
      </c>
      <c r="D89" s="92"/>
    </row>
    <row r="90" ht="16.5" customHeight="1">
      <c r="A90" s="92">
        <v>88.0</v>
      </c>
      <c r="B90" s="92" t="s">
        <v>5456</v>
      </c>
      <c r="C90" s="92" t="s">
        <v>5446</v>
      </c>
      <c r="D90" s="92"/>
    </row>
    <row r="91" ht="16.5" customHeight="1">
      <c r="A91" s="92">
        <v>89.0</v>
      </c>
      <c r="B91" s="92" t="s">
        <v>5457</v>
      </c>
      <c r="C91" s="92" t="s">
        <v>5446</v>
      </c>
      <c r="D91" s="92"/>
    </row>
    <row r="92" ht="16.5" customHeight="1">
      <c r="A92" s="92">
        <v>90.0</v>
      </c>
      <c r="B92" s="92" t="s">
        <v>5458</v>
      </c>
      <c r="C92" s="92" t="s">
        <v>5446</v>
      </c>
      <c r="D92" s="92"/>
    </row>
    <row r="93" ht="16.5" customHeight="1">
      <c r="A93" s="92">
        <v>91.0</v>
      </c>
      <c r="B93" s="92" t="s">
        <v>5459</v>
      </c>
      <c r="C93" s="92" t="s">
        <v>5446</v>
      </c>
      <c r="D93" s="92"/>
    </row>
    <row r="94" ht="16.5" customHeight="1">
      <c r="A94" s="92">
        <v>92.0</v>
      </c>
      <c r="B94" s="92" t="s">
        <v>5460</v>
      </c>
      <c r="C94" s="92" t="s">
        <v>5446</v>
      </c>
      <c r="D94" s="92"/>
    </row>
    <row r="95" ht="16.5" customHeight="1">
      <c r="A95" s="92">
        <v>93.0</v>
      </c>
      <c r="B95" s="92" t="s">
        <v>5461</v>
      </c>
      <c r="C95" s="92" t="s">
        <v>5446</v>
      </c>
      <c r="D95" s="92"/>
    </row>
    <row r="96" ht="16.5" customHeight="1">
      <c r="A96" s="92">
        <v>94.0</v>
      </c>
      <c r="B96" s="92" t="s">
        <v>5462</v>
      </c>
      <c r="C96" s="92" t="s">
        <v>5446</v>
      </c>
      <c r="D96" s="92"/>
    </row>
    <row r="97" ht="16.5" customHeight="1">
      <c r="A97" s="92">
        <v>95.0</v>
      </c>
      <c r="B97" s="92" t="s">
        <v>5463</v>
      </c>
      <c r="C97" s="92" t="s">
        <v>5446</v>
      </c>
      <c r="D97" s="92"/>
    </row>
    <row r="98" ht="16.5" customHeight="1">
      <c r="A98" s="92">
        <v>96.0</v>
      </c>
      <c r="B98" s="92" t="s">
        <v>5464</v>
      </c>
      <c r="C98" s="92" t="s">
        <v>5446</v>
      </c>
      <c r="D98" s="92"/>
    </row>
    <row r="99" ht="16.5" customHeight="1">
      <c r="A99" s="92">
        <v>97.0</v>
      </c>
      <c r="B99" s="92" t="s">
        <v>5465</v>
      </c>
      <c r="C99" s="92" t="s">
        <v>5446</v>
      </c>
      <c r="D99" s="92"/>
    </row>
    <row r="100" ht="16.5" customHeight="1">
      <c r="A100" s="92">
        <v>98.0</v>
      </c>
      <c r="B100" s="92" t="s">
        <v>5466</v>
      </c>
      <c r="C100" s="92" t="s">
        <v>5446</v>
      </c>
      <c r="D100" s="92"/>
    </row>
    <row r="101" ht="16.5" customHeight="1">
      <c r="A101" s="92">
        <v>99.0</v>
      </c>
      <c r="B101" s="92" t="s">
        <v>5467</v>
      </c>
      <c r="C101" s="92" t="s">
        <v>5446</v>
      </c>
      <c r="D101" s="92"/>
    </row>
    <row r="102" ht="16.5" customHeight="1">
      <c r="A102" s="92">
        <v>100.0</v>
      </c>
      <c r="B102" s="92" t="s">
        <v>5468</v>
      </c>
      <c r="C102" s="92" t="s">
        <v>5446</v>
      </c>
      <c r="D102" s="92"/>
    </row>
    <row r="103" ht="16.5" customHeight="1">
      <c r="A103" s="92">
        <v>101.0</v>
      </c>
      <c r="B103" s="92" t="s">
        <v>5469</v>
      </c>
      <c r="C103" s="92" t="s">
        <v>5446</v>
      </c>
      <c r="D103" s="92"/>
    </row>
    <row r="104" ht="16.5" customHeight="1">
      <c r="A104" s="92">
        <v>102.0</v>
      </c>
      <c r="B104" s="92" t="s">
        <v>5470</v>
      </c>
      <c r="C104" s="92" t="s">
        <v>5446</v>
      </c>
      <c r="D104" s="92"/>
    </row>
    <row r="105" ht="16.5" customHeight="1">
      <c r="A105" s="92">
        <v>103.0</v>
      </c>
      <c r="B105" s="92" t="s">
        <v>5471</v>
      </c>
      <c r="C105" s="92" t="s">
        <v>5446</v>
      </c>
      <c r="D105" s="92"/>
    </row>
    <row r="106" ht="16.5" customHeight="1">
      <c r="A106" s="92">
        <v>104.0</v>
      </c>
      <c r="B106" s="92" t="s">
        <v>5472</v>
      </c>
      <c r="C106" s="92" t="s">
        <v>5446</v>
      </c>
      <c r="D106" s="92"/>
    </row>
    <row r="107" ht="16.5" customHeight="1">
      <c r="A107" s="92">
        <v>105.0</v>
      </c>
      <c r="B107" s="92" t="s">
        <v>5473</v>
      </c>
      <c r="C107" s="92" t="s">
        <v>5446</v>
      </c>
      <c r="D107" s="92"/>
    </row>
    <row r="108" ht="16.5" customHeight="1">
      <c r="A108" s="92">
        <v>106.0</v>
      </c>
      <c r="B108" s="92" t="s">
        <v>5474</v>
      </c>
      <c r="C108" s="92" t="s">
        <v>5446</v>
      </c>
      <c r="D108" s="92"/>
    </row>
    <row r="109" ht="16.5" customHeight="1">
      <c r="A109" s="92">
        <v>107.0</v>
      </c>
      <c r="B109" s="92" t="s">
        <v>5475</v>
      </c>
      <c r="C109" s="92" t="s">
        <v>5446</v>
      </c>
      <c r="D109" s="92"/>
    </row>
    <row r="110" ht="16.5" customHeight="1">
      <c r="A110" s="92">
        <v>108.0</v>
      </c>
      <c r="B110" s="92" t="s">
        <v>5476</v>
      </c>
      <c r="C110" s="92" t="s">
        <v>5446</v>
      </c>
      <c r="D110" s="92"/>
    </row>
    <row r="111" ht="16.5" customHeight="1">
      <c r="A111" s="92">
        <v>109.0</v>
      </c>
      <c r="B111" s="92" t="s">
        <v>5477</v>
      </c>
      <c r="C111" s="92" t="s">
        <v>5446</v>
      </c>
      <c r="D111" s="92"/>
    </row>
    <row r="112" ht="16.5" customHeight="1">
      <c r="A112" s="92">
        <v>110.0</v>
      </c>
      <c r="B112" s="92" t="s">
        <v>5478</v>
      </c>
      <c r="C112" s="92" t="s">
        <v>5446</v>
      </c>
      <c r="D112" s="92"/>
    </row>
    <row r="113" ht="16.5" customHeight="1">
      <c r="A113" s="92">
        <v>111.0</v>
      </c>
      <c r="B113" s="94" t="s">
        <v>5441</v>
      </c>
      <c r="C113" s="92" t="s">
        <v>5437</v>
      </c>
      <c r="D113" s="92" t="s">
        <v>5442</v>
      </c>
    </row>
    <row r="114" ht="16.5" customHeight="1">
      <c r="A114" s="92">
        <v>112.0</v>
      </c>
      <c r="B114" s="94" t="s">
        <v>5441</v>
      </c>
      <c r="C114" s="92" t="s">
        <v>5437</v>
      </c>
      <c r="D114" s="92" t="s">
        <v>5442</v>
      </c>
    </row>
  </sheetData>
  <mergeCells count="1">
    <mergeCell ref="A1:D1"/>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15.88"/>
    <col customWidth="1" min="3" max="3" width="62.75"/>
  </cols>
  <sheetData>
    <row r="1">
      <c r="A1" s="43" t="s">
        <v>3901</v>
      </c>
      <c r="B1" s="43" t="s">
        <v>54</v>
      </c>
      <c r="C1" s="43" t="s">
        <v>5479</v>
      </c>
    </row>
    <row r="2">
      <c r="A2" s="95" t="s">
        <v>5480</v>
      </c>
      <c r="B2" s="57" t="s">
        <v>2548</v>
      </c>
      <c r="C2" s="57" t="s">
        <v>5481</v>
      </c>
    </row>
    <row r="3">
      <c r="A3" s="95" t="s">
        <v>5482</v>
      </c>
      <c r="B3" s="35" t="s">
        <v>209</v>
      </c>
      <c r="C3" s="57" t="s">
        <v>5483</v>
      </c>
    </row>
    <row r="4">
      <c r="A4" s="95" t="s">
        <v>5484</v>
      </c>
      <c r="B4" s="35" t="s">
        <v>3618</v>
      </c>
      <c r="C4" s="57" t="s">
        <v>5485</v>
      </c>
    </row>
    <row r="5">
      <c r="A5" s="95" t="s">
        <v>5486</v>
      </c>
      <c r="B5" s="35" t="s">
        <v>3778</v>
      </c>
      <c r="C5" s="57" t="s">
        <v>5487</v>
      </c>
    </row>
    <row r="6">
      <c r="A6" s="95" t="s">
        <v>5488</v>
      </c>
      <c r="B6" s="57" t="s">
        <v>3621</v>
      </c>
      <c r="C6" s="57" t="s">
        <v>5489</v>
      </c>
    </row>
    <row r="7">
      <c r="A7" s="95" t="s">
        <v>5490</v>
      </c>
      <c r="B7" s="57" t="s">
        <v>5491</v>
      </c>
      <c r="C7" s="57" t="s">
        <v>5492</v>
      </c>
    </row>
    <row r="8">
      <c r="A8" s="95" t="s">
        <v>5493</v>
      </c>
      <c r="B8" s="57" t="s">
        <v>3607</v>
      </c>
      <c r="C8" s="57" t="s">
        <v>5494</v>
      </c>
    </row>
    <row r="9">
      <c r="A9" s="95" t="s">
        <v>5495</v>
      </c>
      <c r="B9" s="57" t="s">
        <v>3634</v>
      </c>
      <c r="C9" s="57" t="s">
        <v>5496</v>
      </c>
    </row>
    <row r="10">
      <c r="A10" s="95" t="s">
        <v>5497</v>
      </c>
      <c r="B10" s="35" t="s">
        <v>3667</v>
      </c>
      <c r="C10" s="35" t="s">
        <v>5498</v>
      </c>
    </row>
    <row r="11">
      <c r="A11" s="96"/>
    </row>
    <row r="12">
      <c r="A12" s="96"/>
    </row>
    <row r="13">
      <c r="A13" s="96"/>
    </row>
    <row r="14">
      <c r="A14" s="96"/>
    </row>
    <row r="15">
      <c r="A15" s="96"/>
    </row>
    <row r="16">
      <c r="A16" s="96"/>
    </row>
    <row r="17">
      <c r="A17" s="96"/>
    </row>
    <row r="18">
      <c r="A18" s="96"/>
    </row>
    <row r="19">
      <c r="A19" s="96"/>
    </row>
    <row r="20">
      <c r="A20" s="96"/>
    </row>
    <row r="21">
      <c r="A21" s="96"/>
    </row>
    <row r="22">
      <c r="A22" s="96"/>
    </row>
    <row r="23">
      <c r="A23" s="96"/>
    </row>
    <row r="24">
      <c r="A24" s="96"/>
    </row>
    <row r="25">
      <c r="A25" s="96"/>
    </row>
    <row r="26">
      <c r="A26" s="96"/>
    </row>
    <row r="27">
      <c r="A27" s="96"/>
    </row>
    <row r="28">
      <c r="A28" s="96"/>
    </row>
    <row r="29">
      <c r="A29" s="96"/>
    </row>
    <row r="30">
      <c r="A30" s="96"/>
    </row>
    <row r="31">
      <c r="A31" s="96"/>
    </row>
    <row r="32">
      <c r="A32" s="96"/>
    </row>
    <row r="33">
      <c r="A33" s="96"/>
    </row>
    <row r="34">
      <c r="A34" s="96"/>
    </row>
    <row r="35">
      <c r="A35" s="96"/>
    </row>
    <row r="36">
      <c r="A36" s="96"/>
    </row>
    <row r="37">
      <c r="A37" s="96"/>
    </row>
    <row r="38">
      <c r="A38" s="96"/>
    </row>
    <row r="39">
      <c r="A39" s="96"/>
    </row>
    <row r="40">
      <c r="A40" s="96"/>
    </row>
    <row r="41">
      <c r="A41" s="96"/>
    </row>
    <row r="42">
      <c r="A42" s="96"/>
    </row>
    <row r="43">
      <c r="A43" s="96"/>
    </row>
    <row r="44">
      <c r="A44" s="96"/>
    </row>
    <row r="45">
      <c r="A45" s="96"/>
    </row>
    <row r="46">
      <c r="A46" s="96"/>
    </row>
    <row r="47">
      <c r="A47" s="96"/>
    </row>
    <row r="48">
      <c r="A48" s="96"/>
    </row>
    <row r="49">
      <c r="A49" s="96"/>
    </row>
    <row r="50">
      <c r="A50" s="96"/>
    </row>
    <row r="51">
      <c r="A51" s="96"/>
    </row>
    <row r="52">
      <c r="A52" s="96"/>
    </row>
    <row r="53">
      <c r="A53" s="96"/>
    </row>
    <row r="54">
      <c r="A54" s="96"/>
    </row>
    <row r="55">
      <c r="A55" s="96"/>
    </row>
    <row r="56">
      <c r="A56" s="96"/>
    </row>
    <row r="57">
      <c r="A57" s="9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6.5"/>
    <col customWidth="1" min="3" max="3" width="45.75"/>
    <col customWidth="1" min="4" max="4" width="9.38"/>
    <col customWidth="1" min="5" max="5" width="5.13"/>
    <col customWidth="1" min="6" max="6" width="107.25"/>
    <col customWidth="1" min="7" max="7" width="31.88"/>
    <col customWidth="1" min="8" max="8" width="28.0"/>
  </cols>
  <sheetData>
    <row r="1">
      <c r="A1" s="43" t="s">
        <v>78</v>
      </c>
      <c r="B1" s="43" t="s">
        <v>54</v>
      </c>
      <c r="C1" s="43" t="s">
        <v>3579</v>
      </c>
      <c r="D1" s="44" t="s">
        <v>3425</v>
      </c>
      <c r="E1" s="44" t="s">
        <v>788</v>
      </c>
      <c r="F1" s="43" t="s">
        <v>792</v>
      </c>
      <c r="G1" s="43" t="s">
        <v>793</v>
      </c>
      <c r="H1" s="43" t="s">
        <v>3580</v>
      </c>
    </row>
    <row r="2">
      <c r="A2" s="39" t="s">
        <v>3501</v>
      </c>
      <c r="B2" s="39" t="s">
        <v>4371</v>
      </c>
      <c r="C2" s="35" t="s">
        <v>4372</v>
      </c>
      <c r="D2" s="46">
        <v>234.0</v>
      </c>
      <c r="E2" s="46">
        <v>1.0</v>
      </c>
      <c r="F2" s="56" t="s">
        <v>4373</v>
      </c>
    </row>
    <row r="3">
      <c r="A3" s="39" t="s">
        <v>3501</v>
      </c>
      <c r="B3" s="39" t="s">
        <v>4374</v>
      </c>
      <c r="C3" s="35" t="s">
        <v>4375</v>
      </c>
      <c r="D3" s="46">
        <v>234.0</v>
      </c>
      <c r="E3" s="46">
        <v>2.0</v>
      </c>
      <c r="F3" s="56" t="s">
        <v>4376</v>
      </c>
    </row>
    <row r="4">
      <c r="A4" s="39" t="s">
        <v>3501</v>
      </c>
      <c r="B4" s="39" t="s">
        <v>4374</v>
      </c>
      <c r="C4" s="35" t="s">
        <v>4377</v>
      </c>
      <c r="D4" s="46">
        <v>234.0</v>
      </c>
      <c r="E4" s="46">
        <v>3.0</v>
      </c>
      <c r="F4" s="56" t="s">
        <v>4376</v>
      </c>
    </row>
    <row r="5">
      <c r="A5" s="39" t="s">
        <v>3501</v>
      </c>
      <c r="B5" s="39" t="s">
        <v>4378</v>
      </c>
      <c r="C5" s="35" t="s">
        <v>4379</v>
      </c>
      <c r="D5" s="46">
        <v>234.0</v>
      </c>
      <c r="E5" s="46">
        <v>4.0</v>
      </c>
      <c r="F5" s="56" t="s">
        <v>4380</v>
      </c>
    </row>
    <row r="6">
      <c r="A6" s="39" t="s">
        <v>3501</v>
      </c>
      <c r="B6" s="39" t="s">
        <v>4381</v>
      </c>
      <c r="C6" s="35" t="s">
        <v>4382</v>
      </c>
      <c r="D6" s="46">
        <v>234.0</v>
      </c>
      <c r="E6" s="46">
        <v>5.0</v>
      </c>
      <c r="F6" s="56" t="s">
        <v>4383</v>
      </c>
    </row>
    <row r="7">
      <c r="A7" s="39" t="s">
        <v>3501</v>
      </c>
      <c r="B7" s="39" t="s">
        <v>4384</v>
      </c>
      <c r="C7" s="35" t="s">
        <v>4385</v>
      </c>
      <c r="D7" s="46">
        <v>234.0</v>
      </c>
      <c r="E7" s="46">
        <v>6.0</v>
      </c>
      <c r="F7" s="56" t="s">
        <v>4386</v>
      </c>
    </row>
    <row r="8">
      <c r="A8" s="39" t="s">
        <v>3501</v>
      </c>
      <c r="B8" s="39" t="s">
        <v>4387</v>
      </c>
      <c r="C8" s="35" t="s">
        <v>4388</v>
      </c>
      <c r="D8" s="46">
        <v>234.0</v>
      </c>
      <c r="E8" s="46">
        <v>7.0</v>
      </c>
      <c r="F8" s="56" t="s">
        <v>4389</v>
      </c>
    </row>
    <row r="9">
      <c r="A9" s="39" t="s">
        <v>3501</v>
      </c>
      <c r="B9" s="39" t="s">
        <v>4390</v>
      </c>
      <c r="C9" s="38" t="s">
        <v>4391</v>
      </c>
      <c r="D9" s="46">
        <v>234.0</v>
      </c>
      <c r="E9" s="46">
        <v>8.0</v>
      </c>
      <c r="F9" s="56" t="s">
        <v>4392</v>
      </c>
    </row>
    <row r="10">
      <c r="A10" s="39" t="s">
        <v>3501</v>
      </c>
      <c r="B10" s="39" t="s">
        <v>4393</v>
      </c>
      <c r="C10" s="35" t="s">
        <v>4394</v>
      </c>
      <c r="D10" s="46">
        <v>234.0</v>
      </c>
      <c r="E10" s="46">
        <v>9.0</v>
      </c>
      <c r="F10" s="56" t="s">
        <v>4395</v>
      </c>
    </row>
    <row r="11">
      <c r="A11" s="39" t="s">
        <v>3501</v>
      </c>
      <c r="B11" s="39" t="s">
        <v>4393</v>
      </c>
      <c r="C11" s="35" t="s">
        <v>4396</v>
      </c>
      <c r="D11" s="46">
        <v>234.0</v>
      </c>
      <c r="E11" s="46">
        <v>10.0</v>
      </c>
      <c r="F11" s="56" t="s">
        <v>4395</v>
      </c>
    </row>
    <row r="12">
      <c r="A12" s="39" t="s">
        <v>3501</v>
      </c>
      <c r="B12" s="39" t="s">
        <v>4397</v>
      </c>
      <c r="C12" s="35" t="s">
        <v>4398</v>
      </c>
      <c r="D12" s="46">
        <v>234.0</v>
      </c>
      <c r="E12" s="46">
        <v>11.0</v>
      </c>
      <c r="F12" s="56" t="s">
        <v>4399</v>
      </c>
    </row>
    <row r="13">
      <c r="A13" s="39" t="s">
        <v>3501</v>
      </c>
      <c r="B13" s="39" t="s">
        <v>4397</v>
      </c>
      <c r="C13" s="35" t="s">
        <v>4400</v>
      </c>
      <c r="D13" s="46">
        <v>234.0</v>
      </c>
      <c r="E13" s="46">
        <v>12.0</v>
      </c>
      <c r="F13" s="56" t="s">
        <v>4399</v>
      </c>
    </row>
    <row r="14">
      <c r="A14" s="39" t="s">
        <v>3501</v>
      </c>
      <c r="B14" s="39" t="s">
        <v>4401</v>
      </c>
      <c r="C14" s="35" t="s">
        <v>4402</v>
      </c>
      <c r="D14" s="46">
        <v>234.0</v>
      </c>
      <c r="E14" s="46">
        <v>13.0</v>
      </c>
      <c r="F14" s="56" t="s">
        <v>4403</v>
      </c>
    </row>
    <row r="15">
      <c r="A15" s="39" t="s">
        <v>3501</v>
      </c>
      <c r="B15" s="39" t="s">
        <v>4401</v>
      </c>
      <c r="C15" s="35" t="s">
        <v>4404</v>
      </c>
      <c r="D15" s="46">
        <v>234.0</v>
      </c>
      <c r="E15" s="46">
        <v>14.0</v>
      </c>
      <c r="F15" s="56" t="s">
        <v>4403</v>
      </c>
    </row>
    <row r="16">
      <c r="A16" s="39" t="s">
        <v>3501</v>
      </c>
      <c r="B16" s="39" t="s">
        <v>4405</v>
      </c>
      <c r="C16" s="35" t="s">
        <v>4406</v>
      </c>
      <c r="D16" s="46">
        <v>234.0</v>
      </c>
      <c r="E16" s="46">
        <v>15.0</v>
      </c>
      <c r="F16" s="56" t="s">
        <v>4407</v>
      </c>
    </row>
    <row r="17">
      <c r="A17" s="39" t="s">
        <v>3501</v>
      </c>
      <c r="B17" s="39" t="s">
        <v>4405</v>
      </c>
      <c r="C17" s="35" t="s">
        <v>4408</v>
      </c>
      <c r="D17" s="46">
        <v>234.0</v>
      </c>
      <c r="E17" s="46">
        <v>16.0</v>
      </c>
      <c r="F17" s="56" t="s">
        <v>4407</v>
      </c>
    </row>
    <row r="18">
      <c r="A18" s="39" t="s">
        <v>3501</v>
      </c>
      <c r="B18" s="39" t="s">
        <v>4409</v>
      </c>
      <c r="C18" s="35" t="s">
        <v>4410</v>
      </c>
      <c r="D18" s="46">
        <v>234.0</v>
      </c>
      <c r="E18" s="46">
        <v>17.0</v>
      </c>
      <c r="F18" s="56" t="s">
        <v>4411</v>
      </c>
    </row>
    <row r="19">
      <c r="A19" s="39" t="s">
        <v>3501</v>
      </c>
      <c r="B19" s="39" t="s">
        <v>4409</v>
      </c>
      <c r="C19" s="35" t="s">
        <v>4412</v>
      </c>
      <c r="D19" s="46">
        <v>234.0</v>
      </c>
      <c r="E19" s="46">
        <v>18.0</v>
      </c>
      <c r="F19" s="56" t="s">
        <v>4411</v>
      </c>
    </row>
    <row r="20">
      <c r="A20" s="39" t="s">
        <v>3501</v>
      </c>
      <c r="B20" s="39" t="s">
        <v>4413</v>
      </c>
      <c r="C20" s="35" t="s">
        <v>4414</v>
      </c>
      <c r="D20" s="46">
        <v>234.0</v>
      </c>
      <c r="E20" s="46">
        <v>19.0</v>
      </c>
      <c r="F20" s="56" t="s">
        <v>4415</v>
      </c>
    </row>
    <row r="21">
      <c r="A21" s="39" t="s">
        <v>3501</v>
      </c>
      <c r="B21" s="39" t="s">
        <v>4413</v>
      </c>
      <c r="C21" s="35" t="s">
        <v>4416</v>
      </c>
      <c r="D21" s="46">
        <v>234.0</v>
      </c>
      <c r="E21" s="46">
        <v>20.0</v>
      </c>
      <c r="F21" s="56" t="s">
        <v>4415</v>
      </c>
    </row>
    <row r="22">
      <c r="A22" s="39" t="s">
        <v>3501</v>
      </c>
      <c r="B22" s="39" t="s">
        <v>4417</v>
      </c>
      <c r="C22" s="35" t="s">
        <v>4418</v>
      </c>
      <c r="D22" s="46">
        <v>234.0</v>
      </c>
      <c r="E22" s="46">
        <v>21.0</v>
      </c>
      <c r="F22" s="56" t="s">
        <v>4419</v>
      </c>
    </row>
    <row r="23">
      <c r="A23" s="39" t="s">
        <v>3501</v>
      </c>
      <c r="B23" s="39" t="s">
        <v>4420</v>
      </c>
      <c r="C23" s="35" t="s">
        <v>4421</v>
      </c>
      <c r="D23" s="46">
        <v>234.0</v>
      </c>
      <c r="E23" s="46">
        <v>22.0</v>
      </c>
      <c r="F23" s="56" t="s">
        <v>4422</v>
      </c>
    </row>
    <row r="24">
      <c r="A24" s="39" t="s">
        <v>3501</v>
      </c>
      <c r="B24" s="39" t="s">
        <v>4417</v>
      </c>
      <c r="C24" s="35" t="s">
        <v>4423</v>
      </c>
      <c r="D24" s="46">
        <v>234.0</v>
      </c>
      <c r="E24" s="46">
        <v>23.0</v>
      </c>
      <c r="F24" s="56" t="s">
        <v>4419</v>
      </c>
    </row>
    <row r="25">
      <c r="A25" s="39" t="s">
        <v>3501</v>
      </c>
      <c r="B25" s="39" t="s">
        <v>4420</v>
      </c>
      <c r="C25" s="35" t="s">
        <v>4424</v>
      </c>
      <c r="D25" s="46">
        <v>234.0</v>
      </c>
      <c r="E25" s="46">
        <v>24.0</v>
      </c>
      <c r="F25" s="56" t="s">
        <v>4422</v>
      </c>
    </row>
    <row r="26">
      <c r="A26" s="39" t="s">
        <v>3501</v>
      </c>
      <c r="B26" s="39" t="s">
        <v>4425</v>
      </c>
      <c r="C26" s="35" t="s">
        <v>4426</v>
      </c>
      <c r="D26" s="46">
        <v>234.0</v>
      </c>
      <c r="E26" s="46">
        <v>25.0</v>
      </c>
      <c r="F26" s="56" t="s">
        <v>4427</v>
      </c>
    </row>
    <row r="27">
      <c r="A27" s="39" t="s">
        <v>3501</v>
      </c>
      <c r="B27" s="39" t="s">
        <v>4428</v>
      </c>
      <c r="C27" s="35" t="s">
        <v>4429</v>
      </c>
      <c r="D27" s="46">
        <v>234.0</v>
      </c>
      <c r="E27" s="46">
        <v>26.0</v>
      </c>
      <c r="F27" s="56" t="s">
        <v>4430</v>
      </c>
    </row>
    <row r="28">
      <c r="A28" s="39" t="s">
        <v>3501</v>
      </c>
      <c r="B28" s="39" t="s">
        <v>4431</v>
      </c>
      <c r="C28" s="35" t="s">
        <v>4432</v>
      </c>
      <c r="D28" s="46">
        <v>234.0</v>
      </c>
      <c r="E28" s="46">
        <v>27.0</v>
      </c>
      <c r="F28" s="56" t="s">
        <v>4427</v>
      </c>
    </row>
    <row r="29">
      <c r="A29" s="39" t="s">
        <v>3501</v>
      </c>
      <c r="B29" s="39" t="s">
        <v>4428</v>
      </c>
      <c r="C29" s="35" t="s">
        <v>4433</v>
      </c>
      <c r="D29" s="46">
        <v>234.0</v>
      </c>
      <c r="E29" s="46">
        <v>28.0</v>
      </c>
      <c r="F29" s="56" t="s">
        <v>4430</v>
      </c>
    </row>
    <row r="30">
      <c r="A30" s="39" t="s">
        <v>3501</v>
      </c>
      <c r="B30" s="39" t="s">
        <v>4434</v>
      </c>
      <c r="C30" s="35" t="s">
        <v>4435</v>
      </c>
      <c r="D30" s="46">
        <v>234.0</v>
      </c>
      <c r="E30" s="46">
        <v>29.0</v>
      </c>
      <c r="F30" s="56" t="s">
        <v>4436</v>
      </c>
    </row>
    <row r="31">
      <c r="A31" s="39" t="s">
        <v>3501</v>
      </c>
      <c r="B31" s="39" t="s">
        <v>4437</v>
      </c>
      <c r="C31" s="35" t="s">
        <v>4438</v>
      </c>
      <c r="D31" s="46">
        <v>234.0</v>
      </c>
      <c r="E31" s="46">
        <v>30.0</v>
      </c>
      <c r="F31" s="56" t="s">
        <v>4439</v>
      </c>
    </row>
    <row r="32">
      <c r="A32" s="39" t="s">
        <v>3501</v>
      </c>
      <c r="B32" s="39" t="s">
        <v>3929</v>
      </c>
      <c r="C32" s="35" t="s">
        <v>4440</v>
      </c>
      <c r="D32" s="46">
        <v>234.0</v>
      </c>
      <c r="E32" s="46">
        <v>31.0</v>
      </c>
      <c r="F32" s="56" t="s">
        <v>4441</v>
      </c>
    </row>
    <row r="33">
      <c r="A33" s="39" t="s">
        <v>3501</v>
      </c>
      <c r="B33" s="39" t="s">
        <v>4442</v>
      </c>
      <c r="C33" s="35" t="s">
        <v>4443</v>
      </c>
      <c r="D33" s="46">
        <v>234.0</v>
      </c>
      <c r="E33" s="46">
        <v>32.0</v>
      </c>
      <c r="F33" s="56" t="s">
        <v>4444</v>
      </c>
    </row>
    <row r="34">
      <c r="A34" s="39" t="s">
        <v>3501</v>
      </c>
      <c r="B34" s="39" t="s">
        <v>4445</v>
      </c>
      <c r="C34" s="35" t="s">
        <v>4446</v>
      </c>
      <c r="D34" s="46">
        <v>234.0</v>
      </c>
      <c r="E34" s="46">
        <v>33.0</v>
      </c>
      <c r="F34" s="56" t="s">
        <v>4447</v>
      </c>
    </row>
    <row r="35">
      <c r="A35" s="39" t="s">
        <v>3501</v>
      </c>
      <c r="B35" s="39" t="s">
        <v>4448</v>
      </c>
      <c r="C35" s="35" t="s">
        <v>4449</v>
      </c>
      <c r="D35" s="46">
        <v>234.0</v>
      </c>
      <c r="E35" s="46">
        <v>34.0</v>
      </c>
      <c r="F35" s="56" t="s">
        <v>4450</v>
      </c>
    </row>
    <row r="36">
      <c r="A36" s="39" t="s">
        <v>3501</v>
      </c>
      <c r="B36" s="39" t="s">
        <v>4451</v>
      </c>
      <c r="C36" s="35" t="s">
        <v>4452</v>
      </c>
      <c r="D36" s="46">
        <v>234.0</v>
      </c>
      <c r="E36" s="46">
        <v>35.0</v>
      </c>
      <c r="F36" s="56" t="s">
        <v>4453</v>
      </c>
    </row>
    <row r="37">
      <c r="A37" s="39" t="s">
        <v>3501</v>
      </c>
      <c r="B37" s="39" t="s">
        <v>4454</v>
      </c>
      <c r="C37" s="35" t="s">
        <v>4455</v>
      </c>
      <c r="D37" s="46">
        <v>234.0</v>
      </c>
      <c r="E37" s="46">
        <v>36.0</v>
      </c>
      <c r="F37" s="56" t="s">
        <v>4456</v>
      </c>
    </row>
    <row r="38">
      <c r="A38" s="39" t="s">
        <v>3501</v>
      </c>
      <c r="B38" s="39" t="s">
        <v>4457</v>
      </c>
      <c r="C38" s="35" t="s">
        <v>4458</v>
      </c>
      <c r="D38" s="46">
        <v>234.0</v>
      </c>
      <c r="E38" s="46">
        <v>37.0</v>
      </c>
      <c r="F38" s="56" t="s">
        <v>4459</v>
      </c>
    </row>
    <row r="39">
      <c r="A39" s="39" t="s">
        <v>3501</v>
      </c>
      <c r="B39" s="39" t="s">
        <v>3729</v>
      </c>
      <c r="C39" s="35" t="s">
        <v>4460</v>
      </c>
      <c r="D39" s="46">
        <v>234.0</v>
      </c>
      <c r="E39" s="46">
        <v>38.0</v>
      </c>
      <c r="F39" s="56" t="s">
        <v>4461</v>
      </c>
    </row>
    <row r="40">
      <c r="A40" s="39" t="s">
        <v>3501</v>
      </c>
      <c r="B40" s="39" t="s">
        <v>4462</v>
      </c>
      <c r="C40" s="35" t="s">
        <v>4463</v>
      </c>
      <c r="D40" s="46">
        <v>234.0</v>
      </c>
      <c r="E40" s="46">
        <v>39.0</v>
      </c>
      <c r="F40" s="56" t="s">
        <v>4464</v>
      </c>
    </row>
    <row r="41">
      <c r="A41" s="39" t="s">
        <v>3501</v>
      </c>
      <c r="B41" s="39" t="s">
        <v>4465</v>
      </c>
      <c r="C41" s="35" t="s">
        <v>4466</v>
      </c>
      <c r="D41" s="46">
        <v>234.0</v>
      </c>
      <c r="E41" s="46">
        <v>40.0</v>
      </c>
      <c r="F41" s="56" t="s">
        <v>4467</v>
      </c>
    </row>
    <row r="42">
      <c r="A42" s="39" t="s">
        <v>3501</v>
      </c>
      <c r="B42" s="39" t="s">
        <v>4468</v>
      </c>
      <c r="C42" s="35" t="s">
        <v>4469</v>
      </c>
      <c r="D42" s="46">
        <v>234.0</v>
      </c>
      <c r="E42" s="46">
        <v>41.0</v>
      </c>
      <c r="F42" s="56" t="s">
        <v>4470</v>
      </c>
    </row>
    <row r="43">
      <c r="A43" s="39" t="s">
        <v>3501</v>
      </c>
      <c r="B43" s="39" t="s">
        <v>4471</v>
      </c>
      <c r="C43" s="35" t="s">
        <v>4472</v>
      </c>
      <c r="D43" s="46">
        <v>234.0</v>
      </c>
      <c r="E43" s="46">
        <v>42.0</v>
      </c>
      <c r="F43" s="56" t="s">
        <v>4473</v>
      </c>
    </row>
    <row r="44">
      <c r="A44" s="39" t="s">
        <v>3501</v>
      </c>
      <c r="B44" s="39" t="s">
        <v>4474</v>
      </c>
      <c r="C44" s="35" t="s">
        <v>4475</v>
      </c>
      <c r="D44" s="46">
        <v>234.0</v>
      </c>
      <c r="E44" s="46">
        <v>43.0</v>
      </c>
      <c r="F44" s="39" t="s">
        <v>4476</v>
      </c>
    </row>
    <row r="45">
      <c r="A45" s="39" t="s">
        <v>3501</v>
      </c>
      <c r="B45" s="39" t="s">
        <v>4477</v>
      </c>
      <c r="C45" s="35" t="s">
        <v>4478</v>
      </c>
      <c r="D45" s="46">
        <v>234.0</v>
      </c>
      <c r="E45" s="46">
        <v>44.0</v>
      </c>
      <c r="F45" s="56" t="s">
        <v>4479</v>
      </c>
    </row>
    <row r="46">
      <c r="A46" s="39" t="s">
        <v>3501</v>
      </c>
      <c r="B46" s="39" t="s">
        <v>4480</v>
      </c>
      <c r="C46" s="35" t="s">
        <v>4481</v>
      </c>
      <c r="D46" s="46">
        <v>234.0</v>
      </c>
      <c r="E46" s="46">
        <v>45.0</v>
      </c>
      <c r="F46" s="56" t="s">
        <v>4482</v>
      </c>
    </row>
    <row r="47">
      <c r="A47" s="39" t="s">
        <v>3501</v>
      </c>
      <c r="B47" s="39" t="s">
        <v>4483</v>
      </c>
      <c r="C47" s="35" t="s">
        <v>4484</v>
      </c>
      <c r="D47" s="46">
        <v>234.0</v>
      </c>
      <c r="E47" s="46">
        <v>46.0</v>
      </c>
      <c r="F47" s="56" t="s">
        <v>4485</v>
      </c>
    </row>
    <row r="48">
      <c r="A48" s="39" t="s">
        <v>3501</v>
      </c>
      <c r="B48" s="39" t="s">
        <v>4486</v>
      </c>
      <c r="C48" s="35" t="s">
        <v>4487</v>
      </c>
      <c r="D48" s="46">
        <v>234.0</v>
      </c>
      <c r="E48" s="46">
        <v>47.0</v>
      </c>
      <c r="F48" s="56" t="s">
        <v>4488</v>
      </c>
    </row>
    <row r="49">
      <c r="A49" s="39" t="s">
        <v>3501</v>
      </c>
      <c r="B49" s="39" t="s">
        <v>4489</v>
      </c>
      <c r="C49" s="35" t="s">
        <v>4490</v>
      </c>
      <c r="D49" s="46">
        <v>234.0</v>
      </c>
      <c r="E49" s="46">
        <v>48.0</v>
      </c>
      <c r="F49" s="56" t="s">
        <v>4491</v>
      </c>
    </row>
    <row r="50">
      <c r="A50" s="39" t="s">
        <v>3501</v>
      </c>
      <c r="B50" s="39" t="s">
        <v>4434</v>
      </c>
      <c r="C50" s="35" t="s">
        <v>4492</v>
      </c>
      <c r="D50" s="46">
        <v>234.0</v>
      </c>
      <c r="E50" s="46">
        <v>49.0</v>
      </c>
      <c r="F50" s="56" t="s">
        <v>4436</v>
      </c>
    </row>
    <row r="51">
      <c r="A51" s="39" t="s">
        <v>3501</v>
      </c>
      <c r="B51" s="39" t="s">
        <v>4437</v>
      </c>
      <c r="C51" s="35" t="s">
        <v>4493</v>
      </c>
      <c r="D51" s="46">
        <v>234.0</v>
      </c>
      <c r="E51" s="46">
        <v>50.0</v>
      </c>
      <c r="F51" s="56" t="s">
        <v>4439</v>
      </c>
    </row>
    <row r="52">
      <c r="A52" s="39" t="s">
        <v>3501</v>
      </c>
      <c r="B52" s="39" t="s">
        <v>3929</v>
      </c>
      <c r="C52" s="35" t="s">
        <v>4494</v>
      </c>
      <c r="D52" s="46">
        <v>234.0</v>
      </c>
      <c r="E52" s="46">
        <v>51.0</v>
      </c>
      <c r="F52" s="56" t="s">
        <v>4441</v>
      </c>
    </row>
    <row r="53">
      <c r="A53" s="39" t="s">
        <v>3501</v>
      </c>
      <c r="B53" s="39" t="s">
        <v>4442</v>
      </c>
      <c r="C53" s="35" t="s">
        <v>4495</v>
      </c>
      <c r="D53" s="46">
        <v>234.0</v>
      </c>
      <c r="E53" s="46">
        <v>52.0</v>
      </c>
      <c r="F53" s="56" t="s">
        <v>4444</v>
      </c>
    </row>
    <row r="54">
      <c r="A54" s="39" t="s">
        <v>3501</v>
      </c>
      <c r="B54" s="39" t="s">
        <v>4445</v>
      </c>
      <c r="C54" s="35" t="s">
        <v>4496</v>
      </c>
      <c r="D54" s="46">
        <v>234.0</v>
      </c>
      <c r="E54" s="46">
        <v>53.0</v>
      </c>
      <c r="F54" s="56" t="s">
        <v>4447</v>
      </c>
    </row>
    <row r="55">
      <c r="A55" s="39" t="s">
        <v>3501</v>
      </c>
      <c r="B55" s="39" t="s">
        <v>4448</v>
      </c>
      <c r="C55" s="35" t="s">
        <v>4497</v>
      </c>
      <c r="D55" s="46">
        <v>234.0</v>
      </c>
      <c r="E55" s="46">
        <v>54.0</v>
      </c>
      <c r="F55" s="56" t="s">
        <v>4450</v>
      </c>
    </row>
    <row r="56">
      <c r="A56" s="39" t="s">
        <v>3501</v>
      </c>
      <c r="B56" s="39" t="s">
        <v>4451</v>
      </c>
      <c r="C56" s="35" t="s">
        <v>4498</v>
      </c>
      <c r="D56" s="46">
        <v>234.0</v>
      </c>
      <c r="E56" s="46">
        <v>55.0</v>
      </c>
      <c r="F56" s="56" t="s">
        <v>4453</v>
      </c>
    </row>
    <row r="57">
      <c r="A57" s="39" t="s">
        <v>3501</v>
      </c>
      <c r="B57" s="39" t="s">
        <v>4454</v>
      </c>
      <c r="C57" s="35" t="s">
        <v>4499</v>
      </c>
      <c r="D57" s="46">
        <v>234.0</v>
      </c>
      <c r="E57" s="46">
        <v>56.0</v>
      </c>
      <c r="F57" s="56" t="s">
        <v>4456</v>
      </c>
    </row>
    <row r="58">
      <c r="A58" s="39" t="s">
        <v>3501</v>
      </c>
      <c r="B58" s="39" t="s">
        <v>4457</v>
      </c>
      <c r="C58" s="35" t="s">
        <v>4500</v>
      </c>
      <c r="D58" s="46">
        <v>234.0</v>
      </c>
      <c r="E58" s="46">
        <v>57.0</v>
      </c>
      <c r="F58" s="56" t="s">
        <v>4459</v>
      </c>
    </row>
    <row r="59">
      <c r="A59" s="39" t="s">
        <v>3501</v>
      </c>
      <c r="B59" s="39" t="s">
        <v>3729</v>
      </c>
      <c r="C59" s="35" t="s">
        <v>4501</v>
      </c>
      <c r="D59" s="46">
        <v>234.0</v>
      </c>
      <c r="E59" s="46">
        <v>58.0</v>
      </c>
      <c r="F59" s="56" t="s">
        <v>4461</v>
      </c>
    </row>
    <row r="60">
      <c r="A60" s="39" t="s">
        <v>3501</v>
      </c>
      <c r="B60" s="39" t="s">
        <v>4462</v>
      </c>
      <c r="C60" s="35" t="s">
        <v>4502</v>
      </c>
      <c r="D60" s="46">
        <v>234.0</v>
      </c>
      <c r="E60" s="46">
        <v>59.0</v>
      </c>
      <c r="F60" s="56" t="s">
        <v>4464</v>
      </c>
    </row>
    <row r="61">
      <c r="A61" s="39" t="s">
        <v>3501</v>
      </c>
      <c r="B61" s="39" t="s">
        <v>4503</v>
      </c>
      <c r="C61" s="35" t="s">
        <v>4504</v>
      </c>
      <c r="D61" s="46">
        <v>234.0</v>
      </c>
      <c r="E61" s="46">
        <v>60.0</v>
      </c>
      <c r="F61" s="56" t="s">
        <v>4467</v>
      </c>
    </row>
    <row r="62">
      <c r="A62" s="39" t="s">
        <v>3501</v>
      </c>
      <c r="B62" s="39" t="s">
        <v>4468</v>
      </c>
      <c r="C62" s="35" t="s">
        <v>4505</v>
      </c>
      <c r="D62" s="46">
        <v>234.0</v>
      </c>
      <c r="E62" s="46">
        <v>61.0</v>
      </c>
      <c r="F62" s="56" t="s">
        <v>4470</v>
      </c>
    </row>
    <row r="63">
      <c r="A63" s="39" t="s">
        <v>3501</v>
      </c>
      <c r="B63" s="39" t="s">
        <v>4471</v>
      </c>
      <c r="C63" s="35" t="s">
        <v>4506</v>
      </c>
      <c r="D63" s="46">
        <v>234.0</v>
      </c>
      <c r="E63" s="46">
        <v>62.0</v>
      </c>
      <c r="F63" s="56" t="s">
        <v>4473</v>
      </c>
    </row>
    <row r="64">
      <c r="A64" s="39" t="s">
        <v>3501</v>
      </c>
      <c r="B64" s="39" t="s">
        <v>4474</v>
      </c>
      <c r="C64" s="35" t="s">
        <v>4507</v>
      </c>
      <c r="D64" s="46">
        <v>234.0</v>
      </c>
      <c r="E64" s="46">
        <v>63.0</v>
      </c>
      <c r="F64" s="56" t="s">
        <v>4508</v>
      </c>
    </row>
    <row r="65">
      <c r="A65" s="39" t="s">
        <v>3501</v>
      </c>
      <c r="B65" s="39" t="s">
        <v>4477</v>
      </c>
      <c r="C65" s="35" t="s">
        <v>4509</v>
      </c>
      <c r="D65" s="46">
        <v>234.0</v>
      </c>
      <c r="E65" s="46">
        <v>64.0</v>
      </c>
      <c r="F65" s="56" t="s">
        <v>4479</v>
      </c>
    </row>
    <row r="66">
      <c r="A66" s="39" t="s">
        <v>3501</v>
      </c>
      <c r="B66" s="39" t="s">
        <v>4480</v>
      </c>
      <c r="C66" s="35" t="s">
        <v>4510</v>
      </c>
      <c r="D66" s="46">
        <v>234.0</v>
      </c>
      <c r="E66" s="46">
        <v>65.0</v>
      </c>
      <c r="F66" s="56" t="s">
        <v>4482</v>
      </c>
    </row>
    <row r="67">
      <c r="A67" s="39" t="s">
        <v>3501</v>
      </c>
      <c r="B67" s="39" t="s">
        <v>4483</v>
      </c>
      <c r="C67" s="35" t="s">
        <v>4511</v>
      </c>
      <c r="D67" s="46">
        <v>234.0</v>
      </c>
      <c r="E67" s="46">
        <v>66.0</v>
      </c>
      <c r="F67" s="56" t="s">
        <v>4485</v>
      </c>
    </row>
    <row r="68">
      <c r="A68" s="39" t="s">
        <v>3501</v>
      </c>
      <c r="B68" s="39" t="s">
        <v>4486</v>
      </c>
      <c r="C68" s="35" t="s">
        <v>4512</v>
      </c>
      <c r="D68" s="46">
        <v>234.0</v>
      </c>
      <c r="E68" s="46">
        <v>67.0</v>
      </c>
      <c r="F68" s="56" t="s">
        <v>4488</v>
      </c>
    </row>
    <row r="69">
      <c r="A69" s="39" t="s">
        <v>3501</v>
      </c>
      <c r="B69" s="39" t="s">
        <v>4489</v>
      </c>
      <c r="C69" s="35" t="s">
        <v>4513</v>
      </c>
      <c r="D69" s="46">
        <v>234.0</v>
      </c>
      <c r="E69" s="46">
        <v>68.0</v>
      </c>
      <c r="F69" s="56" t="s">
        <v>4491</v>
      </c>
    </row>
    <row r="70">
      <c r="A70" s="39" t="s">
        <v>4514</v>
      </c>
      <c r="B70" s="39" t="s">
        <v>4515</v>
      </c>
      <c r="C70" s="39" t="s">
        <v>4516</v>
      </c>
      <c r="D70" s="46">
        <v>234.0</v>
      </c>
      <c r="E70" s="46">
        <v>69.0</v>
      </c>
      <c r="G70" s="39" t="s">
        <v>4517</v>
      </c>
    </row>
    <row r="71">
      <c r="A71" s="39" t="s">
        <v>4514</v>
      </c>
      <c r="B71" s="39" t="s">
        <v>4518</v>
      </c>
      <c r="C71" s="39" t="s">
        <v>4519</v>
      </c>
      <c r="D71" s="46">
        <v>234.0</v>
      </c>
      <c r="E71" s="46">
        <v>70.0</v>
      </c>
      <c r="G71" s="39" t="s">
        <v>4517</v>
      </c>
    </row>
    <row r="72">
      <c r="A72" s="39" t="s">
        <v>4514</v>
      </c>
      <c r="B72" s="39" t="s">
        <v>4520</v>
      </c>
      <c r="C72" s="39" t="s">
        <v>4521</v>
      </c>
      <c r="D72" s="46">
        <v>234.0</v>
      </c>
      <c r="E72" s="46">
        <v>71.0</v>
      </c>
      <c r="G72" s="39" t="s">
        <v>4517</v>
      </c>
    </row>
    <row r="73">
      <c r="A73" s="39" t="s">
        <v>4514</v>
      </c>
      <c r="B73" s="39" t="s">
        <v>4522</v>
      </c>
      <c r="C73" s="39" t="s">
        <v>4523</v>
      </c>
      <c r="D73" s="46">
        <v>234.0</v>
      </c>
      <c r="E73" s="46">
        <v>72.0</v>
      </c>
      <c r="G73" s="39" t="s">
        <v>4517</v>
      </c>
    </row>
    <row r="74">
      <c r="A74" s="39" t="s">
        <v>4514</v>
      </c>
      <c r="B74" s="39" t="s">
        <v>133</v>
      </c>
      <c r="C74" s="39" t="s">
        <v>4524</v>
      </c>
      <c r="D74" s="46">
        <v>234.0</v>
      </c>
      <c r="E74" s="46">
        <v>73.0</v>
      </c>
      <c r="G74" s="39" t="s">
        <v>4517</v>
      </c>
    </row>
    <row r="75">
      <c r="A75" s="39" t="s">
        <v>68</v>
      </c>
      <c r="B75" s="38" t="s">
        <v>3999</v>
      </c>
      <c r="C75" s="35" t="s">
        <v>4525</v>
      </c>
      <c r="D75" s="46">
        <v>234.0</v>
      </c>
      <c r="E75" s="46">
        <v>74.0</v>
      </c>
    </row>
    <row r="76">
      <c r="A76" s="39" t="s">
        <v>68</v>
      </c>
      <c r="B76" s="38" t="s">
        <v>3791</v>
      </c>
      <c r="C76" s="35" t="s">
        <v>4526</v>
      </c>
      <c r="D76" s="46">
        <v>234.0</v>
      </c>
      <c r="E76" s="46">
        <v>75.0</v>
      </c>
    </row>
    <row r="77">
      <c r="A77" s="39" t="s">
        <v>68</v>
      </c>
      <c r="B77" s="38" t="s">
        <v>3793</v>
      </c>
      <c r="C77" s="35" t="s">
        <v>4527</v>
      </c>
      <c r="D77" s="46">
        <v>234.0</v>
      </c>
      <c r="E77" s="46">
        <v>76.0</v>
      </c>
    </row>
    <row r="78">
      <c r="A78" s="39" t="s">
        <v>68</v>
      </c>
      <c r="B78" s="38" t="s">
        <v>3795</v>
      </c>
      <c r="C78" s="35" t="s">
        <v>4528</v>
      </c>
      <c r="D78" s="46">
        <v>234.0</v>
      </c>
      <c r="E78" s="46">
        <v>77.0</v>
      </c>
    </row>
    <row r="79">
      <c r="A79" s="39" t="s">
        <v>68</v>
      </c>
      <c r="B79" s="39" t="s">
        <v>3797</v>
      </c>
      <c r="C79" s="35" t="s">
        <v>4529</v>
      </c>
      <c r="D79" s="46">
        <v>234.0</v>
      </c>
      <c r="E79" s="46">
        <v>78.0</v>
      </c>
    </row>
    <row r="80">
      <c r="A80" s="39" t="s">
        <v>68</v>
      </c>
      <c r="B80" s="39" t="s">
        <v>3799</v>
      </c>
      <c r="C80" s="35" t="s">
        <v>4530</v>
      </c>
      <c r="D80" s="46">
        <v>234.0</v>
      </c>
      <c r="E80" s="46">
        <v>79.0</v>
      </c>
    </row>
    <row r="81">
      <c r="A81" s="39" t="s">
        <v>68</v>
      </c>
      <c r="B81" s="39" t="s">
        <v>3801</v>
      </c>
      <c r="C81" s="35" t="s">
        <v>4531</v>
      </c>
      <c r="D81" s="46">
        <v>234.0</v>
      </c>
      <c r="E81" s="46">
        <v>80.0</v>
      </c>
    </row>
    <row r="82">
      <c r="A82" s="39" t="s">
        <v>68</v>
      </c>
      <c r="B82" s="39" t="s">
        <v>3803</v>
      </c>
      <c r="C82" s="35" t="s">
        <v>4532</v>
      </c>
      <c r="D82" s="46">
        <v>234.0</v>
      </c>
      <c r="E82" s="46">
        <v>81.0</v>
      </c>
    </row>
    <row r="83">
      <c r="A83" s="39" t="s">
        <v>68</v>
      </c>
      <c r="B83" s="38" t="s">
        <v>160</v>
      </c>
      <c r="C83" s="35" t="s">
        <v>4533</v>
      </c>
      <c r="D83" s="46">
        <v>234.0</v>
      </c>
      <c r="E83" s="46">
        <v>82.0</v>
      </c>
    </row>
    <row r="84">
      <c r="A84" s="39" t="s">
        <v>68</v>
      </c>
      <c r="B84" s="38" t="s">
        <v>3806</v>
      </c>
      <c r="C84" s="35" t="s">
        <v>4534</v>
      </c>
      <c r="D84" s="46">
        <v>234.0</v>
      </c>
      <c r="E84" s="46">
        <v>83.0</v>
      </c>
    </row>
    <row r="85">
      <c r="A85" s="39" t="s">
        <v>68</v>
      </c>
      <c r="B85" s="38" t="s">
        <v>3808</v>
      </c>
      <c r="C85" s="35" t="s">
        <v>4535</v>
      </c>
      <c r="D85" s="46">
        <v>234.0</v>
      </c>
      <c r="E85" s="46">
        <v>84.0</v>
      </c>
    </row>
    <row r="86">
      <c r="A86" s="39" t="s">
        <v>68</v>
      </c>
      <c r="B86" s="38" t="s">
        <v>3810</v>
      </c>
      <c r="C86" s="35" t="s">
        <v>4536</v>
      </c>
      <c r="D86" s="46">
        <v>234.0</v>
      </c>
      <c r="E86" s="46">
        <v>85.0</v>
      </c>
    </row>
    <row r="87">
      <c r="A87" s="39" t="s">
        <v>68</v>
      </c>
      <c r="B87" s="76" t="s">
        <v>3812</v>
      </c>
      <c r="C87" s="35" t="s">
        <v>4537</v>
      </c>
      <c r="D87" s="46">
        <v>234.0</v>
      </c>
      <c r="E87" s="46">
        <v>86.0</v>
      </c>
    </row>
    <row r="88">
      <c r="A88" s="39" t="s">
        <v>68</v>
      </c>
      <c r="B88" s="76" t="s">
        <v>3814</v>
      </c>
      <c r="C88" s="35" t="s">
        <v>4538</v>
      </c>
      <c r="D88" s="46">
        <v>234.0</v>
      </c>
      <c r="E88" s="46">
        <v>87.0</v>
      </c>
    </row>
    <row r="89">
      <c r="A89" s="39" t="s">
        <v>68</v>
      </c>
      <c r="B89" s="76" t="s">
        <v>3816</v>
      </c>
      <c r="C89" s="35" t="s">
        <v>4539</v>
      </c>
      <c r="D89" s="46">
        <v>234.0</v>
      </c>
      <c r="E89" s="46">
        <v>88.0</v>
      </c>
    </row>
    <row r="90">
      <c r="A90" s="39" t="s">
        <v>68</v>
      </c>
      <c r="B90" s="76" t="s">
        <v>3818</v>
      </c>
      <c r="C90" s="35" t="s">
        <v>4540</v>
      </c>
      <c r="D90" s="46">
        <v>234.0</v>
      </c>
      <c r="E90" s="46">
        <v>89.0</v>
      </c>
    </row>
    <row r="91">
      <c r="A91" s="39" t="s">
        <v>68</v>
      </c>
      <c r="B91" s="76" t="s">
        <v>3820</v>
      </c>
      <c r="C91" s="35" t="s">
        <v>4541</v>
      </c>
      <c r="D91" s="46">
        <v>234.0</v>
      </c>
      <c r="E91" s="46">
        <v>90.0</v>
      </c>
    </row>
    <row r="92">
      <c r="A92" s="39" t="s">
        <v>68</v>
      </c>
      <c r="B92" s="76" t="s">
        <v>3822</v>
      </c>
      <c r="C92" s="35" t="s">
        <v>4542</v>
      </c>
      <c r="D92" s="46">
        <v>234.0</v>
      </c>
      <c r="E92" s="46">
        <v>91.0</v>
      </c>
    </row>
    <row r="93">
      <c r="A93" s="39" t="s">
        <v>68</v>
      </c>
      <c r="B93" s="76" t="s">
        <v>3824</v>
      </c>
      <c r="C93" s="35" t="s">
        <v>4543</v>
      </c>
      <c r="D93" s="46">
        <v>234.0</v>
      </c>
      <c r="E93" s="46">
        <v>92.0</v>
      </c>
    </row>
    <row r="94">
      <c r="A94" s="39" t="s">
        <v>68</v>
      </c>
      <c r="B94" s="76" t="s">
        <v>3826</v>
      </c>
      <c r="C94" s="35" t="s">
        <v>4544</v>
      </c>
      <c r="D94" s="46">
        <v>234.0</v>
      </c>
      <c r="E94" s="46">
        <v>93.0</v>
      </c>
    </row>
    <row r="95">
      <c r="A95" s="39" t="s">
        <v>68</v>
      </c>
      <c r="B95" s="76" t="s">
        <v>3828</v>
      </c>
      <c r="C95" s="35" t="s">
        <v>4545</v>
      </c>
      <c r="D95" s="46">
        <v>234.0</v>
      </c>
      <c r="E95" s="46">
        <v>94.0</v>
      </c>
    </row>
    <row r="96">
      <c r="A96" s="39" t="s">
        <v>3501</v>
      </c>
      <c r="B96" s="39" t="s">
        <v>4546</v>
      </c>
      <c r="C96" s="35" t="s">
        <v>4547</v>
      </c>
      <c r="D96" s="46">
        <v>234.0</v>
      </c>
      <c r="E96" s="46">
        <v>95.0</v>
      </c>
      <c r="F96" s="56" t="s">
        <v>4548</v>
      </c>
    </row>
    <row r="97">
      <c r="A97" s="39" t="s">
        <v>3501</v>
      </c>
      <c r="B97" s="39" t="s">
        <v>4549</v>
      </c>
      <c r="C97" s="35" t="s">
        <v>4550</v>
      </c>
      <c r="D97" s="46">
        <v>234.0</v>
      </c>
      <c r="E97" s="46">
        <v>96.0</v>
      </c>
      <c r="F97" s="56" t="s">
        <v>4551</v>
      </c>
    </row>
    <row r="98">
      <c r="A98" s="39" t="s">
        <v>3501</v>
      </c>
      <c r="B98" s="39" t="s">
        <v>4552</v>
      </c>
      <c r="C98" s="35" t="s">
        <v>4553</v>
      </c>
      <c r="D98" s="46">
        <v>234.0</v>
      </c>
      <c r="E98" s="46">
        <v>97.0</v>
      </c>
      <c r="F98" s="56" t="s">
        <v>4554</v>
      </c>
    </row>
    <row r="99">
      <c r="A99" s="39" t="s">
        <v>3501</v>
      </c>
      <c r="B99" s="39" t="s">
        <v>4555</v>
      </c>
      <c r="C99" s="35" t="s">
        <v>4556</v>
      </c>
      <c r="D99" s="46">
        <v>234.0</v>
      </c>
      <c r="E99" s="46">
        <v>98.0</v>
      </c>
      <c r="F99" s="56" t="s">
        <v>4557</v>
      </c>
    </row>
    <row r="100">
      <c r="A100" s="39" t="s">
        <v>3501</v>
      </c>
      <c r="B100" s="39" t="s">
        <v>4558</v>
      </c>
      <c r="C100" s="35" t="s">
        <v>4559</v>
      </c>
      <c r="D100" s="46">
        <v>234.0</v>
      </c>
      <c r="E100" s="46">
        <v>99.0</v>
      </c>
      <c r="F100" s="56" t="s">
        <v>4560</v>
      </c>
    </row>
    <row r="101">
      <c r="A101" s="39" t="s">
        <v>3501</v>
      </c>
      <c r="B101" s="39" t="s">
        <v>4393</v>
      </c>
      <c r="C101" s="35" t="s">
        <v>4561</v>
      </c>
      <c r="D101" s="46">
        <v>234.0</v>
      </c>
      <c r="E101" s="46">
        <v>100.0</v>
      </c>
      <c r="F101" s="56" t="s">
        <v>4562</v>
      </c>
    </row>
    <row r="102">
      <c r="A102" s="39" t="s">
        <v>3501</v>
      </c>
      <c r="B102" s="39" t="s">
        <v>4563</v>
      </c>
      <c r="C102" s="35" t="s">
        <v>4564</v>
      </c>
      <c r="D102" s="46">
        <v>234.0</v>
      </c>
      <c r="E102" s="46">
        <v>101.0</v>
      </c>
      <c r="F102" s="56" t="s">
        <v>4565</v>
      </c>
    </row>
    <row r="103">
      <c r="A103" s="39" t="s">
        <v>3501</v>
      </c>
      <c r="B103" s="39" t="s">
        <v>4371</v>
      </c>
      <c r="C103" s="35" t="s">
        <v>4566</v>
      </c>
      <c r="D103" s="46">
        <v>234.0</v>
      </c>
      <c r="E103" s="46">
        <v>102.0</v>
      </c>
      <c r="F103" s="56" t="s">
        <v>4373</v>
      </c>
    </row>
    <row r="104">
      <c r="A104" s="39" t="s">
        <v>68</v>
      </c>
      <c r="B104" s="76" t="s">
        <v>5031</v>
      </c>
      <c r="C104" s="76" t="s">
        <v>5401</v>
      </c>
      <c r="D104" s="97">
        <v>234.0</v>
      </c>
      <c r="E104" s="97">
        <v>103.0</v>
      </c>
    </row>
    <row r="105">
      <c r="A105" s="38" t="s">
        <v>4567</v>
      </c>
      <c r="B105" s="38" t="s">
        <v>4568</v>
      </c>
      <c r="C105" s="4" t="s">
        <v>4569</v>
      </c>
      <c r="D105" s="46">
        <v>237.0</v>
      </c>
      <c r="E105" s="46">
        <v>1.0</v>
      </c>
      <c r="F105" s="38" t="s">
        <v>4570</v>
      </c>
      <c r="G105" s="35"/>
    </row>
    <row r="106">
      <c r="A106" s="38" t="s">
        <v>4567</v>
      </c>
      <c r="B106" s="38" t="s">
        <v>4571</v>
      </c>
      <c r="C106" s="35" t="s">
        <v>4572</v>
      </c>
      <c r="D106" s="46">
        <v>237.0</v>
      </c>
      <c r="E106" s="46">
        <v>2.0</v>
      </c>
      <c r="F106" s="38" t="s">
        <v>4573</v>
      </c>
      <c r="G106" s="35"/>
    </row>
    <row r="107">
      <c r="A107" s="38" t="s">
        <v>4567</v>
      </c>
      <c r="B107" s="38" t="s">
        <v>4571</v>
      </c>
      <c r="C107" s="35" t="s">
        <v>4574</v>
      </c>
      <c r="D107" s="46">
        <v>237.0</v>
      </c>
      <c r="E107" s="46">
        <v>3.0</v>
      </c>
      <c r="F107" s="38" t="s">
        <v>4575</v>
      </c>
      <c r="G107" s="35"/>
    </row>
    <row r="108">
      <c r="A108" s="38" t="s">
        <v>4567</v>
      </c>
      <c r="B108" s="38" t="s">
        <v>4576</v>
      </c>
      <c r="C108" s="35" t="s">
        <v>4577</v>
      </c>
      <c r="D108" s="46">
        <v>237.0</v>
      </c>
      <c r="E108" s="46">
        <v>4.0</v>
      </c>
      <c r="F108" s="38" t="s">
        <v>4578</v>
      </c>
      <c r="G108" s="35"/>
    </row>
    <row r="109">
      <c r="A109" s="38" t="s">
        <v>4567</v>
      </c>
      <c r="B109" s="38" t="s">
        <v>4576</v>
      </c>
      <c r="C109" s="35" t="s">
        <v>4579</v>
      </c>
      <c r="D109" s="46">
        <v>237.0</v>
      </c>
      <c r="E109" s="46">
        <v>5.0</v>
      </c>
      <c r="F109" s="38" t="s">
        <v>4580</v>
      </c>
      <c r="G109" s="35"/>
    </row>
    <row r="110">
      <c r="A110" s="38" t="s">
        <v>4567</v>
      </c>
      <c r="B110" s="38" t="s">
        <v>4581</v>
      </c>
      <c r="C110" s="35" t="s">
        <v>4582</v>
      </c>
      <c r="D110" s="46">
        <v>237.0</v>
      </c>
      <c r="E110" s="46">
        <v>6.0</v>
      </c>
      <c r="F110" s="38" t="s">
        <v>4583</v>
      </c>
      <c r="G110" s="35"/>
    </row>
    <row r="111">
      <c r="A111" s="38" t="s">
        <v>4567</v>
      </c>
      <c r="B111" s="38" t="s">
        <v>4581</v>
      </c>
      <c r="C111" s="35" t="s">
        <v>4584</v>
      </c>
      <c r="D111" s="46">
        <v>237.0</v>
      </c>
      <c r="E111" s="46">
        <v>7.0</v>
      </c>
      <c r="F111" s="38" t="s">
        <v>4585</v>
      </c>
      <c r="G111" s="35"/>
    </row>
    <row r="112">
      <c r="A112" s="38" t="s">
        <v>4567</v>
      </c>
      <c r="B112" s="38" t="s">
        <v>4586</v>
      </c>
      <c r="C112" s="4" t="s">
        <v>4587</v>
      </c>
      <c r="D112" s="46">
        <v>237.0</v>
      </c>
      <c r="E112" s="46">
        <v>8.0</v>
      </c>
      <c r="F112" s="38" t="s">
        <v>4588</v>
      </c>
      <c r="G112" s="35"/>
    </row>
    <row r="113">
      <c r="A113" s="38" t="s">
        <v>4567</v>
      </c>
      <c r="B113" s="38" t="s">
        <v>4586</v>
      </c>
      <c r="C113" s="4" t="s">
        <v>4589</v>
      </c>
      <c r="D113" s="46">
        <v>237.0</v>
      </c>
      <c r="E113" s="46">
        <v>9.0</v>
      </c>
      <c r="F113" s="38" t="s">
        <v>4590</v>
      </c>
      <c r="G113" s="35"/>
    </row>
    <row r="114">
      <c r="A114" s="38" t="s">
        <v>4567</v>
      </c>
      <c r="B114" s="57" t="s">
        <v>4591</v>
      </c>
      <c r="C114" s="4" t="s">
        <v>4592</v>
      </c>
      <c r="D114" s="46">
        <v>237.0</v>
      </c>
      <c r="E114" s="46">
        <v>10.0</v>
      </c>
      <c r="F114" s="38" t="s">
        <v>4593</v>
      </c>
      <c r="G114" s="35"/>
    </row>
    <row r="115">
      <c r="A115" s="38" t="s">
        <v>4567</v>
      </c>
      <c r="B115" s="57" t="s">
        <v>4591</v>
      </c>
      <c r="C115" s="4" t="s">
        <v>4594</v>
      </c>
      <c r="D115" s="46">
        <v>237.0</v>
      </c>
      <c r="E115" s="46">
        <v>11.0</v>
      </c>
      <c r="F115" s="38" t="s">
        <v>4595</v>
      </c>
      <c r="G115" s="35"/>
    </row>
    <row r="116">
      <c r="A116" s="38" t="s">
        <v>4567</v>
      </c>
      <c r="B116" s="38" t="s">
        <v>4596</v>
      </c>
      <c r="C116" s="4" t="s">
        <v>4597</v>
      </c>
      <c r="D116" s="46">
        <v>237.0</v>
      </c>
      <c r="E116" s="46">
        <v>12.0</v>
      </c>
      <c r="F116" s="38" t="s">
        <v>4598</v>
      </c>
      <c r="G116" s="35"/>
    </row>
    <row r="117">
      <c r="A117" s="38" t="s">
        <v>4567</v>
      </c>
      <c r="B117" s="38" t="s">
        <v>4596</v>
      </c>
      <c r="C117" s="4" t="s">
        <v>4599</v>
      </c>
      <c r="D117" s="46">
        <v>237.0</v>
      </c>
      <c r="E117" s="46">
        <v>13.0</v>
      </c>
      <c r="F117" s="38" t="s">
        <v>4600</v>
      </c>
      <c r="G117" s="35"/>
    </row>
    <row r="118">
      <c r="A118" s="38" t="s">
        <v>4567</v>
      </c>
      <c r="B118" s="57" t="s">
        <v>4601</v>
      </c>
      <c r="C118" s="35" t="s">
        <v>4602</v>
      </c>
      <c r="D118" s="46">
        <v>237.0</v>
      </c>
      <c r="E118" s="46">
        <v>14.0</v>
      </c>
      <c r="F118" s="38" t="s">
        <v>4603</v>
      </c>
      <c r="G118" s="35"/>
    </row>
    <row r="119">
      <c r="A119" s="38" t="s">
        <v>4567</v>
      </c>
      <c r="B119" s="57" t="s">
        <v>4601</v>
      </c>
      <c r="C119" s="35" t="s">
        <v>4604</v>
      </c>
      <c r="D119" s="46">
        <v>237.0</v>
      </c>
      <c r="E119" s="46">
        <v>15.0</v>
      </c>
      <c r="F119" s="38" t="s">
        <v>4605</v>
      </c>
      <c r="G119" s="35"/>
    </row>
    <row r="120">
      <c r="A120" s="38" t="s">
        <v>4567</v>
      </c>
      <c r="B120" s="57" t="s">
        <v>4606</v>
      </c>
      <c r="C120" s="35" t="s">
        <v>4607</v>
      </c>
      <c r="D120" s="46">
        <v>237.0</v>
      </c>
      <c r="E120" s="46">
        <v>16.0</v>
      </c>
      <c r="F120" s="86" t="s">
        <v>4608</v>
      </c>
      <c r="G120" s="35"/>
    </row>
    <row r="121">
      <c r="A121" s="38" t="s">
        <v>4567</v>
      </c>
      <c r="B121" s="57" t="s">
        <v>4606</v>
      </c>
      <c r="C121" s="35" t="s">
        <v>4609</v>
      </c>
      <c r="D121" s="46">
        <v>237.0</v>
      </c>
      <c r="E121" s="46">
        <v>17.0</v>
      </c>
      <c r="F121" s="86" t="s">
        <v>4610</v>
      </c>
      <c r="G121" s="35"/>
    </row>
    <row r="122">
      <c r="A122" s="38" t="s">
        <v>4567</v>
      </c>
      <c r="B122" s="38" t="s">
        <v>4611</v>
      </c>
      <c r="C122" s="35" t="s">
        <v>4612</v>
      </c>
      <c r="D122" s="46">
        <v>237.0</v>
      </c>
      <c r="E122" s="46">
        <v>18.0</v>
      </c>
      <c r="F122" s="86" t="s">
        <v>4613</v>
      </c>
      <c r="G122" s="35"/>
    </row>
    <row r="123">
      <c r="A123" s="38" t="s">
        <v>4567</v>
      </c>
      <c r="B123" s="38" t="s">
        <v>4611</v>
      </c>
      <c r="C123" s="35" t="s">
        <v>4614</v>
      </c>
      <c r="D123" s="46">
        <v>237.0</v>
      </c>
      <c r="E123" s="46">
        <v>19.0</v>
      </c>
      <c r="F123" s="86" t="s">
        <v>4615</v>
      </c>
      <c r="G123" s="35"/>
    </row>
    <row r="124">
      <c r="A124" s="38" t="s">
        <v>4567</v>
      </c>
      <c r="B124" s="38" t="s">
        <v>4616</v>
      </c>
      <c r="C124" s="4" t="s">
        <v>4617</v>
      </c>
      <c r="D124" s="46">
        <v>237.0</v>
      </c>
      <c r="E124" s="46">
        <v>20.0</v>
      </c>
      <c r="F124" s="86" t="s">
        <v>4618</v>
      </c>
      <c r="G124" s="35"/>
    </row>
    <row r="125">
      <c r="A125" s="38" t="s">
        <v>4567</v>
      </c>
      <c r="B125" s="38" t="s">
        <v>4616</v>
      </c>
      <c r="C125" s="4" t="s">
        <v>4619</v>
      </c>
      <c r="D125" s="46">
        <v>237.0</v>
      </c>
      <c r="E125" s="46">
        <v>21.0</v>
      </c>
      <c r="F125" s="86" t="s">
        <v>4618</v>
      </c>
      <c r="G125" s="35"/>
    </row>
    <row r="126">
      <c r="A126" s="38" t="s">
        <v>4567</v>
      </c>
      <c r="B126" s="57" t="s">
        <v>4620</v>
      </c>
      <c r="C126" s="76" t="s">
        <v>4621</v>
      </c>
      <c r="D126" s="46">
        <v>237.0</v>
      </c>
      <c r="E126" s="46">
        <v>22.0</v>
      </c>
      <c r="F126" s="38" t="s">
        <v>4622</v>
      </c>
      <c r="G126" s="35"/>
    </row>
    <row r="127">
      <c r="A127" s="38" t="s">
        <v>4567</v>
      </c>
      <c r="B127" s="57" t="s">
        <v>4620</v>
      </c>
      <c r="C127" s="76" t="s">
        <v>4623</v>
      </c>
      <c r="D127" s="46">
        <v>237.0</v>
      </c>
      <c r="E127" s="46">
        <v>23.0</v>
      </c>
      <c r="F127" s="38" t="s">
        <v>4624</v>
      </c>
      <c r="G127" s="35"/>
    </row>
    <row r="128">
      <c r="A128" s="38" t="s">
        <v>4567</v>
      </c>
      <c r="B128" s="57" t="s">
        <v>4625</v>
      </c>
      <c r="C128" s="4" t="s">
        <v>4626</v>
      </c>
      <c r="D128" s="46">
        <v>237.0</v>
      </c>
      <c r="E128" s="46">
        <v>24.0</v>
      </c>
      <c r="F128" s="38" t="s">
        <v>4627</v>
      </c>
      <c r="G128" s="35"/>
    </row>
    <row r="129">
      <c r="A129" s="38" t="s">
        <v>4567</v>
      </c>
      <c r="B129" s="57" t="s">
        <v>4625</v>
      </c>
      <c r="C129" s="4" t="s">
        <v>4628</v>
      </c>
      <c r="D129" s="46">
        <v>237.0</v>
      </c>
      <c r="E129" s="46">
        <v>25.0</v>
      </c>
      <c r="F129" s="38" t="s">
        <v>4629</v>
      </c>
      <c r="G129" s="35"/>
    </row>
    <row r="130">
      <c r="A130" s="38" t="s">
        <v>4567</v>
      </c>
      <c r="B130" s="38" t="s">
        <v>4568</v>
      </c>
      <c r="C130" s="4" t="s">
        <v>4630</v>
      </c>
      <c r="D130" s="46">
        <v>237.0</v>
      </c>
      <c r="E130" s="46">
        <v>31.0</v>
      </c>
      <c r="F130" s="38" t="s">
        <v>4631</v>
      </c>
      <c r="G130" s="35"/>
    </row>
    <row r="131">
      <c r="A131" s="39" t="s">
        <v>68</v>
      </c>
      <c r="B131" s="38" t="s">
        <v>3791</v>
      </c>
      <c r="C131" s="38" t="s">
        <v>3792</v>
      </c>
      <c r="D131" s="46">
        <v>243.0</v>
      </c>
      <c r="E131" s="47">
        <v>1.0</v>
      </c>
    </row>
    <row r="132">
      <c r="A132" s="39" t="s">
        <v>68</v>
      </c>
      <c r="B132" s="38" t="s">
        <v>3793</v>
      </c>
      <c r="C132" s="38" t="s">
        <v>3794</v>
      </c>
      <c r="D132" s="46">
        <v>243.0</v>
      </c>
      <c r="E132" s="47">
        <v>2.0</v>
      </c>
    </row>
    <row r="133">
      <c r="A133" s="39" t="s">
        <v>68</v>
      </c>
      <c r="B133" s="38" t="s">
        <v>3795</v>
      </c>
      <c r="C133" s="38" t="s">
        <v>3796</v>
      </c>
      <c r="D133" s="46">
        <v>243.0</v>
      </c>
      <c r="E133" s="47">
        <v>3.0</v>
      </c>
    </row>
    <row r="134">
      <c r="A134" s="39" t="s">
        <v>68</v>
      </c>
      <c r="B134" s="39" t="s">
        <v>3797</v>
      </c>
      <c r="C134" s="38" t="s">
        <v>3798</v>
      </c>
      <c r="D134" s="46">
        <v>243.0</v>
      </c>
      <c r="E134" s="47">
        <v>4.0</v>
      </c>
    </row>
    <row r="135">
      <c r="A135" s="39" t="s">
        <v>68</v>
      </c>
      <c r="B135" s="39" t="s">
        <v>3799</v>
      </c>
      <c r="C135" s="38" t="s">
        <v>3800</v>
      </c>
      <c r="D135" s="46">
        <v>243.0</v>
      </c>
      <c r="E135" s="47">
        <v>5.0</v>
      </c>
    </row>
    <row r="136">
      <c r="A136" s="39" t="s">
        <v>68</v>
      </c>
      <c r="B136" s="39" t="s">
        <v>3801</v>
      </c>
      <c r="C136" s="38" t="s">
        <v>3802</v>
      </c>
      <c r="D136" s="46">
        <v>243.0</v>
      </c>
      <c r="E136" s="47">
        <v>6.0</v>
      </c>
    </row>
    <row r="137">
      <c r="A137" s="39" t="s">
        <v>68</v>
      </c>
      <c r="B137" s="39" t="s">
        <v>3803</v>
      </c>
      <c r="C137" s="38" t="s">
        <v>3804</v>
      </c>
      <c r="D137" s="46">
        <v>243.0</v>
      </c>
      <c r="E137" s="47">
        <v>7.0</v>
      </c>
    </row>
    <row r="138">
      <c r="A138" s="39" t="s">
        <v>68</v>
      </c>
      <c r="B138" s="38" t="s">
        <v>160</v>
      </c>
      <c r="C138" s="38" t="s">
        <v>3805</v>
      </c>
      <c r="D138" s="46">
        <v>243.0</v>
      </c>
      <c r="E138" s="47">
        <v>8.0</v>
      </c>
    </row>
    <row r="139">
      <c r="A139" s="39" t="s">
        <v>68</v>
      </c>
      <c r="B139" s="38" t="s">
        <v>3806</v>
      </c>
      <c r="C139" s="38" t="s">
        <v>3807</v>
      </c>
      <c r="D139" s="46">
        <v>243.0</v>
      </c>
      <c r="E139" s="47">
        <v>9.0</v>
      </c>
    </row>
    <row r="140">
      <c r="A140" s="39" t="s">
        <v>68</v>
      </c>
      <c r="B140" s="38" t="s">
        <v>3808</v>
      </c>
      <c r="C140" s="38" t="s">
        <v>3809</v>
      </c>
      <c r="D140" s="46">
        <v>243.0</v>
      </c>
      <c r="E140" s="47">
        <v>10.0</v>
      </c>
    </row>
    <row r="141">
      <c r="A141" s="39" t="s">
        <v>68</v>
      </c>
      <c r="B141" s="38" t="s">
        <v>3810</v>
      </c>
      <c r="C141" s="38" t="s">
        <v>3811</v>
      </c>
      <c r="D141" s="46">
        <v>243.0</v>
      </c>
      <c r="E141" s="47">
        <v>11.0</v>
      </c>
    </row>
    <row r="142">
      <c r="A142" s="39" t="s">
        <v>68</v>
      </c>
      <c r="B142" s="76" t="s">
        <v>3812</v>
      </c>
      <c r="C142" s="38" t="s">
        <v>3813</v>
      </c>
      <c r="D142" s="46">
        <v>243.0</v>
      </c>
      <c r="E142" s="47">
        <v>12.0</v>
      </c>
    </row>
    <row r="143">
      <c r="A143" s="39" t="s">
        <v>68</v>
      </c>
      <c r="B143" s="76" t="s">
        <v>3814</v>
      </c>
      <c r="C143" s="38" t="s">
        <v>3815</v>
      </c>
      <c r="D143" s="46">
        <v>243.0</v>
      </c>
      <c r="E143" s="47">
        <v>13.0</v>
      </c>
    </row>
    <row r="144">
      <c r="A144" s="39" t="s">
        <v>68</v>
      </c>
      <c r="B144" s="76" t="s">
        <v>3816</v>
      </c>
      <c r="C144" s="38" t="s">
        <v>3817</v>
      </c>
      <c r="D144" s="46">
        <v>243.0</v>
      </c>
      <c r="E144" s="47">
        <v>14.0</v>
      </c>
    </row>
    <row r="145">
      <c r="A145" s="39" t="s">
        <v>68</v>
      </c>
      <c r="B145" s="76" t="s">
        <v>3818</v>
      </c>
      <c r="C145" s="38" t="s">
        <v>3819</v>
      </c>
      <c r="D145" s="46">
        <v>243.0</v>
      </c>
      <c r="E145" s="47">
        <v>15.0</v>
      </c>
    </row>
    <row r="146">
      <c r="A146" s="39" t="s">
        <v>68</v>
      </c>
      <c r="B146" s="76" t="s">
        <v>3820</v>
      </c>
      <c r="C146" s="38" t="s">
        <v>3821</v>
      </c>
      <c r="D146" s="46">
        <v>243.0</v>
      </c>
      <c r="E146" s="47">
        <v>16.0</v>
      </c>
    </row>
    <row r="147">
      <c r="A147" s="39" t="s">
        <v>68</v>
      </c>
      <c r="B147" s="76" t="s">
        <v>3822</v>
      </c>
      <c r="C147" s="38" t="s">
        <v>3823</v>
      </c>
      <c r="D147" s="46">
        <v>243.0</v>
      </c>
      <c r="E147" s="47">
        <v>17.0</v>
      </c>
    </row>
    <row r="148">
      <c r="A148" s="39" t="s">
        <v>68</v>
      </c>
      <c r="B148" s="76" t="s">
        <v>3824</v>
      </c>
      <c r="C148" s="38" t="s">
        <v>3825</v>
      </c>
      <c r="D148" s="46">
        <v>243.0</v>
      </c>
      <c r="E148" s="47">
        <v>18.0</v>
      </c>
    </row>
    <row r="149">
      <c r="A149" s="39" t="s">
        <v>68</v>
      </c>
      <c r="B149" s="76" t="s">
        <v>3826</v>
      </c>
      <c r="C149" s="38" t="s">
        <v>3827</v>
      </c>
      <c r="D149" s="46">
        <v>243.0</v>
      </c>
      <c r="E149" s="47">
        <v>19.0</v>
      </c>
    </row>
    <row r="150">
      <c r="A150" s="39" t="s">
        <v>68</v>
      </c>
      <c r="B150" s="76" t="s">
        <v>3828</v>
      </c>
      <c r="C150" s="38" t="s">
        <v>3829</v>
      </c>
      <c r="D150" s="46">
        <v>243.0</v>
      </c>
      <c r="E150" s="47">
        <v>20.0</v>
      </c>
    </row>
    <row r="151">
      <c r="A151" s="77" t="s">
        <v>3501</v>
      </c>
      <c r="B151" s="39" t="s">
        <v>3830</v>
      </c>
      <c r="C151" s="38" t="s">
        <v>3831</v>
      </c>
      <c r="D151" s="46">
        <v>243.0</v>
      </c>
      <c r="E151" s="46">
        <v>21.0</v>
      </c>
      <c r="F151" s="78" t="s">
        <v>3832</v>
      </c>
      <c r="G151" s="38" t="s">
        <v>3833</v>
      </c>
      <c r="H151" s="38"/>
    </row>
    <row r="152">
      <c r="A152" s="79" t="s">
        <v>3834</v>
      </c>
      <c r="B152" s="76" t="s">
        <v>3437</v>
      </c>
      <c r="C152" s="38" t="s">
        <v>3835</v>
      </c>
      <c r="D152" s="46">
        <v>243.0</v>
      </c>
      <c r="E152" s="46">
        <v>22.0</v>
      </c>
      <c r="F152" s="78" t="s">
        <v>3836</v>
      </c>
      <c r="G152" s="35"/>
      <c r="H152" s="35"/>
    </row>
    <row r="153">
      <c r="A153" s="79" t="s">
        <v>3834</v>
      </c>
      <c r="B153" s="76" t="s">
        <v>3435</v>
      </c>
      <c r="C153" s="38" t="s">
        <v>3837</v>
      </c>
      <c r="D153" s="46">
        <v>243.0</v>
      </c>
      <c r="E153" s="46">
        <v>23.0</v>
      </c>
      <c r="F153" s="78" t="s">
        <v>3838</v>
      </c>
      <c r="G153" s="35"/>
      <c r="H153" s="35"/>
    </row>
    <row r="154">
      <c r="A154" s="79" t="s">
        <v>3834</v>
      </c>
      <c r="B154" s="76" t="s">
        <v>3433</v>
      </c>
      <c r="C154" s="35" t="s">
        <v>3839</v>
      </c>
      <c r="D154" s="46">
        <v>243.0</v>
      </c>
      <c r="E154" s="46">
        <v>24.0</v>
      </c>
      <c r="F154" s="78" t="s">
        <v>3840</v>
      </c>
      <c r="G154" s="35"/>
      <c r="H154" s="35"/>
    </row>
    <row r="155">
      <c r="A155" s="79" t="s">
        <v>3834</v>
      </c>
      <c r="B155" s="76" t="s">
        <v>3431</v>
      </c>
      <c r="C155" s="35" t="s">
        <v>3841</v>
      </c>
      <c r="D155" s="46">
        <v>243.0</v>
      </c>
      <c r="E155" s="46">
        <v>25.0</v>
      </c>
      <c r="F155" s="78" t="s">
        <v>3842</v>
      </c>
      <c r="G155" s="35"/>
      <c r="H155" s="35"/>
    </row>
    <row r="156">
      <c r="A156" s="79" t="s">
        <v>3834</v>
      </c>
      <c r="B156" s="76" t="s">
        <v>3428</v>
      </c>
      <c r="C156" s="38" t="s">
        <v>3843</v>
      </c>
      <c r="D156" s="46">
        <v>243.0</v>
      </c>
      <c r="E156" s="46">
        <v>26.0</v>
      </c>
      <c r="F156" s="78" t="s">
        <v>3844</v>
      </c>
      <c r="G156" s="35"/>
      <c r="H156" s="35"/>
    </row>
    <row r="157">
      <c r="A157" s="79" t="s">
        <v>3845</v>
      </c>
      <c r="B157" s="76" t="s">
        <v>3437</v>
      </c>
      <c r="C157" s="38" t="s">
        <v>3846</v>
      </c>
      <c r="D157" s="46">
        <v>243.0</v>
      </c>
      <c r="E157" s="46">
        <v>27.0</v>
      </c>
      <c r="F157" s="35" t="s">
        <v>3847</v>
      </c>
      <c r="G157" s="35"/>
      <c r="H157" s="35"/>
    </row>
    <row r="158">
      <c r="A158" s="79" t="s">
        <v>3845</v>
      </c>
      <c r="B158" s="76" t="s">
        <v>3435</v>
      </c>
      <c r="C158" s="38" t="s">
        <v>3848</v>
      </c>
      <c r="D158" s="46">
        <v>243.0</v>
      </c>
      <c r="E158" s="46">
        <v>28.0</v>
      </c>
      <c r="F158" s="35" t="s">
        <v>3849</v>
      </c>
      <c r="G158" s="35"/>
      <c r="H158" s="35"/>
    </row>
    <row r="159">
      <c r="A159" s="79" t="s">
        <v>3845</v>
      </c>
      <c r="B159" s="76" t="s">
        <v>3433</v>
      </c>
      <c r="C159" s="35" t="s">
        <v>3850</v>
      </c>
      <c r="D159" s="46">
        <v>243.0</v>
      </c>
      <c r="E159" s="46">
        <v>29.0</v>
      </c>
      <c r="F159" s="35" t="s">
        <v>3851</v>
      </c>
      <c r="G159" s="35"/>
      <c r="H159" s="35"/>
    </row>
    <row r="160">
      <c r="A160" s="79" t="s">
        <v>3845</v>
      </c>
      <c r="B160" s="76" t="s">
        <v>3431</v>
      </c>
      <c r="C160" s="35" t="s">
        <v>3852</v>
      </c>
      <c r="D160" s="46">
        <v>243.0</v>
      </c>
      <c r="E160" s="46">
        <v>30.0</v>
      </c>
      <c r="F160" s="35" t="s">
        <v>3853</v>
      </c>
      <c r="G160" s="35"/>
      <c r="H160" s="35"/>
    </row>
    <row r="161">
      <c r="A161" s="79" t="s">
        <v>3845</v>
      </c>
      <c r="B161" s="76" t="s">
        <v>3428</v>
      </c>
      <c r="C161" s="38" t="s">
        <v>3854</v>
      </c>
      <c r="D161" s="46">
        <v>243.0</v>
      </c>
      <c r="E161" s="46">
        <v>31.0</v>
      </c>
      <c r="F161" s="35" t="s">
        <v>3855</v>
      </c>
      <c r="G161" s="35"/>
      <c r="H161" s="35"/>
    </row>
    <row r="162">
      <c r="A162" s="76" t="s">
        <v>3856</v>
      </c>
      <c r="B162" s="76" t="s">
        <v>3857</v>
      </c>
      <c r="C162" s="35" t="s">
        <v>3858</v>
      </c>
      <c r="D162" s="46">
        <v>243.0</v>
      </c>
      <c r="E162" s="46">
        <v>32.0</v>
      </c>
      <c r="F162" s="38" t="s">
        <v>3859</v>
      </c>
      <c r="G162" s="35"/>
      <c r="H162" s="35"/>
    </row>
    <row r="163">
      <c r="A163" s="76" t="s">
        <v>3856</v>
      </c>
      <c r="B163" s="76" t="s">
        <v>3860</v>
      </c>
      <c r="C163" s="35" t="s">
        <v>3861</v>
      </c>
      <c r="D163" s="46">
        <v>243.0</v>
      </c>
      <c r="E163" s="46">
        <v>33.0</v>
      </c>
      <c r="F163" s="38" t="s">
        <v>3862</v>
      </c>
      <c r="G163" s="35"/>
      <c r="H163" s="35"/>
    </row>
    <row r="164">
      <c r="A164" s="76" t="s">
        <v>3856</v>
      </c>
      <c r="B164" s="76" t="s">
        <v>3863</v>
      </c>
      <c r="C164" s="38" t="s">
        <v>3864</v>
      </c>
      <c r="D164" s="46">
        <v>243.0</v>
      </c>
      <c r="E164" s="46">
        <v>34.0</v>
      </c>
      <c r="F164" s="38" t="s">
        <v>3865</v>
      </c>
      <c r="G164" s="35"/>
      <c r="H164" s="35"/>
    </row>
    <row r="165">
      <c r="A165" s="76" t="s">
        <v>3856</v>
      </c>
      <c r="B165" s="76" t="s">
        <v>3866</v>
      </c>
      <c r="C165" s="35" t="s">
        <v>3867</v>
      </c>
      <c r="D165" s="46">
        <v>243.0</v>
      </c>
      <c r="E165" s="46">
        <v>35.0</v>
      </c>
      <c r="F165" s="38" t="s">
        <v>3868</v>
      </c>
      <c r="G165" s="35"/>
      <c r="H165" s="35"/>
    </row>
    <row r="166">
      <c r="A166" s="76" t="s">
        <v>3856</v>
      </c>
      <c r="B166" s="76" t="s">
        <v>3869</v>
      </c>
      <c r="C166" s="38" t="s">
        <v>3870</v>
      </c>
      <c r="D166" s="46">
        <v>243.0</v>
      </c>
      <c r="E166" s="46">
        <v>36.0</v>
      </c>
      <c r="F166" s="38" t="s">
        <v>3871</v>
      </c>
      <c r="G166" s="35"/>
      <c r="H166" s="35"/>
    </row>
    <row r="167">
      <c r="A167" s="76" t="s">
        <v>3872</v>
      </c>
      <c r="B167" s="76" t="s">
        <v>3873</v>
      </c>
      <c r="C167" s="38" t="s">
        <v>3874</v>
      </c>
      <c r="D167" s="46">
        <v>243.0</v>
      </c>
      <c r="E167" s="46">
        <v>37.0</v>
      </c>
      <c r="F167" s="38" t="s">
        <v>3875</v>
      </c>
      <c r="G167" s="35"/>
      <c r="H167" s="35"/>
    </row>
    <row r="168">
      <c r="A168" s="76" t="s">
        <v>3872</v>
      </c>
      <c r="B168" s="76" t="s">
        <v>3876</v>
      </c>
      <c r="C168" s="35" t="s">
        <v>3877</v>
      </c>
      <c r="D168" s="46">
        <v>243.0</v>
      </c>
      <c r="E168" s="46">
        <v>38.0</v>
      </c>
      <c r="F168" s="38" t="s">
        <v>3878</v>
      </c>
      <c r="G168" s="35"/>
      <c r="H168" s="35"/>
    </row>
    <row r="169">
      <c r="A169" s="76" t="s">
        <v>3872</v>
      </c>
      <c r="B169" s="76" t="s">
        <v>3879</v>
      </c>
      <c r="C169" s="35" t="s">
        <v>3880</v>
      </c>
      <c r="D169" s="46">
        <v>243.0</v>
      </c>
      <c r="E169" s="46">
        <v>39.0</v>
      </c>
      <c r="F169" s="38" t="s">
        <v>3881</v>
      </c>
      <c r="G169" s="35"/>
      <c r="H169" s="35"/>
    </row>
    <row r="170">
      <c r="A170" s="76" t="s">
        <v>3872</v>
      </c>
      <c r="B170" s="76" t="s">
        <v>3882</v>
      </c>
      <c r="C170" s="38" t="s">
        <v>3883</v>
      </c>
      <c r="D170" s="46">
        <v>243.0</v>
      </c>
      <c r="E170" s="46">
        <v>40.0</v>
      </c>
      <c r="F170" s="38" t="s">
        <v>3884</v>
      </c>
      <c r="G170" s="35"/>
      <c r="H170" s="35"/>
    </row>
    <row r="171">
      <c r="A171" s="76" t="s">
        <v>3872</v>
      </c>
      <c r="B171" s="76" t="s">
        <v>3885</v>
      </c>
      <c r="C171" s="38" t="s">
        <v>3886</v>
      </c>
      <c r="D171" s="46">
        <v>243.0</v>
      </c>
      <c r="E171" s="46">
        <v>41.0</v>
      </c>
      <c r="F171" s="38" t="s">
        <v>3887</v>
      </c>
      <c r="G171" s="35"/>
      <c r="H171" s="35"/>
    </row>
    <row r="172">
      <c r="A172" s="76" t="s">
        <v>3845</v>
      </c>
      <c r="B172" s="76" t="s">
        <v>3437</v>
      </c>
      <c r="C172" s="38" t="s">
        <v>3888</v>
      </c>
      <c r="D172" s="46">
        <v>243.0</v>
      </c>
      <c r="E172" s="46">
        <v>42.0</v>
      </c>
      <c r="F172" s="76" t="s">
        <v>3847</v>
      </c>
      <c r="G172" s="35"/>
      <c r="H172" s="35"/>
    </row>
    <row r="173">
      <c r="A173" s="76" t="s">
        <v>3845</v>
      </c>
      <c r="B173" s="76" t="s">
        <v>3435</v>
      </c>
      <c r="C173" s="38" t="s">
        <v>3889</v>
      </c>
      <c r="D173" s="46">
        <v>243.0</v>
      </c>
      <c r="E173" s="46">
        <v>43.0</v>
      </c>
      <c r="F173" s="76" t="s">
        <v>3849</v>
      </c>
      <c r="G173" s="35"/>
      <c r="H173" s="35"/>
    </row>
    <row r="174">
      <c r="A174" s="76" t="s">
        <v>3845</v>
      </c>
      <c r="B174" s="76" t="s">
        <v>3433</v>
      </c>
      <c r="C174" s="35" t="s">
        <v>3890</v>
      </c>
      <c r="D174" s="46">
        <v>243.0</v>
      </c>
      <c r="E174" s="46">
        <v>44.0</v>
      </c>
      <c r="F174" s="76" t="s">
        <v>3851</v>
      </c>
      <c r="G174" s="35"/>
      <c r="H174" s="35"/>
    </row>
    <row r="175">
      <c r="A175" s="76" t="s">
        <v>3845</v>
      </c>
      <c r="B175" s="76" t="s">
        <v>3431</v>
      </c>
      <c r="C175" s="35" t="s">
        <v>3891</v>
      </c>
      <c r="D175" s="46">
        <v>243.0</v>
      </c>
      <c r="E175" s="46">
        <v>45.0</v>
      </c>
      <c r="F175" s="76" t="s">
        <v>3853</v>
      </c>
      <c r="G175" s="35"/>
      <c r="H175" s="35"/>
    </row>
    <row r="176">
      <c r="A176" s="76" t="s">
        <v>3845</v>
      </c>
      <c r="B176" s="76" t="s">
        <v>3428</v>
      </c>
      <c r="C176" s="38" t="s">
        <v>3892</v>
      </c>
      <c r="D176" s="46">
        <v>243.0</v>
      </c>
      <c r="E176" s="46">
        <v>46.0</v>
      </c>
      <c r="F176" s="76" t="s">
        <v>3855</v>
      </c>
      <c r="G176" s="35"/>
      <c r="H176" s="35"/>
    </row>
    <row r="177">
      <c r="A177" s="76" t="s">
        <v>3834</v>
      </c>
      <c r="B177" s="76" t="s">
        <v>3435</v>
      </c>
      <c r="C177" s="38" t="s">
        <v>3893</v>
      </c>
      <c r="D177" s="46">
        <v>243.0</v>
      </c>
      <c r="E177" s="46">
        <v>47.0</v>
      </c>
      <c r="F177" s="80" t="s">
        <v>3838</v>
      </c>
      <c r="G177" s="35"/>
      <c r="H177" s="35"/>
    </row>
    <row r="178">
      <c r="A178" s="76" t="s">
        <v>3834</v>
      </c>
      <c r="B178" s="76" t="s">
        <v>3431</v>
      </c>
      <c r="C178" s="38" t="s">
        <v>3894</v>
      </c>
      <c r="D178" s="46">
        <v>243.0</v>
      </c>
      <c r="E178" s="46">
        <v>48.0</v>
      </c>
      <c r="F178" s="80" t="s">
        <v>3842</v>
      </c>
      <c r="G178" s="35"/>
      <c r="H178" s="35"/>
    </row>
    <row r="179">
      <c r="A179" s="76" t="s">
        <v>3834</v>
      </c>
      <c r="B179" s="76" t="s">
        <v>3437</v>
      </c>
      <c r="C179" s="38" t="s">
        <v>3895</v>
      </c>
      <c r="D179" s="46">
        <v>243.0</v>
      </c>
      <c r="E179" s="46">
        <v>49.0</v>
      </c>
      <c r="F179" s="80" t="s">
        <v>3836</v>
      </c>
      <c r="G179" s="35"/>
      <c r="H179" s="35"/>
    </row>
    <row r="180">
      <c r="A180" s="76" t="s">
        <v>3834</v>
      </c>
      <c r="B180" s="76" t="s">
        <v>3433</v>
      </c>
      <c r="C180" s="38" t="s">
        <v>3896</v>
      </c>
      <c r="D180" s="46">
        <v>243.0</v>
      </c>
      <c r="E180" s="46">
        <v>50.0</v>
      </c>
      <c r="F180" s="80" t="s">
        <v>3840</v>
      </c>
      <c r="G180" s="35"/>
      <c r="H180" s="35"/>
    </row>
    <row r="181">
      <c r="A181" s="76" t="s">
        <v>3834</v>
      </c>
      <c r="B181" s="76" t="s">
        <v>3428</v>
      </c>
      <c r="C181" s="38" t="s">
        <v>3897</v>
      </c>
      <c r="D181" s="46">
        <v>243.0</v>
      </c>
      <c r="E181" s="46">
        <v>51.0</v>
      </c>
      <c r="F181" s="80" t="s">
        <v>3844</v>
      </c>
      <c r="G181" s="35"/>
      <c r="H181" s="35"/>
    </row>
    <row r="182">
      <c r="A182" s="76" t="s">
        <v>3501</v>
      </c>
      <c r="B182" s="76" t="s">
        <v>3898</v>
      </c>
      <c r="C182" s="38" t="s">
        <v>3899</v>
      </c>
      <c r="D182" s="46">
        <v>243.0</v>
      </c>
      <c r="E182" s="46">
        <v>52.0</v>
      </c>
      <c r="F182" s="76" t="s">
        <v>3900</v>
      </c>
      <c r="G182" s="35"/>
      <c r="H182" s="35"/>
    </row>
    <row r="183">
      <c r="A183" s="81" t="s">
        <v>3901</v>
      </c>
      <c r="B183" s="81" t="s">
        <v>3902</v>
      </c>
      <c r="C183" s="82"/>
      <c r="D183" s="83">
        <v>243.0</v>
      </c>
      <c r="E183" s="83">
        <v>53.0</v>
      </c>
      <c r="F183" s="84" t="s">
        <v>809</v>
      </c>
      <c r="G183" s="38" t="s">
        <v>3903</v>
      </c>
      <c r="H183" s="38"/>
    </row>
    <row r="184">
      <c r="A184" s="76" t="s">
        <v>3501</v>
      </c>
      <c r="B184" s="38" t="s">
        <v>3904</v>
      </c>
      <c r="C184" s="4" t="s">
        <v>3905</v>
      </c>
      <c r="D184" s="46">
        <v>243.0</v>
      </c>
      <c r="E184" s="46">
        <v>54.0</v>
      </c>
      <c r="F184" s="57" t="s">
        <v>3906</v>
      </c>
      <c r="G184" s="35"/>
      <c r="H184" s="35"/>
    </row>
    <row r="185">
      <c r="A185" s="81" t="s">
        <v>3901</v>
      </c>
      <c r="B185" s="81" t="s">
        <v>3902</v>
      </c>
      <c r="C185" s="85"/>
      <c r="D185" s="83">
        <v>243.0</v>
      </c>
      <c r="E185" s="83">
        <v>55.0</v>
      </c>
      <c r="F185" s="84" t="s">
        <v>809</v>
      </c>
      <c r="G185" s="38" t="s">
        <v>3903</v>
      </c>
      <c r="H185" s="38"/>
    </row>
    <row r="186">
      <c r="A186" s="76" t="s">
        <v>3501</v>
      </c>
      <c r="B186" s="76" t="s">
        <v>3907</v>
      </c>
      <c r="C186" s="35" t="s">
        <v>3908</v>
      </c>
      <c r="D186" s="46">
        <v>243.0</v>
      </c>
      <c r="E186" s="46">
        <v>56.0</v>
      </c>
      <c r="F186" s="38" t="s">
        <v>3909</v>
      </c>
      <c r="G186" s="35"/>
      <c r="H186" s="35"/>
    </row>
    <row r="187">
      <c r="A187" s="76" t="s">
        <v>3501</v>
      </c>
      <c r="B187" s="76" t="s">
        <v>3910</v>
      </c>
      <c r="C187" s="4" t="s">
        <v>3911</v>
      </c>
      <c r="D187" s="46">
        <v>243.0</v>
      </c>
      <c r="E187" s="46">
        <v>57.0</v>
      </c>
      <c r="F187" s="35" t="s">
        <v>3912</v>
      </c>
      <c r="G187" s="35"/>
      <c r="H187" s="35"/>
    </row>
    <row r="188">
      <c r="A188" s="76" t="s">
        <v>3501</v>
      </c>
      <c r="B188" s="76" t="s">
        <v>3913</v>
      </c>
      <c r="C188" s="35" t="s">
        <v>3914</v>
      </c>
      <c r="D188" s="46">
        <v>243.0</v>
      </c>
      <c r="E188" s="46">
        <v>58.0</v>
      </c>
      <c r="F188" s="38" t="s">
        <v>3915</v>
      </c>
      <c r="G188" s="35"/>
      <c r="H188" s="35"/>
    </row>
    <row r="189">
      <c r="A189" s="76" t="s">
        <v>3501</v>
      </c>
      <c r="B189" s="76" t="s">
        <v>3916</v>
      </c>
      <c r="C189" s="4" t="s">
        <v>3917</v>
      </c>
      <c r="D189" s="46">
        <v>243.0</v>
      </c>
      <c r="E189" s="46">
        <v>59.0</v>
      </c>
      <c r="F189" s="86" t="s">
        <v>3918</v>
      </c>
      <c r="G189" s="35"/>
      <c r="H189" s="35"/>
    </row>
    <row r="190">
      <c r="A190" s="76" t="s">
        <v>3501</v>
      </c>
      <c r="B190" s="76" t="s">
        <v>3830</v>
      </c>
      <c r="C190" s="4" t="s">
        <v>3919</v>
      </c>
      <c r="D190" s="46">
        <v>243.0</v>
      </c>
      <c r="E190" s="46">
        <v>60.0</v>
      </c>
      <c r="F190" s="78" t="s">
        <v>3832</v>
      </c>
      <c r="G190" s="35"/>
      <c r="H190" s="35"/>
    </row>
    <row r="191">
      <c r="A191" s="76" t="s">
        <v>3501</v>
      </c>
      <c r="B191" s="76" t="s">
        <v>3920</v>
      </c>
      <c r="C191" s="38" t="s">
        <v>3921</v>
      </c>
      <c r="D191" s="46">
        <v>243.0</v>
      </c>
      <c r="E191" s="46">
        <v>61.0</v>
      </c>
      <c r="F191" s="86" t="s">
        <v>3922</v>
      </c>
      <c r="G191" s="35"/>
      <c r="H191" s="35"/>
    </row>
    <row r="192">
      <c r="A192" s="76" t="s">
        <v>3501</v>
      </c>
      <c r="B192" s="76" t="s">
        <v>3923</v>
      </c>
      <c r="C192" s="4" t="s">
        <v>3924</v>
      </c>
      <c r="D192" s="46">
        <v>243.0</v>
      </c>
      <c r="E192" s="46">
        <v>62.0</v>
      </c>
      <c r="F192" s="86" t="s">
        <v>3925</v>
      </c>
      <c r="G192" s="35"/>
      <c r="H192" s="35"/>
    </row>
    <row r="193">
      <c r="A193" s="76" t="s">
        <v>3501</v>
      </c>
      <c r="B193" s="76" t="s">
        <v>3926</v>
      </c>
      <c r="C193" s="4" t="s">
        <v>3927</v>
      </c>
      <c r="D193" s="46">
        <v>243.0</v>
      </c>
      <c r="E193" s="46">
        <v>63.0</v>
      </c>
      <c r="F193" s="78" t="s">
        <v>3928</v>
      </c>
      <c r="G193" s="35"/>
      <c r="H193" s="35"/>
    </row>
    <row r="194">
      <c r="A194" s="76" t="s">
        <v>3501</v>
      </c>
      <c r="B194" s="76" t="s">
        <v>3929</v>
      </c>
      <c r="C194" s="4" t="s">
        <v>3930</v>
      </c>
      <c r="D194" s="46">
        <v>243.0</v>
      </c>
      <c r="E194" s="46">
        <v>64.0</v>
      </c>
      <c r="F194" s="78" t="s">
        <v>3931</v>
      </c>
      <c r="G194" s="35"/>
      <c r="H194" s="35"/>
    </row>
    <row r="195">
      <c r="A195" s="76" t="s">
        <v>3501</v>
      </c>
      <c r="B195" s="76" t="s">
        <v>3932</v>
      </c>
      <c r="C195" s="35" t="s">
        <v>3933</v>
      </c>
      <c r="D195" s="46">
        <v>243.0</v>
      </c>
      <c r="E195" s="46">
        <v>65.0</v>
      </c>
      <c r="F195" s="78" t="s">
        <v>3934</v>
      </c>
      <c r="G195" s="35"/>
      <c r="H195" s="35"/>
    </row>
    <row r="196">
      <c r="A196" s="76" t="s">
        <v>3501</v>
      </c>
      <c r="B196" s="76" t="s">
        <v>3935</v>
      </c>
      <c r="C196" s="35" t="s">
        <v>3936</v>
      </c>
      <c r="D196" s="46">
        <v>243.0</v>
      </c>
      <c r="E196" s="46">
        <v>66.0</v>
      </c>
      <c r="F196" s="86" t="s">
        <v>3937</v>
      </c>
      <c r="G196" s="38" t="s">
        <v>3938</v>
      </c>
      <c r="H196" s="38"/>
    </row>
    <row r="197">
      <c r="A197" s="76" t="s">
        <v>3501</v>
      </c>
      <c r="B197" s="76" t="s">
        <v>3939</v>
      </c>
      <c r="C197" s="35" t="s">
        <v>3940</v>
      </c>
      <c r="D197" s="46">
        <v>243.0</v>
      </c>
      <c r="E197" s="46">
        <v>67.0</v>
      </c>
      <c r="F197" s="86" t="s">
        <v>3941</v>
      </c>
      <c r="G197" s="35"/>
      <c r="H197" s="35"/>
    </row>
    <row r="198">
      <c r="A198" s="76" t="s">
        <v>3501</v>
      </c>
      <c r="B198" s="76" t="s">
        <v>3942</v>
      </c>
      <c r="C198" s="4" t="s">
        <v>3943</v>
      </c>
      <c r="D198" s="46">
        <v>243.0</v>
      </c>
      <c r="E198" s="46">
        <v>68.0</v>
      </c>
      <c r="F198" s="78" t="s">
        <v>3944</v>
      </c>
      <c r="G198" s="35"/>
      <c r="H198" s="35"/>
    </row>
    <row r="199">
      <c r="A199" s="76" t="s">
        <v>3501</v>
      </c>
      <c r="B199" s="76" t="s">
        <v>3945</v>
      </c>
      <c r="C199" s="4" t="s">
        <v>3946</v>
      </c>
      <c r="D199" s="46">
        <v>243.0</v>
      </c>
      <c r="E199" s="46">
        <v>69.0</v>
      </c>
      <c r="F199" s="86" t="s">
        <v>3947</v>
      </c>
      <c r="G199" s="35"/>
      <c r="H199" s="35"/>
    </row>
    <row r="200">
      <c r="A200" s="76" t="s">
        <v>3501</v>
      </c>
      <c r="B200" s="76" t="s">
        <v>3948</v>
      </c>
      <c r="C200" s="35" t="s">
        <v>3949</v>
      </c>
      <c r="D200" s="46">
        <v>243.0</v>
      </c>
      <c r="E200" s="46">
        <v>70.0</v>
      </c>
      <c r="F200" s="86" t="s">
        <v>3950</v>
      </c>
      <c r="G200" s="35"/>
      <c r="H200" s="35"/>
    </row>
    <row r="201">
      <c r="A201" s="76" t="s">
        <v>3501</v>
      </c>
      <c r="B201" s="76" t="s">
        <v>3729</v>
      </c>
      <c r="C201" s="4" t="s">
        <v>3951</v>
      </c>
      <c r="D201" s="46">
        <v>243.0</v>
      </c>
      <c r="E201" s="46">
        <v>71.0</v>
      </c>
      <c r="F201" s="78" t="s">
        <v>3952</v>
      </c>
      <c r="G201" s="35"/>
      <c r="H201" s="35"/>
    </row>
    <row r="202">
      <c r="A202" s="81" t="s">
        <v>3901</v>
      </c>
      <c r="B202" s="81" t="s">
        <v>3902</v>
      </c>
      <c r="C202" s="85"/>
      <c r="D202" s="83">
        <v>243.0</v>
      </c>
      <c r="E202" s="83">
        <v>72.0</v>
      </c>
      <c r="F202" s="84" t="s">
        <v>809</v>
      </c>
      <c r="G202" s="38" t="s">
        <v>3903</v>
      </c>
      <c r="H202" s="38"/>
    </row>
    <row r="203">
      <c r="A203" s="76" t="s">
        <v>3501</v>
      </c>
      <c r="B203" s="76" t="s">
        <v>3953</v>
      </c>
      <c r="C203" s="35" t="s">
        <v>3954</v>
      </c>
      <c r="D203" s="46">
        <v>243.0</v>
      </c>
      <c r="E203" s="46">
        <v>73.0</v>
      </c>
      <c r="F203" s="78" t="s">
        <v>3955</v>
      </c>
      <c r="G203" s="35"/>
      <c r="H203" s="35"/>
    </row>
    <row r="204">
      <c r="A204" s="76" t="s">
        <v>3501</v>
      </c>
      <c r="B204" s="76" t="s">
        <v>3956</v>
      </c>
      <c r="C204" s="4" t="s">
        <v>3957</v>
      </c>
      <c r="D204" s="46">
        <v>243.0</v>
      </c>
      <c r="E204" s="46">
        <v>74.0</v>
      </c>
      <c r="F204" s="78" t="s">
        <v>3958</v>
      </c>
      <c r="G204" s="35"/>
      <c r="H204" s="35"/>
    </row>
    <row r="205">
      <c r="A205" s="76" t="s">
        <v>3501</v>
      </c>
      <c r="B205" s="76" t="s">
        <v>3898</v>
      </c>
      <c r="C205" s="38" t="s">
        <v>3959</v>
      </c>
      <c r="D205" s="46">
        <v>243.0</v>
      </c>
      <c r="E205" s="46">
        <v>75.0</v>
      </c>
      <c r="F205" s="35"/>
      <c r="G205" s="35"/>
      <c r="H205" s="35"/>
    </row>
    <row r="206">
      <c r="A206" s="81" t="s">
        <v>3901</v>
      </c>
      <c r="B206" s="81" t="s">
        <v>3902</v>
      </c>
      <c r="C206" s="84"/>
      <c r="D206" s="83">
        <v>243.0</v>
      </c>
      <c r="E206" s="83">
        <v>76.0</v>
      </c>
      <c r="F206" s="84" t="s">
        <v>809</v>
      </c>
      <c r="G206" s="38" t="s">
        <v>3960</v>
      </c>
      <c r="H206" s="38"/>
    </row>
    <row r="207">
      <c r="A207" s="76" t="s">
        <v>3501</v>
      </c>
      <c r="B207" s="4" t="s">
        <v>3904</v>
      </c>
      <c r="C207" s="38" t="s">
        <v>3961</v>
      </c>
      <c r="D207" s="46">
        <v>243.0</v>
      </c>
      <c r="E207" s="46">
        <v>77.0</v>
      </c>
      <c r="F207" s="35"/>
      <c r="G207" s="35"/>
      <c r="H207" s="35"/>
    </row>
    <row r="208">
      <c r="A208" s="81" t="s">
        <v>3901</v>
      </c>
      <c r="B208" s="81" t="s">
        <v>3902</v>
      </c>
      <c r="C208" s="85"/>
      <c r="D208" s="83">
        <v>243.0</v>
      </c>
      <c r="E208" s="83">
        <v>78.0</v>
      </c>
      <c r="F208" s="84" t="s">
        <v>809</v>
      </c>
      <c r="G208" s="38" t="s">
        <v>3960</v>
      </c>
      <c r="H208" s="38"/>
    </row>
    <row r="209">
      <c r="A209" s="76" t="s">
        <v>3501</v>
      </c>
      <c r="B209" s="76" t="s">
        <v>3907</v>
      </c>
      <c r="C209" s="35" t="s">
        <v>3962</v>
      </c>
      <c r="D209" s="46">
        <v>243.0</v>
      </c>
      <c r="E209" s="46">
        <v>79.0</v>
      </c>
      <c r="F209" s="35"/>
      <c r="G209" s="35"/>
      <c r="H209" s="35"/>
    </row>
    <row r="210">
      <c r="A210" s="76" t="s">
        <v>3501</v>
      </c>
      <c r="B210" s="76" t="s">
        <v>3910</v>
      </c>
      <c r="C210" s="38" t="s">
        <v>3963</v>
      </c>
      <c r="D210" s="46">
        <v>243.0</v>
      </c>
      <c r="E210" s="47">
        <v>80.0</v>
      </c>
      <c r="F210" s="35"/>
      <c r="G210" s="35"/>
      <c r="H210" s="35"/>
    </row>
    <row r="211">
      <c r="A211" s="76" t="s">
        <v>3501</v>
      </c>
      <c r="B211" s="76" t="s">
        <v>3913</v>
      </c>
      <c r="C211" s="35" t="s">
        <v>3964</v>
      </c>
      <c r="D211" s="46">
        <v>243.0</v>
      </c>
      <c r="E211" s="46">
        <v>81.0</v>
      </c>
      <c r="F211" s="35"/>
      <c r="G211" s="35"/>
      <c r="H211" s="35"/>
    </row>
    <row r="212">
      <c r="A212" s="76" t="s">
        <v>3501</v>
      </c>
      <c r="B212" s="76" t="s">
        <v>3916</v>
      </c>
      <c r="C212" s="38" t="s">
        <v>3965</v>
      </c>
      <c r="D212" s="46">
        <v>243.0</v>
      </c>
      <c r="E212" s="46">
        <v>82.0</v>
      </c>
      <c r="F212" s="35"/>
      <c r="G212" s="35"/>
      <c r="H212" s="35"/>
    </row>
    <row r="213">
      <c r="A213" s="76" t="s">
        <v>3501</v>
      </c>
      <c r="B213" s="76" t="s">
        <v>3830</v>
      </c>
      <c r="C213" s="38" t="s">
        <v>3966</v>
      </c>
      <c r="D213" s="46">
        <v>243.0</v>
      </c>
      <c r="E213" s="46">
        <v>83.0</v>
      </c>
      <c r="F213" s="35"/>
      <c r="G213" s="35"/>
      <c r="H213" s="35"/>
    </row>
    <row r="214">
      <c r="A214" s="76" t="s">
        <v>3501</v>
      </c>
      <c r="B214" s="76" t="s">
        <v>3920</v>
      </c>
      <c r="C214" s="38" t="s">
        <v>3967</v>
      </c>
      <c r="D214" s="46">
        <v>243.0</v>
      </c>
      <c r="E214" s="46">
        <v>84.0</v>
      </c>
      <c r="F214" s="35"/>
      <c r="G214" s="35"/>
      <c r="H214" s="35"/>
    </row>
    <row r="215">
      <c r="A215" s="76" t="s">
        <v>3501</v>
      </c>
      <c r="B215" s="76" t="s">
        <v>3923</v>
      </c>
      <c r="C215" s="38" t="s">
        <v>3968</v>
      </c>
      <c r="D215" s="46">
        <v>243.0</v>
      </c>
      <c r="E215" s="46">
        <v>85.0</v>
      </c>
      <c r="F215" s="35"/>
      <c r="G215" s="35"/>
      <c r="H215" s="35"/>
    </row>
    <row r="216">
      <c r="A216" s="76" t="s">
        <v>3501</v>
      </c>
      <c r="B216" s="76" t="s">
        <v>3926</v>
      </c>
      <c r="C216" s="38" t="s">
        <v>3969</v>
      </c>
      <c r="D216" s="46">
        <v>243.0</v>
      </c>
      <c r="E216" s="46">
        <v>86.0</v>
      </c>
      <c r="F216" s="35"/>
      <c r="G216" s="35"/>
      <c r="H216" s="35"/>
    </row>
    <row r="217">
      <c r="A217" s="76" t="s">
        <v>3501</v>
      </c>
      <c r="B217" s="76" t="s">
        <v>3929</v>
      </c>
      <c r="C217" s="38" t="s">
        <v>3970</v>
      </c>
      <c r="D217" s="46">
        <v>243.0</v>
      </c>
      <c r="E217" s="46">
        <v>87.0</v>
      </c>
      <c r="F217" s="35"/>
      <c r="G217" s="35"/>
      <c r="H217" s="35"/>
    </row>
    <row r="218">
      <c r="A218" s="76" t="s">
        <v>3501</v>
      </c>
      <c r="B218" s="76" t="s">
        <v>3932</v>
      </c>
      <c r="C218" s="35" t="s">
        <v>3971</v>
      </c>
      <c r="D218" s="46">
        <v>243.0</v>
      </c>
      <c r="E218" s="46">
        <v>88.0</v>
      </c>
      <c r="F218" s="35"/>
      <c r="G218" s="35"/>
      <c r="H218" s="35"/>
    </row>
    <row r="219">
      <c r="A219" s="76" t="s">
        <v>3501</v>
      </c>
      <c r="B219" s="76" t="s">
        <v>3935</v>
      </c>
      <c r="C219" s="35" t="s">
        <v>3972</v>
      </c>
      <c r="D219" s="46">
        <v>243.0</v>
      </c>
      <c r="E219" s="46">
        <v>89.0</v>
      </c>
      <c r="F219" s="86" t="s">
        <v>3937</v>
      </c>
      <c r="G219" s="38" t="s">
        <v>3938</v>
      </c>
      <c r="H219" s="38"/>
    </row>
    <row r="220">
      <c r="A220" s="76" t="s">
        <v>3501</v>
      </c>
      <c r="B220" s="76" t="s">
        <v>3939</v>
      </c>
      <c r="C220" s="35" t="s">
        <v>3973</v>
      </c>
      <c r="D220" s="46">
        <v>243.0</v>
      </c>
      <c r="E220" s="46">
        <v>90.0</v>
      </c>
      <c r="F220" s="35"/>
      <c r="G220" s="35"/>
      <c r="H220" s="35"/>
    </row>
    <row r="221">
      <c r="A221" s="76" t="s">
        <v>3501</v>
      </c>
      <c r="B221" s="76" t="s">
        <v>3942</v>
      </c>
      <c r="C221" s="38" t="s">
        <v>3974</v>
      </c>
      <c r="D221" s="46">
        <v>243.0</v>
      </c>
      <c r="E221" s="46">
        <v>91.0</v>
      </c>
      <c r="F221" s="35"/>
      <c r="G221" s="35"/>
      <c r="H221" s="35"/>
    </row>
    <row r="222">
      <c r="A222" s="76" t="s">
        <v>3501</v>
      </c>
      <c r="B222" s="76" t="s">
        <v>3945</v>
      </c>
      <c r="C222" s="38" t="s">
        <v>3975</v>
      </c>
      <c r="D222" s="46">
        <v>243.0</v>
      </c>
      <c r="E222" s="46">
        <v>92.0</v>
      </c>
      <c r="F222" s="35"/>
      <c r="G222" s="35"/>
      <c r="H222" s="35"/>
    </row>
    <row r="223">
      <c r="A223" s="76" t="s">
        <v>3501</v>
      </c>
      <c r="B223" s="76" t="s">
        <v>3948</v>
      </c>
      <c r="C223" s="35" t="s">
        <v>3976</v>
      </c>
      <c r="D223" s="46">
        <v>243.0</v>
      </c>
      <c r="E223" s="46">
        <v>93.0</v>
      </c>
      <c r="F223" s="35"/>
      <c r="G223" s="35"/>
      <c r="H223" s="35"/>
    </row>
    <row r="224">
      <c r="A224" s="76" t="s">
        <v>3501</v>
      </c>
      <c r="B224" s="76" t="s">
        <v>3729</v>
      </c>
      <c r="C224" s="38" t="s">
        <v>3977</v>
      </c>
      <c r="D224" s="46">
        <v>243.0</v>
      </c>
      <c r="E224" s="46">
        <v>94.0</v>
      </c>
      <c r="F224" s="35"/>
      <c r="G224" s="35"/>
      <c r="H224" s="35"/>
    </row>
    <row r="225">
      <c r="A225" s="81" t="s">
        <v>3901</v>
      </c>
      <c r="B225" s="81" t="s">
        <v>3902</v>
      </c>
      <c r="C225" s="85"/>
      <c r="D225" s="83">
        <v>243.0</v>
      </c>
      <c r="E225" s="83">
        <v>95.0</v>
      </c>
      <c r="F225" s="84" t="s">
        <v>809</v>
      </c>
      <c r="G225" s="38" t="s">
        <v>3960</v>
      </c>
      <c r="H225" s="38"/>
    </row>
    <row r="226">
      <c r="A226" s="76" t="s">
        <v>3501</v>
      </c>
      <c r="B226" s="76" t="s">
        <v>3953</v>
      </c>
      <c r="C226" s="35" t="s">
        <v>3978</v>
      </c>
      <c r="D226" s="46">
        <v>243.0</v>
      </c>
      <c r="E226" s="46">
        <v>96.0</v>
      </c>
      <c r="F226" s="35"/>
      <c r="G226" s="35"/>
      <c r="H226" s="35"/>
    </row>
    <row r="227">
      <c r="A227" s="76" t="s">
        <v>3501</v>
      </c>
      <c r="B227" s="76" t="s">
        <v>3956</v>
      </c>
      <c r="C227" s="38" t="s">
        <v>3979</v>
      </c>
      <c r="D227" s="46">
        <v>243.0</v>
      </c>
      <c r="E227" s="46">
        <v>97.0</v>
      </c>
      <c r="F227" s="35"/>
      <c r="G227" s="35"/>
      <c r="H227" s="35"/>
    </row>
    <row r="228">
      <c r="A228" s="38" t="s">
        <v>3980</v>
      </c>
      <c r="B228" s="38" t="s">
        <v>3433</v>
      </c>
      <c r="C228" s="38" t="s">
        <v>3981</v>
      </c>
      <c r="D228" s="46">
        <v>243.0</v>
      </c>
      <c r="E228" s="46">
        <v>98.0</v>
      </c>
      <c r="F228" s="38" t="s">
        <v>809</v>
      </c>
      <c r="G228" s="38" t="s">
        <v>3982</v>
      </c>
      <c r="H228" s="38"/>
    </row>
    <row r="229">
      <c r="A229" s="38" t="s">
        <v>3980</v>
      </c>
      <c r="B229" s="38" t="s">
        <v>3435</v>
      </c>
      <c r="C229" s="35" t="s">
        <v>3983</v>
      </c>
      <c r="D229" s="46">
        <v>243.0</v>
      </c>
      <c r="E229" s="46">
        <v>99.0</v>
      </c>
      <c r="F229" s="38" t="s">
        <v>809</v>
      </c>
      <c r="G229" s="38" t="s">
        <v>3982</v>
      </c>
      <c r="H229" s="38"/>
    </row>
    <row r="230">
      <c r="A230" s="38" t="s">
        <v>3980</v>
      </c>
      <c r="B230" s="38" t="s">
        <v>3428</v>
      </c>
      <c r="C230" s="35" t="s">
        <v>3984</v>
      </c>
      <c r="D230" s="46">
        <v>243.0</v>
      </c>
      <c r="E230" s="46">
        <v>100.0</v>
      </c>
      <c r="F230" s="38" t="s">
        <v>809</v>
      </c>
      <c r="G230" s="38" t="s">
        <v>3982</v>
      </c>
      <c r="H230" s="38"/>
    </row>
    <row r="231">
      <c r="A231" s="38" t="s">
        <v>3980</v>
      </c>
      <c r="B231" s="38" t="s">
        <v>3437</v>
      </c>
      <c r="C231" s="35" t="s">
        <v>3985</v>
      </c>
      <c r="D231" s="46">
        <v>243.0</v>
      </c>
      <c r="E231" s="46">
        <v>101.0</v>
      </c>
      <c r="F231" s="38" t="s">
        <v>809</v>
      </c>
      <c r="G231" s="38" t="s">
        <v>3982</v>
      </c>
      <c r="H231" s="38"/>
    </row>
    <row r="232">
      <c r="A232" s="38" t="s">
        <v>3980</v>
      </c>
      <c r="B232" s="38" t="s">
        <v>3431</v>
      </c>
      <c r="C232" s="38" t="s">
        <v>3986</v>
      </c>
      <c r="D232" s="46">
        <v>243.0</v>
      </c>
      <c r="E232" s="46">
        <v>102.0</v>
      </c>
      <c r="F232" s="38" t="s">
        <v>809</v>
      </c>
      <c r="G232" s="38" t="s">
        <v>3982</v>
      </c>
      <c r="H232" s="38"/>
    </row>
    <row r="233">
      <c r="A233" s="38" t="s">
        <v>3987</v>
      </c>
      <c r="B233" s="38" t="s">
        <v>3988</v>
      </c>
      <c r="C233" s="35" t="s">
        <v>3989</v>
      </c>
      <c r="D233" s="46">
        <v>243.0</v>
      </c>
      <c r="E233" s="46">
        <v>103.0</v>
      </c>
      <c r="F233" s="35" t="s">
        <v>3990</v>
      </c>
      <c r="G233" s="35"/>
      <c r="H233" s="35"/>
    </row>
    <row r="234">
      <c r="A234" s="38" t="s">
        <v>3987</v>
      </c>
      <c r="B234" s="38" t="s">
        <v>3991</v>
      </c>
      <c r="C234" s="4" t="s">
        <v>3992</v>
      </c>
      <c r="D234" s="46">
        <v>243.0</v>
      </c>
      <c r="E234" s="46">
        <v>104.0</v>
      </c>
      <c r="F234" s="35"/>
      <c r="G234" s="35"/>
      <c r="H234" s="35"/>
    </row>
    <row r="235">
      <c r="A235" s="38" t="s">
        <v>3987</v>
      </c>
      <c r="B235" s="38" t="s">
        <v>3993</v>
      </c>
      <c r="C235" s="76" t="s">
        <v>3994</v>
      </c>
      <c r="D235" s="46">
        <v>243.0</v>
      </c>
      <c r="E235" s="46">
        <v>105.0</v>
      </c>
      <c r="F235" s="35" t="s">
        <v>3995</v>
      </c>
      <c r="G235" s="35"/>
      <c r="H235" s="35"/>
    </row>
    <row r="236">
      <c r="A236" s="38" t="s">
        <v>3987</v>
      </c>
      <c r="B236" s="38" t="s">
        <v>3996</v>
      </c>
      <c r="C236" s="4" t="s">
        <v>3997</v>
      </c>
      <c r="D236" s="46">
        <v>243.0</v>
      </c>
      <c r="E236" s="46">
        <v>106.0</v>
      </c>
      <c r="F236" s="35" t="s">
        <v>3998</v>
      </c>
      <c r="G236" s="35"/>
      <c r="H236" s="35"/>
    </row>
    <row r="237">
      <c r="A237" s="38" t="s">
        <v>68</v>
      </c>
      <c r="B237" s="38" t="s">
        <v>3999</v>
      </c>
      <c r="C237" s="35" t="s">
        <v>4000</v>
      </c>
      <c r="D237" s="46">
        <v>243.0</v>
      </c>
      <c r="E237" s="46">
        <v>112.0</v>
      </c>
      <c r="F237" s="35"/>
      <c r="G237" s="35"/>
      <c r="H237" s="35"/>
    </row>
    <row r="238">
      <c r="A238" s="39" t="s">
        <v>68</v>
      </c>
      <c r="B238" s="76" t="s">
        <v>5031</v>
      </c>
      <c r="C238" s="76" t="s">
        <v>5425</v>
      </c>
      <c r="D238" s="97">
        <v>243.0</v>
      </c>
      <c r="E238" s="97">
        <v>113.0</v>
      </c>
    </row>
    <row r="239">
      <c r="A239" s="39" t="s">
        <v>68</v>
      </c>
      <c r="B239" s="76" t="s">
        <v>5031</v>
      </c>
      <c r="C239" s="76" t="s">
        <v>5424</v>
      </c>
      <c r="D239" s="97">
        <v>244.0</v>
      </c>
      <c r="E239" s="97">
        <v>27.0</v>
      </c>
    </row>
    <row r="240">
      <c r="A240" s="39" t="s">
        <v>68</v>
      </c>
      <c r="B240" s="38" t="s">
        <v>3791</v>
      </c>
      <c r="C240" s="35" t="s">
        <v>4043</v>
      </c>
      <c r="D240" s="46">
        <v>245.0</v>
      </c>
      <c r="E240" s="46">
        <v>1.0</v>
      </c>
    </row>
    <row r="241">
      <c r="A241" s="39" t="s">
        <v>68</v>
      </c>
      <c r="B241" s="38" t="s">
        <v>3793</v>
      </c>
      <c r="C241" s="38" t="s">
        <v>4044</v>
      </c>
      <c r="D241" s="46">
        <v>245.0</v>
      </c>
      <c r="E241" s="46">
        <v>2.0</v>
      </c>
    </row>
    <row r="242">
      <c r="A242" s="39" t="s">
        <v>68</v>
      </c>
      <c r="B242" s="38" t="s">
        <v>3795</v>
      </c>
      <c r="C242" s="38" t="s">
        <v>4045</v>
      </c>
      <c r="D242" s="46">
        <v>245.0</v>
      </c>
      <c r="E242" s="46">
        <v>3.0</v>
      </c>
    </row>
    <row r="243">
      <c r="A243" s="39" t="s">
        <v>68</v>
      </c>
      <c r="B243" s="39" t="s">
        <v>3797</v>
      </c>
      <c r="C243" s="38" t="s">
        <v>4046</v>
      </c>
      <c r="D243" s="46">
        <v>245.0</v>
      </c>
      <c r="E243" s="46">
        <v>4.0</v>
      </c>
    </row>
    <row r="244">
      <c r="A244" s="39" t="s">
        <v>68</v>
      </c>
      <c r="B244" s="39" t="s">
        <v>3799</v>
      </c>
      <c r="C244" s="35" t="s">
        <v>4047</v>
      </c>
      <c r="D244" s="46">
        <v>245.0</v>
      </c>
      <c r="E244" s="46">
        <v>5.0</v>
      </c>
    </row>
    <row r="245">
      <c r="A245" s="39" t="s">
        <v>68</v>
      </c>
      <c r="B245" s="39" t="s">
        <v>3801</v>
      </c>
      <c r="C245" s="38" t="s">
        <v>4048</v>
      </c>
      <c r="D245" s="46">
        <v>245.0</v>
      </c>
      <c r="E245" s="46">
        <v>6.0</v>
      </c>
    </row>
    <row r="246">
      <c r="A246" s="39" t="s">
        <v>68</v>
      </c>
      <c r="B246" s="39" t="s">
        <v>3803</v>
      </c>
      <c r="C246" s="38" t="s">
        <v>4049</v>
      </c>
      <c r="D246" s="46">
        <v>245.0</v>
      </c>
      <c r="E246" s="46">
        <v>7.0</v>
      </c>
    </row>
    <row r="247">
      <c r="A247" s="39" t="s">
        <v>68</v>
      </c>
      <c r="B247" s="38" t="s">
        <v>160</v>
      </c>
      <c r="C247" s="35" t="s">
        <v>4050</v>
      </c>
      <c r="D247" s="46">
        <v>245.0</v>
      </c>
      <c r="E247" s="46">
        <v>8.0</v>
      </c>
    </row>
    <row r="248">
      <c r="A248" s="39" t="s">
        <v>68</v>
      </c>
      <c r="B248" s="38" t="s">
        <v>3806</v>
      </c>
      <c r="C248" s="35" t="s">
        <v>4051</v>
      </c>
      <c r="D248" s="46">
        <v>245.0</v>
      </c>
      <c r="E248" s="46">
        <v>9.0</v>
      </c>
    </row>
    <row r="249">
      <c r="A249" s="39" t="s">
        <v>68</v>
      </c>
      <c r="B249" s="38" t="s">
        <v>3808</v>
      </c>
      <c r="C249" s="38" t="s">
        <v>4052</v>
      </c>
      <c r="D249" s="46">
        <v>245.0</v>
      </c>
      <c r="E249" s="46">
        <v>10.0</v>
      </c>
    </row>
    <row r="250">
      <c r="A250" s="39" t="s">
        <v>68</v>
      </c>
      <c r="B250" s="38" t="s">
        <v>3810</v>
      </c>
      <c r="C250" s="38" t="s">
        <v>4053</v>
      </c>
      <c r="D250" s="46">
        <v>245.0</v>
      </c>
      <c r="E250" s="46">
        <v>11.0</v>
      </c>
    </row>
    <row r="251">
      <c r="A251" s="39" t="s">
        <v>68</v>
      </c>
      <c r="B251" s="76" t="s">
        <v>3812</v>
      </c>
      <c r="C251" s="35" t="s">
        <v>4054</v>
      </c>
      <c r="D251" s="46">
        <v>245.0</v>
      </c>
      <c r="E251" s="46">
        <v>12.0</v>
      </c>
    </row>
    <row r="252">
      <c r="A252" s="39" t="s">
        <v>68</v>
      </c>
      <c r="B252" s="76" t="s">
        <v>3814</v>
      </c>
      <c r="C252" s="35" t="s">
        <v>4055</v>
      </c>
      <c r="D252" s="46">
        <v>245.0</v>
      </c>
      <c r="E252" s="46">
        <v>13.0</v>
      </c>
    </row>
    <row r="253">
      <c r="A253" s="39" t="s">
        <v>68</v>
      </c>
      <c r="B253" s="76" t="s">
        <v>3816</v>
      </c>
      <c r="C253" s="38" t="s">
        <v>4056</v>
      </c>
      <c r="D253" s="46">
        <v>245.0</v>
      </c>
      <c r="E253" s="46">
        <v>14.0</v>
      </c>
    </row>
    <row r="254">
      <c r="A254" s="39" t="s">
        <v>68</v>
      </c>
      <c r="B254" s="76" t="s">
        <v>3818</v>
      </c>
      <c r="C254" s="38" t="s">
        <v>4057</v>
      </c>
      <c r="D254" s="46">
        <v>245.0</v>
      </c>
      <c r="E254" s="46">
        <v>15.0</v>
      </c>
    </row>
    <row r="255">
      <c r="A255" s="39" t="s">
        <v>68</v>
      </c>
      <c r="B255" s="76" t="s">
        <v>3820</v>
      </c>
      <c r="C255" s="35" t="s">
        <v>4058</v>
      </c>
      <c r="D255" s="46">
        <v>245.0</v>
      </c>
      <c r="E255" s="46">
        <v>16.0</v>
      </c>
    </row>
    <row r="256">
      <c r="A256" s="39" t="s">
        <v>68</v>
      </c>
      <c r="B256" s="76" t="s">
        <v>3822</v>
      </c>
      <c r="C256" s="38" t="s">
        <v>4059</v>
      </c>
      <c r="D256" s="46">
        <v>245.0</v>
      </c>
      <c r="E256" s="46">
        <v>17.0</v>
      </c>
    </row>
    <row r="257">
      <c r="A257" s="39" t="s">
        <v>68</v>
      </c>
      <c r="B257" s="76" t="s">
        <v>3824</v>
      </c>
      <c r="C257" s="35" t="s">
        <v>4060</v>
      </c>
      <c r="D257" s="46">
        <v>245.0</v>
      </c>
      <c r="E257" s="46">
        <v>18.0</v>
      </c>
    </row>
    <row r="258">
      <c r="A258" s="39" t="s">
        <v>68</v>
      </c>
      <c r="B258" s="76" t="s">
        <v>3826</v>
      </c>
      <c r="C258" s="35" t="s">
        <v>4061</v>
      </c>
      <c r="D258" s="46">
        <v>245.0</v>
      </c>
      <c r="E258" s="46">
        <v>19.0</v>
      </c>
    </row>
    <row r="259">
      <c r="A259" s="39" t="s">
        <v>68</v>
      </c>
      <c r="B259" s="76" t="s">
        <v>3828</v>
      </c>
      <c r="C259" s="35" t="s">
        <v>4062</v>
      </c>
      <c r="D259" s="46">
        <v>245.0</v>
      </c>
      <c r="E259" s="46">
        <v>20.0</v>
      </c>
    </row>
    <row r="260">
      <c r="A260" s="39" t="s">
        <v>4063</v>
      </c>
      <c r="B260" s="76" t="s">
        <v>4064</v>
      </c>
      <c r="C260" s="51" t="s">
        <v>4065</v>
      </c>
      <c r="D260" s="46">
        <v>245.0</v>
      </c>
      <c r="E260" s="46">
        <v>21.0</v>
      </c>
      <c r="F260" s="76" t="s">
        <v>4066</v>
      </c>
    </row>
    <row r="261">
      <c r="A261" s="39" t="s">
        <v>4063</v>
      </c>
      <c r="B261" s="76" t="s">
        <v>4067</v>
      </c>
      <c r="C261" s="35" t="s">
        <v>4068</v>
      </c>
      <c r="D261" s="46">
        <v>245.0</v>
      </c>
      <c r="E261" s="46">
        <v>22.0</v>
      </c>
      <c r="F261" s="76" t="s">
        <v>4069</v>
      </c>
    </row>
    <row r="262">
      <c r="A262" s="38" t="s">
        <v>4070</v>
      </c>
      <c r="B262" s="76" t="s">
        <v>4071</v>
      </c>
      <c r="C262" s="35" t="s">
        <v>4072</v>
      </c>
      <c r="D262" s="46">
        <v>245.0</v>
      </c>
      <c r="E262" s="46">
        <v>24.0</v>
      </c>
      <c r="F262" s="38" t="s">
        <v>3428</v>
      </c>
    </row>
    <row r="263">
      <c r="A263" s="38" t="s">
        <v>4070</v>
      </c>
      <c r="B263" s="76" t="s">
        <v>4073</v>
      </c>
      <c r="C263" s="38" t="s">
        <v>4074</v>
      </c>
      <c r="D263" s="46">
        <v>245.0</v>
      </c>
      <c r="E263" s="46">
        <v>25.0</v>
      </c>
      <c r="F263" s="39" t="s">
        <v>3431</v>
      </c>
    </row>
    <row r="264">
      <c r="A264" s="38" t="s">
        <v>4070</v>
      </c>
      <c r="B264" s="76" t="s">
        <v>4075</v>
      </c>
      <c r="C264" s="38" t="s">
        <v>4076</v>
      </c>
      <c r="D264" s="46">
        <v>245.0</v>
      </c>
      <c r="E264" s="46">
        <v>26.0</v>
      </c>
      <c r="F264" s="38" t="s">
        <v>3433</v>
      </c>
    </row>
    <row r="265">
      <c r="A265" s="38" t="s">
        <v>4070</v>
      </c>
      <c r="B265" s="76" t="s">
        <v>4077</v>
      </c>
      <c r="C265" s="35" t="s">
        <v>4078</v>
      </c>
      <c r="D265" s="46">
        <v>245.0</v>
      </c>
      <c r="E265" s="46">
        <v>27.0</v>
      </c>
      <c r="F265" s="39" t="s">
        <v>3435</v>
      </c>
    </row>
    <row r="266">
      <c r="A266" s="38" t="s">
        <v>4070</v>
      </c>
      <c r="B266" s="76" t="s">
        <v>4079</v>
      </c>
      <c r="C266" s="35" t="s">
        <v>4080</v>
      </c>
      <c r="D266" s="46">
        <v>245.0</v>
      </c>
      <c r="E266" s="46">
        <v>28.0</v>
      </c>
      <c r="F266" s="39" t="s">
        <v>3437</v>
      </c>
    </row>
    <row r="267">
      <c r="A267" s="39" t="s">
        <v>4081</v>
      </c>
      <c r="B267" s="76" t="s">
        <v>4082</v>
      </c>
      <c r="C267" s="35" t="s">
        <v>4083</v>
      </c>
      <c r="D267" s="46">
        <v>245.0</v>
      </c>
      <c r="E267" s="46">
        <v>29.0</v>
      </c>
      <c r="F267" s="76" t="s">
        <v>4084</v>
      </c>
    </row>
    <row r="268">
      <c r="A268" s="39" t="s">
        <v>4081</v>
      </c>
      <c r="B268" s="76" t="s">
        <v>4085</v>
      </c>
      <c r="C268" s="38" t="s">
        <v>4086</v>
      </c>
      <c r="D268" s="46">
        <v>245.0</v>
      </c>
      <c r="E268" s="46">
        <v>30.0</v>
      </c>
      <c r="F268" s="76" t="s">
        <v>4087</v>
      </c>
    </row>
    <row r="269">
      <c r="A269" s="39" t="s">
        <v>4081</v>
      </c>
      <c r="B269" s="76" t="s">
        <v>4088</v>
      </c>
      <c r="C269" s="35" t="s">
        <v>4089</v>
      </c>
      <c r="D269" s="46">
        <v>245.0</v>
      </c>
      <c r="E269" s="46">
        <v>31.0</v>
      </c>
      <c r="F269" s="76" t="s">
        <v>4090</v>
      </c>
    </row>
    <row r="270">
      <c r="A270" s="39" t="s">
        <v>4081</v>
      </c>
      <c r="B270" s="76" t="s">
        <v>4091</v>
      </c>
      <c r="C270" s="38" t="s">
        <v>4092</v>
      </c>
      <c r="D270" s="46">
        <v>245.0</v>
      </c>
      <c r="E270" s="46">
        <v>32.0</v>
      </c>
      <c r="F270" s="76" t="s">
        <v>4093</v>
      </c>
    </row>
    <row r="271">
      <c r="A271" s="39" t="s">
        <v>4081</v>
      </c>
      <c r="B271" s="76" t="s">
        <v>4094</v>
      </c>
      <c r="C271" s="38" t="s">
        <v>4095</v>
      </c>
      <c r="D271" s="46">
        <v>245.0</v>
      </c>
      <c r="E271" s="46">
        <v>33.0</v>
      </c>
      <c r="F271" s="76" t="s">
        <v>4096</v>
      </c>
    </row>
    <row r="272">
      <c r="A272" s="39" t="s">
        <v>4081</v>
      </c>
      <c r="B272" s="76" t="s">
        <v>4097</v>
      </c>
      <c r="C272" s="35" t="s">
        <v>4098</v>
      </c>
      <c r="D272" s="46">
        <v>245.0</v>
      </c>
      <c r="E272" s="46">
        <v>34.0</v>
      </c>
      <c r="F272" s="76" t="s">
        <v>4099</v>
      </c>
    </row>
    <row r="273">
      <c r="A273" s="39" t="s">
        <v>4081</v>
      </c>
      <c r="B273" s="76" t="s">
        <v>4097</v>
      </c>
      <c r="C273" s="38" t="s">
        <v>4100</v>
      </c>
      <c r="D273" s="46">
        <v>245.0</v>
      </c>
      <c r="E273" s="46">
        <v>35.0</v>
      </c>
      <c r="F273" s="76" t="s">
        <v>3428</v>
      </c>
    </row>
    <row r="274">
      <c r="A274" s="39" t="s">
        <v>4081</v>
      </c>
      <c r="B274" s="76" t="s">
        <v>4097</v>
      </c>
      <c r="C274" s="38" t="s">
        <v>4101</v>
      </c>
      <c r="D274" s="46">
        <v>245.0</v>
      </c>
      <c r="E274" s="46">
        <v>36.0</v>
      </c>
      <c r="F274" s="76" t="s">
        <v>3437</v>
      </c>
    </row>
    <row r="275">
      <c r="A275" s="39" t="s">
        <v>4081</v>
      </c>
      <c r="B275" s="76" t="s">
        <v>4097</v>
      </c>
      <c r="C275" s="35" t="s">
        <v>4102</v>
      </c>
      <c r="D275" s="46">
        <v>245.0</v>
      </c>
      <c r="E275" s="46">
        <v>37.0</v>
      </c>
      <c r="F275" s="76" t="s">
        <v>3431</v>
      </c>
    </row>
    <row r="276">
      <c r="A276" s="39" t="s">
        <v>4081</v>
      </c>
      <c r="B276" s="76" t="s">
        <v>4097</v>
      </c>
      <c r="C276" s="38" t="s">
        <v>4103</v>
      </c>
      <c r="D276" s="46">
        <v>245.0</v>
      </c>
      <c r="E276" s="46">
        <v>38.0</v>
      </c>
      <c r="F276" s="76" t="s">
        <v>3435</v>
      </c>
    </row>
    <row r="277">
      <c r="A277" s="39" t="s">
        <v>4081</v>
      </c>
      <c r="B277" s="76" t="s">
        <v>4104</v>
      </c>
      <c r="C277" s="35" t="s">
        <v>4105</v>
      </c>
      <c r="D277" s="46">
        <v>245.0</v>
      </c>
      <c r="E277" s="46">
        <v>39.0</v>
      </c>
      <c r="F277" s="76" t="s">
        <v>4106</v>
      </c>
    </row>
    <row r="278">
      <c r="A278" s="38" t="s">
        <v>4063</v>
      </c>
      <c r="B278" s="76" t="s">
        <v>4107</v>
      </c>
      <c r="C278" s="35" t="s">
        <v>4108</v>
      </c>
      <c r="D278" s="46">
        <v>245.0</v>
      </c>
      <c r="E278" s="46">
        <v>40.0</v>
      </c>
      <c r="F278" s="76" t="s">
        <v>4109</v>
      </c>
    </row>
    <row r="279">
      <c r="A279" s="38" t="s">
        <v>4063</v>
      </c>
      <c r="B279" s="76" t="s">
        <v>4110</v>
      </c>
      <c r="C279" s="38" t="s">
        <v>4111</v>
      </c>
      <c r="D279" s="46">
        <v>245.0</v>
      </c>
      <c r="E279" s="46">
        <v>41.0</v>
      </c>
      <c r="F279" s="76" t="s">
        <v>4112</v>
      </c>
    </row>
    <row r="280">
      <c r="A280" s="38" t="s">
        <v>4063</v>
      </c>
      <c r="B280" s="76" t="s">
        <v>4113</v>
      </c>
      <c r="C280" s="35" t="s">
        <v>4114</v>
      </c>
      <c r="D280" s="46">
        <v>245.0</v>
      </c>
      <c r="E280" s="46">
        <v>42.0</v>
      </c>
      <c r="F280" s="76" t="s">
        <v>4115</v>
      </c>
    </row>
    <row r="281">
      <c r="A281" s="38" t="s">
        <v>4063</v>
      </c>
      <c r="B281" s="76" t="s">
        <v>4116</v>
      </c>
      <c r="C281" s="35" t="s">
        <v>4117</v>
      </c>
      <c r="D281" s="46">
        <v>245.0</v>
      </c>
      <c r="E281" s="46">
        <v>43.0</v>
      </c>
      <c r="F281" s="76" t="s">
        <v>4118</v>
      </c>
    </row>
    <row r="282">
      <c r="A282" s="38" t="s">
        <v>4063</v>
      </c>
      <c r="B282" s="76" t="s">
        <v>4119</v>
      </c>
      <c r="C282" s="51" t="s">
        <v>4120</v>
      </c>
      <c r="D282" s="46">
        <v>245.0</v>
      </c>
      <c r="E282" s="46">
        <v>44.0</v>
      </c>
      <c r="F282" s="76" t="s">
        <v>4121</v>
      </c>
    </row>
    <row r="283">
      <c r="A283" s="38" t="s">
        <v>4063</v>
      </c>
      <c r="B283" s="76" t="s">
        <v>4122</v>
      </c>
      <c r="C283" s="51" t="s">
        <v>4123</v>
      </c>
      <c r="D283" s="46">
        <v>245.0</v>
      </c>
      <c r="E283" s="46">
        <v>45.0</v>
      </c>
      <c r="F283" s="76" t="s">
        <v>4124</v>
      </c>
    </row>
    <row r="284">
      <c r="A284" s="38" t="s">
        <v>4063</v>
      </c>
      <c r="B284" s="76" t="s">
        <v>4125</v>
      </c>
      <c r="C284" s="35" t="s">
        <v>4126</v>
      </c>
      <c r="D284" s="46">
        <v>245.0</v>
      </c>
      <c r="E284" s="46">
        <v>46.0</v>
      </c>
      <c r="F284" s="76" t="s">
        <v>4127</v>
      </c>
    </row>
    <row r="285">
      <c r="A285" s="38" t="s">
        <v>4063</v>
      </c>
      <c r="B285" s="76" t="s">
        <v>4128</v>
      </c>
      <c r="C285" s="51" t="s">
        <v>4129</v>
      </c>
      <c r="D285" s="46">
        <v>245.0</v>
      </c>
      <c r="E285" s="46">
        <v>47.0</v>
      </c>
      <c r="F285" s="39" t="s">
        <v>4130</v>
      </c>
    </row>
    <row r="286">
      <c r="A286" s="38" t="s">
        <v>4063</v>
      </c>
      <c r="B286" s="76" t="s">
        <v>4116</v>
      </c>
      <c r="C286" s="38" t="s">
        <v>4131</v>
      </c>
      <c r="D286" s="46">
        <v>245.0</v>
      </c>
      <c r="E286" s="46">
        <v>48.0</v>
      </c>
      <c r="F286" s="76" t="s">
        <v>4132</v>
      </c>
    </row>
    <row r="287">
      <c r="A287" s="38" t="s">
        <v>4063</v>
      </c>
      <c r="B287" s="76" t="s">
        <v>4133</v>
      </c>
      <c r="C287" s="38" t="s">
        <v>4134</v>
      </c>
      <c r="D287" s="46">
        <v>245.0</v>
      </c>
      <c r="E287" s="46">
        <v>49.0</v>
      </c>
      <c r="F287" s="76" t="s">
        <v>4135</v>
      </c>
    </row>
    <row r="288">
      <c r="A288" s="38" t="s">
        <v>4063</v>
      </c>
      <c r="B288" s="76" t="s">
        <v>4136</v>
      </c>
      <c r="C288" s="35" t="s">
        <v>4137</v>
      </c>
      <c r="D288" s="46">
        <v>245.0</v>
      </c>
      <c r="E288" s="46">
        <v>50.0</v>
      </c>
      <c r="F288" s="76" t="s">
        <v>4138</v>
      </c>
    </row>
    <row r="289">
      <c r="A289" s="38" t="s">
        <v>4063</v>
      </c>
      <c r="B289" s="76" t="s">
        <v>4139</v>
      </c>
      <c r="C289" s="35" t="s">
        <v>4140</v>
      </c>
      <c r="D289" s="46">
        <v>245.0</v>
      </c>
      <c r="E289" s="46">
        <v>51.0</v>
      </c>
      <c r="F289" s="39" t="s">
        <v>4141</v>
      </c>
    </row>
    <row r="290">
      <c r="A290" s="38" t="s">
        <v>4063</v>
      </c>
      <c r="B290" s="76" t="s">
        <v>4142</v>
      </c>
      <c r="C290" s="38" t="s">
        <v>4143</v>
      </c>
      <c r="D290" s="46">
        <v>245.0</v>
      </c>
      <c r="E290" s="46">
        <v>52.0</v>
      </c>
      <c r="F290" s="76" t="s">
        <v>4144</v>
      </c>
    </row>
    <row r="291">
      <c r="A291" s="38" t="s">
        <v>4063</v>
      </c>
      <c r="B291" s="76" t="s">
        <v>4064</v>
      </c>
      <c r="C291" s="38" t="s">
        <v>4145</v>
      </c>
      <c r="D291" s="46">
        <v>245.0</v>
      </c>
      <c r="E291" s="46">
        <v>53.0</v>
      </c>
      <c r="F291" s="76" t="s">
        <v>4146</v>
      </c>
    </row>
    <row r="292">
      <c r="A292" s="38" t="s">
        <v>4063</v>
      </c>
      <c r="B292" s="76" t="s">
        <v>4147</v>
      </c>
      <c r="C292" s="38" t="s">
        <v>4148</v>
      </c>
      <c r="D292" s="46">
        <v>245.0</v>
      </c>
      <c r="E292" s="46">
        <v>54.0</v>
      </c>
      <c r="F292" s="76" t="s">
        <v>4149</v>
      </c>
    </row>
    <row r="293">
      <c r="A293" s="38" t="s">
        <v>4063</v>
      </c>
      <c r="B293" s="76" t="s">
        <v>4150</v>
      </c>
      <c r="C293" s="38" t="s">
        <v>4151</v>
      </c>
      <c r="D293" s="46">
        <v>245.0</v>
      </c>
      <c r="E293" s="46">
        <v>55.0</v>
      </c>
      <c r="F293" s="39" t="s">
        <v>4152</v>
      </c>
    </row>
    <row r="294">
      <c r="A294" s="38" t="s">
        <v>4063</v>
      </c>
      <c r="B294" s="76" t="s">
        <v>4153</v>
      </c>
      <c r="C294" s="35" t="s">
        <v>4154</v>
      </c>
      <c r="D294" s="46">
        <v>245.0</v>
      </c>
      <c r="E294" s="46">
        <v>56.0</v>
      </c>
      <c r="F294" s="76" t="s">
        <v>4155</v>
      </c>
    </row>
    <row r="295">
      <c r="A295" s="38" t="s">
        <v>4063</v>
      </c>
      <c r="B295" s="76" t="s">
        <v>4156</v>
      </c>
      <c r="C295" s="35" t="s">
        <v>4157</v>
      </c>
      <c r="D295" s="46">
        <v>245.0</v>
      </c>
      <c r="E295" s="46">
        <v>57.0</v>
      </c>
      <c r="F295" s="39" t="s">
        <v>4158</v>
      </c>
    </row>
    <row r="296">
      <c r="A296" s="38" t="s">
        <v>4063</v>
      </c>
      <c r="B296" s="76" t="s">
        <v>4159</v>
      </c>
      <c r="C296" s="38" t="s">
        <v>4160</v>
      </c>
      <c r="D296" s="46">
        <v>245.0</v>
      </c>
      <c r="E296" s="46">
        <v>58.0</v>
      </c>
      <c r="F296" s="76" t="s">
        <v>4161</v>
      </c>
    </row>
    <row r="297">
      <c r="A297" s="38" t="s">
        <v>4063</v>
      </c>
      <c r="B297" s="76" t="s">
        <v>4162</v>
      </c>
      <c r="C297" s="35" t="s">
        <v>4163</v>
      </c>
      <c r="D297" s="46">
        <v>245.0</v>
      </c>
      <c r="E297" s="46">
        <v>59.0</v>
      </c>
      <c r="F297" s="76" t="s">
        <v>4164</v>
      </c>
    </row>
    <row r="298">
      <c r="A298" s="38" t="s">
        <v>4063</v>
      </c>
      <c r="B298" s="76" t="s">
        <v>4165</v>
      </c>
      <c r="C298" s="38" t="s">
        <v>4166</v>
      </c>
      <c r="D298" s="46">
        <v>245.0</v>
      </c>
      <c r="E298" s="46">
        <v>60.0</v>
      </c>
      <c r="F298" s="76" t="s">
        <v>4167</v>
      </c>
    </row>
    <row r="299">
      <c r="A299" s="38" t="s">
        <v>4063</v>
      </c>
      <c r="B299" s="39" t="s">
        <v>4168</v>
      </c>
      <c r="C299" s="38" t="s">
        <v>4169</v>
      </c>
      <c r="D299" s="46">
        <v>245.0</v>
      </c>
      <c r="E299" s="46">
        <v>61.0</v>
      </c>
      <c r="F299" s="76" t="s">
        <v>4170</v>
      </c>
    </row>
    <row r="300">
      <c r="A300" s="38" t="s">
        <v>4063</v>
      </c>
      <c r="B300" s="76" t="s">
        <v>4064</v>
      </c>
      <c r="C300" s="35" t="s">
        <v>4171</v>
      </c>
      <c r="D300" s="46">
        <v>245.0</v>
      </c>
      <c r="E300" s="46">
        <v>62.0</v>
      </c>
      <c r="F300" s="76" t="s">
        <v>4172</v>
      </c>
    </row>
    <row r="301">
      <c r="A301" s="38" t="s">
        <v>4063</v>
      </c>
      <c r="B301" s="76" t="s">
        <v>4173</v>
      </c>
      <c r="C301" s="35" t="s">
        <v>4174</v>
      </c>
      <c r="D301" s="46">
        <v>245.0</v>
      </c>
      <c r="E301" s="46">
        <v>63.0</v>
      </c>
      <c r="F301" s="39" t="s">
        <v>4175</v>
      </c>
    </row>
    <row r="302">
      <c r="A302" s="38" t="s">
        <v>4063</v>
      </c>
      <c r="B302" s="76" t="s">
        <v>4176</v>
      </c>
      <c r="C302" s="38" t="s">
        <v>4177</v>
      </c>
      <c r="D302" s="46">
        <v>245.0</v>
      </c>
      <c r="E302" s="46">
        <v>64.0</v>
      </c>
      <c r="F302" s="76" t="s">
        <v>4178</v>
      </c>
    </row>
    <row r="303">
      <c r="A303" s="38" t="s">
        <v>4063</v>
      </c>
      <c r="B303" s="76" t="s">
        <v>4179</v>
      </c>
      <c r="C303" s="38" t="s">
        <v>4180</v>
      </c>
      <c r="D303" s="46">
        <v>245.0</v>
      </c>
      <c r="E303" s="46">
        <v>65.0</v>
      </c>
      <c r="F303" s="39" t="s">
        <v>4181</v>
      </c>
    </row>
    <row r="304">
      <c r="A304" s="38" t="s">
        <v>4063</v>
      </c>
      <c r="B304" s="76" t="s">
        <v>4182</v>
      </c>
      <c r="C304" s="38" t="s">
        <v>4183</v>
      </c>
      <c r="D304" s="46">
        <v>245.0</v>
      </c>
      <c r="E304" s="46">
        <v>66.0</v>
      </c>
      <c r="F304" s="76" t="s">
        <v>4184</v>
      </c>
    </row>
    <row r="305">
      <c r="A305" s="38" t="s">
        <v>4063</v>
      </c>
      <c r="B305" s="76" t="s">
        <v>4185</v>
      </c>
      <c r="C305" s="35" t="s">
        <v>4186</v>
      </c>
      <c r="D305" s="46">
        <v>245.0</v>
      </c>
      <c r="E305" s="46">
        <v>67.0</v>
      </c>
      <c r="F305" s="39" t="s">
        <v>4187</v>
      </c>
    </row>
    <row r="306">
      <c r="A306" s="38" t="s">
        <v>4063</v>
      </c>
      <c r="B306" s="76" t="s">
        <v>4188</v>
      </c>
      <c r="C306" s="35" t="s">
        <v>4189</v>
      </c>
      <c r="D306" s="46">
        <v>245.0</v>
      </c>
      <c r="E306" s="46">
        <v>68.0</v>
      </c>
      <c r="F306" s="76" t="s">
        <v>4190</v>
      </c>
    </row>
    <row r="307">
      <c r="A307" s="38" t="s">
        <v>4063</v>
      </c>
      <c r="B307" s="76" t="s">
        <v>4191</v>
      </c>
      <c r="C307" s="35" t="s">
        <v>4192</v>
      </c>
      <c r="D307" s="46">
        <v>245.0</v>
      </c>
      <c r="E307" s="46">
        <v>69.0</v>
      </c>
      <c r="F307" s="39" t="s">
        <v>4193</v>
      </c>
    </row>
    <row r="308">
      <c r="A308" s="38" t="s">
        <v>792</v>
      </c>
      <c r="B308" s="76" t="s">
        <v>4194</v>
      </c>
      <c r="C308" s="38" t="s">
        <v>4195</v>
      </c>
      <c r="D308" s="46">
        <v>245.0</v>
      </c>
      <c r="E308" s="46">
        <v>70.0</v>
      </c>
      <c r="F308" s="76" t="s">
        <v>4196</v>
      </c>
    </row>
    <row r="309">
      <c r="A309" s="38" t="s">
        <v>792</v>
      </c>
      <c r="B309" s="76" t="s">
        <v>4197</v>
      </c>
      <c r="C309" s="38" t="s">
        <v>4198</v>
      </c>
      <c r="D309" s="46">
        <v>245.0</v>
      </c>
      <c r="E309" s="46">
        <v>71.0</v>
      </c>
      <c r="F309" s="39" t="s">
        <v>4199</v>
      </c>
    </row>
    <row r="310">
      <c r="A310" s="38" t="s">
        <v>792</v>
      </c>
      <c r="B310" s="76" t="s">
        <v>3634</v>
      </c>
      <c r="C310" s="38" t="s">
        <v>4200</v>
      </c>
      <c r="D310" s="46">
        <v>245.0</v>
      </c>
      <c r="E310" s="46">
        <v>72.0</v>
      </c>
      <c r="F310" s="39" t="s">
        <v>4201</v>
      </c>
    </row>
    <row r="311">
      <c r="A311" s="38" t="s">
        <v>792</v>
      </c>
      <c r="B311" s="76" t="s">
        <v>4202</v>
      </c>
      <c r="C311" s="38" t="s">
        <v>4203</v>
      </c>
      <c r="D311" s="46">
        <v>245.0</v>
      </c>
      <c r="E311" s="46">
        <v>73.0</v>
      </c>
      <c r="F311" s="39" t="s">
        <v>4204</v>
      </c>
    </row>
    <row r="312">
      <c r="A312" s="38" t="s">
        <v>792</v>
      </c>
      <c r="B312" s="76" t="s">
        <v>4205</v>
      </c>
      <c r="C312" s="35" t="s">
        <v>4206</v>
      </c>
      <c r="D312" s="46">
        <v>245.0</v>
      </c>
      <c r="E312" s="46">
        <v>74.0</v>
      </c>
      <c r="F312" s="39" t="s">
        <v>4207</v>
      </c>
    </row>
    <row r="313">
      <c r="A313" s="38" t="s">
        <v>792</v>
      </c>
      <c r="B313" s="76" t="s">
        <v>4208</v>
      </c>
      <c r="C313" s="35" t="s">
        <v>4209</v>
      </c>
      <c r="D313" s="46">
        <v>245.0</v>
      </c>
      <c r="E313" s="46">
        <v>75.0</v>
      </c>
      <c r="F313" s="39" t="s">
        <v>4210</v>
      </c>
    </row>
    <row r="314">
      <c r="A314" s="38" t="s">
        <v>792</v>
      </c>
      <c r="B314" s="76" t="s">
        <v>4211</v>
      </c>
      <c r="C314" s="38" t="s">
        <v>4212</v>
      </c>
      <c r="D314" s="46">
        <v>245.0</v>
      </c>
      <c r="E314" s="46">
        <v>76.0</v>
      </c>
      <c r="F314" s="39" t="s">
        <v>4213</v>
      </c>
    </row>
    <row r="315">
      <c r="A315" s="38" t="s">
        <v>792</v>
      </c>
      <c r="B315" s="76" t="s">
        <v>4214</v>
      </c>
      <c r="C315" s="35" t="s">
        <v>4215</v>
      </c>
      <c r="D315" s="46">
        <v>245.0</v>
      </c>
      <c r="E315" s="46">
        <v>77.0</v>
      </c>
      <c r="F315" s="39" t="s">
        <v>4216</v>
      </c>
    </row>
    <row r="316">
      <c r="A316" s="38" t="s">
        <v>792</v>
      </c>
      <c r="B316" s="76" t="s">
        <v>4217</v>
      </c>
      <c r="C316" s="35" t="s">
        <v>4218</v>
      </c>
      <c r="D316" s="46">
        <v>245.0</v>
      </c>
      <c r="E316" s="46">
        <v>78.0</v>
      </c>
      <c r="F316" s="39" t="s">
        <v>4219</v>
      </c>
    </row>
    <row r="317">
      <c r="A317" s="38" t="s">
        <v>792</v>
      </c>
      <c r="B317" s="76" t="s">
        <v>4220</v>
      </c>
      <c r="C317" s="35" t="s">
        <v>4221</v>
      </c>
      <c r="D317" s="46">
        <v>245.0</v>
      </c>
      <c r="E317" s="46">
        <v>79.0</v>
      </c>
      <c r="F317" s="39" t="s">
        <v>4222</v>
      </c>
    </row>
    <row r="318">
      <c r="A318" s="38" t="s">
        <v>792</v>
      </c>
      <c r="B318" s="76" t="s">
        <v>4223</v>
      </c>
      <c r="C318" s="35" t="s">
        <v>4224</v>
      </c>
      <c r="D318" s="46">
        <v>245.0</v>
      </c>
      <c r="E318" s="46">
        <v>80.0</v>
      </c>
      <c r="F318" s="39" t="s">
        <v>4225</v>
      </c>
    </row>
    <row r="319">
      <c r="A319" s="38" t="s">
        <v>792</v>
      </c>
      <c r="B319" s="76" t="s">
        <v>4226</v>
      </c>
      <c r="C319" s="38" t="s">
        <v>4227</v>
      </c>
      <c r="D319" s="46">
        <v>245.0</v>
      </c>
      <c r="E319" s="46">
        <v>81.0</v>
      </c>
      <c r="F319" s="39" t="s">
        <v>4228</v>
      </c>
    </row>
    <row r="320">
      <c r="A320" s="38" t="s">
        <v>68</v>
      </c>
      <c r="B320" s="76" t="s">
        <v>3999</v>
      </c>
      <c r="C320" s="38" t="s">
        <v>4229</v>
      </c>
      <c r="D320" s="46">
        <v>245.0</v>
      </c>
      <c r="E320" s="46">
        <v>87.0</v>
      </c>
      <c r="F320" s="35"/>
      <c r="G320" s="35"/>
    </row>
    <row r="321">
      <c r="A321" s="39" t="s">
        <v>68</v>
      </c>
      <c r="B321" s="76" t="s">
        <v>5031</v>
      </c>
      <c r="C321" s="76" t="s">
        <v>5402</v>
      </c>
      <c r="D321" s="97">
        <v>245.0</v>
      </c>
      <c r="E321" s="97">
        <v>88.0</v>
      </c>
    </row>
    <row r="322">
      <c r="A322" s="39" t="s">
        <v>68</v>
      </c>
      <c r="B322" s="38" t="s">
        <v>3791</v>
      </c>
      <c r="C322" s="35" t="s">
        <v>4632</v>
      </c>
      <c r="D322" s="46">
        <v>246.0</v>
      </c>
      <c r="E322" s="46">
        <v>1.0</v>
      </c>
      <c r="F322" s="35"/>
      <c r="G322" s="35"/>
    </row>
    <row r="323">
      <c r="A323" s="39" t="s">
        <v>68</v>
      </c>
      <c r="B323" s="38" t="s">
        <v>3793</v>
      </c>
      <c r="C323" s="35" t="s">
        <v>4633</v>
      </c>
      <c r="D323" s="46">
        <v>246.0</v>
      </c>
      <c r="E323" s="46">
        <v>2.0</v>
      </c>
      <c r="F323" s="35"/>
      <c r="G323" s="35"/>
    </row>
    <row r="324">
      <c r="A324" s="39" t="s">
        <v>68</v>
      </c>
      <c r="B324" s="38" t="s">
        <v>3795</v>
      </c>
      <c r="C324" s="35" t="s">
        <v>4634</v>
      </c>
      <c r="D324" s="46">
        <v>246.0</v>
      </c>
      <c r="E324" s="46">
        <v>3.0</v>
      </c>
      <c r="F324" s="35"/>
      <c r="G324" s="35"/>
    </row>
    <row r="325">
      <c r="A325" s="39" t="s">
        <v>68</v>
      </c>
      <c r="B325" s="39" t="s">
        <v>3797</v>
      </c>
      <c r="C325" s="35" t="s">
        <v>4635</v>
      </c>
      <c r="D325" s="46">
        <v>246.0</v>
      </c>
      <c r="E325" s="46">
        <v>4.0</v>
      </c>
      <c r="F325" s="35"/>
      <c r="G325" s="35"/>
    </row>
    <row r="326">
      <c r="A326" s="39" t="s">
        <v>68</v>
      </c>
      <c r="B326" s="39" t="s">
        <v>3799</v>
      </c>
      <c r="C326" s="35" t="s">
        <v>4636</v>
      </c>
      <c r="D326" s="46">
        <v>246.0</v>
      </c>
      <c r="E326" s="46">
        <v>5.0</v>
      </c>
      <c r="F326" s="35"/>
      <c r="G326" s="35"/>
    </row>
    <row r="327">
      <c r="A327" s="39" t="s">
        <v>68</v>
      </c>
      <c r="B327" s="39" t="s">
        <v>3801</v>
      </c>
      <c r="C327" s="35" t="s">
        <v>4637</v>
      </c>
      <c r="D327" s="46">
        <v>246.0</v>
      </c>
      <c r="E327" s="46">
        <v>6.0</v>
      </c>
      <c r="F327" s="35"/>
      <c r="G327" s="35"/>
    </row>
    <row r="328">
      <c r="A328" s="39" t="s">
        <v>68</v>
      </c>
      <c r="B328" s="39" t="s">
        <v>3803</v>
      </c>
      <c r="C328" s="35" t="s">
        <v>4638</v>
      </c>
      <c r="D328" s="46">
        <v>246.0</v>
      </c>
      <c r="E328" s="46">
        <v>7.0</v>
      </c>
      <c r="F328" s="35"/>
      <c r="G328" s="35"/>
    </row>
    <row r="329">
      <c r="A329" s="39" t="s">
        <v>68</v>
      </c>
      <c r="B329" s="38" t="s">
        <v>160</v>
      </c>
      <c r="C329" s="35" t="s">
        <v>4639</v>
      </c>
      <c r="D329" s="46">
        <v>246.0</v>
      </c>
      <c r="E329" s="46">
        <v>8.0</v>
      </c>
      <c r="F329" s="35"/>
      <c r="G329" s="35"/>
    </row>
    <row r="330">
      <c r="A330" s="39" t="s">
        <v>68</v>
      </c>
      <c r="B330" s="38" t="s">
        <v>3806</v>
      </c>
      <c r="C330" s="35" t="s">
        <v>4640</v>
      </c>
      <c r="D330" s="46">
        <v>246.0</v>
      </c>
      <c r="E330" s="46">
        <v>9.0</v>
      </c>
      <c r="F330" s="35"/>
      <c r="G330" s="35"/>
    </row>
    <row r="331">
      <c r="A331" s="39" t="s">
        <v>68</v>
      </c>
      <c r="B331" s="38" t="s">
        <v>3808</v>
      </c>
      <c r="C331" s="35" t="s">
        <v>4641</v>
      </c>
      <c r="D331" s="46">
        <v>246.0</v>
      </c>
      <c r="E331" s="46">
        <v>10.0</v>
      </c>
      <c r="F331" s="35"/>
      <c r="G331" s="35"/>
    </row>
    <row r="332">
      <c r="A332" s="39" t="s">
        <v>68</v>
      </c>
      <c r="B332" s="38" t="s">
        <v>3810</v>
      </c>
      <c r="C332" s="35" t="s">
        <v>4642</v>
      </c>
      <c r="D332" s="46">
        <v>246.0</v>
      </c>
      <c r="E332" s="46">
        <v>11.0</v>
      </c>
      <c r="F332" s="35"/>
      <c r="G332" s="35"/>
    </row>
    <row r="333">
      <c r="A333" s="39" t="s">
        <v>68</v>
      </c>
      <c r="B333" s="76" t="s">
        <v>3812</v>
      </c>
      <c r="C333" s="35" t="s">
        <v>4643</v>
      </c>
      <c r="D333" s="46">
        <v>246.0</v>
      </c>
      <c r="E333" s="46">
        <v>12.0</v>
      </c>
      <c r="F333" s="35"/>
      <c r="G333" s="35"/>
    </row>
    <row r="334">
      <c r="A334" s="39" t="s">
        <v>68</v>
      </c>
      <c r="B334" s="76" t="s">
        <v>3814</v>
      </c>
      <c r="C334" s="35" t="s">
        <v>4644</v>
      </c>
      <c r="D334" s="46">
        <v>246.0</v>
      </c>
      <c r="E334" s="46">
        <v>13.0</v>
      </c>
      <c r="F334" s="35"/>
      <c r="G334" s="35"/>
    </row>
    <row r="335">
      <c r="A335" s="39" t="s">
        <v>68</v>
      </c>
      <c r="B335" s="76" t="s">
        <v>3816</v>
      </c>
      <c r="C335" s="35" t="s">
        <v>4645</v>
      </c>
      <c r="D335" s="46">
        <v>246.0</v>
      </c>
      <c r="E335" s="46">
        <v>14.0</v>
      </c>
      <c r="F335" s="35"/>
      <c r="G335" s="35"/>
    </row>
    <row r="336">
      <c r="A336" s="39" t="s">
        <v>68</v>
      </c>
      <c r="B336" s="76" t="s">
        <v>3818</v>
      </c>
      <c r="C336" s="35" t="s">
        <v>4646</v>
      </c>
      <c r="D336" s="46">
        <v>246.0</v>
      </c>
      <c r="E336" s="46">
        <v>15.0</v>
      </c>
      <c r="F336" s="35"/>
      <c r="G336" s="35"/>
    </row>
    <row r="337">
      <c r="A337" s="39" t="s">
        <v>68</v>
      </c>
      <c r="B337" s="76" t="s">
        <v>3820</v>
      </c>
      <c r="C337" s="35" t="s">
        <v>4647</v>
      </c>
      <c r="D337" s="46">
        <v>246.0</v>
      </c>
      <c r="E337" s="46">
        <v>16.0</v>
      </c>
      <c r="F337" s="35"/>
      <c r="G337" s="35"/>
    </row>
    <row r="338">
      <c r="A338" s="39" t="s">
        <v>68</v>
      </c>
      <c r="B338" s="76" t="s">
        <v>3822</v>
      </c>
      <c r="C338" s="35" t="s">
        <v>4648</v>
      </c>
      <c r="D338" s="46">
        <v>246.0</v>
      </c>
      <c r="E338" s="46">
        <v>17.0</v>
      </c>
      <c r="F338" s="35"/>
      <c r="G338" s="35"/>
    </row>
    <row r="339">
      <c r="A339" s="39" t="s">
        <v>68</v>
      </c>
      <c r="B339" s="76" t="s">
        <v>3824</v>
      </c>
      <c r="C339" s="35" t="s">
        <v>4649</v>
      </c>
      <c r="D339" s="46">
        <v>246.0</v>
      </c>
      <c r="E339" s="46">
        <v>18.0</v>
      </c>
      <c r="F339" s="35"/>
      <c r="G339" s="35"/>
    </row>
    <row r="340">
      <c r="A340" s="39" t="s">
        <v>68</v>
      </c>
      <c r="B340" s="76" t="s">
        <v>3826</v>
      </c>
      <c r="C340" s="35" t="s">
        <v>4650</v>
      </c>
      <c r="D340" s="46">
        <v>246.0</v>
      </c>
      <c r="E340" s="46">
        <v>19.0</v>
      </c>
      <c r="F340" s="35"/>
      <c r="G340" s="35"/>
    </row>
    <row r="341">
      <c r="A341" s="39" t="s">
        <v>68</v>
      </c>
      <c r="B341" s="76" t="s">
        <v>3828</v>
      </c>
      <c r="C341" s="35" t="s">
        <v>4651</v>
      </c>
      <c r="D341" s="46">
        <v>246.0</v>
      </c>
      <c r="E341" s="46">
        <v>20.0</v>
      </c>
      <c r="F341" s="35"/>
      <c r="G341" s="35"/>
    </row>
    <row r="342">
      <c r="A342" s="38" t="s">
        <v>3834</v>
      </c>
      <c r="B342" s="38" t="s">
        <v>3902</v>
      </c>
      <c r="C342" s="35"/>
      <c r="D342" s="46">
        <v>246.0</v>
      </c>
      <c r="E342" s="46">
        <v>21.0</v>
      </c>
      <c r="F342" s="38" t="s">
        <v>4652</v>
      </c>
      <c r="G342" s="35"/>
    </row>
    <row r="343">
      <c r="A343" s="38" t="s">
        <v>3834</v>
      </c>
      <c r="B343" s="38" t="s">
        <v>3428</v>
      </c>
      <c r="C343" s="35" t="s">
        <v>4653</v>
      </c>
      <c r="D343" s="46">
        <v>246.0</v>
      </c>
      <c r="E343" s="46">
        <v>22.0</v>
      </c>
      <c r="F343" s="38" t="s">
        <v>4654</v>
      </c>
      <c r="G343" s="35"/>
    </row>
    <row r="344">
      <c r="A344" s="38" t="s">
        <v>3834</v>
      </c>
      <c r="B344" s="38" t="s">
        <v>3431</v>
      </c>
      <c r="C344" s="38" t="s">
        <v>4655</v>
      </c>
      <c r="D344" s="46">
        <v>246.0</v>
      </c>
      <c r="E344" s="46">
        <v>23.0</v>
      </c>
      <c r="F344" s="38" t="s">
        <v>4654</v>
      </c>
      <c r="G344" s="35"/>
    </row>
    <row r="345">
      <c r="A345" s="38" t="s">
        <v>3834</v>
      </c>
      <c r="B345" s="38" t="s">
        <v>3433</v>
      </c>
      <c r="C345" s="38" t="s">
        <v>4656</v>
      </c>
      <c r="D345" s="46">
        <v>246.0</v>
      </c>
      <c r="E345" s="46">
        <v>24.0</v>
      </c>
      <c r="F345" s="38" t="s">
        <v>4654</v>
      </c>
      <c r="G345" s="35"/>
    </row>
    <row r="346">
      <c r="A346" s="38" t="s">
        <v>3834</v>
      </c>
      <c r="B346" s="38" t="s">
        <v>3435</v>
      </c>
      <c r="C346" s="35" t="s">
        <v>4657</v>
      </c>
      <c r="D346" s="46">
        <v>246.0</v>
      </c>
      <c r="E346" s="46">
        <v>25.0</v>
      </c>
      <c r="F346" s="38" t="s">
        <v>4654</v>
      </c>
      <c r="G346" s="35"/>
    </row>
    <row r="347">
      <c r="A347" s="38" t="s">
        <v>3834</v>
      </c>
      <c r="B347" s="38" t="s">
        <v>3437</v>
      </c>
      <c r="C347" s="35" t="s">
        <v>4658</v>
      </c>
      <c r="D347" s="46">
        <v>246.0</v>
      </c>
      <c r="E347" s="46">
        <v>26.0</v>
      </c>
      <c r="F347" s="38" t="s">
        <v>4654</v>
      </c>
      <c r="G347" s="35"/>
    </row>
    <row r="348">
      <c r="A348" s="38" t="s">
        <v>3501</v>
      </c>
      <c r="B348" s="38" t="s">
        <v>4659</v>
      </c>
      <c r="C348" s="35" t="s">
        <v>4660</v>
      </c>
      <c r="D348" s="46">
        <v>246.0</v>
      </c>
      <c r="E348" s="46">
        <v>27.0</v>
      </c>
      <c r="F348" s="86" t="s">
        <v>4661</v>
      </c>
      <c r="G348" s="35"/>
    </row>
    <row r="349">
      <c r="A349" s="38" t="s">
        <v>3501</v>
      </c>
      <c r="B349" s="38" t="s">
        <v>4659</v>
      </c>
      <c r="C349" s="35" t="s">
        <v>4662</v>
      </c>
      <c r="D349" s="46">
        <v>246.0</v>
      </c>
      <c r="E349" s="46">
        <v>28.0</v>
      </c>
      <c r="F349" s="86" t="s">
        <v>4663</v>
      </c>
      <c r="G349" s="35"/>
    </row>
    <row r="350">
      <c r="A350" s="38" t="s">
        <v>3501</v>
      </c>
      <c r="B350" s="38" t="s">
        <v>4664</v>
      </c>
      <c r="C350" s="4" t="s">
        <v>4665</v>
      </c>
      <c r="D350" s="46">
        <v>246.0</v>
      </c>
      <c r="E350" s="46">
        <v>29.0</v>
      </c>
      <c r="F350" s="86" t="s">
        <v>4666</v>
      </c>
      <c r="G350" s="35"/>
    </row>
    <row r="351">
      <c r="A351" s="38" t="s">
        <v>3501</v>
      </c>
      <c r="B351" s="38" t="s">
        <v>4664</v>
      </c>
      <c r="C351" s="4" t="s">
        <v>4667</v>
      </c>
      <c r="D351" s="46">
        <v>246.0</v>
      </c>
      <c r="E351" s="46">
        <v>30.0</v>
      </c>
      <c r="F351" s="86" t="s">
        <v>4668</v>
      </c>
      <c r="G351" s="35"/>
    </row>
    <row r="352">
      <c r="A352" s="38" t="s">
        <v>3501</v>
      </c>
      <c r="B352" s="88" t="s">
        <v>4669</v>
      </c>
      <c r="C352" s="38" t="s">
        <v>4670</v>
      </c>
      <c r="D352" s="46">
        <v>246.0</v>
      </c>
      <c r="E352" s="46">
        <v>31.0</v>
      </c>
      <c r="F352" s="38" t="s">
        <v>4671</v>
      </c>
      <c r="G352" s="35"/>
    </row>
    <row r="353">
      <c r="A353" s="38" t="s">
        <v>3501</v>
      </c>
      <c r="B353" s="88" t="s">
        <v>4669</v>
      </c>
      <c r="C353" s="38" t="s">
        <v>4672</v>
      </c>
      <c r="D353" s="46">
        <v>246.0</v>
      </c>
      <c r="E353" s="46">
        <v>32.0</v>
      </c>
      <c r="F353" s="38" t="s">
        <v>4673</v>
      </c>
      <c r="G353" s="35"/>
    </row>
    <row r="354">
      <c r="A354" s="38" t="s">
        <v>3501</v>
      </c>
      <c r="B354" s="88" t="s">
        <v>4674</v>
      </c>
      <c r="C354" s="35" t="s">
        <v>4675</v>
      </c>
      <c r="D354" s="46">
        <v>246.0</v>
      </c>
      <c r="E354" s="46">
        <v>33.0</v>
      </c>
      <c r="F354" s="38" t="s">
        <v>4676</v>
      </c>
      <c r="G354" s="35"/>
    </row>
    <row r="355">
      <c r="A355" s="38" t="s">
        <v>3501</v>
      </c>
      <c r="B355" s="88" t="s">
        <v>4674</v>
      </c>
      <c r="C355" s="35" t="s">
        <v>4677</v>
      </c>
      <c r="D355" s="46">
        <v>246.0</v>
      </c>
      <c r="E355" s="46">
        <v>34.0</v>
      </c>
      <c r="F355" s="38" t="s">
        <v>4678</v>
      </c>
      <c r="G355" s="35"/>
    </row>
    <row r="356">
      <c r="A356" s="38" t="s">
        <v>3501</v>
      </c>
      <c r="B356" s="77" t="s">
        <v>4679</v>
      </c>
      <c r="C356" s="35" t="s">
        <v>4680</v>
      </c>
      <c r="D356" s="46">
        <v>246.0</v>
      </c>
      <c r="E356" s="46">
        <v>35.0</v>
      </c>
      <c r="F356" s="86" t="s">
        <v>4681</v>
      </c>
      <c r="G356" s="35"/>
    </row>
    <row r="357">
      <c r="A357" s="38" t="s">
        <v>3501</v>
      </c>
      <c r="B357" s="77" t="s">
        <v>4679</v>
      </c>
      <c r="C357" s="35" t="s">
        <v>4682</v>
      </c>
      <c r="D357" s="46">
        <v>246.0</v>
      </c>
      <c r="E357" s="46">
        <v>36.0</v>
      </c>
      <c r="F357" s="86" t="s">
        <v>4683</v>
      </c>
      <c r="G357" s="35"/>
    </row>
    <row r="358">
      <c r="A358" s="38" t="s">
        <v>3501</v>
      </c>
      <c r="B358" s="88" t="s">
        <v>4684</v>
      </c>
      <c r="C358" s="35" t="s">
        <v>4685</v>
      </c>
      <c r="D358" s="46">
        <v>246.0</v>
      </c>
      <c r="E358" s="46">
        <v>37.0</v>
      </c>
      <c r="F358" s="38" t="s">
        <v>4686</v>
      </c>
      <c r="G358" s="35"/>
    </row>
    <row r="359">
      <c r="A359" s="38" t="s">
        <v>3501</v>
      </c>
      <c r="B359" s="88" t="s">
        <v>4684</v>
      </c>
      <c r="C359" s="35" t="s">
        <v>4687</v>
      </c>
      <c r="D359" s="46">
        <v>246.0</v>
      </c>
      <c r="E359" s="46">
        <v>38.0</v>
      </c>
      <c r="F359" s="38" t="s">
        <v>4688</v>
      </c>
      <c r="G359" s="35"/>
    </row>
    <row r="360">
      <c r="A360" s="38" t="s">
        <v>3501</v>
      </c>
      <c r="B360" s="77" t="s">
        <v>4689</v>
      </c>
      <c r="C360" s="35" t="s">
        <v>4690</v>
      </c>
      <c r="D360" s="46">
        <v>246.0</v>
      </c>
      <c r="E360" s="46">
        <v>39.0</v>
      </c>
      <c r="F360" s="38" t="s">
        <v>4691</v>
      </c>
      <c r="G360" s="35"/>
    </row>
    <row r="361">
      <c r="A361" s="38" t="s">
        <v>3501</v>
      </c>
      <c r="B361" s="77" t="s">
        <v>4689</v>
      </c>
      <c r="C361" s="35" t="s">
        <v>4692</v>
      </c>
      <c r="D361" s="46">
        <v>246.0</v>
      </c>
      <c r="E361" s="46">
        <v>40.0</v>
      </c>
      <c r="F361" s="38" t="s">
        <v>4693</v>
      </c>
      <c r="G361" s="35"/>
    </row>
    <row r="362">
      <c r="A362" s="38" t="s">
        <v>3501</v>
      </c>
      <c r="B362" s="88" t="s">
        <v>4694</v>
      </c>
      <c r="C362" s="4" t="s">
        <v>4695</v>
      </c>
      <c r="D362" s="46">
        <v>246.0</v>
      </c>
      <c r="E362" s="46">
        <v>41.0</v>
      </c>
      <c r="F362" s="86" t="s">
        <v>4696</v>
      </c>
      <c r="G362" s="35"/>
    </row>
    <row r="363">
      <c r="A363" s="38" t="s">
        <v>3501</v>
      </c>
      <c r="B363" s="88" t="s">
        <v>4694</v>
      </c>
      <c r="C363" s="4" t="s">
        <v>4697</v>
      </c>
      <c r="D363" s="46">
        <v>246.0</v>
      </c>
      <c r="E363" s="46">
        <v>42.0</v>
      </c>
      <c r="F363" s="86" t="s">
        <v>4698</v>
      </c>
      <c r="G363" s="35"/>
    </row>
    <row r="364">
      <c r="A364" s="38" t="s">
        <v>3501</v>
      </c>
      <c r="B364" s="77" t="s">
        <v>4699</v>
      </c>
      <c r="C364" s="4" t="s">
        <v>4700</v>
      </c>
      <c r="D364" s="46">
        <v>246.0</v>
      </c>
      <c r="E364" s="46">
        <v>43.0</v>
      </c>
      <c r="F364" s="38" t="s">
        <v>4701</v>
      </c>
      <c r="G364" s="35"/>
    </row>
    <row r="365">
      <c r="A365" s="38" t="s">
        <v>3501</v>
      </c>
      <c r="B365" s="77" t="s">
        <v>4699</v>
      </c>
      <c r="C365" s="4" t="s">
        <v>4702</v>
      </c>
      <c r="D365" s="46">
        <v>246.0</v>
      </c>
      <c r="E365" s="46">
        <v>44.0</v>
      </c>
      <c r="F365" s="38" t="s">
        <v>4703</v>
      </c>
      <c r="G365" s="35"/>
    </row>
    <row r="366">
      <c r="A366" s="38" t="s">
        <v>3501</v>
      </c>
      <c r="B366" s="77" t="s">
        <v>4704</v>
      </c>
      <c r="C366" s="35" t="s">
        <v>4705</v>
      </c>
      <c r="D366" s="46">
        <v>246.0</v>
      </c>
      <c r="E366" s="46">
        <v>45.0</v>
      </c>
      <c r="F366" s="38" t="s">
        <v>4706</v>
      </c>
      <c r="G366" s="35"/>
    </row>
    <row r="367">
      <c r="A367" s="38" t="s">
        <v>3501</v>
      </c>
      <c r="B367" s="77" t="s">
        <v>4704</v>
      </c>
      <c r="C367" s="35" t="s">
        <v>4707</v>
      </c>
      <c r="D367" s="46">
        <v>246.0</v>
      </c>
      <c r="E367" s="46">
        <v>46.0</v>
      </c>
      <c r="F367" s="38" t="s">
        <v>4708</v>
      </c>
      <c r="G367" s="35"/>
    </row>
    <row r="368">
      <c r="A368" s="38" t="s">
        <v>3501</v>
      </c>
      <c r="B368" s="77" t="s">
        <v>4709</v>
      </c>
      <c r="C368" s="4" t="s">
        <v>4710</v>
      </c>
      <c r="D368" s="46">
        <v>246.0</v>
      </c>
      <c r="E368" s="46">
        <v>47.0</v>
      </c>
      <c r="F368" s="38" t="s">
        <v>4711</v>
      </c>
      <c r="G368" s="35"/>
    </row>
    <row r="369">
      <c r="A369" s="38" t="s">
        <v>3501</v>
      </c>
      <c r="B369" s="77" t="s">
        <v>4709</v>
      </c>
      <c r="C369" s="4" t="s">
        <v>4712</v>
      </c>
      <c r="D369" s="46">
        <v>246.0</v>
      </c>
      <c r="E369" s="46">
        <v>48.0</v>
      </c>
      <c r="F369" s="38" t="s">
        <v>4713</v>
      </c>
      <c r="G369" s="35"/>
    </row>
    <row r="370">
      <c r="A370" s="38" t="s">
        <v>3501</v>
      </c>
      <c r="B370" s="88" t="s">
        <v>4714</v>
      </c>
      <c r="C370" s="35" t="s">
        <v>4715</v>
      </c>
      <c r="D370" s="46">
        <v>246.0</v>
      </c>
      <c r="E370" s="46">
        <v>49.0</v>
      </c>
      <c r="F370" s="86" t="s">
        <v>4716</v>
      </c>
      <c r="G370" s="35"/>
    </row>
    <row r="371">
      <c r="A371" s="38" t="s">
        <v>3501</v>
      </c>
      <c r="B371" s="88" t="s">
        <v>4714</v>
      </c>
      <c r="C371" s="35" t="s">
        <v>4717</v>
      </c>
      <c r="D371" s="46">
        <v>246.0</v>
      </c>
      <c r="E371" s="46">
        <v>50.0</v>
      </c>
      <c r="F371" s="86" t="s">
        <v>4718</v>
      </c>
      <c r="G371" s="35"/>
    </row>
    <row r="372">
      <c r="A372" s="38" t="s">
        <v>3501</v>
      </c>
      <c r="B372" s="88" t="s">
        <v>4719</v>
      </c>
      <c r="C372" s="35" t="s">
        <v>4720</v>
      </c>
      <c r="D372" s="46">
        <v>246.0</v>
      </c>
      <c r="E372" s="46">
        <v>51.0</v>
      </c>
      <c r="F372" s="38" t="s">
        <v>4721</v>
      </c>
      <c r="G372" s="35"/>
    </row>
    <row r="373">
      <c r="A373" s="38" t="s">
        <v>3501</v>
      </c>
      <c r="B373" s="88" t="s">
        <v>4719</v>
      </c>
      <c r="C373" s="76" t="s">
        <v>4722</v>
      </c>
      <c r="D373" s="46">
        <v>246.0</v>
      </c>
      <c r="E373" s="46">
        <v>52.0</v>
      </c>
      <c r="F373" s="38" t="s">
        <v>4723</v>
      </c>
      <c r="G373" s="35"/>
    </row>
    <row r="374">
      <c r="A374" s="38" t="s">
        <v>3501</v>
      </c>
      <c r="B374" s="88" t="s">
        <v>4724</v>
      </c>
      <c r="C374" s="4" t="s">
        <v>4725</v>
      </c>
      <c r="D374" s="46">
        <v>246.0</v>
      </c>
      <c r="E374" s="46">
        <v>53.0</v>
      </c>
      <c r="F374" s="86" t="s">
        <v>4726</v>
      </c>
      <c r="G374" s="35"/>
    </row>
    <row r="375">
      <c r="A375" s="38" t="s">
        <v>3501</v>
      </c>
      <c r="B375" s="88" t="s">
        <v>4724</v>
      </c>
      <c r="C375" s="4" t="s">
        <v>4727</v>
      </c>
      <c r="D375" s="46">
        <v>246.0</v>
      </c>
      <c r="E375" s="46">
        <v>54.0</v>
      </c>
      <c r="F375" s="86" t="s">
        <v>4728</v>
      </c>
      <c r="G375" s="35"/>
    </row>
    <row r="376">
      <c r="A376" s="38" t="s">
        <v>3501</v>
      </c>
      <c r="B376" s="88" t="s">
        <v>4729</v>
      </c>
      <c r="C376" s="4" t="s">
        <v>4730</v>
      </c>
      <c r="D376" s="46">
        <v>246.0</v>
      </c>
      <c r="E376" s="46">
        <v>55.0</v>
      </c>
      <c r="F376" s="86" t="s">
        <v>4731</v>
      </c>
      <c r="G376" s="35"/>
    </row>
    <row r="377">
      <c r="A377" s="38" t="s">
        <v>3501</v>
      </c>
      <c r="B377" s="88" t="s">
        <v>4729</v>
      </c>
      <c r="C377" s="4" t="s">
        <v>4732</v>
      </c>
      <c r="D377" s="46">
        <v>246.0</v>
      </c>
      <c r="E377" s="46">
        <v>56.0</v>
      </c>
      <c r="F377" s="86" t="s">
        <v>4733</v>
      </c>
      <c r="G377" s="35"/>
    </row>
    <row r="378">
      <c r="A378" s="38" t="s">
        <v>3501</v>
      </c>
      <c r="B378" s="88" t="s">
        <v>4734</v>
      </c>
      <c r="C378" s="4" t="s">
        <v>4735</v>
      </c>
      <c r="D378" s="46">
        <v>246.0</v>
      </c>
      <c r="E378" s="46">
        <v>57.0</v>
      </c>
      <c r="F378" s="86" t="s">
        <v>4736</v>
      </c>
      <c r="G378" s="35"/>
    </row>
    <row r="379">
      <c r="A379" s="38" t="s">
        <v>3501</v>
      </c>
      <c r="B379" s="88" t="s">
        <v>4734</v>
      </c>
      <c r="C379" s="4" t="s">
        <v>4737</v>
      </c>
      <c r="D379" s="46">
        <v>246.0</v>
      </c>
      <c r="E379" s="46">
        <v>58.0</v>
      </c>
      <c r="F379" s="86" t="s">
        <v>4738</v>
      </c>
      <c r="G379" s="35"/>
    </row>
    <row r="380">
      <c r="A380" s="39" t="s">
        <v>68</v>
      </c>
      <c r="B380" s="38" t="s">
        <v>3999</v>
      </c>
      <c r="C380" s="35" t="s">
        <v>4739</v>
      </c>
      <c r="D380" s="46">
        <v>246.0</v>
      </c>
      <c r="E380" s="46">
        <v>64.0</v>
      </c>
      <c r="F380" s="35"/>
      <c r="G380" s="35"/>
    </row>
    <row r="381">
      <c r="A381" s="39" t="s">
        <v>68</v>
      </c>
      <c r="B381" s="76" t="s">
        <v>5031</v>
      </c>
      <c r="C381" s="76" t="s">
        <v>5426</v>
      </c>
      <c r="D381" s="97">
        <v>246.0</v>
      </c>
      <c r="E381" s="97">
        <v>65.0</v>
      </c>
    </row>
    <row r="382">
      <c r="A382" s="39" t="s">
        <v>68</v>
      </c>
      <c r="B382" s="39" t="s">
        <v>3791</v>
      </c>
      <c r="C382" s="35" t="s">
        <v>5005</v>
      </c>
      <c r="D382" s="47">
        <v>247.0</v>
      </c>
      <c r="E382" s="47">
        <v>1.0</v>
      </c>
    </row>
    <row r="383">
      <c r="A383" s="39" t="s">
        <v>68</v>
      </c>
      <c r="B383" s="39" t="s">
        <v>3793</v>
      </c>
      <c r="C383" s="35" t="s">
        <v>5006</v>
      </c>
      <c r="D383" s="47">
        <v>247.0</v>
      </c>
      <c r="E383" s="47">
        <v>2.0</v>
      </c>
    </row>
    <row r="384">
      <c r="A384" s="39" t="s">
        <v>68</v>
      </c>
      <c r="B384" s="39" t="s">
        <v>3795</v>
      </c>
      <c r="C384" s="35" t="s">
        <v>5007</v>
      </c>
      <c r="D384" s="47">
        <v>247.0</v>
      </c>
      <c r="E384" s="47">
        <v>3.0</v>
      </c>
    </row>
    <row r="385">
      <c r="A385" s="39" t="s">
        <v>68</v>
      </c>
      <c r="B385" s="39" t="s">
        <v>3797</v>
      </c>
      <c r="C385" s="35" t="s">
        <v>5008</v>
      </c>
      <c r="D385" s="47">
        <v>247.0</v>
      </c>
      <c r="E385" s="47">
        <v>4.0</v>
      </c>
    </row>
    <row r="386">
      <c r="A386" s="39" t="s">
        <v>68</v>
      </c>
      <c r="B386" s="39" t="s">
        <v>3799</v>
      </c>
      <c r="C386" s="35" t="s">
        <v>5009</v>
      </c>
      <c r="D386" s="47">
        <v>247.0</v>
      </c>
      <c r="E386" s="47">
        <v>5.0</v>
      </c>
    </row>
    <row r="387">
      <c r="A387" s="39" t="s">
        <v>68</v>
      </c>
      <c r="B387" s="39" t="s">
        <v>3801</v>
      </c>
      <c r="C387" s="35" t="s">
        <v>5010</v>
      </c>
      <c r="D387" s="47">
        <v>247.0</v>
      </c>
      <c r="E387" s="47">
        <v>6.0</v>
      </c>
    </row>
    <row r="388">
      <c r="A388" s="39" t="s">
        <v>68</v>
      </c>
      <c r="B388" s="39" t="s">
        <v>3803</v>
      </c>
      <c r="C388" s="35" t="s">
        <v>5011</v>
      </c>
      <c r="D388" s="47">
        <v>247.0</v>
      </c>
      <c r="E388" s="47">
        <v>7.0</v>
      </c>
    </row>
    <row r="389">
      <c r="A389" s="39" t="s">
        <v>68</v>
      </c>
      <c r="B389" s="39" t="s">
        <v>160</v>
      </c>
      <c r="C389" s="35" t="s">
        <v>5012</v>
      </c>
      <c r="D389" s="47">
        <v>247.0</v>
      </c>
      <c r="E389" s="47">
        <v>8.0</v>
      </c>
    </row>
    <row r="390">
      <c r="A390" s="39" t="s">
        <v>68</v>
      </c>
      <c r="B390" s="39" t="s">
        <v>3806</v>
      </c>
      <c r="C390" s="35" t="s">
        <v>5013</v>
      </c>
      <c r="D390" s="47">
        <v>247.0</v>
      </c>
      <c r="E390" s="47">
        <v>9.0</v>
      </c>
    </row>
    <row r="391">
      <c r="A391" s="39" t="s">
        <v>68</v>
      </c>
      <c r="B391" s="39" t="s">
        <v>5014</v>
      </c>
      <c r="C391" s="35" t="s">
        <v>5015</v>
      </c>
      <c r="D391" s="47">
        <v>247.0</v>
      </c>
      <c r="E391" s="47">
        <v>10.0</v>
      </c>
    </row>
    <row r="392">
      <c r="A392" s="39" t="s">
        <v>68</v>
      </c>
      <c r="B392" s="39" t="s">
        <v>3810</v>
      </c>
      <c r="C392" s="35" t="s">
        <v>5016</v>
      </c>
      <c r="D392" s="47">
        <v>247.0</v>
      </c>
      <c r="E392" s="47">
        <v>11.0</v>
      </c>
    </row>
    <row r="393">
      <c r="A393" s="39" t="s">
        <v>68</v>
      </c>
      <c r="B393" s="39" t="s">
        <v>5017</v>
      </c>
      <c r="C393" s="35" t="s">
        <v>5018</v>
      </c>
      <c r="D393" s="47">
        <v>247.0</v>
      </c>
      <c r="E393" s="47">
        <v>12.0</v>
      </c>
    </row>
    <row r="394">
      <c r="A394" s="39" t="s">
        <v>68</v>
      </c>
      <c r="B394" s="39" t="s">
        <v>5019</v>
      </c>
      <c r="C394" s="35" t="s">
        <v>5020</v>
      </c>
      <c r="D394" s="47">
        <v>247.0</v>
      </c>
      <c r="E394" s="47">
        <v>13.0</v>
      </c>
    </row>
    <row r="395">
      <c r="A395" s="39" t="s">
        <v>68</v>
      </c>
      <c r="B395" s="39" t="s">
        <v>3816</v>
      </c>
      <c r="C395" s="35" t="s">
        <v>5021</v>
      </c>
      <c r="D395" s="47">
        <v>247.0</v>
      </c>
      <c r="E395" s="47">
        <v>14.0</v>
      </c>
    </row>
    <row r="396">
      <c r="A396" s="39" t="s">
        <v>68</v>
      </c>
      <c r="B396" s="39" t="s">
        <v>3818</v>
      </c>
      <c r="C396" s="35" t="s">
        <v>5022</v>
      </c>
      <c r="D396" s="47">
        <v>247.0</v>
      </c>
      <c r="E396" s="47">
        <v>15.0</v>
      </c>
    </row>
    <row r="397">
      <c r="A397" s="39" t="s">
        <v>68</v>
      </c>
      <c r="B397" s="39" t="s">
        <v>3820</v>
      </c>
      <c r="C397" s="35" t="s">
        <v>5023</v>
      </c>
      <c r="D397" s="47">
        <v>247.0</v>
      </c>
      <c r="E397" s="47">
        <v>16.0</v>
      </c>
    </row>
    <row r="398">
      <c r="A398" s="39" t="s">
        <v>68</v>
      </c>
      <c r="B398" s="39" t="s">
        <v>3822</v>
      </c>
      <c r="C398" s="35" t="s">
        <v>5024</v>
      </c>
      <c r="D398" s="47">
        <v>247.0</v>
      </c>
      <c r="E398" s="47">
        <v>17.0</v>
      </c>
    </row>
    <row r="399">
      <c r="A399" s="39" t="s">
        <v>68</v>
      </c>
      <c r="B399" s="39" t="s">
        <v>3824</v>
      </c>
      <c r="C399" s="35" t="s">
        <v>5025</v>
      </c>
      <c r="D399" s="47">
        <v>247.0</v>
      </c>
      <c r="E399" s="47">
        <v>18.0</v>
      </c>
    </row>
    <row r="400">
      <c r="A400" s="39" t="s">
        <v>68</v>
      </c>
      <c r="B400" s="39" t="s">
        <v>5026</v>
      </c>
      <c r="C400" s="35" t="s">
        <v>5027</v>
      </c>
      <c r="D400" s="47">
        <v>247.0</v>
      </c>
      <c r="E400" s="47">
        <v>19.0</v>
      </c>
    </row>
    <row r="401">
      <c r="A401" s="39" t="s">
        <v>68</v>
      </c>
      <c r="B401" s="39" t="s">
        <v>5028</v>
      </c>
      <c r="C401" s="35" t="s">
        <v>5029</v>
      </c>
      <c r="D401" s="47">
        <v>247.0</v>
      </c>
      <c r="E401" s="47">
        <v>20.0</v>
      </c>
    </row>
    <row r="402">
      <c r="A402" s="39" t="s">
        <v>792</v>
      </c>
      <c r="B402" s="39" t="s">
        <v>5033</v>
      </c>
      <c r="C402" s="39" t="s">
        <v>5034</v>
      </c>
      <c r="D402" s="47">
        <v>247.0</v>
      </c>
      <c r="E402" s="47">
        <v>21.0</v>
      </c>
      <c r="F402" s="39" t="s">
        <v>5035</v>
      </c>
    </row>
    <row r="403">
      <c r="A403" s="39" t="s">
        <v>792</v>
      </c>
      <c r="B403" s="39" t="s">
        <v>5036</v>
      </c>
      <c r="C403" s="39" t="s">
        <v>5037</v>
      </c>
      <c r="D403" s="47">
        <v>247.0</v>
      </c>
      <c r="E403" s="47">
        <v>22.0</v>
      </c>
      <c r="F403" s="39" t="s">
        <v>5038</v>
      </c>
    </row>
    <row r="404">
      <c r="A404" s="39" t="s">
        <v>792</v>
      </c>
      <c r="B404" s="39" t="s">
        <v>5039</v>
      </c>
      <c r="C404" s="39" t="s">
        <v>5040</v>
      </c>
      <c r="D404" s="47">
        <v>247.0</v>
      </c>
      <c r="E404" s="47">
        <v>23.0</v>
      </c>
      <c r="F404" s="39" t="s">
        <v>5041</v>
      </c>
    </row>
    <row r="405">
      <c r="A405" s="39" t="s">
        <v>792</v>
      </c>
      <c r="B405" s="39" t="s">
        <v>5042</v>
      </c>
      <c r="C405" s="39" t="s">
        <v>5043</v>
      </c>
      <c r="D405" s="47">
        <v>247.0</v>
      </c>
      <c r="E405" s="47">
        <v>24.0</v>
      </c>
      <c r="F405" s="39" t="s">
        <v>5044</v>
      </c>
    </row>
    <row r="406">
      <c r="A406" s="39" t="s">
        <v>792</v>
      </c>
      <c r="B406" s="39" t="s">
        <v>5045</v>
      </c>
      <c r="C406" s="39" t="s">
        <v>5046</v>
      </c>
      <c r="D406" s="47">
        <v>247.0</v>
      </c>
      <c r="E406" s="47">
        <v>25.0</v>
      </c>
      <c r="F406" s="39" t="s">
        <v>5047</v>
      </c>
    </row>
    <row r="407">
      <c r="A407" s="39" t="s">
        <v>792</v>
      </c>
      <c r="B407" s="39" t="s">
        <v>5048</v>
      </c>
      <c r="C407" s="39" t="s">
        <v>5049</v>
      </c>
      <c r="D407" s="47">
        <v>247.0</v>
      </c>
      <c r="E407" s="47">
        <v>26.0</v>
      </c>
      <c r="F407" s="39" t="s">
        <v>5050</v>
      </c>
    </row>
    <row r="408">
      <c r="A408" s="39" t="s">
        <v>792</v>
      </c>
      <c r="B408" s="39" t="s">
        <v>5051</v>
      </c>
      <c r="C408" s="39" t="s">
        <v>5052</v>
      </c>
      <c r="D408" s="47">
        <v>247.0</v>
      </c>
      <c r="E408" s="47">
        <v>27.0</v>
      </c>
      <c r="F408" s="39" t="s">
        <v>5053</v>
      </c>
    </row>
    <row r="409">
      <c r="A409" s="39" t="s">
        <v>792</v>
      </c>
      <c r="B409" s="39" t="s">
        <v>5054</v>
      </c>
      <c r="C409" s="39" t="s">
        <v>5055</v>
      </c>
      <c r="D409" s="47">
        <v>247.0</v>
      </c>
      <c r="E409" s="47">
        <v>28.0</v>
      </c>
      <c r="F409" s="39" t="s">
        <v>5056</v>
      </c>
    </row>
    <row r="410">
      <c r="A410" s="39" t="s">
        <v>792</v>
      </c>
      <c r="B410" s="39" t="s">
        <v>5057</v>
      </c>
      <c r="C410" s="39" t="s">
        <v>5058</v>
      </c>
      <c r="D410" s="47">
        <v>247.0</v>
      </c>
      <c r="E410" s="47">
        <v>29.0</v>
      </c>
      <c r="F410" s="39" t="s">
        <v>5059</v>
      </c>
    </row>
    <row r="411">
      <c r="A411" s="39" t="s">
        <v>792</v>
      </c>
      <c r="B411" s="39" t="s">
        <v>5060</v>
      </c>
      <c r="C411" s="39" t="s">
        <v>5061</v>
      </c>
      <c r="D411" s="47">
        <v>247.0</v>
      </c>
      <c r="E411" s="47">
        <v>30.0</v>
      </c>
      <c r="F411" s="39" t="s">
        <v>5062</v>
      </c>
    </row>
    <row r="412">
      <c r="A412" s="39" t="s">
        <v>792</v>
      </c>
      <c r="B412" s="39" t="s">
        <v>5063</v>
      </c>
      <c r="C412" s="39" t="s">
        <v>5064</v>
      </c>
      <c r="D412" s="47">
        <v>247.0</v>
      </c>
      <c r="E412" s="47">
        <v>31.0</v>
      </c>
      <c r="F412" s="39" t="s">
        <v>5065</v>
      </c>
    </row>
    <row r="413">
      <c r="A413" s="39" t="s">
        <v>792</v>
      </c>
      <c r="B413" s="39" t="s">
        <v>4483</v>
      </c>
      <c r="C413" s="39" t="s">
        <v>5066</v>
      </c>
      <c r="D413" s="47">
        <v>247.0</v>
      </c>
      <c r="E413" s="47">
        <v>32.0</v>
      </c>
      <c r="F413" s="39" t="s">
        <v>5067</v>
      </c>
    </row>
    <row r="414">
      <c r="A414" s="39" t="s">
        <v>792</v>
      </c>
      <c r="B414" s="39" t="s">
        <v>5068</v>
      </c>
      <c r="C414" s="39" t="s">
        <v>5069</v>
      </c>
      <c r="D414" s="47">
        <v>247.0</v>
      </c>
      <c r="E414" s="47">
        <v>33.0</v>
      </c>
      <c r="F414" s="39" t="s">
        <v>5070</v>
      </c>
    </row>
    <row r="415">
      <c r="A415" s="39" t="s">
        <v>792</v>
      </c>
      <c r="B415" s="39" t="s">
        <v>4474</v>
      </c>
      <c r="C415" s="39" t="s">
        <v>5071</v>
      </c>
      <c r="D415" s="47">
        <v>247.0</v>
      </c>
      <c r="E415" s="47">
        <v>34.0</v>
      </c>
      <c r="F415" s="39" t="s">
        <v>5072</v>
      </c>
    </row>
    <row r="416">
      <c r="A416" s="39" t="s">
        <v>792</v>
      </c>
      <c r="B416" s="39" t="s">
        <v>5073</v>
      </c>
      <c r="C416" s="39" t="s">
        <v>5074</v>
      </c>
      <c r="D416" s="47">
        <v>247.0</v>
      </c>
      <c r="E416" s="47">
        <v>35.0</v>
      </c>
      <c r="F416" s="39" t="s">
        <v>5075</v>
      </c>
    </row>
    <row r="417">
      <c r="A417" s="39" t="s">
        <v>792</v>
      </c>
      <c r="B417" s="39" t="s">
        <v>5076</v>
      </c>
      <c r="C417" s="39" t="s">
        <v>5077</v>
      </c>
      <c r="D417" s="47">
        <v>247.0</v>
      </c>
      <c r="E417" s="47">
        <v>36.0</v>
      </c>
      <c r="F417" s="39" t="s">
        <v>5078</v>
      </c>
    </row>
    <row r="418">
      <c r="A418" s="39" t="s">
        <v>792</v>
      </c>
      <c r="B418" s="39" t="s">
        <v>5079</v>
      </c>
      <c r="C418" s="39" t="s">
        <v>5080</v>
      </c>
      <c r="D418" s="47">
        <v>247.0</v>
      </c>
      <c r="E418" s="47">
        <v>37.0</v>
      </c>
      <c r="F418" s="39" t="s">
        <v>5081</v>
      </c>
    </row>
    <row r="419">
      <c r="A419" s="39" t="s">
        <v>792</v>
      </c>
      <c r="B419" s="39" t="s">
        <v>5082</v>
      </c>
      <c r="C419" s="39" t="s">
        <v>5083</v>
      </c>
      <c r="D419" s="47">
        <v>247.0</v>
      </c>
      <c r="E419" s="47">
        <v>38.0</v>
      </c>
      <c r="F419" s="39" t="s">
        <v>5084</v>
      </c>
    </row>
    <row r="420">
      <c r="A420" s="39" t="s">
        <v>792</v>
      </c>
      <c r="B420" s="39" t="s">
        <v>5085</v>
      </c>
      <c r="C420" s="39" t="s">
        <v>5086</v>
      </c>
      <c r="D420" s="47">
        <v>247.0</v>
      </c>
      <c r="E420" s="47">
        <v>39.0</v>
      </c>
      <c r="F420" s="39" t="s">
        <v>5087</v>
      </c>
    </row>
    <row r="421">
      <c r="A421" s="39" t="s">
        <v>792</v>
      </c>
      <c r="B421" s="39" t="s">
        <v>5088</v>
      </c>
      <c r="C421" s="39" t="s">
        <v>5089</v>
      </c>
      <c r="D421" s="47">
        <v>247.0</v>
      </c>
      <c r="E421" s="47">
        <v>40.0</v>
      </c>
      <c r="F421" s="39" t="s">
        <v>5090</v>
      </c>
    </row>
    <row r="422">
      <c r="A422" s="39" t="s">
        <v>792</v>
      </c>
      <c r="B422" s="39" t="s">
        <v>5091</v>
      </c>
      <c r="C422" s="39" t="s">
        <v>5092</v>
      </c>
      <c r="D422" s="47">
        <v>247.0</v>
      </c>
      <c r="E422" s="47">
        <v>41.0</v>
      </c>
      <c r="F422" s="39" t="s">
        <v>5093</v>
      </c>
    </row>
    <row r="423">
      <c r="A423" s="39" t="s">
        <v>792</v>
      </c>
      <c r="B423" s="39" t="s">
        <v>5094</v>
      </c>
      <c r="C423" s="39" t="s">
        <v>5095</v>
      </c>
      <c r="D423" s="47">
        <v>247.0</v>
      </c>
      <c r="E423" s="47">
        <v>42.0</v>
      </c>
      <c r="F423" s="39" t="s">
        <v>5096</v>
      </c>
    </row>
    <row r="424">
      <c r="A424" s="39" t="s">
        <v>792</v>
      </c>
      <c r="B424" s="39" t="s">
        <v>5097</v>
      </c>
      <c r="C424" s="39" t="s">
        <v>5098</v>
      </c>
      <c r="D424" s="47">
        <v>247.0</v>
      </c>
      <c r="E424" s="47">
        <v>43.0</v>
      </c>
      <c r="F424" s="39" t="s">
        <v>5099</v>
      </c>
    </row>
    <row r="425">
      <c r="A425" s="39" t="s">
        <v>792</v>
      </c>
      <c r="B425" s="39" t="s">
        <v>5100</v>
      </c>
      <c r="C425" s="39" t="s">
        <v>5101</v>
      </c>
      <c r="D425" s="47">
        <v>247.0</v>
      </c>
      <c r="E425" s="47">
        <v>44.0</v>
      </c>
      <c r="F425" s="39" t="s">
        <v>5102</v>
      </c>
    </row>
    <row r="426">
      <c r="A426" s="39" t="s">
        <v>792</v>
      </c>
      <c r="B426" s="39" t="s">
        <v>5103</v>
      </c>
      <c r="C426" s="39" t="s">
        <v>5104</v>
      </c>
      <c r="D426" s="47">
        <v>247.0</v>
      </c>
      <c r="E426" s="47">
        <v>45.0</v>
      </c>
      <c r="F426" s="39" t="s">
        <v>5105</v>
      </c>
    </row>
    <row r="427">
      <c r="A427" s="39" t="s">
        <v>792</v>
      </c>
      <c r="B427" s="39" t="s">
        <v>5106</v>
      </c>
      <c r="C427" s="39" t="s">
        <v>5107</v>
      </c>
      <c r="D427" s="47">
        <v>247.0</v>
      </c>
      <c r="E427" s="47">
        <v>46.0</v>
      </c>
      <c r="F427" s="39" t="s">
        <v>5108</v>
      </c>
    </row>
    <row r="428">
      <c r="A428" s="39" t="s">
        <v>792</v>
      </c>
      <c r="B428" s="39" t="s">
        <v>5109</v>
      </c>
      <c r="C428" s="39" t="s">
        <v>5110</v>
      </c>
      <c r="D428" s="47">
        <v>247.0</v>
      </c>
      <c r="E428" s="47">
        <v>47.0</v>
      </c>
      <c r="F428" s="39" t="s">
        <v>5111</v>
      </c>
    </row>
    <row r="429">
      <c r="A429" s="39" t="s">
        <v>792</v>
      </c>
      <c r="B429" s="39" t="s">
        <v>5112</v>
      </c>
      <c r="C429" s="39" t="s">
        <v>5113</v>
      </c>
      <c r="D429" s="47">
        <v>247.0</v>
      </c>
      <c r="E429" s="47">
        <v>48.0</v>
      </c>
      <c r="F429" s="39" t="s">
        <v>5114</v>
      </c>
    </row>
    <row r="430">
      <c r="A430" s="39" t="s">
        <v>792</v>
      </c>
      <c r="B430" s="39" t="s">
        <v>5115</v>
      </c>
      <c r="C430" s="39" t="s">
        <v>5116</v>
      </c>
      <c r="D430" s="47">
        <v>247.0</v>
      </c>
      <c r="E430" s="47">
        <v>49.0</v>
      </c>
      <c r="F430" s="39" t="s">
        <v>5117</v>
      </c>
    </row>
    <row r="431">
      <c r="A431" s="39" t="s">
        <v>792</v>
      </c>
      <c r="B431" s="39" t="s">
        <v>5118</v>
      </c>
      <c r="C431" s="39" t="s">
        <v>5119</v>
      </c>
      <c r="D431" s="47">
        <v>247.0</v>
      </c>
      <c r="E431" s="47">
        <v>50.0</v>
      </c>
      <c r="F431" s="39" t="s">
        <v>5120</v>
      </c>
    </row>
    <row r="432">
      <c r="A432" s="39" t="s">
        <v>792</v>
      </c>
      <c r="B432" s="39" t="s">
        <v>5121</v>
      </c>
      <c r="C432" s="39" t="s">
        <v>5122</v>
      </c>
      <c r="D432" s="47">
        <v>247.0</v>
      </c>
      <c r="E432" s="47">
        <v>51.0</v>
      </c>
      <c r="F432" s="39" t="s">
        <v>5123</v>
      </c>
    </row>
    <row r="433">
      <c r="A433" s="39" t="s">
        <v>792</v>
      </c>
      <c r="B433" s="39" t="s">
        <v>5124</v>
      </c>
      <c r="C433" s="39" t="s">
        <v>5125</v>
      </c>
      <c r="D433" s="47">
        <v>247.0</v>
      </c>
      <c r="E433" s="47">
        <v>52.0</v>
      </c>
      <c r="F433" s="39" t="s">
        <v>5126</v>
      </c>
    </row>
    <row r="434">
      <c r="A434" s="39" t="s">
        <v>792</v>
      </c>
      <c r="B434" s="39" t="s">
        <v>5127</v>
      </c>
      <c r="C434" s="39" t="s">
        <v>5128</v>
      </c>
      <c r="D434" s="47">
        <v>247.0</v>
      </c>
      <c r="E434" s="47">
        <v>53.0</v>
      </c>
      <c r="F434" s="39" t="s">
        <v>5129</v>
      </c>
    </row>
    <row r="435">
      <c r="A435" s="39" t="s">
        <v>792</v>
      </c>
      <c r="B435" s="39" t="s">
        <v>5130</v>
      </c>
      <c r="C435" s="39" t="s">
        <v>5131</v>
      </c>
      <c r="D435" s="47">
        <v>247.0</v>
      </c>
      <c r="E435" s="47">
        <v>54.0</v>
      </c>
      <c r="F435" s="39" t="s">
        <v>5132</v>
      </c>
    </row>
    <row r="436">
      <c r="A436" s="39" t="s">
        <v>792</v>
      </c>
      <c r="B436" s="39" t="s">
        <v>5133</v>
      </c>
      <c r="C436" s="39" t="s">
        <v>5134</v>
      </c>
      <c r="D436" s="47">
        <v>247.0</v>
      </c>
      <c r="E436" s="47">
        <v>55.0</v>
      </c>
      <c r="F436" s="39" t="s">
        <v>5135</v>
      </c>
    </row>
    <row r="437">
      <c r="A437" s="39" t="s">
        <v>792</v>
      </c>
      <c r="B437" s="39" t="s">
        <v>5136</v>
      </c>
      <c r="C437" s="39" t="s">
        <v>5137</v>
      </c>
      <c r="D437" s="47">
        <v>247.0</v>
      </c>
      <c r="E437" s="47">
        <v>56.0</v>
      </c>
      <c r="F437" s="39" t="s">
        <v>5138</v>
      </c>
    </row>
    <row r="438">
      <c r="A438" s="39" t="s">
        <v>792</v>
      </c>
      <c r="B438" s="39" t="s">
        <v>5139</v>
      </c>
      <c r="C438" s="39" t="s">
        <v>5140</v>
      </c>
      <c r="D438" s="47">
        <v>247.0</v>
      </c>
      <c r="E438" s="47">
        <v>57.0</v>
      </c>
      <c r="F438" s="39" t="s">
        <v>5141</v>
      </c>
    </row>
    <row r="439">
      <c r="A439" s="39" t="s">
        <v>792</v>
      </c>
      <c r="B439" s="39" t="s">
        <v>5142</v>
      </c>
      <c r="C439" s="39" t="s">
        <v>5143</v>
      </c>
      <c r="D439" s="47">
        <v>247.0</v>
      </c>
      <c r="E439" s="47">
        <v>58.0</v>
      </c>
      <c r="F439" s="39" t="s">
        <v>5144</v>
      </c>
    </row>
    <row r="440">
      <c r="A440" s="39" t="s">
        <v>792</v>
      </c>
      <c r="B440" s="39" t="s">
        <v>5145</v>
      </c>
      <c r="C440" s="39" t="s">
        <v>5146</v>
      </c>
      <c r="D440" s="47">
        <v>247.0</v>
      </c>
      <c r="E440" s="47">
        <v>59.0</v>
      </c>
      <c r="F440" s="39" t="s">
        <v>5147</v>
      </c>
    </row>
    <row r="441">
      <c r="A441" s="39" t="s">
        <v>792</v>
      </c>
      <c r="B441" s="39" t="s">
        <v>5148</v>
      </c>
      <c r="C441" s="39" t="s">
        <v>5149</v>
      </c>
      <c r="D441" s="47">
        <v>247.0</v>
      </c>
      <c r="E441" s="47">
        <v>60.0</v>
      </c>
      <c r="F441" s="39" t="s">
        <v>5150</v>
      </c>
    </row>
    <row r="442">
      <c r="A442" s="39" t="s">
        <v>792</v>
      </c>
      <c r="B442" s="39" t="s">
        <v>5151</v>
      </c>
      <c r="C442" s="39" t="s">
        <v>5152</v>
      </c>
      <c r="D442" s="47">
        <v>247.0</v>
      </c>
      <c r="E442" s="47">
        <v>61.0</v>
      </c>
      <c r="F442" s="39" t="s">
        <v>5153</v>
      </c>
    </row>
    <row r="443">
      <c r="A443" s="39" t="s">
        <v>792</v>
      </c>
      <c r="B443" s="39" t="s">
        <v>5154</v>
      </c>
      <c r="C443" s="39" t="s">
        <v>5155</v>
      </c>
      <c r="D443" s="47">
        <v>247.0</v>
      </c>
      <c r="E443" s="47">
        <v>62.0</v>
      </c>
      <c r="F443" s="39" t="s">
        <v>5156</v>
      </c>
    </row>
    <row r="444">
      <c r="A444" s="39" t="s">
        <v>792</v>
      </c>
      <c r="B444" s="39" t="s">
        <v>5157</v>
      </c>
      <c r="C444" s="39" t="s">
        <v>5158</v>
      </c>
      <c r="D444" s="47">
        <v>247.0</v>
      </c>
      <c r="E444" s="47">
        <v>63.0</v>
      </c>
      <c r="F444" s="39" t="s">
        <v>5159</v>
      </c>
    </row>
    <row r="445">
      <c r="A445" s="39" t="s">
        <v>792</v>
      </c>
      <c r="B445" s="39" t="s">
        <v>5160</v>
      </c>
      <c r="C445" s="39" t="s">
        <v>5161</v>
      </c>
      <c r="D445" s="47">
        <v>247.0</v>
      </c>
      <c r="E445" s="47">
        <v>64.0</v>
      </c>
      <c r="F445" s="39" t="s">
        <v>5162</v>
      </c>
    </row>
    <row r="446">
      <c r="A446" s="39" t="s">
        <v>792</v>
      </c>
      <c r="B446" s="39" t="s">
        <v>5163</v>
      </c>
      <c r="C446" s="39" t="s">
        <v>5164</v>
      </c>
      <c r="D446" s="47">
        <v>247.0</v>
      </c>
      <c r="E446" s="47">
        <v>65.0</v>
      </c>
      <c r="F446" s="39" t="s">
        <v>5165</v>
      </c>
    </row>
    <row r="447">
      <c r="A447" s="39" t="s">
        <v>792</v>
      </c>
      <c r="B447" s="39" t="s">
        <v>5166</v>
      </c>
      <c r="C447" s="39" t="s">
        <v>5167</v>
      </c>
      <c r="D447" s="47">
        <v>247.0</v>
      </c>
      <c r="E447" s="47">
        <v>66.0</v>
      </c>
      <c r="F447" s="39" t="s">
        <v>5168</v>
      </c>
    </row>
    <row r="448">
      <c r="A448" s="39" t="s">
        <v>792</v>
      </c>
      <c r="B448" s="39" t="s">
        <v>5169</v>
      </c>
      <c r="C448" s="39" t="s">
        <v>5170</v>
      </c>
      <c r="D448" s="47">
        <v>247.0</v>
      </c>
      <c r="E448" s="47">
        <v>67.0</v>
      </c>
      <c r="F448" s="39" t="s">
        <v>5171</v>
      </c>
    </row>
    <row r="449">
      <c r="A449" s="39" t="s">
        <v>792</v>
      </c>
      <c r="B449" s="39" t="s">
        <v>5172</v>
      </c>
      <c r="C449" s="39" t="s">
        <v>5173</v>
      </c>
      <c r="D449" s="47">
        <v>247.0</v>
      </c>
      <c r="E449" s="47">
        <v>68.0</v>
      </c>
      <c r="F449" s="39" t="s">
        <v>5174</v>
      </c>
    </row>
    <row r="450">
      <c r="A450" s="39" t="s">
        <v>792</v>
      </c>
      <c r="B450" s="39" t="s">
        <v>5175</v>
      </c>
      <c r="C450" s="39" t="s">
        <v>5176</v>
      </c>
      <c r="D450" s="47">
        <v>247.0</v>
      </c>
      <c r="E450" s="47">
        <v>69.0</v>
      </c>
      <c r="F450" s="39" t="s">
        <v>5177</v>
      </c>
    </row>
    <row r="451">
      <c r="A451" s="39" t="s">
        <v>792</v>
      </c>
      <c r="B451" s="39" t="s">
        <v>5178</v>
      </c>
      <c r="C451" s="39" t="s">
        <v>5179</v>
      </c>
      <c r="D451" s="47">
        <v>247.0</v>
      </c>
      <c r="E451" s="47">
        <v>70.0</v>
      </c>
      <c r="F451" s="39" t="s">
        <v>5180</v>
      </c>
    </row>
    <row r="452">
      <c r="A452" s="39" t="s">
        <v>792</v>
      </c>
      <c r="B452" s="39" t="s">
        <v>5181</v>
      </c>
      <c r="C452" s="39" t="s">
        <v>5182</v>
      </c>
      <c r="D452" s="47">
        <v>247.0</v>
      </c>
      <c r="E452" s="47">
        <v>71.0</v>
      </c>
      <c r="F452" s="39" t="s">
        <v>5183</v>
      </c>
    </row>
    <row r="453">
      <c r="A453" s="39" t="s">
        <v>792</v>
      </c>
      <c r="B453" s="39" t="s">
        <v>5184</v>
      </c>
      <c r="C453" s="39" t="s">
        <v>5185</v>
      </c>
      <c r="D453" s="47">
        <v>247.0</v>
      </c>
      <c r="E453" s="47">
        <v>72.0</v>
      </c>
      <c r="F453" s="39" t="s">
        <v>5186</v>
      </c>
    </row>
    <row r="454">
      <c r="A454" s="39" t="s">
        <v>792</v>
      </c>
      <c r="B454" s="39" t="s">
        <v>5187</v>
      </c>
      <c r="C454" s="39" t="s">
        <v>5188</v>
      </c>
      <c r="D454" s="47">
        <v>247.0</v>
      </c>
      <c r="E454" s="47">
        <v>73.0</v>
      </c>
      <c r="F454" s="39" t="s">
        <v>5189</v>
      </c>
    </row>
    <row r="455">
      <c r="A455" s="39" t="s">
        <v>792</v>
      </c>
      <c r="B455" s="39" t="s">
        <v>5190</v>
      </c>
      <c r="C455" s="39" t="s">
        <v>5191</v>
      </c>
      <c r="D455" s="47">
        <v>247.0</v>
      </c>
      <c r="E455" s="47">
        <v>74.0</v>
      </c>
      <c r="F455" s="39" t="s">
        <v>5192</v>
      </c>
    </row>
    <row r="456">
      <c r="A456" s="39" t="s">
        <v>792</v>
      </c>
      <c r="B456" s="39" t="s">
        <v>5193</v>
      </c>
      <c r="C456" s="39" t="s">
        <v>5194</v>
      </c>
      <c r="D456" s="47">
        <v>247.0</v>
      </c>
      <c r="E456" s="47">
        <v>75.0</v>
      </c>
      <c r="F456" s="39" t="s">
        <v>5195</v>
      </c>
    </row>
    <row r="457">
      <c r="A457" s="39" t="s">
        <v>5196</v>
      </c>
      <c r="B457" s="39" t="s">
        <v>133</v>
      </c>
      <c r="C457" s="39" t="s">
        <v>5197</v>
      </c>
      <c r="D457" s="47">
        <v>247.0</v>
      </c>
      <c r="E457" s="47">
        <v>76.0</v>
      </c>
    </row>
    <row r="458">
      <c r="A458" s="39" t="s">
        <v>5196</v>
      </c>
      <c r="B458" s="39" t="s">
        <v>4522</v>
      </c>
      <c r="C458" s="39" t="s">
        <v>5198</v>
      </c>
      <c r="D458" s="47">
        <v>247.0</v>
      </c>
      <c r="E458" s="47">
        <v>77.0</v>
      </c>
    </row>
    <row r="459">
      <c r="A459" s="39" t="s">
        <v>5196</v>
      </c>
      <c r="B459" s="39" t="s">
        <v>4520</v>
      </c>
      <c r="C459" s="39" t="s">
        <v>5199</v>
      </c>
      <c r="D459" s="47">
        <v>247.0</v>
      </c>
      <c r="E459" s="47">
        <v>78.0</v>
      </c>
    </row>
    <row r="460">
      <c r="A460" s="39" t="s">
        <v>5196</v>
      </c>
      <c r="B460" s="39" t="s">
        <v>4518</v>
      </c>
      <c r="C460" s="39" t="s">
        <v>5200</v>
      </c>
      <c r="D460" s="47">
        <v>247.0</v>
      </c>
      <c r="E460" s="47">
        <v>79.0</v>
      </c>
    </row>
    <row r="461">
      <c r="A461" s="39" t="s">
        <v>5196</v>
      </c>
      <c r="B461" s="39" t="s">
        <v>4515</v>
      </c>
      <c r="C461" s="39" t="s">
        <v>5201</v>
      </c>
      <c r="D461" s="47">
        <v>247.0</v>
      </c>
      <c r="E461" s="47">
        <v>80.0</v>
      </c>
    </row>
    <row r="462">
      <c r="A462" s="39" t="s">
        <v>792</v>
      </c>
      <c r="B462" s="39" t="s">
        <v>5202</v>
      </c>
      <c r="C462" s="39" t="s">
        <v>5203</v>
      </c>
      <c r="D462" s="47">
        <v>247.0</v>
      </c>
      <c r="E462" s="47">
        <v>81.0</v>
      </c>
      <c r="F462" s="39" t="s">
        <v>5204</v>
      </c>
    </row>
    <row r="463">
      <c r="A463" s="39" t="s">
        <v>792</v>
      </c>
      <c r="B463" s="39" t="s">
        <v>5205</v>
      </c>
      <c r="C463" s="39" t="s">
        <v>5206</v>
      </c>
      <c r="D463" s="47">
        <v>247.0</v>
      </c>
      <c r="E463" s="47">
        <v>82.0</v>
      </c>
      <c r="F463" s="39" t="s">
        <v>5207</v>
      </c>
    </row>
    <row r="464">
      <c r="A464" s="39" t="s">
        <v>792</v>
      </c>
      <c r="B464" s="39" t="s">
        <v>5208</v>
      </c>
      <c r="C464" s="39" t="s">
        <v>5209</v>
      </c>
      <c r="D464" s="47">
        <v>247.0</v>
      </c>
      <c r="E464" s="47">
        <v>83.0</v>
      </c>
      <c r="F464" s="39" t="s">
        <v>5210</v>
      </c>
    </row>
    <row r="465">
      <c r="A465" s="39" t="s">
        <v>792</v>
      </c>
      <c r="B465" s="39" t="s">
        <v>5211</v>
      </c>
      <c r="C465" s="4" t="s">
        <v>5212</v>
      </c>
      <c r="D465" s="47">
        <v>247.0</v>
      </c>
      <c r="E465" s="47">
        <v>84.0</v>
      </c>
      <c r="F465" s="39" t="s">
        <v>5213</v>
      </c>
    </row>
    <row r="466">
      <c r="A466" s="39" t="s">
        <v>792</v>
      </c>
      <c r="B466" s="39" t="s">
        <v>5214</v>
      </c>
      <c r="C466" s="4" t="s">
        <v>5215</v>
      </c>
      <c r="D466" s="47">
        <v>247.0</v>
      </c>
      <c r="E466" s="47">
        <v>85.0</v>
      </c>
      <c r="F466" s="39" t="s">
        <v>5216</v>
      </c>
    </row>
    <row r="467">
      <c r="A467" s="39" t="s">
        <v>792</v>
      </c>
      <c r="B467" s="39" t="s">
        <v>5217</v>
      </c>
      <c r="C467" s="4" t="s">
        <v>5218</v>
      </c>
      <c r="D467" s="47">
        <v>247.0</v>
      </c>
      <c r="E467" s="47">
        <v>86.0</v>
      </c>
      <c r="F467" s="39" t="s">
        <v>5219</v>
      </c>
    </row>
    <row r="468">
      <c r="A468" s="39" t="s">
        <v>792</v>
      </c>
      <c r="B468" s="39" t="s">
        <v>5220</v>
      </c>
      <c r="C468" s="4" t="s">
        <v>5221</v>
      </c>
      <c r="D468" s="47">
        <v>247.0</v>
      </c>
      <c r="E468" s="47">
        <v>87.0</v>
      </c>
      <c r="F468" s="39" t="s">
        <v>5222</v>
      </c>
    </row>
    <row r="469">
      <c r="A469" s="39" t="s">
        <v>792</v>
      </c>
      <c r="B469" s="39" t="s">
        <v>5223</v>
      </c>
      <c r="C469" s="4" t="s">
        <v>5224</v>
      </c>
      <c r="D469" s="47">
        <v>247.0</v>
      </c>
      <c r="E469" s="47">
        <v>88.0</v>
      </c>
      <c r="F469" s="39" t="s">
        <v>5225</v>
      </c>
    </row>
    <row r="470">
      <c r="A470" s="39" t="s">
        <v>792</v>
      </c>
      <c r="B470" s="39" t="s">
        <v>5226</v>
      </c>
      <c r="C470" s="4" t="s">
        <v>5227</v>
      </c>
      <c r="D470" s="47">
        <v>247.0</v>
      </c>
      <c r="E470" s="47">
        <v>89.0</v>
      </c>
      <c r="F470" s="39" t="s">
        <v>5228</v>
      </c>
    </row>
    <row r="471">
      <c r="A471" s="39" t="s">
        <v>792</v>
      </c>
      <c r="B471" s="39" t="s">
        <v>5229</v>
      </c>
      <c r="C471" s="4" t="s">
        <v>5230</v>
      </c>
      <c r="D471" s="47">
        <v>247.0</v>
      </c>
      <c r="E471" s="47">
        <v>90.0</v>
      </c>
      <c r="F471" s="39" t="s">
        <v>5231</v>
      </c>
    </row>
    <row r="472">
      <c r="A472" s="39" t="s">
        <v>792</v>
      </c>
      <c r="B472" s="39" t="s">
        <v>4437</v>
      </c>
      <c r="C472" s="4" t="s">
        <v>5232</v>
      </c>
      <c r="D472" s="47">
        <v>247.0</v>
      </c>
      <c r="E472" s="47">
        <v>91.0</v>
      </c>
      <c r="F472" s="39" t="s">
        <v>5233</v>
      </c>
    </row>
    <row r="473">
      <c r="A473" s="39" t="s">
        <v>792</v>
      </c>
      <c r="B473" s="39" t="s">
        <v>5234</v>
      </c>
      <c r="C473" s="4" t="s">
        <v>5235</v>
      </c>
      <c r="D473" s="47">
        <v>247.0</v>
      </c>
      <c r="E473" s="47">
        <v>92.0</v>
      </c>
      <c r="F473" s="39" t="s">
        <v>5236</v>
      </c>
    </row>
    <row r="474">
      <c r="A474" s="39" t="s">
        <v>792</v>
      </c>
      <c r="B474" s="39" t="s">
        <v>5237</v>
      </c>
      <c r="C474" s="4" t="s">
        <v>5238</v>
      </c>
      <c r="D474" s="47">
        <v>247.0</v>
      </c>
      <c r="E474" s="47">
        <v>93.0</v>
      </c>
      <c r="F474" s="39" t="s">
        <v>5239</v>
      </c>
    </row>
    <row r="475">
      <c r="A475" s="39" t="s">
        <v>792</v>
      </c>
      <c r="B475" s="39" t="s">
        <v>5240</v>
      </c>
      <c r="C475" s="4" t="s">
        <v>5241</v>
      </c>
      <c r="D475" s="47">
        <v>247.0</v>
      </c>
      <c r="E475" s="47">
        <v>94.0</v>
      </c>
      <c r="F475" s="39" t="s">
        <v>5242</v>
      </c>
    </row>
    <row r="476">
      <c r="A476" s="39" t="s">
        <v>792</v>
      </c>
      <c r="B476" s="39" t="s">
        <v>5243</v>
      </c>
      <c r="C476" s="4" t="s">
        <v>5244</v>
      </c>
      <c r="D476" s="47">
        <v>247.0</v>
      </c>
      <c r="E476" s="47">
        <v>95.0</v>
      </c>
      <c r="F476" s="39" t="s">
        <v>5245</v>
      </c>
    </row>
    <row r="477">
      <c r="A477" s="39" t="s">
        <v>792</v>
      </c>
      <c r="B477" s="39" t="s">
        <v>5246</v>
      </c>
      <c r="C477" s="4" t="s">
        <v>5247</v>
      </c>
      <c r="D477" s="47">
        <v>247.0</v>
      </c>
      <c r="E477" s="47">
        <v>96.0</v>
      </c>
      <c r="F477" s="39" t="s">
        <v>5248</v>
      </c>
    </row>
    <row r="478">
      <c r="A478" s="39" t="s">
        <v>792</v>
      </c>
      <c r="B478" s="39" t="s">
        <v>5249</v>
      </c>
      <c r="C478" s="4" t="s">
        <v>5250</v>
      </c>
      <c r="D478" s="47">
        <v>247.0</v>
      </c>
      <c r="E478" s="47">
        <v>97.0</v>
      </c>
      <c r="F478" s="39" t="s">
        <v>5251</v>
      </c>
    </row>
    <row r="479">
      <c r="A479" s="39" t="s">
        <v>4514</v>
      </c>
      <c r="B479" s="39" t="s">
        <v>4515</v>
      </c>
      <c r="C479" s="39" t="s">
        <v>5252</v>
      </c>
      <c r="D479" s="47">
        <v>247.0</v>
      </c>
      <c r="E479" s="47">
        <v>98.0</v>
      </c>
      <c r="F479" s="39" t="s">
        <v>4517</v>
      </c>
    </row>
    <row r="480">
      <c r="A480" s="39" t="s">
        <v>4514</v>
      </c>
      <c r="B480" s="39" t="s">
        <v>4518</v>
      </c>
      <c r="C480" s="39" t="s">
        <v>5253</v>
      </c>
      <c r="D480" s="47">
        <v>247.0</v>
      </c>
      <c r="E480" s="47">
        <v>99.0</v>
      </c>
      <c r="F480" s="39" t="s">
        <v>4517</v>
      </c>
    </row>
    <row r="481">
      <c r="A481" s="39" t="s">
        <v>4514</v>
      </c>
      <c r="B481" s="39" t="s">
        <v>4520</v>
      </c>
      <c r="C481" s="39" t="s">
        <v>5254</v>
      </c>
      <c r="D481" s="47">
        <v>247.0</v>
      </c>
      <c r="E481" s="47">
        <v>100.0</v>
      </c>
      <c r="F481" s="39" t="s">
        <v>4517</v>
      </c>
    </row>
    <row r="482">
      <c r="A482" s="39" t="s">
        <v>4514</v>
      </c>
      <c r="B482" s="39" t="s">
        <v>4522</v>
      </c>
      <c r="C482" s="39" t="s">
        <v>5255</v>
      </c>
      <c r="D482" s="47">
        <v>247.0</v>
      </c>
      <c r="E482" s="47">
        <v>101.0</v>
      </c>
      <c r="F482" s="39" t="s">
        <v>4517</v>
      </c>
    </row>
    <row r="483">
      <c r="A483" s="39" t="s">
        <v>4514</v>
      </c>
      <c r="B483" s="39" t="s">
        <v>133</v>
      </c>
      <c r="C483" s="39" t="s">
        <v>5256</v>
      </c>
      <c r="D483" s="47">
        <v>247.0</v>
      </c>
      <c r="E483" s="47">
        <v>102.0</v>
      </c>
      <c r="F483" s="39" t="s">
        <v>4517</v>
      </c>
    </row>
    <row r="484">
      <c r="A484" s="39" t="s">
        <v>68</v>
      </c>
      <c r="B484" s="39" t="s">
        <v>3999</v>
      </c>
      <c r="C484" s="35" t="s">
        <v>5030</v>
      </c>
      <c r="D484" s="47">
        <v>247.0</v>
      </c>
      <c r="E484" s="47">
        <v>103.0</v>
      </c>
    </row>
    <row r="485">
      <c r="A485" s="39" t="s">
        <v>792</v>
      </c>
      <c r="B485" s="39" t="s">
        <v>5154</v>
      </c>
      <c r="C485" s="39" t="s">
        <v>5257</v>
      </c>
      <c r="D485" s="47">
        <v>247.0</v>
      </c>
      <c r="E485" s="47">
        <v>104.0</v>
      </c>
      <c r="F485" s="39" t="s">
        <v>5156</v>
      </c>
    </row>
    <row r="486">
      <c r="A486" s="39" t="s">
        <v>792</v>
      </c>
      <c r="B486" s="39" t="s">
        <v>5172</v>
      </c>
      <c r="C486" s="39" t="s">
        <v>5258</v>
      </c>
      <c r="D486" s="47">
        <v>247.0</v>
      </c>
      <c r="E486" s="47">
        <v>105.0</v>
      </c>
      <c r="F486" s="39" t="s">
        <v>5174</v>
      </c>
    </row>
    <row r="487">
      <c r="A487" s="39" t="s">
        <v>792</v>
      </c>
      <c r="B487" s="39" t="s">
        <v>5127</v>
      </c>
      <c r="C487" s="39" t="s">
        <v>5259</v>
      </c>
      <c r="D487" s="47">
        <v>247.0</v>
      </c>
      <c r="E487" s="47">
        <v>106.0</v>
      </c>
      <c r="F487" s="39" t="s">
        <v>5129</v>
      </c>
    </row>
    <row r="488">
      <c r="A488" s="39" t="s">
        <v>792</v>
      </c>
      <c r="B488" s="39" t="s">
        <v>5106</v>
      </c>
      <c r="C488" s="39" t="s">
        <v>5260</v>
      </c>
      <c r="D488" s="47">
        <v>247.0</v>
      </c>
      <c r="E488" s="47">
        <v>107.0</v>
      </c>
      <c r="F488" s="39" t="s">
        <v>5108</v>
      </c>
    </row>
    <row r="489">
      <c r="A489" s="39" t="s">
        <v>792</v>
      </c>
      <c r="B489" s="39" t="s">
        <v>5234</v>
      </c>
      <c r="C489" s="39" t="s">
        <v>5261</v>
      </c>
      <c r="D489" s="47">
        <v>247.0</v>
      </c>
      <c r="E489" s="47">
        <v>108.0</v>
      </c>
      <c r="F489" s="39" t="s">
        <v>5236</v>
      </c>
    </row>
    <row r="490">
      <c r="A490" s="39" t="s">
        <v>792</v>
      </c>
      <c r="B490" s="39" t="s">
        <v>5033</v>
      </c>
      <c r="C490" s="39" t="s">
        <v>5262</v>
      </c>
      <c r="D490" s="47">
        <v>247.0</v>
      </c>
      <c r="E490" s="47">
        <v>109.0</v>
      </c>
      <c r="F490" s="39" t="s">
        <v>5035</v>
      </c>
    </row>
    <row r="491">
      <c r="A491" s="39" t="s">
        <v>792</v>
      </c>
      <c r="B491" s="39" t="s">
        <v>5076</v>
      </c>
      <c r="C491" s="39" t="s">
        <v>5263</v>
      </c>
      <c r="D491" s="47">
        <v>247.0</v>
      </c>
      <c r="E491" s="47">
        <v>110.0</v>
      </c>
      <c r="F491" s="39" t="s">
        <v>5078</v>
      </c>
    </row>
    <row r="492">
      <c r="A492" s="39" t="s">
        <v>792</v>
      </c>
      <c r="B492" s="39" t="s">
        <v>5193</v>
      </c>
      <c r="C492" s="39" t="s">
        <v>5264</v>
      </c>
      <c r="D492" s="47">
        <v>247.0</v>
      </c>
      <c r="E492" s="47">
        <v>111.0</v>
      </c>
      <c r="F492" s="39" t="s">
        <v>5195</v>
      </c>
    </row>
    <row r="493">
      <c r="A493" s="39" t="s">
        <v>792</v>
      </c>
      <c r="B493" s="39" t="s">
        <v>5063</v>
      </c>
      <c r="C493" s="39" t="s">
        <v>5265</v>
      </c>
      <c r="D493" s="47">
        <v>247.0</v>
      </c>
      <c r="E493" s="47">
        <v>112.0</v>
      </c>
      <c r="F493" s="39" t="s">
        <v>5065</v>
      </c>
    </row>
    <row r="494">
      <c r="A494" s="39" t="s">
        <v>792</v>
      </c>
      <c r="B494" s="39" t="s">
        <v>5048</v>
      </c>
      <c r="C494" s="39" t="s">
        <v>5266</v>
      </c>
      <c r="D494" s="47">
        <v>247.0</v>
      </c>
      <c r="E494" s="47">
        <v>113.0</v>
      </c>
      <c r="F494" s="39" t="s">
        <v>5050</v>
      </c>
    </row>
    <row r="495">
      <c r="A495" s="39" t="s">
        <v>792</v>
      </c>
      <c r="B495" s="39" t="s">
        <v>5136</v>
      </c>
      <c r="C495" s="39" t="s">
        <v>5267</v>
      </c>
      <c r="D495" s="47">
        <v>247.0</v>
      </c>
      <c r="E495" s="47">
        <v>114.0</v>
      </c>
      <c r="F495" s="39" t="s">
        <v>5138</v>
      </c>
    </row>
    <row r="496">
      <c r="A496" s="39" t="s">
        <v>792</v>
      </c>
      <c r="B496" s="39" t="s">
        <v>5091</v>
      </c>
      <c r="C496" s="39" t="s">
        <v>5268</v>
      </c>
      <c r="D496" s="47">
        <v>247.0</v>
      </c>
      <c r="E496" s="47">
        <v>115.0</v>
      </c>
      <c r="F496" s="39" t="s">
        <v>5093</v>
      </c>
    </row>
    <row r="497">
      <c r="A497" s="39" t="s">
        <v>792</v>
      </c>
      <c r="B497" s="39" t="s">
        <v>5160</v>
      </c>
      <c r="C497" s="39" t="s">
        <v>5269</v>
      </c>
      <c r="D497" s="47">
        <v>247.0</v>
      </c>
      <c r="E497" s="47">
        <v>116.0</v>
      </c>
      <c r="F497" s="39" t="s">
        <v>5162</v>
      </c>
    </row>
    <row r="498">
      <c r="A498" s="39" t="s">
        <v>792</v>
      </c>
      <c r="B498" s="39" t="s">
        <v>5169</v>
      </c>
      <c r="C498" s="39" t="s">
        <v>5270</v>
      </c>
      <c r="D498" s="47">
        <v>247.0</v>
      </c>
      <c r="E498" s="47">
        <v>117.0</v>
      </c>
      <c r="F498" s="39" t="s">
        <v>5171</v>
      </c>
    </row>
    <row r="499">
      <c r="A499" s="39" t="s">
        <v>792</v>
      </c>
      <c r="B499" s="39" t="s">
        <v>5130</v>
      </c>
      <c r="C499" s="39" t="s">
        <v>5271</v>
      </c>
      <c r="D499" s="47">
        <v>247.0</v>
      </c>
      <c r="E499" s="47">
        <v>118.0</v>
      </c>
      <c r="F499" s="39" t="s">
        <v>5132</v>
      </c>
    </row>
    <row r="500">
      <c r="A500" s="39" t="s">
        <v>792</v>
      </c>
      <c r="B500" s="39" t="s">
        <v>5112</v>
      </c>
      <c r="C500" s="39" t="s">
        <v>5272</v>
      </c>
      <c r="D500" s="47">
        <v>247.0</v>
      </c>
      <c r="E500" s="47">
        <v>119.0</v>
      </c>
      <c r="F500" s="39" t="s">
        <v>5114</v>
      </c>
    </row>
    <row r="501">
      <c r="A501" s="39" t="s">
        <v>792</v>
      </c>
      <c r="B501" s="39" t="s">
        <v>5237</v>
      </c>
      <c r="C501" s="39" t="s">
        <v>5273</v>
      </c>
      <c r="D501" s="47">
        <v>247.0</v>
      </c>
      <c r="E501" s="47">
        <v>120.0</v>
      </c>
      <c r="F501" s="39" t="s">
        <v>5239</v>
      </c>
    </row>
    <row r="502">
      <c r="A502" s="39" t="s">
        <v>792</v>
      </c>
      <c r="B502" s="39" t="s">
        <v>5039</v>
      </c>
      <c r="C502" s="39" t="s">
        <v>5274</v>
      </c>
      <c r="D502" s="47">
        <v>247.0</v>
      </c>
      <c r="E502" s="47">
        <v>121.0</v>
      </c>
      <c r="F502" s="39" t="s">
        <v>5041</v>
      </c>
    </row>
    <row r="503">
      <c r="A503" s="39" t="s">
        <v>792</v>
      </c>
      <c r="B503" s="39" t="s">
        <v>5082</v>
      </c>
      <c r="C503" s="39" t="s">
        <v>5275</v>
      </c>
      <c r="D503" s="47">
        <v>247.0</v>
      </c>
      <c r="E503" s="47">
        <v>122.0</v>
      </c>
      <c r="F503" s="39" t="s">
        <v>5084</v>
      </c>
    </row>
    <row r="504">
      <c r="A504" s="39" t="s">
        <v>792</v>
      </c>
      <c r="B504" s="39" t="s">
        <v>5190</v>
      </c>
      <c r="C504" s="39" t="s">
        <v>5276</v>
      </c>
      <c r="D504" s="47">
        <v>247.0</v>
      </c>
      <c r="E504" s="47">
        <v>123.0</v>
      </c>
      <c r="F504" s="39" t="s">
        <v>5192</v>
      </c>
    </row>
    <row r="505">
      <c r="A505" s="39" t="s">
        <v>792</v>
      </c>
      <c r="B505" s="39" t="s">
        <v>5068</v>
      </c>
      <c r="C505" s="39" t="s">
        <v>5277</v>
      </c>
      <c r="D505" s="47">
        <v>247.0</v>
      </c>
      <c r="E505" s="47">
        <v>124.0</v>
      </c>
      <c r="F505" s="39" t="s">
        <v>5070</v>
      </c>
    </row>
    <row r="506">
      <c r="A506" s="39" t="s">
        <v>792</v>
      </c>
      <c r="B506" s="39" t="s">
        <v>5054</v>
      </c>
      <c r="C506" s="39" t="s">
        <v>5278</v>
      </c>
      <c r="D506" s="47">
        <v>247.0</v>
      </c>
      <c r="E506" s="47">
        <v>125.0</v>
      </c>
      <c r="F506" s="39" t="s">
        <v>5056</v>
      </c>
    </row>
    <row r="507">
      <c r="A507" s="39" t="s">
        <v>792</v>
      </c>
      <c r="B507" s="39" t="s">
        <v>5142</v>
      </c>
      <c r="C507" s="39" t="s">
        <v>5279</v>
      </c>
      <c r="D507" s="47">
        <v>247.0</v>
      </c>
      <c r="E507" s="47">
        <v>126.0</v>
      </c>
      <c r="F507" s="39" t="s">
        <v>5144</v>
      </c>
    </row>
    <row r="508">
      <c r="A508" s="39" t="s">
        <v>792</v>
      </c>
      <c r="B508" s="39" t="s">
        <v>5097</v>
      </c>
      <c r="C508" s="39" t="s">
        <v>5280</v>
      </c>
      <c r="D508" s="47">
        <v>247.0</v>
      </c>
      <c r="E508" s="47">
        <v>127.0</v>
      </c>
      <c r="F508" s="39" t="s">
        <v>5099</v>
      </c>
    </row>
    <row r="509">
      <c r="A509" s="39" t="s">
        <v>792</v>
      </c>
      <c r="B509" s="39" t="s">
        <v>5157</v>
      </c>
      <c r="C509" s="39" t="s">
        <v>5281</v>
      </c>
      <c r="D509" s="47">
        <v>247.0</v>
      </c>
      <c r="E509" s="47">
        <v>128.0</v>
      </c>
      <c r="F509" s="39" t="s">
        <v>5159</v>
      </c>
    </row>
    <row r="510">
      <c r="A510" s="39" t="s">
        <v>792</v>
      </c>
      <c r="B510" s="39" t="s">
        <v>5166</v>
      </c>
      <c r="C510" s="39" t="s">
        <v>5282</v>
      </c>
      <c r="D510" s="47">
        <v>247.0</v>
      </c>
      <c r="E510" s="47">
        <v>129.0</v>
      </c>
      <c r="F510" s="39" t="s">
        <v>5168</v>
      </c>
    </row>
    <row r="511">
      <c r="A511" s="39" t="s">
        <v>792</v>
      </c>
      <c r="B511" s="39" t="s">
        <v>5121</v>
      </c>
      <c r="C511" s="39" t="s">
        <v>5283</v>
      </c>
      <c r="D511" s="47">
        <v>247.0</v>
      </c>
      <c r="E511" s="47">
        <v>130.0</v>
      </c>
      <c r="F511" s="39" t="s">
        <v>5123</v>
      </c>
    </row>
    <row r="512">
      <c r="A512" s="39" t="s">
        <v>792</v>
      </c>
      <c r="B512" s="39" t="s">
        <v>5109</v>
      </c>
      <c r="C512" s="39" t="s">
        <v>5284</v>
      </c>
      <c r="D512" s="47">
        <v>247.0</v>
      </c>
      <c r="E512" s="47">
        <v>131.0</v>
      </c>
      <c r="F512" s="39" t="s">
        <v>5111</v>
      </c>
    </row>
    <row r="513">
      <c r="A513" s="39" t="s">
        <v>792</v>
      </c>
      <c r="B513" s="39" t="s">
        <v>5240</v>
      </c>
      <c r="C513" s="39" t="s">
        <v>5285</v>
      </c>
      <c r="D513" s="47">
        <v>247.0</v>
      </c>
      <c r="E513" s="47">
        <v>132.0</v>
      </c>
      <c r="F513" s="39" t="s">
        <v>5242</v>
      </c>
    </row>
    <row r="514">
      <c r="A514" s="39" t="s">
        <v>792</v>
      </c>
      <c r="B514" s="39" t="s">
        <v>5036</v>
      </c>
      <c r="C514" s="39" t="s">
        <v>5286</v>
      </c>
      <c r="D514" s="47">
        <v>247.0</v>
      </c>
      <c r="E514" s="47">
        <v>133.0</v>
      </c>
      <c r="F514" s="39" t="s">
        <v>5038</v>
      </c>
    </row>
    <row r="515">
      <c r="A515" s="39" t="s">
        <v>792</v>
      </c>
      <c r="B515" s="39" t="s">
        <v>5079</v>
      </c>
      <c r="C515" s="39" t="s">
        <v>5287</v>
      </c>
      <c r="D515" s="47">
        <v>247.0</v>
      </c>
      <c r="E515" s="47">
        <v>134.0</v>
      </c>
      <c r="F515" s="39" t="s">
        <v>5081</v>
      </c>
    </row>
    <row r="516">
      <c r="A516" s="39" t="s">
        <v>792</v>
      </c>
      <c r="B516" s="39" t="s">
        <v>5187</v>
      </c>
      <c r="C516" s="39" t="s">
        <v>5288</v>
      </c>
      <c r="D516" s="47">
        <v>247.0</v>
      </c>
      <c r="E516" s="47">
        <v>135.0</v>
      </c>
      <c r="F516" s="39" t="s">
        <v>5189</v>
      </c>
    </row>
    <row r="517">
      <c r="A517" s="39" t="s">
        <v>792</v>
      </c>
      <c r="B517" s="39" t="s">
        <v>4483</v>
      </c>
      <c r="C517" s="39" t="s">
        <v>5289</v>
      </c>
      <c r="D517" s="47">
        <v>247.0</v>
      </c>
      <c r="E517" s="47">
        <v>136.0</v>
      </c>
      <c r="F517" s="39" t="s">
        <v>5067</v>
      </c>
    </row>
    <row r="518">
      <c r="A518" s="39" t="s">
        <v>792</v>
      </c>
      <c r="B518" s="39" t="s">
        <v>5051</v>
      </c>
      <c r="C518" s="39" t="s">
        <v>5290</v>
      </c>
      <c r="D518" s="47">
        <v>247.0</v>
      </c>
      <c r="E518" s="47">
        <v>137.0</v>
      </c>
      <c r="F518" s="39" t="s">
        <v>5053</v>
      </c>
    </row>
    <row r="519">
      <c r="A519" s="39" t="s">
        <v>792</v>
      </c>
      <c r="B519" s="39" t="s">
        <v>5139</v>
      </c>
      <c r="C519" s="39" t="s">
        <v>5291</v>
      </c>
      <c r="D519" s="47">
        <v>247.0</v>
      </c>
      <c r="E519" s="47">
        <v>138.0</v>
      </c>
      <c r="F519" s="39" t="s">
        <v>5141</v>
      </c>
    </row>
    <row r="520">
      <c r="A520" s="39" t="s">
        <v>792</v>
      </c>
      <c r="B520" s="39" t="s">
        <v>5094</v>
      </c>
      <c r="C520" s="39" t="s">
        <v>5292</v>
      </c>
      <c r="D520" s="47">
        <v>247.0</v>
      </c>
      <c r="E520" s="47">
        <v>139.0</v>
      </c>
      <c r="F520" s="39" t="s">
        <v>5096</v>
      </c>
    </row>
    <row r="521">
      <c r="A521" s="39" t="s">
        <v>792</v>
      </c>
      <c r="B521" s="39" t="s">
        <v>5151</v>
      </c>
      <c r="C521" s="39" t="s">
        <v>5293</v>
      </c>
      <c r="D521" s="47">
        <v>247.0</v>
      </c>
      <c r="E521" s="47">
        <v>140.0</v>
      </c>
      <c r="F521" s="39" t="s">
        <v>5153</v>
      </c>
    </row>
    <row r="522">
      <c r="A522" s="39" t="s">
        <v>792</v>
      </c>
      <c r="B522" s="39" t="s">
        <v>5175</v>
      </c>
      <c r="C522" s="39" t="s">
        <v>5294</v>
      </c>
      <c r="D522" s="47">
        <v>247.0</v>
      </c>
      <c r="E522" s="47">
        <v>141.0</v>
      </c>
      <c r="F522" s="39" t="s">
        <v>5177</v>
      </c>
    </row>
    <row r="523">
      <c r="A523" s="39" t="s">
        <v>792</v>
      </c>
      <c r="B523" s="39" t="s">
        <v>5124</v>
      </c>
      <c r="C523" s="39" t="s">
        <v>5295</v>
      </c>
      <c r="D523" s="47">
        <v>247.0</v>
      </c>
      <c r="E523" s="47">
        <v>142.0</v>
      </c>
      <c r="F523" s="39" t="s">
        <v>5126</v>
      </c>
    </row>
    <row r="524">
      <c r="A524" s="39" t="s">
        <v>792</v>
      </c>
      <c r="B524" s="39" t="s">
        <v>5115</v>
      </c>
      <c r="C524" s="39" t="s">
        <v>5296</v>
      </c>
      <c r="D524" s="47">
        <v>247.0</v>
      </c>
      <c r="E524" s="47">
        <v>143.0</v>
      </c>
      <c r="F524" s="39" t="s">
        <v>5117</v>
      </c>
    </row>
    <row r="525">
      <c r="A525" s="39" t="s">
        <v>792</v>
      </c>
      <c r="B525" s="39" t="s">
        <v>5246</v>
      </c>
      <c r="C525" s="39" t="s">
        <v>5297</v>
      </c>
      <c r="D525" s="47">
        <v>247.0</v>
      </c>
      <c r="E525" s="47">
        <v>144.0</v>
      </c>
      <c r="F525" s="39" t="s">
        <v>5248</v>
      </c>
    </row>
    <row r="526">
      <c r="A526" s="39" t="s">
        <v>792</v>
      </c>
      <c r="B526" s="39" t="s">
        <v>5042</v>
      </c>
      <c r="C526" s="39" t="s">
        <v>5298</v>
      </c>
      <c r="D526" s="47">
        <v>247.0</v>
      </c>
      <c r="E526" s="47">
        <v>145.0</v>
      </c>
      <c r="F526" s="39" t="s">
        <v>5044</v>
      </c>
    </row>
    <row r="527">
      <c r="A527" s="39" t="s">
        <v>792</v>
      </c>
      <c r="B527" s="39" t="s">
        <v>5085</v>
      </c>
      <c r="C527" s="39" t="s">
        <v>5299</v>
      </c>
      <c r="D527" s="47">
        <v>247.0</v>
      </c>
      <c r="E527" s="47">
        <v>146.0</v>
      </c>
      <c r="F527" s="39" t="s">
        <v>5087</v>
      </c>
    </row>
    <row r="528">
      <c r="A528" s="39" t="s">
        <v>792</v>
      </c>
      <c r="B528" s="39" t="s">
        <v>5184</v>
      </c>
      <c r="C528" s="39" t="s">
        <v>5300</v>
      </c>
      <c r="D528" s="47">
        <v>247.0</v>
      </c>
      <c r="E528" s="47">
        <v>147.0</v>
      </c>
      <c r="F528" s="39" t="s">
        <v>5186</v>
      </c>
    </row>
    <row r="529">
      <c r="A529" s="39" t="s">
        <v>792</v>
      </c>
      <c r="B529" s="39" t="s">
        <v>4474</v>
      </c>
      <c r="C529" s="39" t="s">
        <v>5301</v>
      </c>
      <c r="D529" s="47">
        <v>247.0</v>
      </c>
      <c r="E529" s="47">
        <v>148.0</v>
      </c>
      <c r="F529" s="39" t="s">
        <v>5072</v>
      </c>
    </row>
    <row r="530">
      <c r="A530" s="39" t="s">
        <v>792</v>
      </c>
      <c r="B530" s="39" t="s">
        <v>5057</v>
      </c>
      <c r="C530" s="39" t="s">
        <v>5302</v>
      </c>
      <c r="D530" s="47">
        <v>247.0</v>
      </c>
      <c r="E530" s="47">
        <v>149.0</v>
      </c>
      <c r="F530" s="39" t="s">
        <v>5059</v>
      </c>
    </row>
    <row r="531">
      <c r="A531" s="39" t="s">
        <v>792</v>
      </c>
      <c r="B531" s="39" t="s">
        <v>5145</v>
      </c>
      <c r="C531" s="39" t="s">
        <v>5303</v>
      </c>
      <c r="D531" s="47">
        <v>247.0</v>
      </c>
      <c r="E531" s="47">
        <v>150.0</v>
      </c>
      <c r="F531" s="39" t="s">
        <v>5147</v>
      </c>
    </row>
    <row r="532">
      <c r="A532" s="39" t="s">
        <v>792</v>
      </c>
      <c r="B532" s="39" t="s">
        <v>5100</v>
      </c>
      <c r="C532" s="39" t="s">
        <v>5304</v>
      </c>
      <c r="D532" s="47">
        <v>247.0</v>
      </c>
      <c r="E532" s="47">
        <v>151.0</v>
      </c>
      <c r="F532" s="39" t="s">
        <v>5102</v>
      </c>
    </row>
    <row r="533">
      <c r="A533" s="39" t="s">
        <v>792</v>
      </c>
      <c r="B533" s="39" t="s">
        <v>5163</v>
      </c>
      <c r="C533" s="39" t="s">
        <v>5305</v>
      </c>
      <c r="D533" s="47">
        <v>247.0</v>
      </c>
      <c r="E533" s="47">
        <v>152.0</v>
      </c>
      <c r="F533" s="39" t="s">
        <v>5165</v>
      </c>
    </row>
    <row r="534">
      <c r="A534" s="39" t="s">
        <v>792</v>
      </c>
      <c r="B534" s="39" t="s">
        <v>5178</v>
      </c>
      <c r="C534" s="39" t="s">
        <v>5306</v>
      </c>
      <c r="D534" s="47">
        <v>247.0</v>
      </c>
      <c r="E534" s="47">
        <v>153.0</v>
      </c>
      <c r="F534" s="39" t="s">
        <v>5180</v>
      </c>
    </row>
    <row r="535">
      <c r="A535" s="39" t="s">
        <v>792</v>
      </c>
      <c r="B535" s="39" t="s">
        <v>5133</v>
      </c>
      <c r="C535" s="39" t="s">
        <v>5307</v>
      </c>
      <c r="D535" s="47">
        <v>247.0</v>
      </c>
      <c r="E535" s="47">
        <v>154.0</v>
      </c>
      <c r="F535" s="39" t="s">
        <v>5135</v>
      </c>
    </row>
    <row r="536">
      <c r="A536" s="39" t="s">
        <v>792</v>
      </c>
      <c r="B536" s="39" t="s">
        <v>5118</v>
      </c>
      <c r="C536" s="39" t="s">
        <v>5308</v>
      </c>
      <c r="D536" s="47">
        <v>247.0</v>
      </c>
      <c r="E536" s="47">
        <v>155.0</v>
      </c>
      <c r="F536" s="39" t="s">
        <v>5120</v>
      </c>
    </row>
    <row r="537">
      <c r="A537" s="39" t="s">
        <v>792</v>
      </c>
      <c r="B537" s="39" t="s">
        <v>5243</v>
      </c>
      <c r="C537" s="39" t="s">
        <v>5309</v>
      </c>
      <c r="D537" s="47">
        <v>247.0</v>
      </c>
      <c r="E537" s="47">
        <v>156.0</v>
      </c>
      <c r="F537" s="39" t="s">
        <v>5245</v>
      </c>
    </row>
    <row r="538">
      <c r="A538" s="39" t="s">
        <v>792</v>
      </c>
      <c r="B538" s="39" t="s">
        <v>5045</v>
      </c>
      <c r="C538" s="39" t="s">
        <v>5310</v>
      </c>
      <c r="D538" s="47">
        <v>247.0</v>
      </c>
      <c r="E538" s="47">
        <v>157.0</v>
      </c>
      <c r="F538" s="39" t="s">
        <v>5047</v>
      </c>
    </row>
    <row r="539">
      <c r="A539" s="39" t="s">
        <v>792</v>
      </c>
      <c r="B539" s="39" t="s">
        <v>5088</v>
      </c>
      <c r="C539" s="39" t="s">
        <v>5311</v>
      </c>
      <c r="D539" s="47">
        <v>247.0</v>
      </c>
      <c r="E539" s="47">
        <v>158.0</v>
      </c>
      <c r="F539" s="39" t="s">
        <v>5090</v>
      </c>
    </row>
    <row r="540">
      <c r="A540" s="39" t="s">
        <v>792</v>
      </c>
      <c r="B540" s="39" t="s">
        <v>5181</v>
      </c>
      <c r="C540" s="39" t="s">
        <v>5312</v>
      </c>
      <c r="D540" s="47">
        <v>247.0</v>
      </c>
      <c r="E540" s="47">
        <v>159.0</v>
      </c>
      <c r="F540" s="39" t="s">
        <v>5183</v>
      </c>
    </row>
    <row r="541">
      <c r="A541" s="39" t="s">
        <v>792</v>
      </c>
      <c r="B541" s="39" t="s">
        <v>5073</v>
      </c>
      <c r="C541" s="39" t="s">
        <v>5313</v>
      </c>
      <c r="D541" s="47">
        <v>247.0</v>
      </c>
      <c r="E541" s="47">
        <v>160.0</v>
      </c>
      <c r="F541" s="39" t="s">
        <v>5075</v>
      </c>
    </row>
    <row r="542">
      <c r="A542" s="39" t="s">
        <v>792</v>
      </c>
      <c r="B542" s="39" t="s">
        <v>5060</v>
      </c>
      <c r="C542" s="39" t="s">
        <v>5314</v>
      </c>
      <c r="D542" s="47">
        <v>247.0</v>
      </c>
      <c r="E542" s="47">
        <v>161.0</v>
      </c>
      <c r="F542" s="39" t="s">
        <v>5062</v>
      </c>
    </row>
    <row r="543">
      <c r="A543" s="39" t="s">
        <v>792</v>
      </c>
      <c r="B543" s="39" t="s">
        <v>5148</v>
      </c>
      <c r="C543" s="39" t="s">
        <v>5315</v>
      </c>
      <c r="D543" s="47">
        <v>247.0</v>
      </c>
      <c r="E543" s="47">
        <v>162.0</v>
      </c>
      <c r="F543" s="39" t="s">
        <v>5150</v>
      </c>
    </row>
    <row r="544">
      <c r="A544" s="39" t="s">
        <v>792</v>
      </c>
      <c r="B544" s="39" t="s">
        <v>5103</v>
      </c>
      <c r="C544" s="39" t="s">
        <v>5316</v>
      </c>
      <c r="D544" s="47">
        <v>247.0</v>
      </c>
      <c r="E544" s="47">
        <v>163.0</v>
      </c>
      <c r="F544" s="39" t="s">
        <v>5105</v>
      </c>
    </row>
    <row r="545">
      <c r="A545" s="39" t="s">
        <v>792</v>
      </c>
      <c r="B545" s="39" t="s">
        <v>5217</v>
      </c>
      <c r="C545" s="39" t="s">
        <v>5317</v>
      </c>
      <c r="D545" s="47">
        <v>247.0</v>
      </c>
      <c r="E545" s="47">
        <v>164.0</v>
      </c>
      <c r="F545" s="39" t="s">
        <v>5219</v>
      </c>
    </row>
    <row r="546">
      <c r="A546" s="39" t="s">
        <v>792</v>
      </c>
      <c r="B546" s="39" t="s">
        <v>5220</v>
      </c>
      <c r="C546" s="4" t="s">
        <v>5318</v>
      </c>
      <c r="D546" s="47">
        <v>247.0</v>
      </c>
      <c r="E546" s="47">
        <v>165.0</v>
      </c>
      <c r="F546" s="39" t="s">
        <v>5222</v>
      </c>
    </row>
    <row r="547">
      <c r="A547" s="39" t="s">
        <v>792</v>
      </c>
      <c r="B547" s="39" t="s">
        <v>5205</v>
      </c>
      <c r="C547" s="4" t="s">
        <v>5319</v>
      </c>
      <c r="D547" s="47">
        <v>247.0</v>
      </c>
      <c r="E547" s="47">
        <v>166.0</v>
      </c>
      <c r="F547" s="39" t="s">
        <v>5207</v>
      </c>
    </row>
    <row r="548">
      <c r="A548" s="39" t="s">
        <v>792</v>
      </c>
      <c r="B548" s="39" t="s">
        <v>5249</v>
      </c>
      <c r="C548" s="4" t="s">
        <v>5320</v>
      </c>
      <c r="D548" s="47">
        <v>247.0</v>
      </c>
      <c r="E548" s="47">
        <v>167.0</v>
      </c>
      <c r="F548" s="39" t="s">
        <v>5251</v>
      </c>
    </row>
    <row r="549">
      <c r="A549" s="39" t="s">
        <v>792</v>
      </c>
      <c r="B549" s="39" t="s">
        <v>5229</v>
      </c>
      <c r="C549" s="4" t="s">
        <v>5321</v>
      </c>
      <c r="D549" s="47">
        <v>247.0</v>
      </c>
      <c r="E549" s="47">
        <v>168.0</v>
      </c>
      <c r="F549" s="39" t="s">
        <v>5231</v>
      </c>
    </row>
    <row r="550">
      <c r="A550" s="39" t="s">
        <v>792</v>
      </c>
      <c r="B550" s="39" t="s">
        <v>5202</v>
      </c>
      <c r="C550" s="4" t="s">
        <v>5322</v>
      </c>
      <c r="D550" s="47">
        <v>247.0</v>
      </c>
      <c r="E550" s="47">
        <v>169.0</v>
      </c>
      <c r="F550" s="39" t="s">
        <v>5204</v>
      </c>
    </row>
    <row r="551">
      <c r="A551" s="39" t="s">
        <v>792</v>
      </c>
      <c r="B551" s="39" t="s">
        <v>4437</v>
      </c>
      <c r="C551" s="4" t="s">
        <v>5323</v>
      </c>
      <c r="D551" s="47">
        <v>247.0</v>
      </c>
      <c r="E551" s="47">
        <v>170.0</v>
      </c>
      <c r="F551" s="39" t="s">
        <v>5233</v>
      </c>
    </row>
    <row r="552">
      <c r="A552" s="39" t="s">
        <v>792</v>
      </c>
      <c r="B552" s="39" t="s">
        <v>5223</v>
      </c>
      <c r="C552" s="39" t="s">
        <v>5324</v>
      </c>
      <c r="D552" s="47">
        <v>247.0</v>
      </c>
      <c r="E552" s="47">
        <v>171.0</v>
      </c>
      <c r="F552" s="39" t="s">
        <v>5225</v>
      </c>
    </row>
    <row r="553">
      <c r="A553" s="39" t="s">
        <v>792</v>
      </c>
      <c r="B553" s="39" t="s">
        <v>5214</v>
      </c>
      <c r="C553" s="4" t="s">
        <v>5325</v>
      </c>
      <c r="D553" s="47">
        <v>247.0</v>
      </c>
      <c r="E553" s="47">
        <v>172.0</v>
      </c>
      <c r="F553" s="39" t="s">
        <v>5216</v>
      </c>
    </row>
    <row r="554">
      <c r="A554" s="39" t="s">
        <v>792</v>
      </c>
      <c r="B554" s="39" t="s">
        <v>5226</v>
      </c>
      <c r="C554" s="4" t="s">
        <v>5326</v>
      </c>
      <c r="D554" s="47">
        <v>247.0</v>
      </c>
      <c r="E554" s="47">
        <v>173.0</v>
      </c>
      <c r="F554" s="39" t="s">
        <v>5228</v>
      </c>
    </row>
    <row r="555">
      <c r="A555" s="39" t="s">
        <v>792</v>
      </c>
      <c r="B555" s="39" t="s">
        <v>5211</v>
      </c>
      <c r="C555" s="4" t="s">
        <v>5327</v>
      </c>
      <c r="D555" s="47">
        <v>247.0</v>
      </c>
      <c r="E555" s="47">
        <v>174.0</v>
      </c>
      <c r="F555" s="39" t="s">
        <v>5213</v>
      </c>
    </row>
    <row r="556">
      <c r="A556" s="39" t="s">
        <v>792</v>
      </c>
      <c r="B556" s="39" t="s">
        <v>5208</v>
      </c>
      <c r="C556" s="4" t="s">
        <v>5328</v>
      </c>
      <c r="D556" s="47">
        <v>247.0</v>
      </c>
      <c r="E556" s="47">
        <v>175.0</v>
      </c>
      <c r="F556" s="39" t="s">
        <v>5210</v>
      </c>
    </row>
    <row r="557">
      <c r="A557" s="39" t="s">
        <v>792</v>
      </c>
      <c r="B557" s="39" t="s">
        <v>5208</v>
      </c>
      <c r="C557" s="4" t="s">
        <v>5329</v>
      </c>
      <c r="D557" s="47">
        <v>247.0</v>
      </c>
      <c r="E557" s="47">
        <v>176.0</v>
      </c>
      <c r="F557" s="39" t="s">
        <v>5210</v>
      </c>
    </row>
    <row r="558">
      <c r="A558" s="39" t="s">
        <v>792</v>
      </c>
      <c r="B558" s="39" t="s">
        <v>5211</v>
      </c>
      <c r="C558" s="4" t="s">
        <v>5330</v>
      </c>
      <c r="D558" s="47">
        <v>247.0</v>
      </c>
      <c r="E558" s="47">
        <v>177.0</v>
      </c>
      <c r="F558" s="39" t="s">
        <v>5213</v>
      </c>
    </row>
    <row r="559">
      <c r="A559" s="39" t="s">
        <v>792</v>
      </c>
      <c r="B559" s="39" t="s">
        <v>5226</v>
      </c>
      <c r="C559" s="4" t="s">
        <v>5331</v>
      </c>
      <c r="D559" s="47">
        <v>247.0</v>
      </c>
      <c r="E559" s="47">
        <v>178.0</v>
      </c>
      <c r="F559" s="39" t="s">
        <v>5228</v>
      </c>
    </row>
    <row r="560">
      <c r="A560" s="39" t="s">
        <v>792</v>
      </c>
      <c r="B560" s="39" t="s">
        <v>5214</v>
      </c>
      <c r="C560" s="4" t="s">
        <v>5332</v>
      </c>
      <c r="D560" s="47">
        <v>247.0</v>
      </c>
      <c r="E560" s="47">
        <v>179.0</v>
      </c>
      <c r="F560" s="39" t="s">
        <v>5216</v>
      </c>
    </row>
    <row r="561">
      <c r="A561" s="39" t="s">
        <v>792</v>
      </c>
      <c r="B561" s="39" t="s">
        <v>5223</v>
      </c>
      <c r="C561" s="4" t="s">
        <v>5333</v>
      </c>
      <c r="D561" s="47">
        <v>247.0</v>
      </c>
      <c r="E561" s="47">
        <v>180.0</v>
      </c>
      <c r="F561" s="39" t="s">
        <v>5225</v>
      </c>
    </row>
    <row r="562">
      <c r="A562" s="39" t="s">
        <v>792</v>
      </c>
      <c r="B562" s="39" t="s">
        <v>4437</v>
      </c>
      <c r="C562" s="4" t="s">
        <v>5334</v>
      </c>
      <c r="D562" s="47">
        <v>247.0</v>
      </c>
      <c r="E562" s="47">
        <v>181.0</v>
      </c>
      <c r="F562" s="39" t="s">
        <v>5233</v>
      </c>
    </row>
    <row r="563">
      <c r="A563" s="39" t="s">
        <v>792</v>
      </c>
      <c r="B563" s="39" t="s">
        <v>5202</v>
      </c>
      <c r="C563" s="4" t="s">
        <v>5335</v>
      </c>
      <c r="D563" s="47">
        <v>247.0</v>
      </c>
      <c r="E563" s="47">
        <v>182.0</v>
      </c>
      <c r="F563" s="39" t="s">
        <v>5204</v>
      </c>
    </row>
    <row r="564">
      <c r="A564" s="39" t="s">
        <v>792</v>
      </c>
      <c r="B564" s="39" t="s">
        <v>5229</v>
      </c>
      <c r="C564" s="4" t="s">
        <v>5336</v>
      </c>
      <c r="D564" s="47">
        <v>247.0</v>
      </c>
      <c r="E564" s="47">
        <v>183.0</v>
      </c>
      <c r="F564" s="39" t="s">
        <v>5231</v>
      </c>
    </row>
    <row r="565">
      <c r="A565" s="39" t="s">
        <v>792</v>
      </c>
      <c r="B565" s="39" t="s">
        <v>5249</v>
      </c>
      <c r="C565" s="4" t="s">
        <v>5337</v>
      </c>
      <c r="D565" s="47">
        <v>247.0</v>
      </c>
      <c r="E565" s="47">
        <v>184.0</v>
      </c>
      <c r="F565" s="39" t="s">
        <v>5251</v>
      </c>
    </row>
    <row r="566">
      <c r="A566" s="39" t="s">
        <v>792</v>
      </c>
      <c r="B566" s="39" t="s">
        <v>5205</v>
      </c>
      <c r="C566" s="4" t="s">
        <v>5338</v>
      </c>
      <c r="D566" s="47">
        <v>247.0</v>
      </c>
      <c r="E566" s="47">
        <v>185.0</v>
      </c>
      <c r="F566" s="39" t="s">
        <v>5207</v>
      </c>
    </row>
    <row r="567">
      <c r="A567" s="39" t="s">
        <v>792</v>
      </c>
      <c r="B567" s="39" t="s">
        <v>5220</v>
      </c>
      <c r="C567" s="4" t="s">
        <v>5339</v>
      </c>
      <c r="D567" s="47">
        <v>247.0</v>
      </c>
      <c r="E567" s="47">
        <v>186.0</v>
      </c>
      <c r="F567" s="39" t="s">
        <v>5222</v>
      </c>
    </row>
    <row r="568">
      <c r="A568" s="39" t="s">
        <v>792</v>
      </c>
      <c r="B568" s="39" t="s">
        <v>5217</v>
      </c>
      <c r="C568" s="4" t="s">
        <v>5340</v>
      </c>
      <c r="D568" s="47">
        <v>247.0</v>
      </c>
      <c r="E568" s="47">
        <v>187.0</v>
      </c>
      <c r="F568" s="39" t="s">
        <v>5219</v>
      </c>
    </row>
    <row r="569">
      <c r="A569" s="39" t="s">
        <v>792</v>
      </c>
      <c r="B569" s="39" t="s">
        <v>5103</v>
      </c>
      <c r="C569" s="4" t="s">
        <v>5341</v>
      </c>
      <c r="D569" s="47">
        <v>247.0</v>
      </c>
      <c r="E569" s="47">
        <v>188.0</v>
      </c>
      <c r="F569" s="39" t="s">
        <v>5105</v>
      </c>
    </row>
    <row r="570">
      <c r="A570" s="39" t="s">
        <v>792</v>
      </c>
      <c r="B570" s="39" t="s">
        <v>5148</v>
      </c>
      <c r="C570" s="39" t="s">
        <v>5342</v>
      </c>
      <c r="D570" s="47">
        <v>247.0</v>
      </c>
      <c r="E570" s="47">
        <v>189.0</v>
      </c>
      <c r="F570" s="39" t="s">
        <v>5150</v>
      </c>
    </row>
    <row r="571">
      <c r="A571" s="39" t="s">
        <v>792</v>
      </c>
      <c r="B571" s="39" t="s">
        <v>5060</v>
      </c>
      <c r="C571" s="39" t="s">
        <v>5343</v>
      </c>
      <c r="D571" s="47">
        <v>247.0</v>
      </c>
      <c r="E571" s="47">
        <v>190.0</v>
      </c>
      <c r="F571" s="39" t="s">
        <v>5062</v>
      </c>
    </row>
    <row r="572">
      <c r="A572" s="39" t="s">
        <v>792</v>
      </c>
      <c r="B572" s="39" t="s">
        <v>5073</v>
      </c>
      <c r="C572" s="39" t="s">
        <v>5344</v>
      </c>
      <c r="D572" s="47">
        <v>247.0</v>
      </c>
      <c r="E572" s="47">
        <v>191.0</v>
      </c>
      <c r="F572" s="39" t="s">
        <v>5075</v>
      </c>
    </row>
    <row r="573">
      <c r="A573" s="39" t="s">
        <v>792</v>
      </c>
      <c r="B573" s="39" t="s">
        <v>5181</v>
      </c>
      <c r="C573" s="39" t="s">
        <v>5345</v>
      </c>
      <c r="D573" s="47">
        <v>247.0</v>
      </c>
      <c r="E573" s="47">
        <v>192.0</v>
      </c>
      <c r="F573" s="39" t="s">
        <v>5183</v>
      </c>
    </row>
    <row r="574">
      <c r="A574" s="39" t="s">
        <v>792</v>
      </c>
      <c r="B574" s="39" t="s">
        <v>5088</v>
      </c>
      <c r="C574" s="39" t="s">
        <v>5346</v>
      </c>
      <c r="D574" s="47">
        <v>247.0</v>
      </c>
      <c r="E574" s="47">
        <v>193.0</v>
      </c>
      <c r="F574" s="39" t="s">
        <v>5090</v>
      </c>
    </row>
    <row r="575">
      <c r="A575" s="39" t="s">
        <v>792</v>
      </c>
      <c r="B575" s="39" t="s">
        <v>5045</v>
      </c>
      <c r="C575" s="39" t="s">
        <v>5347</v>
      </c>
      <c r="D575" s="47">
        <v>247.0</v>
      </c>
      <c r="E575" s="47">
        <v>194.0</v>
      </c>
      <c r="F575" s="39" t="s">
        <v>5047</v>
      </c>
    </row>
    <row r="576">
      <c r="A576" s="39" t="s">
        <v>792</v>
      </c>
      <c r="B576" s="39" t="s">
        <v>5243</v>
      </c>
      <c r="C576" s="39" t="s">
        <v>5348</v>
      </c>
      <c r="D576" s="47">
        <v>247.0</v>
      </c>
      <c r="E576" s="47">
        <v>195.0</v>
      </c>
      <c r="F576" s="39" t="s">
        <v>5245</v>
      </c>
    </row>
    <row r="577">
      <c r="A577" s="39" t="s">
        <v>792</v>
      </c>
      <c r="B577" s="39" t="s">
        <v>5118</v>
      </c>
      <c r="C577" s="39" t="s">
        <v>5349</v>
      </c>
      <c r="D577" s="47">
        <v>247.0</v>
      </c>
      <c r="E577" s="47">
        <v>196.0</v>
      </c>
      <c r="F577" s="39" t="s">
        <v>5120</v>
      </c>
    </row>
    <row r="578">
      <c r="A578" s="39" t="s">
        <v>792</v>
      </c>
      <c r="B578" s="39" t="s">
        <v>5133</v>
      </c>
      <c r="C578" s="39" t="s">
        <v>5350</v>
      </c>
      <c r="D578" s="47">
        <v>247.0</v>
      </c>
      <c r="E578" s="47">
        <v>197.0</v>
      </c>
      <c r="F578" s="39" t="s">
        <v>5135</v>
      </c>
    </row>
    <row r="579">
      <c r="A579" s="39" t="s">
        <v>792</v>
      </c>
      <c r="B579" s="39" t="s">
        <v>5178</v>
      </c>
      <c r="C579" s="39" t="s">
        <v>5351</v>
      </c>
      <c r="D579" s="47">
        <v>247.0</v>
      </c>
      <c r="E579" s="47">
        <v>198.0</v>
      </c>
      <c r="F579" s="39" t="s">
        <v>5180</v>
      </c>
    </row>
    <row r="580">
      <c r="A580" s="39" t="s">
        <v>792</v>
      </c>
      <c r="B580" s="39" t="s">
        <v>5163</v>
      </c>
      <c r="C580" s="39" t="s">
        <v>5352</v>
      </c>
      <c r="D580" s="47">
        <v>247.0</v>
      </c>
      <c r="E580" s="47">
        <v>199.0</v>
      </c>
      <c r="F580" s="39" t="s">
        <v>5165</v>
      </c>
    </row>
    <row r="581">
      <c r="A581" s="39" t="s">
        <v>792</v>
      </c>
      <c r="B581" s="39" t="s">
        <v>5100</v>
      </c>
      <c r="C581" s="39" t="s">
        <v>5353</v>
      </c>
      <c r="D581" s="47">
        <v>247.0</v>
      </c>
      <c r="E581" s="47">
        <v>200.0</v>
      </c>
      <c r="F581" s="39" t="s">
        <v>5102</v>
      </c>
    </row>
    <row r="582">
      <c r="A582" s="39" t="s">
        <v>792</v>
      </c>
      <c r="B582" s="39" t="s">
        <v>5145</v>
      </c>
      <c r="C582" s="39" t="s">
        <v>5354</v>
      </c>
      <c r="D582" s="47">
        <v>247.0</v>
      </c>
      <c r="E582" s="47">
        <v>201.0</v>
      </c>
      <c r="F582" s="39" t="s">
        <v>5147</v>
      </c>
    </row>
    <row r="583">
      <c r="A583" s="39" t="s">
        <v>792</v>
      </c>
      <c r="B583" s="39" t="s">
        <v>5057</v>
      </c>
      <c r="C583" s="39" t="s">
        <v>5355</v>
      </c>
      <c r="D583" s="47">
        <v>247.0</v>
      </c>
      <c r="E583" s="47">
        <v>202.0</v>
      </c>
      <c r="F583" s="39" t="s">
        <v>5059</v>
      </c>
    </row>
    <row r="584">
      <c r="A584" s="39" t="s">
        <v>792</v>
      </c>
      <c r="B584" s="39" t="s">
        <v>4474</v>
      </c>
      <c r="C584" s="39" t="s">
        <v>5356</v>
      </c>
      <c r="D584" s="47">
        <v>247.0</v>
      </c>
      <c r="E584" s="47">
        <v>203.0</v>
      </c>
      <c r="F584" s="39" t="s">
        <v>5072</v>
      </c>
    </row>
    <row r="585">
      <c r="A585" s="39" t="s">
        <v>792</v>
      </c>
      <c r="B585" s="39" t="s">
        <v>5184</v>
      </c>
      <c r="C585" s="39" t="s">
        <v>5357</v>
      </c>
      <c r="D585" s="47">
        <v>247.0</v>
      </c>
      <c r="E585" s="47">
        <v>204.0</v>
      </c>
      <c r="F585" s="39" t="s">
        <v>5186</v>
      </c>
    </row>
    <row r="586">
      <c r="A586" s="39" t="s">
        <v>792</v>
      </c>
      <c r="B586" s="39" t="s">
        <v>5085</v>
      </c>
      <c r="C586" s="39" t="s">
        <v>5358</v>
      </c>
      <c r="D586" s="47">
        <v>247.0</v>
      </c>
      <c r="E586" s="47">
        <v>205.0</v>
      </c>
      <c r="F586" s="39" t="s">
        <v>5087</v>
      </c>
    </row>
    <row r="587">
      <c r="A587" s="39" t="s">
        <v>792</v>
      </c>
      <c r="B587" s="39" t="s">
        <v>5042</v>
      </c>
      <c r="C587" s="39" t="s">
        <v>5359</v>
      </c>
      <c r="D587" s="47">
        <v>247.0</v>
      </c>
      <c r="E587" s="47">
        <v>206.0</v>
      </c>
      <c r="F587" s="39" t="s">
        <v>5044</v>
      </c>
    </row>
    <row r="588">
      <c r="A588" s="39" t="s">
        <v>792</v>
      </c>
      <c r="B588" s="39" t="s">
        <v>5246</v>
      </c>
      <c r="C588" s="39" t="s">
        <v>5360</v>
      </c>
      <c r="D588" s="47">
        <v>247.0</v>
      </c>
      <c r="E588" s="47">
        <v>207.0</v>
      </c>
      <c r="F588" s="39" t="s">
        <v>5248</v>
      </c>
    </row>
    <row r="589">
      <c r="A589" s="39" t="s">
        <v>792</v>
      </c>
      <c r="B589" s="39" t="s">
        <v>5115</v>
      </c>
      <c r="C589" s="39" t="s">
        <v>5361</v>
      </c>
      <c r="D589" s="47">
        <v>247.0</v>
      </c>
      <c r="E589" s="47">
        <v>208.0</v>
      </c>
      <c r="F589" s="39" t="s">
        <v>5117</v>
      </c>
    </row>
    <row r="590">
      <c r="A590" s="39" t="s">
        <v>792</v>
      </c>
      <c r="B590" s="39" t="s">
        <v>5124</v>
      </c>
      <c r="C590" s="39" t="s">
        <v>5362</v>
      </c>
      <c r="D590" s="47">
        <v>247.0</v>
      </c>
      <c r="E590" s="47">
        <v>209.0</v>
      </c>
      <c r="F590" s="39" t="s">
        <v>5126</v>
      </c>
    </row>
    <row r="591">
      <c r="A591" s="39" t="s">
        <v>792</v>
      </c>
      <c r="B591" s="39" t="s">
        <v>5175</v>
      </c>
      <c r="C591" s="39" t="s">
        <v>5363</v>
      </c>
      <c r="D591" s="47">
        <v>247.0</v>
      </c>
      <c r="E591" s="47">
        <v>210.0</v>
      </c>
      <c r="F591" s="39" t="s">
        <v>5177</v>
      </c>
    </row>
    <row r="592">
      <c r="A592" s="39" t="s">
        <v>792</v>
      </c>
      <c r="B592" s="39" t="s">
        <v>5151</v>
      </c>
      <c r="C592" s="39" t="s">
        <v>5364</v>
      </c>
      <c r="D592" s="47">
        <v>247.0</v>
      </c>
      <c r="E592" s="47">
        <v>211.0</v>
      </c>
      <c r="F592" s="39" t="s">
        <v>5153</v>
      </c>
    </row>
    <row r="593">
      <c r="A593" s="39" t="s">
        <v>792</v>
      </c>
      <c r="B593" s="39" t="s">
        <v>5094</v>
      </c>
      <c r="C593" s="39" t="s">
        <v>5365</v>
      </c>
      <c r="D593" s="47">
        <v>247.0</v>
      </c>
      <c r="E593" s="47">
        <v>212.0</v>
      </c>
      <c r="F593" s="39" t="s">
        <v>5096</v>
      </c>
    </row>
    <row r="594">
      <c r="A594" s="39" t="s">
        <v>792</v>
      </c>
      <c r="B594" s="39" t="s">
        <v>5139</v>
      </c>
      <c r="C594" s="39" t="s">
        <v>5366</v>
      </c>
      <c r="D594" s="47">
        <v>247.0</v>
      </c>
      <c r="E594" s="47">
        <v>213.0</v>
      </c>
      <c r="F594" s="39" t="s">
        <v>5141</v>
      </c>
    </row>
    <row r="595">
      <c r="A595" s="39" t="s">
        <v>792</v>
      </c>
      <c r="B595" s="39" t="s">
        <v>5051</v>
      </c>
      <c r="C595" s="39" t="s">
        <v>5367</v>
      </c>
      <c r="D595" s="47">
        <v>247.0</v>
      </c>
      <c r="E595" s="47">
        <v>214.0</v>
      </c>
      <c r="F595" s="39" t="s">
        <v>5053</v>
      </c>
    </row>
    <row r="596">
      <c r="A596" s="39" t="s">
        <v>792</v>
      </c>
      <c r="B596" s="39" t="s">
        <v>4483</v>
      </c>
      <c r="C596" s="39" t="s">
        <v>5368</v>
      </c>
      <c r="D596" s="47">
        <v>247.0</v>
      </c>
      <c r="E596" s="47">
        <v>215.0</v>
      </c>
      <c r="F596" s="39" t="s">
        <v>5067</v>
      </c>
    </row>
    <row r="597">
      <c r="A597" s="39" t="s">
        <v>792</v>
      </c>
      <c r="B597" s="39" t="s">
        <v>5187</v>
      </c>
      <c r="C597" s="39" t="s">
        <v>5369</v>
      </c>
      <c r="D597" s="47">
        <v>247.0</v>
      </c>
      <c r="E597" s="47">
        <v>216.0</v>
      </c>
      <c r="F597" s="39" t="s">
        <v>5189</v>
      </c>
    </row>
    <row r="598">
      <c r="A598" s="39" t="s">
        <v>792</v>
      </c>
      <c r="B598" s="39" t="s">
        <v>5079</v>
      </c>
      <c r="C598" s="39" t="s">
        <v>5370</v>
      </c>
      <c r="D598" s="47">
        <v>247.0</v>
      </c>
      <c r="E598" s="47">
        <v>217.0</v>
      </c>
      <c r="F598" s="39" t="s">
        <v>5081</v>
      </c>
    </row>
    <row r="599">
      <c r="A599" s="39" t="s">
        <v>792</v>
      </c>
      <c r="B599" s="39" t="s">
        <v>5036</v>
      </c>
      <c r="C599" s="39" t="s">
        <v>5371</v>
      </c>
      <c r="D599" s="47">
        <v>247.0</v>
      </c>
      <c r="E599" s="47">
        <v>218.0</v>
      </c>
      <c r="F599" s="39" t="s">
        <v>5038</v>
      </c>
    </row>
    <row r="600">
      <c r="A600" s="39" t="s">
        <v>792</v>
      </c>
      <c r="B600" s="39" t="s">
        <v>5240</v>
      </c>
      <c r="C600" s="39" t="s">
        <v>5372</v>
      </c>
      <c r="D600" s="47">
        <v>247.0</v>
      </c>
      <c r="E600" s="47">
        <v>219.0</v>
      </c>
      <c r="F600" s="39" t="s">
        <v>5242</v>
      </c>
    </row>
    <row r="601">
      <c r="A601" s="39" t="s">
        <v>792</v>
      </c>
      <c r="B601" s="39" t="s">
        <v>5109</v>
      </c>
      <c r="C601" s="39" t="s">
        <v>5373</v>
      </c>
      <c r="D601" s="47">
        <v>247.0</v>
      </c>
      <c r="E601" s="47">
        <v>220.0</v>
      </c>
      <c r="F601" s="39" t="s">
        <v>5111</v>
      </c>
    </row>
    <row r="602">
      <c r="A602" s="39" t="s">
        <v>792</v>
      </c>
      <c r="B602" s="39" t="s">
        <v>5121</v>
      </c>
      <c r="C602" s="39" t="s">
        <v>5374</v>
      </c>
      <c r="D602" s="47">
        <v>247.0</v>
      </c>
      <c r="E602" s="47">
        <v>221.0</v>
      </c>
      <c r="F602" s="39" t="s">
        <v>5123</v>
      </c>
    </row>
    <row r="603">
      <c r="A603" s="39" t="s">
        <v>792</v>
      </c>
      <c r="B603" s="39" t="s">
        <v>5166</v>
      </c>
      <c r="C603" s="39" t="s">
        <v>5375</v>
      </c>
      <c r="D603" s="47">
        <v>247.0</v>
      </c>
      <c r="E603" s="47">
        <v>222.0</v>
      </c>
      <c r="F603" s="39" t="s">
        <v>5168</v>
      </c>
    </row>
    <row r="604">
      <c r="A604" s="39" t="s">
        <v>792</v>
      </c>
      <c r="B604" s="39" t="s">
        <v>5157</v>
      </c>
      <c r="C604" s="39" t="s">
        <v>5376</v>
      </c>
      <c r="D604" s="47">
        <v>247.0</v>
      </c>
      <c r="E604" s="47">
        <v>223.0</v>
      </c>
      <c r="F604" s="39" t="s">
        <v>5159</v>
      </c>
    </row>
    <row r="605">
      <c r="A605" s="39" t="s">
        <v>792</v>
      </c>
      <c r="B605" s="39" t="s">
        <v>5097</v>
      </c>
      <c r="C605" s="39" t="s">
        <v>5377</v>
      </c>
      <c r="D605" s="47">
        <v>247.0</v>
      </c>
      <c r="E605" s="47">
        <v>224.0</v>
      </c>
      <c r="F605" s="39" t="s">
        <v>5099</v>
      </c>
    </row>
    <row r="606">
      <c r="A606" s="39" t="s">
        <v>792</v>
      </c>
      <c r="B606" s="39" t="s">
        <v>5142</v>
      </c>
      <c r="C606" s="39" t="s">
        <v>5378</v>
      </c>
      <c r="D606" s="47">
        <v>247.0</v>
      </c>
      <c r="E606" s="47">
        <v>225.0</v>
      </c>
      <c r="F606" s="39" t="s">
        <v>5144</v>
      </c>
    </row>
    <row r="607">
      <c r="A607" s="39" t="s">
        <v>792</v>
      </c>
      <c r="B607" s="39" t="s">
        <v>5054</v>
      </c>
      <c r="C607" s="39" t="s">
        <v>5379</v>
      </c>
      <c r="D607" s="47">
        <v>247.0</v>
      </c>
      <c r="E607" s="47">
        <v>226.0</v>
      </c>
      <c r="F607" s="39" t="s">
        <v>5056</v>
      </c>
    </row>
    <row r="608">
      <c r="A608" s="39" t="s">
        <v>792</v>
      </c>
      <c r="B608" s="39" t="s">
        <v>5068</v>
      </c>
      <c r="C608" s="39" t="s">
        <v>5380</v>
      </c>
      <c r="D608" s="47">
        <v>247.0</v>
      </c>
      <c r="E608" s="47">
        <v>227.0</v>
      </c>
      <c r="F608" s="39" t="s">
        <v>5070</v>
      </c>
    </row>
    <row r="609">
      <c r="A609" s="39" t="s">
        <v>792</v>
      </c>
      <c r="B609" s="39" t="s">
        <v>5190</v>
      </c>
      <c r="C609" s="39" t="s">
        <v>5381</v>
      </c>
      <c r="D609" s="47">
        <v>247.0</v>
      </c>
      <c r="E609" s="47">
        <v>228.0</v>
      </c>
      <c r="F609" s="39" t="s">
        <v>5192</v>
      </c>
    </row>
    <row r="610">
      <c r="A610" s="39" t="s">
        <v>792</v>
      </c>
      <c r="B610" s="39" t="s">
        <v>5082</v>
      </c>
      <c r="C610" s="39" t="s">
        <v>5382</v>
      </c>
      <c r="D610" s="47">
        <v>247.0</v>
      </c>
      <c r="E610" s="47">
        <v>229.0</v>
      </c>
      <c r="F610" s="39" t="s">
        <v>5084</v>
      </c>
    </row>
    <row r="611">
      <c r="A611" s="39" t="s">
        <v>792</v>
      </c>
      <c r="B611" s="39" t="s">
        <v>5039</v>
      </c>
      <c r="C611" s="39" t="s">
        <v>5383</v>
      </c>
      <c r="D611" s="47">
        <v>247.0</v>
      </c>
      <c r="E611" s="47">
        <v>230.0</v>
      </c>
      <c r="F611" s="39" t="s">
        <v>5041</v>
      </c>
    </row>
    <row r="612">
      <c r="A612" s="39" t="s">
        <v>792</v>
      </c>
      <c r="B612" s="39" t="s">
        <v>5237</v>
      </c>
      <c r="C612" s="39" t="s">
        <v>5384</v>
      </c>
      <c r="D612" s="47">
        <v>247.0</v>
      </c>
      <c r="E612" s="47">
        <v>231.0</v>
      </c>
      <c r="F612" s="39" t="s">
        <v>5239</v>
      </c>
    </row>
    <row r="613">
      <c r="A613" s="39" t="s">
        <v>792</v>
      </c>
      <c r="B613" s="39" t="s">
        <v>5112</v>
      </c>
      <c r="C613" s="39" t="s">
        <v>5385</v>
      </c>
      <c r="D613" s="47">
        <v>247.0</v>
      </c>
      <c r="E613" s="47">
        <v>232.0</v>
      </c>
      <c r="F613" s="39" t="s">
        <v>5114</v>
      </c>
    </row>
    <row r="614">
      <c r="A614" s="39" t="s">
        <v>792</v>
      </c>
      <c r="B614" s="39" t="s">
        <v>5130</v>
      </c>
      <c r="C614" s="39" t="s">
        <v>5386</v>
      </c>
      <c r="D614" s="47">
        <v>247.0</v>
      </c>
      <c r="E614" s="47">
        <v>233.0</v>
      </c>
      <c r="F614" s="39" t="s">
        <v>5132</v>
      </c>
    </row>
    <row r="615">
      <c r="A615" s="39" t="s">
        <v>792</v>
      </c>
      <c r="B615" s="39" t="s">
        <v>5169</v>
      </c>
      <c r="C615" s="39" t="s">
        <v>5387</v>
      </c>
      <c r="D615" s="47">
        <v>247.0</v>
      </c>
      <c r="E615" s="47">
        <v>234.0</v>
      </c>
      <c r="F615" s="39" t="s">
        <v>5171</v>
      </c>
    </row>
    <row r="616">
      <c r="A616" s="39" t="s">
        <v>792</v>
      </c>
      <c r="B616" s="39" t="s">
        <v>5160</v>
      </c>
      <c r="C616" s="39" t="s">
        <v>5388</v>
      </c>
      <c r="D616" s="47">
        <v>247.0</v>
      </c>
      <c r="E616" s="47">
        <v>235.0</v>
      </c>
      <c r="F616" s="39" t="s">
        <v>5162</v>
      </c>
    </row>
    <row r="617">
      <c r="A617" s="39" t="s">
        <v>792</v>
      </c>
      <c r="B617" s="39" t="s">
        <v>5091</v>
      </c>
      <c r="C617" s="39" t="s">
        <v>5389</v>
      </c>
      <c r="D617" s="47">
        <v>247.0</v>
      </c>
      <c r="E617" s="47">
        <v>236.0</v>
      </c>
      <c r="F617" s="39" t="s">
        <v>5093</v>
      </c>
    </row>
    <row r="618">
      <c r="A618" s="39" t="s">
        <v>792</v>
      </c>
      <c r="B618" s="39" t="s">
        <v>5136</v>
      </c>
      <c r="C618" s="39" t="s">
        <v>5390</v>
      </c>
      <c r="D618" s="47">
        <v>247.0</v>
      </c>
      <c r="E618" s="47">
        <v>237.0</v>
      </c>
      <c r="F618" s="39" t="s">
        <v>5138</v>
      </c>
    </row>
    <row r="619">
      <c r="A619" s="39" t="s">
        <v>792</v>
      </c>
      <c r="B619" s="39" t="s">
        <v>5048</v>
      </c>
      <c r="C619" s="39" t="s">
        <v>5391</v>
      </c>
      <c r="D619" s="47">
        <v>247.0</v>
      </c>
      <c r="E619" s="47">
        <v>238.0</v>
      </c>
      <c r="F619" s="39" t="s">
        <v>5050</v>
      </c>
    </row>
    <row r="620">
      <c r="A620" s="39" t="s">
        <v>792</v>
      </c>
      <c r="B620" s="39" t="s">
        <v>5063</v>
      </c>
      <c r="C620" s="39" t="s">
        <v>5392</v>
      </c>
      <c r="D620" s="47">
        <v>247.0</v>
      </c>
      <c r="E620" s="47">
        <v>239.0</v>
      </c>
      <c r="F620" s="39" t="s">
        <v>5065</v>
      </c>
    </row>
    <row r="621">
      <c r="A621" s="39" t="s">
        <v>792</v>
      </c>
      <c r="B621" s="39" t="s">
        <v>5193</v>
      </c>
      <c r="C621" s="39" t="s">
        <v>5393</v>
      </c>
      <c r="D621" s="47">
        <v>247.0</v>
      </c>
      <c r="E621" s="47">
        <v>240.0</v>
      </c>
      <c r="F621" s="39" t="s">
        <v>5195</v>
      </c>
    </row>
    <row r="622">
      <c r="A622" s="39" t="s">
        <v>792</v>
      </c>
      <c r="B622" s="39" t="s">
        <v>5076</v>
      </c>
      <c r="C622" s="39" t="s">
        <v>5394</v>
      </c>
      <c r="D622" s="47">
        <v>247.0</v>
      </c>
      <c r="E622" s="47">
        <v>241.0</v>
      </c>
      <c r="F622" s="39" t="s">
        <v>5078</v>
      </c>
    </row>
    <row r="623">
      <c r="A623" s="39" t="s">
        <v>792</v>
      </c>
      <c r="B623" s="39" t="s">
        <v>5033</v>
      </c>
      <c r="C623" s="39" t="s">
        <v>5395</v>
      </c>
      <c r="D623" s="47">
        <v>247.0</v>
      </c>
      <c r="E623" s="47">
        <v>242.0</v>
      </c>
      <c r="F623" s="39" t="s">
        <v>5035</v>
      </c>
    </row>
    <row r="624">
      <c r="A624" s="39" t="s">
        <v>792</v>
      </c>
      <c r="B624" s="39" t="s">
        <v>5234</v>
      </c>
      <c r="C624" s="39" t="s">
        <v>5396</v>
      </c>
      <c r="D624" s="47">
        <v>247.0</v>
      </c>
      <c r="E624" s="47">
        <v>243.0</v>
      </c>
      <c r="F624" s="39" t="s">
        <v>5236</v>
      </c>
    </row>
    <row r="625">
      <c r="A625" s="39" t="s">
        <v>792</v>
      </c>
      <c r="B625" s="39" t="s">
        <v>5106</v>
      </c>
      <c r="C625" s="39" t="s">
        <v>5397</v>
      </c>
      <c r="D625" s="47">
        <v>247.0</v>
      </c>
      <c r="E625" s="47">
        <v>244.0</v>
      </c>
      <c r="F625" s="39" t="s">
        <v>5108</v>
      </c>
    </row>
    <row r="626">
      <c r="A626" s="39" t="s">
        <v>792</v>
      </c>
      <c r="B626" s="39" t="s">
        <v>5127</v>
      </c>
      <c r="C626" s="39" t="s">
        <v>5398</v>
      </c>
      <c r="D626" s="47">
        <v>247.0</v>
      </c>
      <c r="E626" s="47">
        <v>245.0</v>
      </c>
      <c r="F626" s="39" t="s">
        <v>5129</v>
      </c>
    </row>
    <row r="627">
      <c r="A627" s="39" t="s">
        <v>792</v>
      </c>
      <c r="B627" s="39" t="s">
        <v>5172</v>
      </c>
      <c r="C627" s="39" t="s">
        <v>5399</v>
      </c>
      <c r="D627" s="47">
        <v>247.0</v>
      </c>
      <c r="E627" s="47">
        <v>246.0</v>
      </c>
      <c r="F627" s="39" t="s">
        <v>5174</v>
      </c>
    </row>
    <row r="628">
      <c r="A628" s="39" t="s">
        <v>792</v>
      </c>
      <c r="B628" s="39" t="s">
        <v>5154</v>
      </c>
      <c r="C628" s="39" t="s">
        <v>5400</v>
      </c>
      <c r="D628" s="47">
        <v>247.0</v>
      </c>
      <c r="E628" s="47">
        <v>247.0</v>
      </c>
      <c r="F628" s="39" t="s">
        <v>5156</v>
      </c>
    </row>
    <row r="629">
      <c r="A629" s="39" t="s">
        <v>68</v>
      </c>
      <c r="B629" s="76" t="s">
        <v>5031</v>
      </c>
      <c r="C629" s="76" t="s">
        <v>5032</v>
      </c>
      <c r="D629" s="97">
        <v>247.0</v>
      </c>
      <c r="E629" s="97">
        <v>248.0</v>
      </c>
    </row>
    <row r="630">
      <c r="A630" s="38" t="s">
        <v>4740</v>
      </c>
      <c r="B630" s="77" t="s">
        <v>4741</v>
      </c>
      <c r="C630" s="35" t="s">
        <v>4742</v>
      </c>
      <c r="D630" s="46">
        <v>248.0</v>
      </c>
      <c r="E630" s="46">
        <v>1.0</v>
      </c>
      <c r="F630" s="86" t="s">
        <v>4743</v>
      </c>
      <c r="G630" s="35"/>
    </row>
    <row r="631">
      <c r="A631" s="38" t="s">
        <v>4740</v>
      </c>
      <c r="B631" s="77" t="s">
        <v>4744</v>
      </c>
      <c r="C631" s="35" t="s">
        <v>4745</v>
      </c>
      <c r="D631" s="46">
        <v>248.0</v>
      </c>
      <c r="E631" s="46">
        <v>2.0</v>
      </c>
      <c r="F631" s="38" t="s">
        <v>4746</v>
      </c>
      <c r="G631" s="35"/>
    </row>
    <row r="632">
      <c r="A632" s="38" t="s">
        <v>4740</v>
      </c>
      <c r="B632" s="77" t="s">
        <v>4744</v>
      </c>
      <c r="C632" s="35" t="s">
        <v>4747</v>
      </c>
      <c r="D632" s="46">
        <v>248.0</v>
      </c>
      <c r="E632" s="46">
        <v>3.0</v>
      </c>
      <c r="F632" s="38" t="s">
        <v>4748</v>
      </c>
      <c r="G632" s="35"/>
    </row>
    <row r="633">
      <c r="A633" s="38" t="s">
        <v>4740</v>
      </c>
      <c r="B633" s="88" t="s">
        <v>4749</v>
      </c>
      <c r="C633" s="4" t="s">
        <v>4750</v>
      </c>
      <c r="D633" s="46">
        <v>248.0</v>
      </c>
      <c r="E633" s="46">
        <v>4.0</v>
      </c>
      <c r="F633" s="86" t="s">
        <v>4751</v>
      </c>
      <c r="G633" s="35"/>
    </row>
    <row r="634">
      <c r="A634" s="38" t="s">
        <v>4740</v>
      </c>
      <c r="B634" s="88" t="s">
        <v>4749</v>
      </c>
      <c r="C634" s="4" t="s">
        <v>4752</v>
      </c>
      <c r="D634" s="46">
        <v>248.0</v>
      </c>
      <c r="E634" s="46">
        <v>5.0</v>
      </c>
      <c r="F634" s="86" t="s">
        <v>4753</v>
      </c>
      <c r="G634" s="35"/>
    </row>
    <row r="635">
      <c r="A635" s="38" t="s">
        <v>4740</v>
      </c>
      <c r="B635" s="88" t="s">
        <v>4754</v>
      </c>
      <c r="C635" s="76" t="s">
        <v>4755</v>
      </c>
      <c r="D635" s="46">
        <v>248.0</v>
      </c>
      <c r="E635" s="46">
        <v>6.0</v>
      </c>
      <c r="F635" s="38" t="s">
        <v>4756</v>
      </c>
      <c r="G635" s="35"/>
    </row>
    <row r="636">
      <c r="A636" s="38" t="s">
        <v>4740</v>
      </c>
      <c r="B636" s="88" t="s">
        <v>4754</v>
      </c>
      <c r="C636" s="76" t="s">
        <v>4757</v>
      </c>
      <c r="D636" s="46">
        <v>248.0</v>
      </c>
      <c r="E636" s="46">
        <v>7.0</v>
      </c>
      <c r="F636" s="38" t="s">
        <v>4758</v>
      </c>
      <c r="G636" s="35"/>
    </row>
    <row r="637">
      <c r="A637" s="38" t="s">
        <v>4740</v>
      </c>
      <c r="B637" s="77" t="s">
        <v>4759</v>
      </c>
      <c r="C637" s="4" t="s">
        <v>4760</v>
      </c>
      <c r="D637" s="46">
        <v>248.0</v>
      </c>
      <c r="E637" s="46">
        <v>8.0</v>
      </c>
      <c r="F637" s="86" t="s">
        <v>4761</v>
      </c>
      <c r="G637" s="35"/>
    </row>
    <row r="638">
      <c r="A638" s="38" t="s">
        <v>4740</v>
      </c>
      <c r="B638" s="77" t="s">
        <v>4759</v>
      </c>
      <c r="C638" s="4" t="s">
        <v>4762</v>
      </c>
      <c r="D638" s="46">
        <v>248.0</v>
      </c>
      <c r="E638" s="46">
        <v>9.0</v>
      </c>
      <c r="F638" s="86" t="s">
        <v>4763</v>
      </c>
      <c r="G638" s="35"/>
    </row>
    <row r="639">
      <c r="A639" s="38" t="s">
        <v>4740</v>
      </c>
      <c r="B639" s="77" t="s">
        <v>3872</v>
      </c>
      <c r="C639" s="76" t="s">
        <v>4764</v>
      </c>
      <c r="D639" s="46">
        <v>248.0</v>
      </c>
      <c r="E639" s="46">
        <v>10.0</v>
      </c>
      <c r="F639" s="38" t="s">
        <v>4765</v>
      </c>
      <c r="G639" s="35"/>
    </row>
    <row r="640">
      <c r="A640" s="38" t="s">
        <v>4740</v>
      </c>
      <c r="B640" s="88" t="s">
        <v>3872</v>
      </c>
      <c r="C640" s="76" t="s">
        <v>4766</v>
      </c>
      <c r="D640" s="46">
        <v>248.0</v>
      </c>
      <c r="E640" s="46">
        <v>11.0</v>
      </c>
      <c r="F640" s="38" t="s">
        <v>4767</v>
      </c>
      <c r="G640" s="35"/>
    </row>
    <row r="641">
      <c r="A641" s="38" t="s">
        <v>4740</v>
      </c>
      <c r="B641" s="88" t="s">
        <v>4768</v>
      </c>
      <c r="C641" s="76" t="s">
        <v>4769</v>
      </c>
      <c r="D641" s="46">
        <v>248.0</v>
      </c>
      <c r="E641" s="46">
        <v>12.0</v>
      </c>
      <c r="F641" s="86" t="s">
        <v>4770</v>
      </c>
      <c r="G641" s="35"/>
    </row>
    <row r="642">
      <c r="A642" s="38" t="s">
        <v>4740</v>
      </c>
      <c r="B642" s="88" t="s">
        <v>4768</v>
      </c>
      <c r="C642" s="76" t="s">
        <v>4771</v>
      </c>
      <c r="D642" s="46">
        <v>248.0</v>
      </c>
      <c r="E642" s="46">
        <v>13.0</v>
      </c>
      <c r="F642" s="86" t="s">
        <v>4772</v>
      </c>
      <c r="G642" s="35"/>
    </row>
    <row r="643">
      <c r="A643" s="38" t="s">
        <v>4740</v>
      </c>
      <c r="B643" s="88" t="s">
        <v>4773</v>
      </c>
      <c r="C643" s="76" t="s">
        <v>4774</v>
      </c>
      <c r="D643" s="46">
        <v>248.0</v>
      </c>
      <c r="E643" s="46">
        <v>14.0</v>
      </c>
      <c r="F643" s="38" t="s">
        <v>4775</v>
      </c>
      <c r="G643" s="35"/>
    </row>
    <row r="644">
      <c r="A644" s="38" t="s">
        <v>4740</v>
      </c>
      <c r="B644" s="88" t="s">
        <v>4773</v>
      </c>
      <c r="C644" s="76" t="s">
        <v>4776</v>
      </c>
      <c r="D644" s="46">
        <v>248.0</v>
      </c>
      <c r="E644" s="46">
        <v>15.0</v>
      </c>
      <c r="F644" s="38" t="s">
        <v>4777</v>
      </c>
      <c r="G644" s="35"/>
    </row>
    <row r="645">
      <c r="A645" s="38" t="s">
        <v>4740</v>
      </c>
      <c r="B645" s="88" t="s">
        <v>3953</v>
      </c>
      <c r="C645" s="4" t="s">
        <v>4778</v>
      </c>
      <c r="D645" s="46">
        <v>248.0</v>
      </c>
      <c r="E645" s="46">
        <v>16.0</v>
      </c>
      <c r="F645" s="38" t="s">
        <v>4779</v>
      </c>
      <c r="G645" s="35"/>
    </row>
    <row r="646">
      <c r="A646" s="38" t="s">
        <v>4740</v>
      </c>
      <c r="B646" s="88" t="s">
        <v>3953</v>
      </c>
      <c r="C646" s="4" t="s">
        <v>4780</v>
      </c>
      <c r="D646" s="46">
        <v>248.0</v>
      </c>
      <c r="E646" s="46">
        <v>17.0</v>
      </c>
      <c r="F646" s="38" t="s">
        <v>4781</v>
      </c>
      <c r="G646" s="35"/>
    </row>
    <row r="647">
      <c r="A647" s="38" t="s">
        <v>4740</v>
      </c>
      <c r="B647" s="77" t="s">
        <v>4782</v>
      </c>
      <c r="C647" s="4" t="s">
        <v>4783</v>
      </c>
      <c r="D647" s="46">
        <v>248.0</v>
      </c>
      <c r="E647" s="46">
        <v>18.0</v>
      </c>
      <c r="F647" s="86" t="s">
        <v>4784</v>
      </c>
      <c r="G647" s="35"/>
    </row>
    <row r="648">
      <c r="A648" s="38" t="s">
        <v>4740</v>
      </c>
      <c r="B648" s="77" t="s">
        <v>4782</v>
      </c>
      <c r="C648" s="4" t="s">
        <v>4785</v>
      </c>
      <c r="D648" s="46">
        <v>248.0</v>
      </c>
      <c r="E648" s="46">
        <v>19.0</v>
      </c>
      <c r="F648" s="86" t="s">
        <v>4786</v>
      </c>
      <c r="G648" s="35"/>
    </row>
    <row r="649">
      <c r="A649" s="38" t="s">
        <v>4740</v>
      </c>
      <c r="B649" s="77" t="s">
        <v>4787</v>
      </c>
      <c r="C649" s="35" t="s">
        <v>4788</v>
      </c>
      <c r="D649" s="46">
        <v>248.0</v>
      </c>
      <c r="E649" s="46">
        <v>20.0</v>
      </c>
      <c r="F649" s="86" t="s">
        <v>4789</v>
      </c>
      <c r="G649" s="35"/>
    </row>
    <row r="650">
      <c r="A650" s="38" t="s">
        <v>4740</v>
      </c>
      <c r="B650" s="77" t="s">
        <v>4787</v>
      </c>
      <c r="C650" s="35" t="s">
        <v>4790</v>
      </c>
      <c r="D650" s="46">
        <v>248.0</v>
      </c>
      <c r="E650" s="46">
        <v>21.0</v>
      </c>
      <c r="F650" s="86" t="s">
        <v>4791</v>
      </c>
      <c r="G650" s="35"/>
    </row>
    <row r="651">
      <c r="A651" s="38" t="s">
        <v>4740</v>
      </c>
      <c r="B651" s="77" t="s">
        <v>4741</v>
      </c>
      <c r="C651" s="35" t="s">
        <v>4792</v>
      </c>
      <c r="D651" s="46">
        <v>248.0</v>
      </c>
      <c r="E651" s="46">
        <v>27.0</v>
      </c>
      <c r="F651" s="86" t="s">
        <v>4793</v>
      </c>
      <c r="G651" s="35"/>
    </row>
    <row r="652">
      <c r="A652" s="39" t="s">
        <v>435</v>
      </c>
      <c r="B652" s="39" t="s">
        <v>4262</v>
      </c>
      <c r="C652" s="35" t="s">
        <v>4263</v>
      </c>
      <c r="D652" s="46">
        <v>254.0</v>
      </c>
      <c r="E652" s="46">
        <v>1.0</v>
      </c>
    </row>
    <row r="653">
      <c r="A653" s="39" t="s">
        <v>435</v>
      </c>
      <c r="B653" s="39" t="s">
        <v>4264</v>
      </c>
      <c r="C653" s="35" t="s">
        <v>4265</v>
      </c>
      <c r="D653" s="46">
        <v>254.0</v>
      </c>
      <c r="E653" s="46">
        <v>2.0</v>
      </c>
    </row>
    <row r="654">
      <c r="A654" s="39" t="s">
        <v>435</v>
      </c>
      <c r="B654" s="39" t="s">
        <v>4266</v>
      </c>
      <c r="C654" s="35" t="s">
        <v>4267</v>
      </c>
      <c r="D654" s="46">
        <v>254.0</v>
      </c>
      <c r="E654" s="46">
        <v>3.0</v>
      </c>
    </row>
    <row r="655">
      <c r="A655" s="39" t="s">
        <v>435</v>
      </c>
      <c r="B655" s="39" t="s">
        <v>4268</v>
      </c>
      <c r="C655" s="35" t="s">
        <v>4269</v>
      </c>
      <c r="D655" s="46">
        <v>254.0</v>
      </c>
      <c r="E655" s="46">
        <v>4.0</v>
      </c>
    </row>
    <row r="656">
      <c r="A656" s="39" t="s">
        <v>435</v>
      </c>
      <c r="B656" s="39" t="s">
        <v>4270</v>
      </c>
      <c r="C656" s="35" t="s">
        <v>4271</v>
      </c>
      <c r="D656" s="46">
        <v>254.0</v>
      </c>
      <c r="E656" s="46">
        <v>5.0</v>
      </c>
    </row>
    <row r="657">
      <c r="A657" s="39" t="s">
        <v>435</v>
      </c>
      <c r="B657" s="39" t="s">
        <v>4272</v>
      </c>
      <c r="C657" s="35" t="s">
        <v>4273</v>
      </c>
      <c r="D657" s="46">
        <v>254.0</v>
      </c>
      <c r="E657" s="46">
        <v>6.0</v>
      </c>
    </row>
    <row r="658">
      <c r="A658" s="39" t="s">
        <v>435</v>
      </c>
      <c r="B658" s="39" t="s">
        <v>4274</v>
      </c>
      <c r="C658" s="35" t="s">
        <v>4275</v>
      </c>
      <c r="D658" s="46">
        <v>254.0</v>
      </c>
      <c r="E658" s="46">
        <v>7.0</v>
      </c>
    </row>
    <row r="659">
      <c r="A659" s="39" t="s">
        <v>435</v>
      </c>
      <c r="B659" s="39" t="s">
        <v>4276</v>
      </c>
      <c r="C659" s="35" t="s">
        <v>4277</v>
      </c>
      <c r="D659" s="46">
        <v>254.0</v>
      </c>
      <c r="E659" s="46">
        <v>8.0</v>
      </c>
    </row>
    <row r="660">
      <c r="A660" s="39" t="s">
        <v>435</v>
      </c>
      <c r="B660" s="39" t="s">
        <v>4278</v>
      </c>
      <c r="C660" s="76" t="s">
        <v>4279</v>
      </c>
      <c r="D660" s="46">
        <v>254.0</v>
      </c>
      <c r="E660" s="46">
        <v>9.0</v>
      </c>
    </row>
    <row r="661">
      <c r="A661" s="39" t="s">
        <v>435</v>
      </c>
      <c r="B661" s="39" t="s">
        <v>440</v>
      </c>
      <c r="C661" s="35" t="s">
        <v>4280</v>
      </c>
      <c r="D661" s="46">
        <v>254.0</v>
      </c>
      <c r="E661" s="46">
        <v>10.0</v>
      </c>
    </row>
    <row r="662">
      <c r="A662" s="39" t="s">
        <v>435</v>
      </c>
      <c r="B662" s="39" t="s">
        <v>442</v>
      </c>
      <c r="C662" s="35" t="s">
        <v>4281</v>
      </c>
      <c r="D662" s="46">
        <v>254.0</v>
      </c>
      <c r="E662" s="46">
        <v>11.0</v>
      </c>
    </row>
    <row r="663">
      <c r="A663" s="39" t="s">
        <v>435</v>
      </c>
      <c r="B663" s="39" t="s">
        <v>444</v>
      </c>
      <c r="C663" s="35" t="s">
        <v>4282</v>
      </c>
      <c r="D663" s="46">
        <v>254.0</v>
      </c>
      <c r="E663" s="46">
        <v>12.0</v>
      </c>
    </row>
    <row r="664">
      <c r="A664" s="39" t="s">
        <v>435</v>
      </c>
      <c r="B664" s="39" t="s">
        <v>4283</v>
      </c>
      <c r="C664" s="35" t="s">
        <v>4284</v>
      </c>
      <c r="D664" s="46">
        <v>254.0</v>
      </c>
      <c r="E664" s="46">
        <v>13.0</v>
      </c>
    </row>
    <row r="665">
      <c r="A665" s="39" t="s">
        <v>435</v>
      </c>
      <c r="B665" s="39" t="s">
        <v>448</v>
      </c>
      <c r="C665" s="35" t="s">
        <v>4285</v>
      </c>
      <c r="D665" s="46">
        <v>254.0</v>
      </c>
      <c r="E665" s="46">
        <v>14.0</v>
      </c>
    </row>
    <row r="666">
      <c r="A666" s="39" t="s">
        <v>435</v>
      </c>
      <c r="B666" s="39" t="s">
        <v>450</v>
      </c>
      <c r="C666" s="35" t="s">
        <v>4286</v>
      </c>
      <c r="D666" s="46">
        <v>254.0</v>
      </c>
      <c r="E666" s="46">
        <v>15.0</v>
      </c>
    </row>
    <row r="667">
      <c r="A667" s="39" t="s">
        <v>435</v>
      </c>
      <c r="B667" s="39" t="s">
        <v>4260</v>
      </c>
      <c r="C667" s="35" t="s">
        <v>4261</v>
      </c>
      <c r="D667" s="46">
        <v>254.0</v>
      </c>
      <c r="E667" s="46">
        <v>221.0</v>
      </c>
    </row>
    <row r="668">
      <c r="A668" s="76" t="s">
        <v>435</v>
      </c>
      <c r="B668" s="76" t="s">
        <v>414</v>
      </c>
      <c r="C668" s="76" t="s">
        <v>4288</v>
      </c>
      <c r="D668" s="97">
        <v>254.0</v>
      </c>
      <c r="E668" s="97">
        <v>538.0</v>
      </c>
    </row>
    <row r="669">
      <c r="A669" s="39" t="s">
        <v>377</v>
      </c>
      <c r="B669" s="39" t="s">
        <v>4346</v>
      </c>
      <c r="C669" s="35" t="s">
        <v>4347</v>
      </c>
      <c r="D669" s="46">
        <v>255.0</v>
      </c>
      <c r="E669" s="46">
        <v>1.0</v>
      </c>
    </row>
    <row r="670">
      <c r="A670" s="39" t="s">
        <v>377</v>
      </c>
      <c r="B670" s="39" t="s">
        <v>4348</v>
      </c>
      <c r="C670" s="35" t="s">
        <v>4349</v>
      </c>
      <c r="D670" s="46">
        <v>255.0</v>
      </c>
      <c r="E670" s="46">
        <v>2.0</v>
      </c>
    </row>
    <row r="671">
      <c r="A671" s="39" t="s">
        <v>377</v>
      </c>
      <c r="B671" s="39" t="s">
        <v>4350</v>
      </c>
      <c r="C671" s="35" t="s">
        <v>4351</v>
      </c>
      <c r="D671" s="46">
        <v>255.0</v>
      </c>
      <c r="E671" s="46">
        <v>3.0</v>
      </c>
    </row>
    <row r="672">
      <c r="A672" s="39" t="s">
        <v>377</v>
      </c>
      <c r="B672" s="39" t="s">
        <v>4352</v>
      </c>
      <c r="C672" s="35" t="s">
        <v>4353</v>
      </c>
      <c r="D672" s="46">
        <v>255.0</v>
      </c>
      <c r="E672" s="46">
        <v>4.0</v>
      </c>
    </row>
    <row r="673">
      <c r="A673" s="39" t="s">
        <v>377</v>
      </c>
      <c r="B673" s="39" t="s">
        <v>4354</v>
      </c>
      <c r="C673" s="35" t="s">
        <v>4355</v>
      </c>
      <c r="D673" s="46">
        <v>255.0</v>
      </c>
      <c r="E673" s="46">
        <v>5.0</v>
      </c>
    </row>
    <row r="674">
      <c r="A674" s="39" t="s">
        <v>377</v>
      </c>
      <c r="B674" s="39" t="s">
        <v>4356</v>
      </c>
      <c r="C674" s="35" t="s">
        <v>4357</v>
      </c>
      <c r="D674" s="46">
        <v>255.0</v>
      </c>
      <c r="E674" s="46">
        <v>6.0</v>
      </c>
    </row>
    <row r="675">
      <c r="A675" s="39" t="s">
        <v>377</v>
      </c>
      <c r="B675" s="39" t="s">
        <v>4358</v>
      </c>
      <c r="C675" s="35" t="s">
        <v>4359</v>
      </c>
      <c r="D675" s="46">
        <v>255.0</v>
      </c>
      <c r="E675" s="46">
        <v>7.0</v>
      </c>
    </row>
    <row r="676">
      <c r="A676" s="39" t="s">
        <v>377</v>
      </c>
      <c r="B676" s="39" t="s">
        <v>4360</v>
      </c>
      <c r="C676" s="35" t="s">
        <v>4361</v>
      </c>
      <c r="D676" s="46">
        <v>255.0</v>
      </c>
      <c r="E676" s="46">
        <v>8.0</v>
      </c>
    </row>
    <row r="677">
      <c r="A677" s="39" t="s">
        <v>377</v>
      </c>
      <c r="B677" s="39" t="s">
        <v>4362</v>
      </c>
      <c r="C677" s="76" t="s">
        <v>4363</v>
      </c>
      <c r="D677" s="46">
        <v>255.0</v>
      </c>
      <c r="E677" s="46">
        <v>9.0</v>
      </c>
    </row>
    <row r="678">
      <c r="A678" s="39" t="s">
        <v>377</v>
      </c>
      <c r="B678" s="39" t="s">
        <v>383</v>
      </c>
      <c r="C678" s="35" t="s">
        <v>4364</v>
      </c>
      <c r="D678" s="46">
        <v>255.0</v>
      </c>
      <c r="E678" s="46">
        <v>10.0</v>
      </c>
    </row>
    <row r="679">
      <c r="A679" s="39" t="s">
        <v>377</v>
      </c>
      <c r="B679" s="39" t="s">
        <v>385</v>
      </c>
      <c r="C679" s="35" t="s">
        <v>4365</v>
      </c>
      <c r="D679" s="46">
        <v>255.0</v>
      </c>
      <c r="E679" s="46">
        <v>11.0</v>
      </c>
    </row>
    <row r="680">
      <c r="A680" s="39" t="s">
        <v>377</v>
      </c>
      <c r="B680" s="39" t="s">
        <v>389</v>
      </c>
      <c r="C680" s="35" t="s">
        <v>4366</v>
      </c>
      <c r="D680" s="46">
        <v>255.0</v>
      </c>
      <c r="E680" s="46">
        <v>12.0</v>
      </c>
    </row>
    <row r="681">
      <c r="A681" s="39" t="s">
        <v>377</v>
      </c>
      <c r="B681" s="39" t="s">
        <v>387</v>
      </c>
      <c r="C681" s="35" t="s">
        <v>4367</v>
      </c>
      <c r="D681" s="46">
        <v>255.0</v>
      </c>
      <c r="E681" s="46">
        <v>13.0</v>
      </c>
    </row>
    <row r="682">
      <c r="A682" s="39" t="s">
        <v>377</v>
      </c>
      <c r="B682" s="39" t="s">
        <v>393</v>
      </c>
      <c r="C682" s="35" t="s">
        <v>4368</v>
      </c>
      <c r="D682" s="46">
        <v>255.0</v>
      </c>
      <c r="E682" s="46">
        <v>14.0</v>
      </c>
    </row>
    <row r="683">
      <c r="A683" s="39" t="s">
        <v>377</v>
      </c>
      <c r="B683" s="39" t="s">
        <v>391</v>
      </c>
      <c r="C683" s="35" t="s">
        <v>4369</v>
      </c>
      <c r="D683" s="46">
        <v>255.0</v>
      </c>
      <c r="E683" s="46">
        <v>15.0</v>
      </c>
    </row>
    <row r="684">
      <c r="A684" s="39" t="s">
        <v>377</v>
      </c>
      <c r="B684" s="39" t="s">
        <v>4344</v>
      </c>
      <c r="C684" s="35" t="s">
        <v>4345</v>
      </c>
      <c r="D684" s="46">
        <v>255.0</v>
      </c>
      <c r="E684" s="46">
        <v>65.0</v>
      </c>
    </row>
    <row r="685">
      <c r="A685" s="76" t="s">
        <v>377</v>
      </c>
      <c r="B685" s="76" t="s">
        <v>395</v>
      </c>
      <c r="C685" s="76" t="s">
        <v>4370</v>
      </c>
      <c r="D685" s="97">
        <v>255.0</v>
      </c>
      <c r="E685" s="97">
        <v>66.0</v>
      </c>
    </row>
    <row r="686">
      <c r="A686" s="39" t="s">
        <v>416</v>
      </c>
      <c r="B686" s="39" t="s">
        <v>4291</v>
      </c>
      <c r="C686" s="35" t="s">
        <v>4292</v>
      </c>
      <c r="D686" s="46">
        <v>256.0</v>
      </c>
      <c r="E686" s="46">
        <v>1.0</v>
      </c>
    </row>
    <row r="687">
      <c r="A687" s="39" t="s">
        <v>416</v>
      </c>
      <c r="B687" s="39" t="s">
        <v>4293</v>
      </c>
      <c r="C687" s="35" t="s">
        <v>4294</v>
      </c>
      <c r="D687" s="46">
        <v>256.0</v>
      </c>
      <c r="E687" s="46">
        <v>2.0</v>
      </c>
    </row>
    <row r="688">
      <c r="A688" s="39" t="s">
        <v>416</v>
      </c>
      <c r="B688" s="39" t="s">
        <v>4295</v>
      </c>
      <c r="C688" s="35" t="s">
        <v>4296</v>
      </c>
      <c r="D688" s="46">
        <v>256.0</v>
      </c>
      <c r="E688" s="46">
        <v>3.0</v>
      </c>
    </row>
    <row r="689">
      <c r="A689" s="39" t="s">
        <v>416</v>
      </c>
      <c r="B689" s="39" t="s">
        <v>4297</v>
      </c>
      <c r="C689" s="35" t="s">
        <v>4298</v>
      </c>
      <c r="D689" s="46">
        <v>256.0</v>
      </c>
      <c r="E689" s="46">
        <v>4.0</v>
      </c>
    </row>
    <row r="690">
      <c r="A690" s="39" t="s">
        <v>416</v>
      </c>
      <c r="B690" s="39" t="s">
        <v>4299</v>
      </c>
      <c r="C690" s="35" t="s">
        <v>4300</v>
      </c>
      <c r="D690" s="46">
        <v>256.0</v>
      </c>
      <c r="E690" s="46">
        <v>5.0</v>
      </c>
    </row>
    <row r="691">
      <c r="A691" s="39" t="s">
        <v>416</v>
      </c>
      <c r="B691" s="39" t="s">
        <v>4301</v>
      </c>
      <c r="C691" s="35" t="s">
        <v>4302</v>
      </c>
      <c r="D691" s="46">
        <v>256.0</v>
      </c>
      <c r="E691" s="46">
        <v>6.0</v>
      </c>
    </row>
    <row r="692">
      <c r="A692" s="39" t="s">
        <v>416</v>
      </c>
      <c r="B692" s="39" t="s">
        <v>414</v>
      </c>
      <c r="C692" s="35" t="s">
        <v>4303</v>
      </c>
      <c r="D692" s="46">
        <v>256.0</v>
      </c>
      <c r="E692" s="46">
        <v>7.0</v>
      </c>
    </row>
    <row r="693">
      <c r="A693" s="39" t="s">
        <v>416</v>
      </c>
      <c r="B693" s="39" t="s">
        <v>4304</v>
      </c>
      <c r="C693" s="35" t="s">
        <v>4305</v>
      </c>
      <c r="D693" s="46">
        <v>256.0</v>
      </c>
      <c r="E693" s="46">
        <v>8.0</v>
      </c>
    </row>
    <row r="694">
      <c r="A694" s="39" t="s">
        <v>416</v>
      </c>
      <c r="B694" s="39" t="s">
        <v>4306</v>
      </c>
      <c r="C694" s="76" t="s">
        <v>4307</v>
      </c>
      <c r="D694" s="46">
        <v>256.0</v>
      </c>
      <c r="E694" s="46">
        <v>9.0</v>
      </c>
    </row>
    <row r="695">
      <c r="A695" s="39" t="s">
        <v>416</v>
      </c>
      <c r="B695" s="39" t="s">
        <v>421</v>
      </c>
      <c r="C695" s="35" t="s">
        <v>4308</v>
      </c>
      <c r="D695" s="46">
        <v>256.0</v>
      </c>
      <c r="E695" s="46">
        <v>10.0</v>
      </c>
    </row>
    <row r="696">
      <c r="A696" s="39" t="s">
        <v>416</v>
      </c>
      <c r="B696" s="39" t="s">
        <v>423</v>
      </c>
      <c r="C696" s="35" t="s">
        <v>4309</v>
      </c>
      <c r="D696" s="46">
        <v>256.0</v>
      </c>
      <c r="E696" s="46">
        <v>11.0</v>
      </c>
    </row>
    <row r="697">
      <c r="A697" s="39" t="s">
        <v>416</v>
      </c>
      <c r="B697" s="39" t="s">
        <v>425</v>
      </c>
      <c r="C697" s="35" t="s">
        <v>4310</v>
      </c>
      <c r="D697" s="46">
        <v>256.0</v>
      </c>
      <c r="E697" s="46">
        <v>12.0</v>
      </c>
    </row>
    <row r="698">
      <c r="A698" s="39" t="s">
        <v>416</v>
      </c>
      <c r="B698" s="39" t="s">
        <v>427</v>
      </c>
      <c r="C698" s="35" t="s">
        <v>4311</v>
      </c>
      <c r="D698" s="46">
        <v>256.0</v>
      </c>
      <c r="E698" s="46">
        <v>13.0</v>
      </c>
    </row>
    <row r="699">
      <c r="A699" s="39" t="s">
        <v>416</v>
      </c>
      <c r="B699" s="39" t="s">
        <v>429</v>
      </c>
      <c r="C699" s="35" t="s">
        <v>4312</v>
      </c>
      <c r="D699" s="46">
        <v>256.0</v>
      </c>
      <c r="E699" s="46">
        <v>14.0</v>
      </c>
    </row>
    <row r="700">
      <c r="A700" s="39" t="s">
        <v>416</v>
      </c>
      <c r="B700" s="39" t="s">
        <v>431</v>
      </c>
      <c r="C700" s="35" t="s">
        <v>4313</v>
      </c>
      <c r="D700" s="46">
        <v>256.0</v>
      </c>
      <c r="E700" s="46">
        <v>15.0</v>
      </c>
    </row>
    <row r="701">
      <c r="A701" s="39" t="s">
        <v>416</v>
      </c>
      <c r="B701" s="39" t="s">
        <v>4289</v>
      </c>
      <c r="C701" s="35" t="s">
        <v>4290</v>
      </c>
      <c r="D701" s="46">
        <v>256.0</v>
      </c>
      <c r="E701" s="46">
        <v>70.0</v>
      </c>
    </row>
    <row r="702">
      <c r="A702" s="76" t="s">
        <v>416</v>
      </c>
      <c r="B702" s="76" t="s">
        <v>433</v>
      </c>
      <c r="C702" s="76" t="s">
        <v>4314</v>
      </c>
      <c r="D702" s="97">
        <v>256.0</v>
      </c>
      <c r="E702" s="97">
        <v>539.0</v>
      </c>
    </row>
    <row r="703">
      <c r="A703" s="39" t="s">
        <v>397</v>
      </c>
      <c r="B703" s="39" t="s">
        <v>4317</v>
      </c>
      <c r="C703" s="35" t="s">
        <v>4318</v>
      </c>
      <c r="D703" s="46">
        <v>259.0</v>
      </c>
      <c r="E703" s="46">
        <v>1.0</v>
      </c>
    </row>
    <row r="704">
      <c r="A704" s="39" t="s">
        <v>397</v>
      </c>
      <c r="B704" s="39" t="s">
        <v>4319</v>
      </c>
      <c r="C704" s="35" t="s">
        <v>4320</v>
      </c>
      <c r="D704" s="46">
        <v>259.0</v>
      </c>
      <c r="E704" s="46">
        <v>2.0</v>
      </c>
    </row>
    <row r="705">
      <c r="A705" s="39" t="s">
        <v>397</v>
      </c>
      <c r="B705" s="39" t="s">
        <v>4321</v>
      </c>
      <c r="C705" s="35" t="s">
        <v>4322</v>
      </c>
      <c r="D705" s="46">
        <v>259.0</v>
      </c>
      <c r="E705" s="46">
        <v>3.0</v>
      </c>
    </row>
    <row r="706">
      <c r="A706" s="39" t="s">
        <v>397</v>
      </c>
      <c r="B706" s="39" t="s">
        <v>4323</v>
      </c>
      <c r="C706" s="35" t="s">
        <v>4324</v>
      </c>
      <c r="D706" s="46">
        <v>259.0</v>
      </c>
      <c r="E706" s="46">
        <v>4.0</v>
      </c>
    </row>
    <row r="707">
      <c r="A707" s="39" t="s">
        <v>397</v>
      </c>
      <c r="B707" s="39" t="s">
        <v>4325</v>
      </c>
      <c r="C707" s="35" t="s">
        <v>4326</v>
      </c>
      <c r="D707" s="46">
        <v>259.0</v>
      </c>
      <c r="E707" s="46">
        <v>5.0</v>
      </c>
    </row>
    <row r="708">
      <c r="A708" s="39" t="s">
        <v>397</v>
      </c>
      <c r="B708" s="39" t="s">
        <v>4327</v>
      </c>
      <c r="C708" s="35" t="s">
        <v>4328</v>
      </c>
      <c r="D708" s="46">
        <v>259.0</v>
      </c>
      <c r="E708" s="46">
        <v>6.0</v>
      </c>
    </row>
    <row r="709">
      <c r="A709" s="39" t="s">
        <v>397</v>
      </c>
      <c r="B709" s="39" t="s">
        <v>4329</v>
      </c>
      <c r="C709" s="35" t="s">
        <v>4330</v>
      </c>
      <c r="D709" s="46">
        <v>259.0</v>
      </c>
      <c r="E709" s="46">
        <v>7.0</v>
      </c>
    </row>
    <row r="710">
      <c r="A710" s="39" t="s">
        <v>397</v>
      </c>
      <c r="B710" s="39" t="s">
        <v>4331</v>
      </c>
      <c r="C710" s="35" t="s">
        <v>4332</v>
      </c>
      <c r="D710" s="46">
        <v>259.0</v>
      </c>
      <c r="E710" s="46">
        <v>8.0</v>
      </c>
    </row>
    <row r="711">
      <c r="A711" s="39" t="s">
        <v>397</v>
      </c>
      <c r="B711" s="39" t="s">
        <v>4333</v>
      </c>
      <c r="C711" s="76" t="s">
        <v>4334</v>
      </c>
      <c r="D711" s="46">
        <v>259.0</v>
      </c>
      <c r="E711" s="46">
        <v>9.0</v>
      </c>
    </row>
    <row r="712">
      <c r="A712" s="39" t="s">
        <v>397</v>
      </c>
      <c r="B712" s="39" t="s">
        <v>402</v>
      </c>
      <c r="C712" s="35" t="s">
        <v>4335</v>
      </c>
      <c r="D712" s="46">
        <v>259.0</v>
      </c>
      <c r="E712" s="46">
        <v>10.0</v>
      </c>
    </row>
    <row r="713">
      <c r="A713" s="39" t="s">
        <v>397</v>
      </c>
      <c r="B713" s="39" t="s">
        <v>404</v>
      </c>
      <c r="C713" s="35" t="s">
        <v>4336</v>
      </c>
      <c r="D713" s="46">
        <v>259.0</v>
      </c>
      <c r="E713" s="46">
        <v>11.0</v>
      </c>
    </row>
    <row r="714">
      <c r="A714" s="39" t="s">
        <v>397</v>
      </c>
      <c r="B714" s="39" t="s">
        <v>406</v>
      </c>
      <c r="C714" s="35" t="s">
        <v>4337</v>
      </c>
      <c r="D714" s="46">
        <v>259.0</v>
      </c>
      <c r="E714" s="46">
        <v>12.0</v>
      </c>
    </row>
    <row r="715">
      <c r="A715" s="39" t="s">
        <v>397</v>
      </c>
      <c r="B715" s="39" t="s">
        <v>4338</v>
      </c>
      <c r="C715" s="35" t="s">
        <v>4339</v>
      </c>
      <c r="D715" s="46">
        <v>259.0</v>
      </c>
      <c r="E715" s="46">
        <v>13.0</v>
      </c>
    </row>
    <row r="716">
      <c r="A716" s="39" t="s">
        <v>397</v>
      </c>
      <c r="B716" s="39" t="s">
        <v>410</v>
      </c>
      <c r="C716" s="35" t="s">
        <v>4340</v>
      </c>
      <c r="D716" s="46">
        <v>259.0</v>
      </c>
      <c r="E716" s="46">
        <v>14.0</v>
      </c>
    </row>
    <row r="717">
      <c r="A717" s="39" t="s">
        <v>397</v>
      </c>
      <c r="B717" s="39" t="s">
        <v>412</v>
      </c>
      <c r="C717" s="35" t="s">
        <v>4341</v>
      </c>
      <c r="D717" s="46">
        <v>259.0</v>
      </c>
      <c r="E717" s="46">
        <v>15.0</v>
      </c>
    </row>
    <row r="718">
      <c r="A718" s="39" t="s">
        <v>397</v>
      </c>
      <c r="C718" s="35" t="s">
        <v>4343</v>
      </c>
      <c r="D718" s="46">
        <v>259.0</v>
      </c>
      <c r="E718" s="46">
        <v>27.0</v>
      </c>
    </row>
    <row r="719">
      <c r="A719" s="39" t="s">
        <v>397</v>
      </c>
      <c r="B719" s="39" t="s">
        <v>4315</v>
      </c>
      <c r="C719" s="35" t="s">
        <v>4316</v>
      </c>
      <c r="D719" s="46">
        <v>259.0</v>
      </c>
      <c r="E719" s="46">
        <v>220.0</v>
      </c>
    </row>
    <row r="720">
      <c r="A720" s="76" t="s">
        <v>397</v>
      </c>
      <c r="B720" s="76" t="s">
        <v>4287</v>
      </c>
      <c r="C720" s="76" t="s">
        <v>4342</v>
      </c>
      <c r="D720" s="97">
        <v>259.0</v>
      </c>
      <c r="E720" s="97">
        <v>540.0</v>
      </c>
    </row>
    <row r="721">
      <c r="A721" s="38" t="s">
        <v>648</v>
      </c>
      <c r="B721" s="38" t="s">
        <v>699</v>
      </c>
      <c r="C721" s="4" t="s">
        <v>4004</v>
      </c>
      <c r="D721" s="46">
        <v>261.0</v>
      </c>
      <c r="E721" s="46">
        <v>6.0</v>
      </c>
      <c r="G721" s="38" t="s">
        <v>4005</v>
      </c>
      <c r="H721" s="35"/>
    </row>
    <row r="722">
      <c r="A722" s="38" t="s">
        <v>648</v>
      </c>
      <c r="B722" s="38" t="s">
        <v>4001</v>
      </c>
      <c r="C722" s="35" t="s">
        <v>4002</v>
      </c>
      <c r="D722" s="46">
        <v>261.0</v>
      </c>
      <c r="E722" s="46">
        <v>7.0</v>
      </c>
      <c r="F722" s="38" t="s">
        <v>4003</v>
      </c>
      <c r="G722" s="35"/>
      <c r="H722" s="35"/>
    </row>
    <row r="723">
      <c r="A723" s="38" t="s">
        <v>307</v>
      </c>
      <c r="B723" s="39" t="s">
        <v>4236</v>
      </c>
      <c r="C723" s="35" t="s">
        <v>4237</v>
      </c>
      <c r="D723" s="46">
        <v>263.0</v>
      </c>
      <c r="E723" s="46">
        <v>3.0</v>
      </c>
      <c r="F723" s="38" t="s">
        <v>4238</v>
      </c>
      <c r="G723" s="38"/>
    </row>
    <row r="724">
      <c r="A724" s="38" t="s">
        <v>307</v>
      </c>
      <c r="B724" s="38" t="s">
        <v>4239</v>
      </c>
      <c r="C724" s="38" t="s">
        <v>4240</v>
      </c>
      <c r="D724" s="46">
        <v>263.0</v>
      </c>
      <c r="E724" s="46">
        <v>10.0</v>
      </c>
      <c r="G724" s="35"/>
    </row>
    <row r="725">
      <c r="A725" s="38" t="s">
        <v>307</v>
      </c>
      <c r="B725" s="38" t="s">
        <v>320</v>
      </c>
      <c r="C725" s="35" t="s">
        <v>4241</v>
      </c>
      <c r="D725" s="46">
        <v>263.0</v>
      </c>
      <c r="E725" s="46">
        <v>12.0</v>
      </c>
      <c r="G725" s="35"/>
    </row>
    <row r="726">
      <c r="A726" s="39" t="s">
        <v>226</v>
      </c>
      <c r="B726" s="35" t="s">
        <v>4922</v>
      </c>
      <c r="C726" s="76" t="s">
        <v>4923</v>
      </c>
      <c r="D726" s="46">
        <v>264.0</v>
      </c>
      <c r="E726" s="46">
        <v>1.0</v>
      </c>
      <c r="F726" s="38" t="s">
        <v>4924</v>
      </c>
      <c r="G726" s="35"/>
    </row>
    <row r="727">
      <c r="A727" s="39" t="s">
        <v>226</v>
      </c>
      <c r="B727" s="57" t="s">
        <v>4925</v>
      </c>
      <c r="C727" s="4" t="s">
        <v>4926</v>
      </c>
      <c r="D727" s="46">
        <v>264.0</v>
      </c>
      <c r="E727" s="46">
        <v>2.0</v>
      </c>
      <c r="F727" s="38" t="s">
        <v>4927</v>
      </c>
      <c r="G727" s="35"/>
    </row>
    <row r="728">
      <c r="A728" s="39" t="s">
        <v>226</v>
      </c>
      <c r="B728" s="35" t="s">
        <v>4928</v>
      </c>
      <c r="C728" s="76" t="s">
        <v>4929</v>
      </c>
      <c r="D728" s="46">
        <v>264.0</v>
      </c>
      <c r="E728" s="46">
        <v>3.0</v>
      </c>
      <c r="F728" s="38" t="s">
        <v>4930</v>
      </c>
      <c r="G728" s="35"/>
    </row>
    <row r="729">
      <c r="A729" s="39" t="s">
        <v>226</v>
      </c>
      <c r="B729" s="57" t="s">
        <v>4931</v>
      </c>
      <c r="C729" s="4" t="s">
        <v>4932</v>
      </c>
      <c r="D729" s="46">
        <v>264.0</v>
      </c>
      <c r="E729" s="46">
        <v>9.0</v>
      </c>
      <c r="F729" s="38" t="s">
        <v>4933</v>
      </c>
      <c r="G729" s="35"/>
    </row>
    <row r="730">
      <c r="A730" s="38" t="s">
        <v>232</v>
      </c>
      <c r="B730" s="38" t="s">
        <v>275</v>
      </c>
      <c r="C730" s="4" t="s">
        <v>4009</v>
      </c>
      <c r="D730" s="46">
        <v>265.0</v>
      </c>
      <c r="E730" s="46">
        <v>6.0</v>
      </c>
      <c r="G730" s="38" t="s">
        <v>4010</v>
      </c>
      <c r="H730" s="35"/>
    </row>
    <row r="731">
      <c r="A731" s="38" t="s">
        <v>232</v>
      </c>
      <c r="B731" s="38" t="s">
        <v>4006</v>
      </c>
      <c r="C731" s="76" t="s">
        <v>4007</v>
      </c>
      <c r="D731" s="46">
        <v>265.0</v>
      </c>
      <c r="E731" s="46">
        <v>7.0</v>
      </c>
      <c r="F731" s="38" t="s">
        <v>4008</v>
      </c>
      <c r="G731" s="35"/>
      <c r="H731" s="35"/>
    </row>
    <row r="732">
      <c r="A732" s="38" t="s">
        <v>307</v>
      </c>
      <c r="B732" s="38" t="s">
        <v>335</v>
      </c>
      <c r="C732" s="4" t="s">
        <v>4014</v>
      </c>
      <c r="D732" s="46">
        <v>266.0</v>
      </c>
      <c r="E732" s="46">
        <v>6.0</v>
      </c>
      <c r="G732" s="38" t="s">
        <v>4015</v>
      </c>
      <c r="H732" s="35"/>
    </row>
    <row r="733">
      <c r="A733" s="38" t="s">
        <v>307</v>
      </c>
      <c r="B733" s="38" t="s">
        <v>4011</v>
      </c>
      <c r="C733" s="76" t="s">
        <v>4012</v>
      </c>
      <c r="D733" s="46">
        <v>266.0</v>
      </c>
      <c r="E733" s="46">
        <v>7.0</v>
      </c>
      <c r="F733" s="38" t="s">
        <v>4013</v>
      </c>
      <c r="G733" s="35"/>
      <c r="H733" s="35"/>
    </row>
    <row r="734">
      <c r="A734" s="38" t="s">
        <v>232</v>
      </c>
      <c r="B734" s="35"/>
      <c r="C734" s="35" t="s">
        <v>4233</v>
      </c>
      <c r="D734" s="46">
        <v>267.0</v>
      </c>
      <c r="E734" s="46">
        <v>1.0</v>
      </c>
      <c r="G734" s="35"/>
    </row>
    <row r="735">
      <c r="A735" s="38" t="s">
        <v>232</v>
      </c>
      <c r="B735" s="38" t="s">
        <v>257</v>
      </c>
      <c r="C735" s="38" t="s">
        <v>4234</v>
      </c>
      <c r="D735" s="46">
        <v>267.0</v>
      </c>
      <c r="E735" s="46">
        <v>9.0</v>
      </c>
      <c r="G735" s="35"/>
    </row>
    <row r="736">
      <c r="A736" s="38" t="s">
        <v>232</v>
      </c>
      <c r="B736" s="38" t="s">
        <v>255</v>
      </c>
      <c r="C736" s="38" t="s">
        <v>4235</v>
      </c>
      <c r="D736" s="46">
        <v>267.0</v>
      </c>
      <c r="E736" s="46">
        <v>11.0</v>
      </c>
      <c r="G736" s="35"/>
    </row>
    <row r="737">
      <c r="A737" s="39" t="s">
        <v>232</v>
      </c>
      <c r="B737" s="35" t="s">
        <v>4934</v>
      </c>
      <c r="C737" s="76" t="s">
        <v>4935</v>
      </c>
      <c r="D737" s="46">
        <v>268.0</v>
      </c>
      <c r="E737" s="46">
        <v>1.0</v>
      </c>
      <c r="F737" s="38" t="s">
        <v>4936</v>
      </c>
      <c r="G737" s="35"/>
    </row>
    <row r="738">
      <c r="A738" s="39" t="s">
        <v>232</v>
      </c>
      <c r="B738" s="57" t="s">
        <v>4937</v>
      </c>
      <c r="C738" s="4" t="s">
        <v>4938</v>
      </c>
      <c r="D738" s="46">
        <v>268.0</v>
      </c>
      <c r="E738" s="46">
        <v>2.0</v>
      </c>
      <c r="F738" s="38" t="s">
        <v>4939</v>
      </c>
      <c r="G738" s="35"/>
    </row>
    <row r="739">
      <c r="A739" s="39" t="s">
        <v>232</v>
      </c>
      <c r="B739" s="57" t="s">
        <v>4940</v>
      </c>
      <c r="C739" s="4" t="s">
        <v>4941</v>
      </c>
      <c r="D739" s="46">
        <v>268.0</v>
      </c>
      <c r="E739" s="46">
        <v>3.0</v>
      </c>
      <c r="F739" s="38" t="s">
        <v>4942</v>
      </c>
      <c r="G739" s="35"/>
    </row>
    <row r="740">
      <c r="A740" s="39" t="s">
        <v>232</v>
      </c>
      <c r="B740" s="35" t="s">
        <v>4943</v>
      </c>
      <c r="C740" s="76" t="s">
        <v>4944</v>
      </c>
      <c r="D740" s="46">
        <v>268.0</v>
      </c>
      <c r="E740" s="46">
        <v>9.0</v>
      </c>
      <c r="F740" s="38" t="s">
        <v>4945</v>
      </c>
      <c r="G740" s="35"/>
    </row>
    <row r="741">
      <c r="A741" s="38" t="s">
        <v>716</v>
      </c>
      <c r="B741" s="38" t="s">
        <v>755</v>
      </c>
      <c r="C741" s="76" t="s">
        <v>4016</v>
      </c>
      <c r="D741" s="46">
        <v>269.0</v>
      </c>
      <c r="E741" s="46">
        <v>6.0</v>
      </c>
      <c r="G741" s="38" t="s">
        <v>4017</v>
      </c>
      <c r="H741" s="35"/>
    </row>
    <row r="742">
      <c r="A742" s="38" t="s">
        <v>716</v>
      </c>
      <c r="B742" s="38" t="s">
        <v>4018</v>
      </c>
      <c r="C742" s="76" t="s">
        <v>4019</v>
      </c>
      <c r="D742" s="46">
        <v>269.0</v>
      </c>
      <c r="E742" s="46">
        <v>7.0</v>
      </c>
      <c r="F742" s="38" t="s">
        <v>4020</v>
      </c>
      <c r="G742" s="35"/>
      <c r="H742" s="35"/>
    </row>
    <row r="743">
      <c r="A743" s="38" t="s">
        <v>148</v>
      </c>
      <c r="B743" s="38" t="s">
        <v>174</v>
      </c>
      <c r="C743" s="35" t="s">
        <v>4230</v>
      </c>
      <c r="D743" s="46">
        <v>270.0</v>
      </c>
      <c r="E743" s="46">
        <v>6.0</v>
      </c>
      <c r="G743" s="35"/>
    </row>
    <row r="744">
      <c r="A744" s="38" t="s">
        <v>148</v>
      </c>
      <c r="B744" s="38" t="s">
        <v>176</v>
      </c>
      <c r="C744" s="38" t="s">
        <v>4231</v>
      </c>
      <c r="D744" s="46">
        <v>270.0</v>
      </c>
      <c r="E744" s="46">
        <v>8.0</v>
      </c>
      <c r="G744" s="38"/>
    </row>
    <row r="745">
      <c r="A745" s="38" t="s">
        <v>148</v>
      </c>
      <c r="B745" s="35"/>
      <c r="C745" s="35" t="s">
        <v>4232</v>
      </c>
      <c r="D745" s="46">
        <v>270.0</v>
      </c>
      <c r="E745" s="46">
        <v>10.0</v>
      </c>
      <c r="G745" s="38"/>
    </row>
    <row r="746">
      <c r="A746" s="39" t="s">
        <v>307</v>
      </c>
      <c r="B746" s="35" t="s">
        <v>4946</v>
      </c>
      <c r="C746" s="76" t="s">
        <v>4947</v>
      </c>
      <c r="D746" s="46">
        <v>271.0</v>
      </c>
      <c r="E746" s="46">
        <v>1.0</v>
      </c>
      <c r="F746" s="38" t="s">
        <v>4948</v>
      </c>
      <c r="G746" s="35"/>
    </row>
    <row r="747">
      <c r="A747" s="39" t="s">
        <v>307</v>
      </c>
      <c r="B747" s="35" t="s">
        <v>4949</v>
      </c>
      <c r="C747" s="76" t="s">
        <v>4950</v>
      </c>
      <c r="D747" s="46">
        <v>271.0</v>
      </c>
      <c r="E747" s="46">
        <v>2.0</v>
      </c>
      <c r="F747" s="38" t="s">
        <v>4951</v>
      </c>
      <c r="G747" s="35"/>
    </row>
    <row r="748">
      <c r="A748" s="39" t="s">
        <v>307</v>
      </c>
      <c r="B748" s="57" t="s">
        <v>4952</v>
      </c>
      <c r="C748" s="4" t="s">
        <v>4953</v>
      </c>
      <c r="D748" s="46">
        <v>271.0</v>
      </c>
      <c r="E748" s="46">
        <v>3.0</v>
      </c>
      <c r="F748" s="38" t="s">
        <v>4954</v>
      </c>
      <c r="G748" s="35"/>
    </row>
    <row r="749">
      <c r="A749" s="39" t="s">
        <v>307</v>
      </c>
      <c r="B749" s="57" t="s">
        <v>4955</v>
      </c>
      <c r="C749" s="4" t="s">
        <v>4956</v>
      </c>
      <c r="D749" s="46">
        <v>271.0</v>
      </c>
      <c r="E749" s="46">
        <v>9.0</v>
      </c>
      <c r="F749" s="38" t="s">
        <v>4957</v>
      </c>
      <c r="G749" s="35"/>
    </row>
    <row r="750">
      <c r="A750" s="38" t="s">
        <v>454</v>
      </c>
      <c r="B750" s="35"/>
      <c r="C750" s="35" t="s">
        <v>4242</v>
      </c>
      <c r="D750" s="46">
        <v>272.0</v>
      </c>
      <c r="E750" s="46">
        <v>1.0</v>
      </c>
      <c r="G750" s="35"/>
    </row>
    <row r="751">
      <c r="A751" s="38" t="s">
        <v>454</v>
      </c>
      <c r="B751" s="38" t="s">
        <v>477</v>
      </c>
      <c r="C751" s="38" t="s">
        <v>4243</v>
      </c>
      <c r="D751" s="46">
        <v>272.0</v>
      </c>
      <c r="E751" s="46">
        <v>7.0</v>
      </c>
      <c r="G751" s="38"/>
    </row>
    <row r="752">
      <c r="A752" s="38" t="s">
        <v>454</v>
      </c>
      <c r="B752" s="38" t="s">
        <v>473</v>
      </c>
      <c r="C752" s="38" t="s">
        <v>4244</v>
      </c>
      <c r="D752" s="46">
        <v>272.0</v>
      </c>
      <c r="E752" s="46">
        <v>9.0</v>
      </c>
      <c r="G752" s="38"/>
    </row>
    <row r="753">
      <c r="A753" s="38" t="s">
        <v>454</v>
      </c>
      <c r="B753" s="38" t="s">
        <v>475</v>
      </c>
      <c r="C753" s="35"/>
      <c r="D753" s="46">
        <v>272.0</v>
      </c>
      <c r="E753" s="46">
        <v>11.0</v>
      </c>
      <c r="G753" s="38"/>
    </row>
    <row r="754">
      <c r="A754" s="38" t="s">
        <v>513</v>
      </c>
      <c r="B754" s="38" t="s">
        <v>543</v>
      </c>
      <c r="C754" s="4" t="s">
        <v>4024</v>
      </c>
      <c r="D754" s="46">
        <v>274.0</v>
      </c>
      <c r="E754" s="46">
        <v>1.0</v>
      </c>
      <c r="G754" s="38" t="s">
        <v>4025</v>
      </c>
      <c r="H754" s="35"/>
    </row>
    <row r="755">
      <c r="A755" s="38" t="s">
        <v>513</v>
      </c>
      <c r="B755" s="38" t="s">
        <v>4021</v>
      </c>
      <c r="C755" s="4" t="s">
        <v>4022</v>
      </c>
      <c r="D755" s="46">
        <v>274.0</v>
      </c>
      <c r="E755" s="46">
        <v>2.0</v>
      </c>
      <c r="F755" s="38" t="s">
        <v>4023</v>
      </c>
      <c r="G755" s="35"/>
      <c r="H755" s="35"/>
    </row>
    <row r="756">
      <c r="A756" s="38" t="s">
        <v>148</v>
      </c>
      <c r="B756" s="38" t="s">
        <v>194</v>
      </c>
      <c r="C756" s="4" t="s">
        <v>4031</v>
      </c>
      <c r="D756" s="46">
        <v>277.0</v>
      </c>
      <c r="E756" s="46">
        <v>1.0</v>
      </c>
      <c r="G756" s="38" t="s">
        <v>4032</v>
      </c>
      <c r="H756" s="35"/>
    </row>
    <row r="757">
      <c r="A757" s="38" t="s">
        <v>148</v>
      </c>
      <c r="B757" s="38" t="s">
        <v>4026</v>
      </c>
      <c r="C757" s="76" t="s">
        <v>4027</v>
      </c>
      <c r="D757" s="46">
        <v>277.0</v>
      </c>
      <c r="E757" s="46">
        <v>2.0</v>
      </c>
      <c r="F757" s="38" t="s">
        <v>4028</v>
      </c>
      <c r="G757" s="35"/>
      <c r="H757" s="35"/>
    </row>
    <row r="758">
      <c r="A758" s="38" t="s">
        <v>513</v>
      </c>
      <c r="B758" s="35"/>
      <c r="C758" s="35" t="s">
        <v>4245</v>
      </c>
      <c r="D758" s="46">
        <v>278.0</v>
      </c>
      <c r="E758" s="46">
        <v>2.0</v>
      </c>
      <c r="G758" s="38"/>
    </row>
    <row r="759">
      <c r="A759" s="38" t="s">
        <v>513</v>
      </c>
      <c r="B759" s="38" t="s">
        <v>525</v>
      </c>
      <c r="C759" s="38" t="s">
        <v>4246</v>
      </c>
      <c r="D759" s="46">
        <v>278.0</v>
      </c>
      <c r="E759" s="46">
        <v>10.0</v>
      </c>
      <c r="G759" s="38"/>
    </row>
    <row r="760">
      <c r="A760" s="38" t="s">
        <v>513</v>
      </c>
      <c r="B760" s="38" t="s">
        <v>523</v>
      </c>
      <c r="C760" s="38" t="s">
        <v>4247</v>
      </c>
      <c r="D760" s="46">
        <v>278.0</v>
      </c>
      <c r="E760" s="46">
        <v>11.0</v>
      </c>
      <c r="G760" s="38"/>
    </row>
    <row r="761">
      <c r="A761" s="38" t="s">
        <v>513</v>
      </c>
      <c r="B761" s="38" t="s">
        <v>527</v>
      </c>
      <c r="C761" s="38" t="s">
        <v>4248</v>
      </c>
      <c r="D761" s="46">
        <v>278.0</v>
      </c>
      <c r="E761" s="46">
        <v>14.0</v>
      </c>
      <c r="G761" s="38"/>
    </row>
    <row r="762">
      <c r="A762" s="38" t="s">
        <v>307</v>
      </c>
      <c r="B762" s="38" t="s">
        <v>343</v>
      </c>
      <c r="C762" s="4" t="s">
        <v>4813</v>
      </c>
      <c r="D762" s="46">
        <v>279.0</v>
      </c>
      <c r="E762" s="46">
        <v>1.0</v>
      </c>
      <c r="F762" s="39" t="s">
        <v>4814</v>
      </c>
      <c r="G762" s="38" t="s">
        <v>4815</v>
      </c>
      <c r="H762" s="39" t="s">
        <v>4816</v>
      </c>
    </row>
    <row r="763">
      <c r="A763" s="38" t="s">
        <v>307</v>
      </c>
      <c r="B763" s="38" t="s">
        <v>4817</v>
      </c>
      <c r="C763" s="76" t="s">
        <v>4818</v>
      </c>
      <c r="D763" s="46">
        <v>279.0</v>
      </c>
      <c r="E763" s="46">
        <v>2.0</v>
      </c>
      <c r="F763" s="38" t="s">
        <v>4819</v>
      </c>
      <c r="G763" s="35"/>
    </row>
    <row r="764">
      <c r="A764" s="38" t="s">
        <v>307</v>
      </c>
      <c r="B764" s="38" t="s">
        <v>4820</v>
      </c>
      <c r="C764" s="4" t="s">
        <v>4821</v>
      </c>
      <c r="D764" s="46">
        <v>279.0</v>
      </c>
      <c r="E764" s="46">
        <v>8.0</v>
      </c>
      <c r="F764" s="39" t="s">
        <v>4814</v>
      </c>
      <c r="G764" s="38" t="s">
        <v>4822</v>
      </c>
      <c r="H764" s="39" t="s">
        <v>4816</v>
      </c>
    </row>
    <row r="765">
      <c r="A765" s="39" t="s">
        <v>454</v>
      </c>
      <c r="B765" s="35" t="s">
        <v>4958</v>
      </c>
      <c r="C765" s="76" t="s">
        <v>4959</v>
      </c>
      <c r="D765" s="46">
        <v>281.0</v>
      </c>
      <c r="E765" s="46">
        <v>1.0</v>
      </c>
      <c r="F765" s="38" t="s">
        <v>4960</v>
      </c>
      <c r="G765" s="35"/>
    </row>
    <row r="766">
      <c r="A766" s="39" t="s">
        <v>454</v>
      </c>
      <c r="B766" s="35" t="s">
        <v>4961</v>
      </c>
      <c r="C766" s="76" t="s">
        <v>4962</v>
      </c>
      <c r="D766" s="46">
        <v>281.0</v>
      </c>
      <c r="E766" s="46">
        <v>2.0</v>
      </c>
      <c r="F766" s="38" t="s">
        <v>4963</v>
      </c>
      <c r="G766" s="35"/>
    </row>
    <row r="767">
      <c r="A767" s="39" t="s">
        <v>454</v>
      </c>
      <c r="B767" s="35" t="s">
        <v>4964</v>
      </c>
      <c r="C767" s="76" t="s">
        <v>4965</v>
      </c>
      <c r="D767" s="46">
        <v>281.0</v>
      </c>
      <c r="E767" s="46">
        <v>3.0</v>
      </c>
      <c r="F767" s="38" t="s">
        <v>4966</v>
      </c>
      <c r="G767" s="35"/>
    </row>
    <row r="768">
      <c r="A768" s="39" t="s">
        <v>454</v>
      </c>
      <c r="B768" s="35" t="s">
        <v>4967</v>
      </c>
      <c r="C768" s="76" t="s">
        <v>4968</v>
      </c>
      <c r="D768" s="46">
        <v>281.0</v>
      </c>
      <c r="E768" s="46">
        <v>9.0</v>
      </c>
      <c r="F768" s="38" t="s">
        <v>4969</v>
      </c>
      <c r="G768" s="35"/>
    </row>
    <row r="769">
      <c r="A769" s="39" t="s">
        <v>716</v>
      </c>
      <c r="B769" s="39" t="s">
        <v>763</v>
      </c>
      <c r="C769" s="4" t="s">
        <v>4864</v>
      </c>
      <c r="D769" s="47">
        <v>283.0</v>
      </c>
      <c r="E769" s="47">
        <v>6.0</v>
      </c>
      <c r="F769" s="39" t="s">
        <v>4865</v>
      </c>
      <c r="G769" s="39" t="s">
        <v>4866</v>
      </c>
    </row>
    <row r="770">
      <c r="A770" s="39" t="s">
        <v>716</v>
      </c>
      <c r="B770" s="39" t="s">
        <v>761</v>
      </c>
      <c r="C770" s="4" t="s">
        <v>4867</v>
      </c>
      <c r="D770" s="47">
        <v>283.0</v>
      </c>
      <c r="E770" s="47">
        <v>8.0</v>
      </c>
      <c r="F770" s="39" t="s">
        <v>4865</v>
      </c>
      <c r="G770" s="39" t="s">
        <v>4868</v>
      </c>
    </row>
    <row r="771">
      <c r="A771" s="39" t="s">
        <v>716</v>
      </c>
      <c r="B771" s="39" t="s">
        <v>4869</v>
      </c>
      <c r="C771" s="39" t="s">
        <v>4870</v>
      </c>
      <c r="D771" s="47">
        <v>283.0</v>
      </c>
      <c r="E771" s="47">
        <v>10.0</v>
      </c>
      <c r="F771" s="39" t="s">
        <v>4871</v>
      </c>
    </row>
    <row r="772">
      <c r="A772" s="39" t="s">
        <v>716</v>
      </c>
      <c r="B772" s="39" t="s">
        <v>765</v>
      </c>
      <c r="C772" s="39" t="s">
        <v>4872</v>
      </c>
      <c r="D772" s="47">
        <v>283.0</v>
      </c>
      <c r="E772" s="47">
        <v>11.0</v>
      </c>
      <c r="F772" s="39" t="s">
        <v>4873</v>
      </c>
      <c r="G772" s="39" t="s">
        <v>4874</v>
      </c>
    </row>
    <row r="773">
      <c r="A773" s="39" t="s">
        <v>135</v>
      </c>
      <c r="B773" s="57" t="s">
        <v>4875</v>
      </c>
      <c r="C773" s="4" t="s">
        <v>4876</v>
      </c>
      <c r="D773" s="46">
        <v>284.0</v>
      </c>
      <c r="E773" s="46">
        <v>1.0</v>
      </c>
      <c r="F773" s="38" t="s">
        <v>4877</v>
      </c>
      <c r="G773" s="35"/>
    </row>
    <row r="774">
      <c r="A774" s="39" t="s">
        <v>135</v>
      </c>
      <c r="B774" s="35" t="s">
        <v>4878</v>
      </c>
      <c r="C774" s="76" t="s">
        <v>4879</v>
      </c>
      <c r="D774" s="46">
        <v>284.0</v>
      </c>
      <c r="E774" s="46">
        <v>2.0</v>
      </c>
      <c r="F774" s="38" t="s">
        <v>4880</v>
      </c>
      <c r="G774" s="35"/>
    </row>
    <row r="775">
      <c r="A775" s="39" t="s">
        <v>135</v>
      </c>
      <c r="B775" s="57" t="s">
        <v>4881</v>
      </c>
      <c r="C775" s="4" t="s">
        <v>4882</v>
      </c>
      <c r="D775" s="46">
        <v>284.0</v>
      </c>
      <c r="E775" s="46">
        <v>3.0</v>
      </c>
      <c r="F775" s="38" t="s">
        <v>4883</v>
      </c>
      <c r="G775" s="35"/>
    </row>
    <row r="776">
      <c r="A776" s="39" t="s">
        <v>135</v>
      </c>
      <c r="B776" s="57" t="s">
        <v>4884</v>
      </c>
      <c r="C776" s="4" t="s">
        <v>4885</v>
      </c>
      <c r="D776" s="46">
        <v>284.0</v>
      </c>
      <c r="E776" s="46">
        <v>9.0</v>
      </c>
      <c r="F776" s="38" t="s">
        <v>4886</v>
      </c>
      <c r="G776" s="35"/>
    </row>
    <row r="777">
      <c r="A777" s="38" t="s">
        <v>454</v>
      </c>
      <c r="B777" s="38" t="s">
        <v>494</v>
      </c>
      <c r="C777" s="35" t="s">
        <v>4033</v>
      </c>
      <c r="D777" s="46">
        <v>285.0</v>
      </c>
      <c r="E777" s="46">
        <v>1.0</v>
      </c>
      <c r="G777" s="38" t="s">
        <v>4034</v>
      </c>
      <c r="H777" s="35"/>
    </row>
    <row r="778">
      <c r="A778" s="38" t="s">
        <v>454</v>
      </c>
      <c r="B778" s="38" t="s">
        <v>4035</v>
      </c>
      <c r="C778" s="35" t="s">
        <v>4036</v>
      </c>
      <c r="D778" s="46">
        <v>285.0</v>
      </c>
      <c r="E778" s="46">
        <v>2.0</v>
      </c>
      <c r="F778" s="38" t="s">
        <v>4037</v>
      </c>
      <c r="G778" s="35"/>
      <c r="H778" s="35"/>
    </row>
    <row r="779">
      <c r="A779" s="39" t="s">
        <v>4898</v>
      </c>
      <c r="B779" s="57" t="s">
        <v>4899</v>
      </c>
      <c r="C779" s="4" t="s">
        <v>4900</v>
      </c>
      <c r="D779" s="46">
        <v>286.0</v>
      </c>
      <c r="E779" s="46">
        <v>1.0</v>
      </c>
      <c r="F779" s="38" t="s">
        <v>4901</v>
      </c>
      <c r="G779" s="35"/>
    </row>
    <row r="780">
      <c r="A780" s="39" t="s">
        <v>4898</v>
      </c>
      <c r="B780" s="57" t="s">
        <v>4902</v>
      </c>
      <c r="C780" s="4" t="s">
        <v>4903</v>
      </c>
      <c r="D780" s="46">
        <v>286.0</v>
      </c>
      <c r="E780" s="46">
        <v>2.0</v>
      </c>
      <c r="F780" s="38" t="s">
        <v>4904</v>
      </c>
      <c r="G780" s="35"/>
    </row>
    <row r="781">
      <c r="A781" s="39" t="s">
        <v>4898</v>
      </c>
      <c r="B781" s="35" t="s">
        <v>4905</v>
      </c>
      <c r="C781" s="76" t="s">
        <v>4906</v>
      </c>
      <c r="D781" s="46">
        <v>286.0</v>
      </c>
      <c r="E781" s="46">
        <v>3.0</v>
      </c>
      <c r="F781" s="38" t="s">
        <v>4907</v>
      </c>
      <c r="G781" s="35"/>
    </row>
    <row r="782">
      <c r="A782" s="39" t="s">
        <v>4898</v>
      </c>
      <c r="B782" s="35" t="s">
        <v>4908</v>
      </c>
      <c r="C782" s="76" t="s">
        <v>4909</v>
      </c>
      <c r="D782" s="46">
        <v>286.0</v>
      </c>
      <c r="E782" s="46">
        <v>9.0</v>
      </c>
      <c r="F782" s="38" t="s">
        <v>4910</v>
      </c>
      <c r="G782" s="35"/>
    </row>
    <row r="783">
      <c r="A783" s="38" t="s">
        <v>586</v>
      </c>
      <c r="B783" s="38" t="s">
        <v>635</v>
      </c>
      <c r="C783" s="4" t="s">
        <v>4845</v>
      </c>
      <c r="D783" s="46">
        <v>287.0</v>
      </c>
      <c r="E783" s="46">
        <v>6.0</v>
      </c>
      <c r="F783" s="39" t="s">
        <v>4846</v>
      </c>
      <c r="G783" s="38" t="s">
        <v>4847</v>
      </c>
    </row>
    <row r="784">
      <c r="A784" s="38" t="s">
        <v>586</v>
      </c>
      <c r="B784" s="38" t="s">
        <v>4848</v>
      </c>
      <c r="C784" s="76" t="s">
        <v>4849</v>
      </c>
      <c r="D784" s="46">
        <v>287.0</v>
      </c>
      <c r="E784" s="46">
        <v>9.0</v>
      </c>
      <c r="F784" s="39" t="s">
        <v>4850</v>
      </c>
      <c r="G784" s="38" t="s">
        <v>4851</v>
      </c>
    </row>
    <row r="785">
      <c r="A785" s="38" t="s">
        <v>586</v>
      </c>
      <c r="B785" s="39" t="s">
        <v>4852</v>
      </c>
      <c r="C785" s="4" t="s">
        <v>4853</v>
      </c>
      <c r="D785" s="46">
        <v>287.0</v>
      </c>
      <c r="E785" s="46">
        <v>10.0</v>
      </c>
      <c r="F785" s="39" t="s">
        <v>4854</v>
      </c>
      <c r="G785" s="35"/>
    </row>
    <row r="786">
      <c r="A786" s="38" t="s">
        <v>586</v>
      </c>
      <c r="B786" s="38" t="s">
        <v>629</v>
      </c>
      <c r="C786" s="35" t="s">
        <v>4038</v>
      </c>
      <c r="D786" s="46">
        <v>290.0</v>
      </c>
      <c r="E786" s="46">
        <v>1.0</v>
      </c>
      <c r="G786" s="38" t="s">
        <v>4039</v>
      </c>
      <c r="H786" s="35"/>
    </row>
    <row r="787">
      <c r="A787" s="38" t="s">
        <v>586</v>
      </c>
      <c r="B787" s="38" t="s">
        <v>4040</v>
      </c>
      <c r="C787" s="35" t="s">
        <v>4041</v>
      </c>
      <c r="D787" s="46">
        <v>290.0</v>
      </c>
      <c r="E787" s="46">
        <v>2.0</v>
      </c>
      <c r="F787" s="38" t="s">
        <v>4042</v>
      </c>
      <c r="G787" s="35"/>
      <c r="H787" s="35"/>
    </row>
    <row r="788">
      <c r="A788" s="38" t="s">
        <v>716</v>
      </c>
      <c r="B788" s="38" t="s">
        <v>739</v>
      </c>
      <c r="C788" s="35" t="s">
        <v>4257</v>
      </c>
      <c r="D788" s="46">
        <v>291.0</v>
      </c>
      <c r="E788" s="46">
        <v>6.0</v>
      </c>
      <c r="G788" s="38"/>
    </row>
    <row r="789">
      <c r="A789" s="38" t="s">
        <v>716</v>
      </c>
      <c r="B789" s="38" t="s">
        <v>741</v>
      </c>
      <c r="C789" s="35" t="s">
        <v>4258</v>
      </c>
      <c r="D789" s="46">
        <v>291.0</v>
      </c>
      <c r="E789" s="46">
        <v>8.0</v>
      </c>
      <c r="G789" s="38"/>
    </row>
    <row r="790">
      <c r="A790" s="38" t="s">
        <v>716</v>
      </c>
      <c r="B790" s="35"/>
      <c r="C790" s="35" t="s">
        <v>4259</v>
      </c>
      <c r="D790" s="46">
        <v>291.0</v>
      </c>
      <c r="E790" s="46">
        <v>10.0</v>
      </c>
      <c r="G790" s="35"/>
    </row>
    <row r="791">
      <c r="A791" s="39" t="s">
        <v>586</v>
      </c>
      <c r="B791" s="39" t="s">
        <v>4970</v>
      </c>
      <c r="C791" s="76" t="s">
        <v>4971</v>
      </c>
      <c r="D791" s="46">
        <v>292.0</v>
      </c>
      <c r="E791" s="46">
        <v>1.0</v>
      </c>
      <c r="F791" s="38" t="s">
        <v>4972</v>
      </c>
      <c r="G791" s="35"/>
    </row>
    <row r="792">
      <c r="A792" s="39" t="s">
        <v>586</v>
      </c>
      <c r="B792" s="57" t="s">
        <v>4973</v>
      </c>
      <c r="C792" s="4" t="s">
        <v>4974</v>
      </c>
      <c r="D792" s="46">
        <v>292.0</v>
      </c>
      <c r="E792" s="46">
        <v>2.0</v>
      </c>
      <c r="F792" s="38" t="s">
        <v>4975</v>
      </c>
      <c r="G792" s="35"/>
    </row>
    <row r="793">
      <c r="A793" s="39" t="s">
        <v>586</v>
      </c>
      <c r="B793" s="57" t="s">
        <v>4976</v>
      </c>
      <c r="C793" s="4" t="s">
        <v>4977</v>
      </c>
      <c r="D793" s="46">
        <v>292.0</v>
      </c>
      <c r="E793" s="46">
        <v>3.0</v>
      </c>
      <c r="F793" s="38" t="s">
        <v>4978</v>
      </c>
      <c r="G793" s="35"/>
    </row>
    <row r="794">
      <c r="A794" s="38" t="s">
        <v>586</v>
      </c>
      <c r="B794" s="38" t="s">
        <v>4979</v>
      </c>
      <c r="C794" s="76" t="s">
        <v>4980</v>
      </c>
      <c r="D794" s="46">
        <v>292.0</v>
      </c>
      <c r="E794" s="46">
        <v>9.0</v>
      </c>
      <c r="F794" s="38" t="s">
        <v>4981</v>
      </c>
      <c r="G794" s="35"/>
    </row>
    <row r="795">
      <c r="A795" s="38" t="s">
        <v>454</v>
      </c>
      <c r="B795" s="38" t="s">
        <v>500</v>
      </c>
      <c r="C795" s="76" t="s">
        <v>4823</v>
      </c>
      <c r="D795" s="46">
        <v>293.0</v>
      </c>
      <c r="E795" s="46">
        <v>1.0</v>
      </c>
      <c r="F795" s="39" t="s">
        <v>4824</v>
      </c>
      <c r="G795" s="38" t="s">
        <v>4825</v>
      </c>
      <c r="H795" s="39" t="s">
        <v>4816</v>
      </c>
    </row>
    <row r="796">
      <c r="A796" s="38" t="s">
        <v>454</v>
      </c>
      <c r="B796" s="38" t="s">
        <v>502</v>
      </c>
      <c r="C796" s="76" t="s">
        <v>4826</v>
      </c>
      <c r="D796" s="46">
        <v>293.0</v>
      </c>
      <c r="E796" s="46">
        <v>2.0</v>
      </c>
      <c r="F796" s="39" t="s">
        <v>4827</v>
      </c>
      <c r="G796" s="38" t="s">
        <v>4828</v>
      </c>
    </row>
    <row r="797">
      <c r="A797" s="38" t="s">
        <v>454</v>
      </c>
      <c r="B797" s="38" t="s">
        <v>4829</v>
      </c>
      <c r="C797" s="76" t="s">
        <v>4830</v>
      </c>
      <c r="D797" s="46">
        <v>293.0</v>
      </c>
      <c r="E797" s="46">
        <v>4.0</v>
      </c>
      <c r="F797" s="38" t="s">
        <v>4831</v>
      </c>
      <c r="G797" s="35"/>
    </row>
    <row r="798">
      <c r="A798" s="39" t="s">
        <v>513</v>
      </c>
      <c r="B798" s="57" t="s">
        <v>4835</v>
      </c>
      <c r="C798" s="4" t="s">
        <v>4887</v>
      </c>
      <c r="D798" s="46">
        <v>296.0</v>
      </c>
      <c r="E798" s="46">
        <v>1.0</v>
      </c>
      <c r="F798" s="39" t="s">
        <v>4888</v>
      </c>
      <c r="G798" s="35"/>
    </row>
    <row r="799">
      <c r="A799" s="39" t="s">
        <v>513</v>
      </c>
      <c r="B799" s="35" t="s">
        <v>4889</v>
      </c>
      <c r="C799" s="76" t="s">
        <v>4890</v>
      </c>
      <c r="D799" s="46">
        <v>296.0</v>
      </c>
      <c r="E799" s="46">
        <v>2.0</v>
      </c>
      <c r="F799" s="39" t="s">
        <v>4891</v>
      </c>
      <c r="G799" s="35"/>
    </row>
    <row r="800">
      <c r="A800" s="39" t="s">
        <v>513</v>
      </c>
      <c r="B800" s="57" t="s">
        <v>4892</v>
      </c>
      <c r="C800" s="4" t="s">
        <v>4893</v>
      </c>
      <c r="D800" s="46">
        <v>296.0</v>
      </c>
      <c r="E800" s="46">
        <v>3.0</v>
      </c>
      <c r="F800" s="39" t="s">
        <v>4894</v>
      </c>
      <c r="G800" s="35"/>
    </row>
    <row r="801">
      <c r="A801" s="39" t="s">
        <v>513</v>
      </c>
      <c r="B801" s="35" t="s">
        <v>4895</v>
      </c>
      <c r="C801" s="76" t="s">
        <v>4896</v>
      </c>
      <c r="D801" s="46">
        <v>296.0</v>
      </c>
      <c r="E801" s="46">
        <v>9.0</v>
      </c>
      <c r="F801" s="39" t="s">
        <v>4897</v>
      </c>
      <c r="G801" s="35"/>
    </row>
    <row r="802">
      <c r="A802" s="38" t="s">
        <v>648</v>
      </c>
      <c r="B802" s="38" t="s">
        <v>670</v>
      </c>
      <c r="C802" s="38" t="s">
        <v>4254</v>
      </c>
      <c r="D802" s="46">
        <v>298.0</v>
      </c>
      <c r="E802" s="46">
        <v>6.0</v>
      </c>
      <c r="G802" s="35"/>
    </row>
    <row r="803">
      <c r="A803" s="38" t="s">
        <v>648</v>
      </c>
      <c r="B803" s="38" t="s">
        <v>672</v>
      </c>
      <c r="C803" s="38" t="s">
        <v>4255</v>
      </c>
      <c r="D803" s="46">
        <v>298.0</v>
      </c>
      <c r="E803" s="46">
        <v>8.0</v>
      </c>
      <c r="G803" s="35"/>
    </row>
    <row r="804">
      <c r="A804" s="38" t="s">
        <v>648</v>
      </c>
      <c r="B804" s="35"/>
      <c r="C804" s="35" t="s">
        <v>4256</v>
      </c>
      <c r="D804" s="46">
        <v>298.0</v>
      </c>
      <c r="E804" s="46">
        <v>10.0</v>
      </c>
      <c r="G804" s="35"/>
    </row>
    <row r="805">
      <c r="A805" s="39" t="s">
        <v>148</v>
      </c>
      <c r="B805" s="35" t="s">
        <v>3923</v>
      </c>
      <c r="C805" s="76" t="s">
        <v>4911</v>
      </c>
      <c r="D805" s="46">
        <v>299.0</v>
      </c>
      <c r="E805" s="46">
        <v>1.0</v>
      </c>
      <c r="F805" s="38" t="s">
        <v>4912</v>
      </c>
      <c r="G805" s="35"/>
    </row>
    <row r="806">
      <c r="A806" s="39" t="s">
        <v>148</v>
      </c>
      <c r="B806" s="35" t="s">
        <v>4913</v>
      </c>
      <c r="C806" s="76" t="s">
        <v>4914</v>
      </c>
      <c r="D806" s="46">
        <v>299.0</v>
      </c>
      <c r="E806" s="46">
        <v>2.0</v>
      </c>
      <c r="F806" s="38" t="s">
        <v>4915</v>
      </c>
      <c r="G806" s="35"/>
    </row>
    <row r="807">
      <c r="A807" s="39" t="s">
        <v>148</v>
      </c>
      <c r="B807" s="57" t="s">
        <v>4916</v>
      </c>
      <c r="C807" s="4" t="s">
        <v>4917</v>
      </c>
      <c r="D807" s="46">
        <v>299.0</v>
      </c>
      <c r="E807" s="46">
        <v>3.0</v>
      </c>
      <c r="F807" s="38" t="s">
        <v>4918</v>
      </c>
      <c r="G807" s="35"/>
    </row>
    <row r="808">
      <c r="A808" s="39" t="s">
        <v>148</v>
      </c>
      <c r="B808" s="57" t="s">
        <v>4919</v>
      </c>
      <c r="C808" s="4" t="s">
        <v>4920</v>
      </c>
      <c r="D808" s="46">
        <v>299.0</v>
      </c>
      <c r="E808" s="46">
        <v>9.0</v>
      </c>
      <c r="F808" s="38" t="s">
        <v>4921</v>
      </c>
      <c r="G808" s="35"/>
    </row>
    <row r="809">
      <c r="A809" s="38" t="s">
        <v>513</v>
      </c>
      <c r="B809" s="38" t="s">
        <v>4832</v>
      </c>
      <c r="C809" s="76" t="s">
        <v>4833</v>
      </c>
      <c r="D809" s="46">
        <v>300.0</v>
      </c>
      <c r="E809" s="46">
        <v>6.0</v>
      </c>
      <c r="F809" s="39" t="s">
        <v>4834</v>
      </c>
      <c r="G809" s="38" t="s">
        <v>4835</v>
      </c>
    </row>
    <row r="810">
      <c r="A810" s="38" t="s">
        <v>513</v>
      </c>
      <c r="B810" s="38" t="s">
        <v>554</v>
      </c>
      <c r="C810" s="4" t="s">
        <v>4836</v>
      </c>
      <c r="D810" s="46">
        <v>300.0</v>
      </c>
      <c r="E810" s="46">
        <v>8.0</v>
      </c>
      <c r="F810" s="39" t="s">
        <v>4837</v>
      </c>
      <c r="G810" s="38" t="s">
        <v>4838</v>
      </c>
    </row>
    <row r="811">
      <c r="A811" s="38" t="s">
        <v>513</v>
      </c>
      <c r="B811" s="38" t="s">
        <v>4839</v>
      </c>
      <c r="C811" s="76" t="s">
        <v>4840</v>
      </c>
      <c r="D811" s="46">
        <v>300.0</v>
      </c>
      <c r="E811" s="46">
        <v>10.0</v>
      </c>
      <c r="F811" s="38" t="s">
        <v>4841</v>
      </c>
      <c r="G811" s="38"/>
    </row>
    <row r="812">
      <c r="A812" s="38" t="s">
        <v>513</v>
      </c>
      <c r="B812" s="38" t="s">
        <v>549</v>
      </c>
      <c r="C812" s="4" t="s">
        <v>4842</v>
      </c>
      <c r="D812" s="46">
        <v>300.0</v>
      </c>
      <c r="E812" s="46">
        <v>11.0</v>
      </c>
      <c r="F812" s="39" t="s">
        <v>4843</v>
      </c>
      <c r="G812" s="38" t="s">
        <v>4844</v>
      </c>
    </row>
    <row r="813">
      <c r="A813" s="38" t="s">
        <v>648</v>
      </c>
      <c r="B813" s="35" t="s">
        <v>4982</v>
      </c>
      <c r="C813" s="35" t="s">
        <v>4983</v>
      </c>
      <c r="D813" s="46">
        <v>303.0</v>
      </c>
      <c r="E813" s="46">
        <v>1.0</v>
      </c>
      <c r="F813" s="38" t="s">
        <v>4984</v>
      </c>
      <c r="G813" s="35"/>
    </row>
    <row r="814">
      <c r="A814" s="38" t="s">
        <v>648</v>
      </c>
      <c r="B814" s="35" t="s">
        <v>4985</v>
      </c>
      <c r="C814" s="35" t="s">
        <v>4986</v>
      </c>
      <c r="D814" s="46">
        <v>303.0</v>
      </c>
      <c r="E814" s="46">
        <v>2.0</v>
      </c>
      <c r="F814" s="38" t="s">
        <v>4987</v>
      </c>
      <c r="G814" s="35"/>
    </row>
    <row r="815">
      <c r="A815" s="38" t="s">
        <v>648</v>
      </c>
      <c r="B815" s="38" t="s">
        <v>4988</v>
      </c>
      <c r="C815" s="35" t="s">
        <v>4989</v>
      </c>
      <c r="D815" s="46">
        <v>303.0</v>
      </c>
      <c r="E815" s="46">
        <v>3.0</v>
      </c>
      <c r="F815" s="38" t="s">
        <v>4990</v>
      </c>
      <c r="G815" s="35"/>
    </row>
    <row r="816">
      <c r="A816" s="38" t="s">
        <v>648</v>
      </c>
      <c r="B816" s="35" t="s">
        <v>3691</v>
      </c>
      <c r="C816" s="35" t="s">
        <v>4991</v>
      </c>
      <c r="D816" s="46">
        <v>303.0</v>
      </c>
      <c r="E816" s="46">
        <v>9.0</v>
      </c>
      <c r="F816" s="38" t="s">
        <v>4992</v>
      </c>
      <c r="G816" s="35"/>
    </row>
    <row r="817">
      <c r="A817" s="38" t="s">
        <v>232</v>
      </c>
      <c r="B817" s="38" t="s">
        <v>4803</v>
      </c>
      <c r="C817" s="76" t="s">
        <v>4804</v>
      </c>
      <c r="D817" s="46">
        <v>306.0</v>
      </c>
      <c r="E817" s="46">
        <v>7.0</v>
      </c>
      <c r="F817" s="39" t="s">
        <v>4805</v>
      </c>
      <c r="G817" s="38" t="s">
        <v>4806</v>
      </c>
    </row>
    <row r="818">
      <c r="A818" s="38" t="s">
        <v>232</v>
      </c>
      <c r="B818" s="38" t="s">
        <v>283</v>
      </c>
      <c r="C818" s="4" t="s">
        <v>4807</v>
      </c>
      <c r="D818" s="46">
        <v>306.0</v>
      </c>
      <c r="E818" s="46">
        <v>8.0</v>
      </c>
      <c r="F818" s="39" t="s">
        <v>4808</v>
      </c>
      <c r="G818" s="38" t="s">
        <v>4809</v>
      </c>
    </row>
    <row r="819">
      <c r="A819" s="38" t="s">
        <v>232</v>
      </c>
      <c r="B819" s="39" t="s">
        <v>4810</v>
      </c>
      <c r="C819" s="4" t="s">
        <v>4811</v>
      </c>
      <c r="D819" s="46">
        <v>306.0</v>
      </c>
      <c r="E819" s="46">
        <v>10.0</v>
      </c>
      <c r="F819" s="39" t="s">
        <v>4812</v>
      </c>
      <c r="G819" s="35"/>
    </row>
    <row r="820">
      <c r="A820" s="38" t="s">
        <v>716</v>
      </c>
      <c r="B820" s="35" t="s">
        <v>4993</v>
      </c>
      <c r="C820" s="35" t="s">
        <v>4994</v>
      </c>
      <c r="D820" s="46">
        <v>310.0</v>
      </c>
      <c r="E820" s="46">
        <v>1.0</v>
      </c>
      <c r="F820" s="38" t="s">
        <v>4995</v>
      </c>
      <c r="G820" s="35"/>
    </row>
    <row r="821">
      <c r="A821" s="38" t="s">
        <v>716</v>
      </c>
      <c r="B821" s="35" t="s">
        <v>4999</v>
      </c>
      <c r="C821" s="35" t="s">
        <v>5000</v>
      </c>
      <c r="D821" s="46">
        <v>310.0</v>
      </c>
      <c r="E821" s="46">
        <v>2.0</v>
      </c>
      <c r="F821" s="38" t="s">
        <v>5001</v>
      </c>
      <c r="G821" s="35"/>
    </row>
    <row r="822">
      <c r="A822" s="38" t="s">
        <v>716</v>
      </c>
      <c r="B822" s="35" t="s">
        <v>4996</v>
      </c>
      <c r="C822" s="35" t="s">
        <v>4997</v>
      </c>
      <c r="D822" s="46">
        <v>310.0</v>
      </c>
      <c r="E822" s="46">
        <v>3.0</v>
      </c>
      <c r="F822" s="38" t="s">
        <v>4998</v>
      </c>
      <c r="G822" s="35"/>
    </row>
    <row r="823">
      <c r="A823" s="38" t="s">
        <v>716</v>
      </c>
      <c r="B823" s="35" t="s">
        <v>5002</v>
      </c>
      <c r="C823" s="35" t="s">
        <v>5003</v>
      </c>
      <c r="D823" s="46">
        <v>310.0</v>
      </c>
      <c r="E823" s="46">
        <v>9.0</v>
      </c>
      <c r="F823" s="38" t="s">
        <v>5004</v>
      </c>
      <c r="G823" s="35"/>
    </row>
    <row r="824">
      <c r="A824" s="38" t="s">
        <v>586</v>
      </c>
      <c r="B824" s="38" t="s">
        <v>607</v>
      </c>
      <c r="C824" s="35" t="s">
        <v>4249</v>
      </c>
      <c r="D824" s="46">
        <v>311.0</v>
      </c>
      <c r="E824" s="46">
        <v>6.0</v>
      </c>
      <c r="G824" s="38"/>
    </row>
    <row r="825">
      <c r="A825" s="38" t="s">
        <v>586</v>
      </c>
      <c r="B825" s="38" t="s">
        <v>609</v>
      </c>
      <c r="C825" s="35" t="s">
        <v>4250</v>
      </c>
      <c r="D825" s="46">
        <v>311.0</v>
      </c>
      <c r="E825" s="46">
        <v>8.0</v>
      </c>
      <c r="G825" s="38"/>
    </row>
    <row r="826">
      <c r="A826" s="38" t="s">
        <v>586</v>
      </c>
      <c r="B826" s="35"/>
      <c r="C826" s="35" t="s">
        <v>4253</v>
      </c>
      <c r="D826" s="46">
        <v>311.0</v>
      </c>
      <c r="E826" s="46">
        <v>10.0</v>
      </c>
      <c r="G826" s="35"/>
    </row>
    <row r="827">
      <c r="A827" s="39" t="s">
        <v>586</v>
      </c>
      <c r="B827" s="39" t="s">
        <v>611</v>
      </c>
      <c r="C827" s="39" t="s">
        <v>4251</v>
      </c>
      <c r="D827" s="47">
        <v>311.0</v>
      </c>
      <c r="E827" s="47">
        <v>11.0</v>
      </c>
      <c r="F827" s="39" t="s">
        <v>4252</v>
      </c>
    </row>
    <row r="828">
      <c r="A828" s="38" t="s">
        <v>148</v>
      </c>
      <c r="B828" s="38" t="s">
        <v>200</v>
      </c>
      <c r="C828" s="4" t="s">
        <v>4794</v>
      </c>
      <c r="D828" s="46">
        <v>312.0</v>
      </c>
      <c r="E828" s="46">
        <v>6.0</v>
      </c>
      <c r="F828" s="39" t="s">
        <v>4795</v>
      </c>
      <c r="G828" s="38" t="s">
        <v>4796</v>
      </c>
    </row>
    <row r="829">
      <c r="A829" s="38" t="s">
        <v>148</v>
      </c>
      <c r="B829" s="38" t="s">
        <v>202</v>
      </c>
      <c r="C829" s="76" t="s">
        <v>4797</v>
      </c>
      <c r="D829" s="46">
        <v>312.0</v>
      </c>
      <c r="E829" s="46">
        <v>8.0</v>
      </c>
      <c r="F829" s="39" t="s">
        <v>4798</v>
      </c>
      <c r="G829" s="38" t="s">
        <v>4799</v>
      </c>
    </row>
    <row r="830">
      <c r="A830" s="38" t="s">
        <v>148</v>
      </c>
      <c r="B830" s="38" t="s">
        <v>4800</v>
      </c>
      <c r="C830" s="76" t="s">
        <v>4801</v>
      </c>
      <c r="D830" s="46">
        <v>312.0</v>
      </c>
      <c r="E830" s="46">
        <v>10.0</v>
      </c>
      <c r="F830" s="38" t="s">
        <v>4802</v>
      </c>
      <c r="G830" s="35"/>
    </row>
    <row r="831">
      <c r="A831" s="38" t="s">
        <v>648</v>
      </c>
      <c r="B831" s="38" t="s">
        <v>707</v>
      </c>
      <c r="C831" s="4" t="s">
        <v>4855</v>
      </c>
      <c r="D831" s="46">
        <v>321.0</v>
      </c>
      <c r="E831" s="46">
        <v>6.0</v>
      </c>
      <c r="F831" s="39" t="s">
        <v>4856</v>
      </c>
      <c r="G831" s="38" t="s">
        <v>4857</v>
      </c>
      <c r="H831" s="39" t="s">
        <v>4816</v>
      </c>
    </row>
    <row r="832">
      <c r="A832" s="38" t="s">
        <v>648</v>
      </c>
      <c r="B832" s="38" t="s">
        <v>705</v>
      </c>
      <c r="C832" s="76" t="s">
        <v>4858</v>
      </c>
      <c r="D832" s="46">
        <v>321.0</v>
      </c>
      <c r="E832" s="46">
        <v>9.0</v>
      </c>
      <c r="F832" s="39" t="s">
        <v>4859</v>
      </c>
      <c r="G832" s="38" t="s">
        <v>4860</v>
      </c>
    </row>
    <row r="833">
      <c r="A833" s="38" t="s">
        <v>648</v>
      </c>
      <c r="B833" s="38" t="s">
        <v>4861</v>
      </c>
      <c r="C833" s="4" t="s">
        <v>4862</v>
      </c>
      <c r="D833" s="46">
        <v>321.0</v>
      </c>
      <c r="E833" s="46">
        <v>10.0</v>
      </c>
      <c r="F833" s="38" t="s">
        <v>4863</v>
      </c>
      <c r="G833" s="35"/>
    </row>
    <row r="835">
      <c r="D835" s="97"/>
      <c r="E835" s="97"/>
    </row>
  </sheetData>
  <autoFilter ref="$A$1:$H$844"/>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2.63"/>
    <col customWidth="1" min="3" max="3" width="4.75"/>
    <col customWidth="1" min="4" max="4" width="18.0"/>
    <col customWidth="1" min="5" max="5" width="41.88"/>
    <col customWidth="1" hidden="1" min="6" max="6" width="22.88"/>
    <col customWidth="1" min="7" max="7" width="57.25"/>
    <col customWidth="1" min="8" max="8" width="137.5"/>
    <col customWidth="1" min="9" max="9" width="30.5"/>
  </cols>
  <sheetData>
    <row r="1" ht="42.0" customHeight="1">
      <c r="A1" s="98"/>
    </row>
    <row r="2">
      <c r="A2" s="99" t="str">
        <f>IFERROR(__xludf.DUMMYFUNCTION("QUERY(Weapons, ""SELECT * LIMIT 2000"", 1)"),"Manufacturer")</f>
        <v>Manufacturer</v>
      </c>
      <c r="B2" s="100" t="str">
        <f>IFERROR(__xludf.DUMMYFUNCTION("""COMPUTED_VALUE"""),"Weapon Type")</f>
        <v>Weapon Type</v>
      </c>
      <c r="C2" s="101" t="str">
        <f>IFERROR(__xludf.DUMMYFUNCTION("""COMPUTED_VALUE"""),"ID")</f>
        <v>ID</v>
      </c>
      <c r="D2" s="100" t="str">
        <f>IFERROR(__xludf.DUMMYFUNCTION("""COMPUTED_VALUE"""),"Part Type")</f>
        <v>Part Type</v>
      </c>
      <c r="E2" s="100" t="str">
        <f>IFERROR(__xludf.DUMMYFUNCTION("""COMPUTED_VALUE"""),"String")</f>
        <v>String</v>
      </c>
      <c r="F2" s="100" t="str">
        <f>IFERROR(__xludf.DUMMYFUNCTION("""COMPUTED_VALUE"""),"Model Name")</f>
        <v>Model Name</v>
      </c>
      <c r="G2" s="100" t="str">
        <f>IFERROR(__xludf.DUMMYFUNCTION("""COMPUTED_VALUE"""),"Stats")</f>
        <v>Stats</v>
      </c>
      <c r="H2" s="100" t="str">
        <f>IFERROR(__xludf.DUMMYFUNCTION("""COMPUTED_VALUE"""),"Effects")</f>
        <v>Effects</v>
      </c>
      <c r="I2" s="100" t="str">
        <f>IFERROR(__xludf.DUMMYFUNCTION("""COMPUTED_VALUE"""),"Requirements")</f>
        <v>Requirements</v>
      </c>
      <c r="J2" s="100"/>
      <c r="K2" s="100"/>
      <c r="L2" s="100"/>
    </row>
    <row r="3">
      <c r="A3" s="76" t="str">
        <f>IFERROR(__xludf.DUMMYFUNCTION("""COMPUTED_VALUE"""),"Daedalus")</f>
        <v>Daedalus</v>
      </c>
      <c r="B3" s="76" t="str">
        <f>IFERROR(__xludf.DUMMYFUNCTION("""COMPUTED_VALUE"""),"Assault Rifle")</f>
        <v>Assault Rifle</v>
      </c>
      <c r="C3" s="97">
        <f>IFERROR(__xludf.DUMMYFUNCTION("""COMPUTED_VALUE"""),1.0)</f>
        <v>1</v>
      </c>
      <c r="D3" s="76" t="str">
        <f>IFERROR(__xludf.DUMMYFUNCTION("""COMPUTED_VALUE"""),"Body")</f>
        <v>Body</v>
      </c>
      <c r="E3" s="76" t="str">
        <f>IFERROR(__xludf.DUMMYFUNCTION("""COMPUTED_VALUE"""),"DAD_AR.part_body")</f>
        <v>DAD_AR.part_body</v>
      </c>
      <c r="F3" s="76" t="str">
        <f>IFERROR(__xludf.DUMMYFUNCTION("""COMPUTED_VALUE"""),"DAD_AR_Body")</f>
        <v>DAD_AR_Body</v>
      </c>
      <c r="G3" s="76" t="str">
        <f>IFERROR(__xludf.DUMMYFUNCTION("""COMPUTED_VALUE"""),"No Stat Changes, always present")</f>
        <v>No Stat Changes, always present</v>
      </c>
      <c r="H3" s="76"/>
      <c r="I3" s="76"/>
    </row>
    <row r="4">
      <c r="A4" s="76" t="str">
        <f>IFERROR(__xludf.DUMMYFUNCTION("""COMPUTED_VALUE"""),"Daedalus")</f>
        <v>Daedalus</v>
      </c>
      <c r="B4" s="76" t="str">
        <f>IFERROR(__xludf.DUMMYFUNCTION("""COMPUTED_VALUE"""),"Assault Rifle")</f>
        <v>Assault Rifle</v>
      </c>
      <c r="C4" s="97">
        <f>IFERROR(__xludf.DUMMYFUNCTION("""COMPUTED_VALUE"""),2.0)</f>
        <v>2</v>
      </c>
      <c r="D4" s="76" t="str">
        <f>IFERROR(__xludf.DUMMYFUNCTION("""COMPUTED_VALUE"""),"Body Accessory")</f>
        <v>Body Accessory</v>
      </c>
      <c r="E4" s="76" t="str">
        <f>IFERROR(__xludf.DUMMYFUNCTION("""COMPUTED_VALUE"""),"DAD_AR.part_body_a")</f>
        <v>DAD_AR.part_body_a</v>
      </c>
      <c r="F4" s="76" t="str">
        <f>IFERROR(__xludf.DUMMYFUNCTION("""COMPUTED_VALUE"""),"DAD_AR_Body_A")</f>
        <v>DAD_AR_Body_A</v>
      </c>
      <c r="G4" s="76" t="str">
        <f>IFERROR(__xludf.DUMMYFUNCTION("""COMPUTED_VALUE"""),"-Reload Speed")</f>
        <v>-Reload Speed</v>
      </c>
      <c r="H4" s="76"/>
      <c r="I4" s="76"/>
    </row>
    <row r="5">
      <c r="A5" s="76" t="str">
        <f>IFERROR(__xludf.DUMMYFUNCTION("""COMPUTED_VALUE"""),"Daedalus")</f>
        <v>Daedalus</v>
      </c>
      <c r="B5" s="76" t="str">
        <f>IFERROR(__xludf.DUMMYFUNCTION("""COMPUTED_VALUE"""),"Assault Rifle")</f>
        <v>Assault Rifle</v>
      </c>
      <c r="C5" s="97">
        <f>IFERROR(__xludf.DUMMYFUNCTION("""COMPUTED_VALUE"""),3.0)</f>
        <v>3</v>
      </c>
      <c r="D5" s="76" t="str">
        <f>IFERROR(__xludf.DUMMYFUNCTION("""COMPUTED_VALUE"""),"Body Accessory")</f>
        <v>Body Accessory</v>
      </c>
      <c r="E5" s="76" t="str">
        <f>IFERROR(__xludf.DUMMYFUNCTION("""COMPUTED_VALUE"""),"DAD_AR.part_body_b")</f>
        <v>DAD_AR.part_body_b</v>
      </c>
      <c r="F5" s="76" t="str">
        <f>IFERROR(__xludf.DUMMYFUNCTION("""COMPUTED_VALUE"""),"DAD_AR_Body_B")</f>
        <v>DAD_AR_Body_B</v>
      </c>
      <c r="G5" s="76" t="str">
        <f>IFERROR(__xludf.DUMMYFUNCTION("""COMPUTED_VALUE"""),"-Reload Speed")</f>
        <v>-Reload Speed</v>
      </c>
      <c r="H5" s="76"/>
      <c r="I5" s="76"/>
    </row>
    <row r="6">
      <c r="A6" s="76" t="str">
        <f>IFERROR(__xludf.DUMMYFUNCTION("""COMPUTED_VALUE"""),"Daedalus")</f>
        <v>Daedalus</v>
      </c>
      <c r="B6" s="76" t="str">
        <f>IFERROR(__xludf.DUMMYFUNCTION("""COMPUTED_VALUE"""),"Assault Rifle")</f>
        <v>Assault Rifle</v>
      </c>
      <c r="C6" s="97">
        <f>IFERROR(__xludf.DUMMYFUNCTION("""COMPUTED_VALUE"""),4.0)</f>
        <v>4</v>
      </c>
      <c r="D6" s="76" t="str">
        <f>IFERROR(__xludf.DUMMYFUNCTION("""COMPUTED_VALUE"""),"Body Accessory")</f>
        <v>Body Accessory</v>
      </c>
      <c r="E6" s="76" t="str">
        <f>IFERROR(__xludf.DUMMYFUNCTION("""COMPUTED_VALUE"""),"DAD_AR.part_body_c")</f>
        <v>DAD_AR.part_body_c</v>
      </c>
      <c r="F6" s="76" t="str">
        <f>IFERROR(__xludf.DUMMYFUNCTION("""COMPUTED_VALUE"""),"DAD_AR_Body_C")</f>
        <v>DAD_AR_Body_C</v>
      </c>
      <c r="G6" s="76" t="str">
        <f>IFERROR(__xludf.DUMMYFUNCTION("""COMPUTED_VALUE"""),"+Accuracy")</f>
        <v>+Accuracy</v>
      </c>
      <c r="H6" s="76"/>
      <c r="I6" s="76"/>
    </row>
    <row r="7">
      <c r="A7" s="76" t="str">
        <f>IFERROR(__xludf.DUMMYFUNCTION("""COMPUTED_VALUE"""),"Daedalus")</f>
        <v>Daedalus</v>
      </c>
      <c r="B7" s="76" t="str">
        <f>IFERROR(__xludf.DUMMYFUNCTION("""COMPUTED_VALUE"""),"Assault Rifle")</f>
        <v>Assault Rifle</v>
      </c>
      <c r="C7" s="97">
        <f>IFERROR(__xludf.DUMMYFUNCTION("""COMPUTED_VALUE"""),5.0)</f>
        <v>5</v>
      </c>
      <c r="D7" s="76" t="str">
        <f>IFERROR(__xludf.DUMMYFUNCTION("""COMPUTED_VALUE"""),"Body Accessory")</f>
        <v>Body Accessory</v>
      </c>
      <c r="E7" s="76" t="str">
        <f>IFERROR(__xludf.DUMMYFUNCTION("""COMPUTED_VALUE"""),"DAD_AR.part_body_d")</f>
        <v>DAD_AR.part_body_d</v>
      </c>
      <c r="F7" s="76" t="str">
        <f>IFERROR(__xludf.DUMMYFUNCTION("""COMPUTED_VALUE"""),"DAD_AR_Body_D")</f>
        <v>DAD_AR_Body_D</v>
      </c>
      <c r="G7" s="76" t="str">
        <f>IFERROR(__xludf.DUMMYFUNCTION("""COMPUTED_VALUE"""),"No Stat Changes")</f>
        <v>No Stat Changes</v>
      </c>
      <c r="H7" s="76"/>
      <c r="I7" s="76"/>
    </row>
    <row r="8">
      <c r="A8" s="76" t="str">
        <f>IFERROR(__xludf.DUMMYFUNCTION("""COMPUTED_VALUE"""),"Daedalus")</f>
        <v>Daedalus</v>
      </c>
      <c r="B8" s="76" t="str">
        <f>IFERROR(__xludf.DUMMYFUNCTION("""COMPUTED_VALUE"""),"Assault Rifle")</f>
        <v>Assault Rifle</v>
      </c>
      <c r="C8" s="97">
        <f>IFERROR(__xludf.DUMMYFUNCTION("""COMPUTED_VALUE"""),6.0)</f>
        <v>6</v>
      </c>
      <c r="D8" s="76" t="str">
        <f>IFERROR(__xludf.DUMMYFUNCTION("""COMPUTED_VALUE"""),"Barrel")</f>
        <v>Barrel</v>
      </c>
      <c r="E8" s="76" t="str">
        <f>IFERROR(__xludf.DUMMYFUNCTION("""COMPUTED_VALUE"""),"DAD_AR.part_barrel_01")</f>
        <v>DAD_AR.part_barrel_01</v>
      </c>
      <c r="F8" s="76" t="str">
        <f>IFERROR(__xludf.DUMMYFUNCTION("""COMPUTED_VALUE"""),"DAD_AR_Barrel_01")</f>
        <v>DAD_AR_Barrel_01</v>
      </c>
      <c r="G8" s="76" t="str">
        <f>IFERROR(__xludf.DUMMYFUNCTION("""COMPUTED_VALUE"""),"Spec-Tec, 571 Damage, 78% Acc, 6.8/s FR")</f>
        <v>Spec-Tec, 571 Damage, 78% Acc, 6.8/s FR</v>
      </c>
      <c r="H8" s="76"/>
      <c r="I8" s="76"/>
    </row>
    <row r="9">
      <c r="A9" s="4" t="str">
        <f>IFERROR(__xludf.DUMMYFUNCTION("""COMPUTED_VALUE"""),"Daedalus")</f>
        <v>Daedalus</v>
      </c>
      <c r="B9" s="76" t="str">
        <f>IFERROR(__xludf.DUMMYFUNCTION("""COMPUTED_VALUE"""),"Assault Rifle")</f>
        <v>Assault Rifle</v>
      </c>
      <c r="C9" s="97">
        <f>IFERROR(__xludf.DUMMYFUNCTION("""COMPUTED_VALUE"""),7.0)</f>
        <v>7</v>
      </c>
      <c r="D9" s="76" t="str">
        <f>IFERROR(__xludf.DUMMYFUNCTION("""COMPUTED_VALUE"""),"Barrel")</f>
        <v>Barrel</v>
      </c>
      <c r="E9" s="76" t="str">
        <f>IFERROR(__xludf.DUMMYFUNCTION("""COMPUTED_VALUE"""),"DAD_AR.part_barrel_02")</f>
        <v>DAD_AR.part_barrel_02</v>
      </c>
      <c r="F9" s="76" t="str">
        <f>IFERROR(__xludf.DUMMYFUNCTION("""COMPUTED_VALUE"""),"DAD_AR_Barrel_02")</f>
        <v>DAD_AR_Barrel_02</v>
      </c>
      <c r="G9" s="76" t="str">
        <f>IFERROR(__xludf.DUMMYFUNCTION("""COMPUTED_VALUE"""),"F.A.N.G., 669 Damage, 84% Acc, 5.5/s FR")</f>
        <v>F.A.N.G., 669 Damage, 84% Acc, 5.5/s FR</v>
      </c>
      <c r="H9" s="76"/>
      <c r="I9" s="76"/>
    </row>
    <row r="10">
      <c r="A10" s="102" t="str">
        <f>IFERROR(__xludf.DUMMYFUNCTION("""COMPUTED_VALUE"""),"Daedalus")</f>
        <v>Daedalus</v>
      </c>
      <c r="B10" s="102" t="str">
        <f>IFERROR(__xludf.DUMMYFUNCTION("""COMPUTED_VALUE"""),"Assault Rifle")</f>
        <v>Assault Rifle</v>
      </c>
      <c r="C10" s="103">
        <f>IFERROR(__xludf.DUMMYFUNCTION("""COMPUTED_VALUE"""),8.0)</f>
        <v>8</v>
      </c>
      <c r="D10" s="102" t="str">
        <f>IFERROR(__xludf.DUMMYFUNCTION("""COMPUTED_VALUE"""),"Barrel")</f>
        <v>Barrel</v>
      </c>
      <c r="E10" s="102" t="str">
        <f>IFERROR(__xludf.DUMMYFUNCTION("""COMPUTED_VALUE"""),"DAD_AR.part_barrel_unique_om")</f>
        <v>DAD_AR.part_barrel_unique_om</v>
      </c>
      <c r="F10" s="102" t="str">
        <f>IFERROR(__xludf.DUMMYFUNCTION("""COMPUTED_VALUE"""),"DAD_AR_Barrel_01")</f>
        <v>DAD_AR_Barrel_01</v>
      </c>
      <c r="G10" s="102" t="str">
        <f>IFERROR(__xludf.DUMMYFUNCTION("""COMPUTED_VALUE"""),"Oscar Mike, 509 Damage, 76% Acc, 6.8/s FR")</f>
        <v>Oscar Mike, 509 Damage, 76% Acc, 6.8/s FR</v>
      </c>
      <c r="H10" s="102" t="str">
        <f>IFERROR(__xludf.DUMMYFUNCTION("""COMPUTED_VALUE"""),"Tactical Rounds - The first half of your Magazine deals +50% Bonus Damage")</f>
        <v>Tactical Rounds - The first half of your Magazine deals +50% Bonus Damage</v>
      </c>
      <c r="I10" s="102"/>
      <c r="J10" s="102"/>
      <c r="K10" s="102"/>
      <c r="L10" s="102"/>
    </row>
    <row r="11">
      <c r="A11" s="102" t="str">
        <f>IFERROR(__xludf.DUMMYFUNCTION("""COMPUTED_VALUE"""),"Daedalus")</f>
        <v>Daedalus</v>
      </c>
      <c r="B11" s="102" t="str">
        <f>IFERROR(__xludf.DUMMYFUNCTION("""COMPUTED_VALUE"""),"Assault Rifle")</f>
        <v>Assault Rifle</v>
      </c>
      <c r="C11" s="103">
        <f>IFERROR(__xludf.DUMMYFUNCTION("""COMPUTED_VALUE"""),9.0)</f>
        <v>9</v>
      </c>
      <c r="D11" s="102" t="str">
        <f>IFERROR(__xludf.DUMMYFUNCTION("""COMPUTED_VALUE"""),"Barrel Accessory")</f>
        <v>Barrel Accessory</v>
      </c>
      <c r="E11" s="102" t="str">
        <f>IFERROR(__xludf.DUMMYFUNCTION("""COMPUTED_VALUE"""),"DAD_AR.part_barrel_01_a")</f>
        <v>DAD_AR.part_barrel_01_a</v>
      </c>
      <c r="F11" s="102" t="str">
        <f>IFERROR(__xludf.DUMMYFUNCTION("""COMPUTED_VALUE"""),"DAD_AR_Barrel_01_A")</f>
        <v>DAD_AR_Barrel_01_A</v>
      </c>
      <c r="G11" s="102" t="str">
        <f>IFERROR(__xludf.DUMMYFUNCTION("""COMPUTED_VALUE"""),"+Damage")</f>
        <v>+Damage</v>
      </c>
      <c r="H11" s="102"/>
      <c r="I11" s="102"/>
      <c r="J11" s="102"/>
      <c r="K11" s="102"/>
      <c r="L11" s="102"/>
    </row>
    <row r="12">
      <c r="A12" s="102" t="str">
        <f>IFERROR(__xludf.DUMMYFUNCTION("""COMPUTED_VALUE"""),"Daedalus")</f>
        <v>Daedalus</v>
      </c>
      <c r="B12" s="102" t="str">
        <f>IFERROR(__xludf.DUMMYFUNCTION("""COMPUTED_VALUE"""),"Assault Rifle")</f>
        <v>Assault Rifle</v>
      </c>
      <c r="C12" s="103">
        <f>IFERROR(__xludf.DUMMYFUNCTION("""COMPUTED_VALUE"""),10.0)</f>
        <v>10</v>
      </c>
      <c r="D12" s="102" t="str">
        <f>IFERROR(__xludf.DUMMYFUNCTION("""COMPUTED_VALUE"""),"Barrel Accessory")</f>
        <v>Barrel Accessory</v>
      </c>
      <c r="E12" s="102" t="str">
        <f>IFERROR(__xludf.DUMMYFUNCTION("""COMPUTED_VALUE"""),"DAD_AR.part_barrel_01_b")</f>
        <v>DAD_AR.part_barrel_01_b</v>
      </c>
      <c r="F12" s="102" t="str">
        <f>IFERROR(__xludf.DUMMYFUNCTION("""COMPUTED_VALUE"""),"DAD_AR_Barrel_01_B")</f>
        <v>DAD_AR_Barrel_01_B</v>
      </c>
      <c r="G12" s="102" t="str">
        <f>IFERROR(__xludf.DUMMYFUNCTION("""COMPUTED_VALUE"""),"+Crit Damage")</f>
        <v>+Crit Damage</v>
      </c>
      <c r="H12" s="102"/>
      <c r="I12" s="102"/>
      <c r="J12" s="102"/>
      <c r="K12" s="102"/>
      <c r="L12" s="102"/>
    </row>
    <row r="13">
      <c r="A13" s="102" t="str">
        <f>IFERROR(__xludf.DUMMYFUNCTION("""COMPUTED_VALUE"""),"Daedalus")</f>
        <v>Daedalus</v>
      </c>
      <c r="B13" s="102" t="str">
        <f>IFERROR(__xludf.DUMMYFUNCTION("""COMPUTED_VALUE"""),"Assault Rifle")</f>
        <v>Assault Rifle</v>
      </c>
      <c r="C13" s="103">
        <f>IFERROR(__xludf.DUMMYFUNCTION("""COMPUTED_VALUE"""),11.0)</f>
        <v>11</v>
      </c>
      <c r="D13" s="102" t="str">
        <f>IFERROR(__xludf.DUMMYFUNCTION("""COMPUTED_VALUE"""),"Barrel Accessory")</f>
        <v>Barrel Accessory</v>
      </c>
      <c r="E13" s="102" t="str">
        <f>IFERROR(__xludf.DUMMYFUNCTION("""COMPUTED_VALUE"""),"DAD_AR.part_barrel_01_c")</f>
        <v>DAD_AR.part_barrel_01_c</v>
      </c>
      <c r="F13" s="102" t="str">
        <f>IFERROR(__xludf.DUMMYFUNCTION("""COMPUTED_VALUE"""),"DAD_AR_Barrel_01_C")</f>
        <v>DAD_AR_Barrel_01_C</v>
      </c>
      <c r="G13" s="102" t="str">
        <f>IFERROR(__xludf.DUMMYFUNCTION("""COMPUTED_VALUE"""),"+Accuracy")</f>
        <v>+Accuracy</v>
      </c>
      <c r="H13" s="102"/>
      <c r="I13" s="102"/>
      <c r="J13" s="102"/>
      <c r="K13" s="102"/>
      <c r="L13" s="102"/>
    </row>
    <row r="14">
      <c r="A14" s="102" t="str">
        <f>IFERROR(__xludf.DUMMYFUNCTION("""COMPUTED_VALUE"""),"Daedalus")</f>
        <v>Daedalus</v>
      </c>
      <c r="B14" s="102" t="str">
        <f>IFERROR(__xludf.DUMMYFUNCTION("""COMPUTED_VALUE"""),"Assault Rifle")</f>
        <v>Assault Rifle</v>
      </c>
      <c r="C14" s="103">
        <f>IFERROR(__xludf.DUMMYFUNCTION("""COMPUTED_VALUE"""),12.0)</f>
        <v>12</v>
      </c>
      <c r="D14" s="102" t="str">
        <f>IFERROR(__xludf.DUMMYFUNCTION("""COMPUTED_VALUE"""),"Barrel Accessory")</f>
        <v>Barrel Accessory</v>
      </c>
      <c r="E14" s="102" t="str">
        <f>IFERROR(__xludf.DUMMYFUNCTION("""COMPUTED_VALUE"""),"DAD_AR.part_barrel_01_d")</f>
        <v>DAD_AR.part_barrel_01_d</v>
      </c>
      <c r="F14" s="102" t="str">
        <f>IFERROR(__xludf.DUMMYFUNCTION("""COMPUTED_VALUE"""),"DAD_AR_Barrel_01_D")</f>
        <v>DAD_AR_Barrel_01_D</v>
      </c>
      <c r="G14" s="102" t="str">
        <f>IFERROR(__xludf.DUMMYFUNCTION("""COMPUTED_VALUE"""),"+Accuracy")</f>
        <v>+Accuracy</v>
      </c>
      <c r="H14" s="102"/>
      <c r="I14" s="102"/>
      <c r="J14" s="102"/>
      <c r="K14" s="102"/>
      <c r="L14" s="102"/>
    </row>
    <row r="15">
      <c r="A15" s="102" t="str">
        <f>IFERROR(__xludf.DUMMYFUNCTION("""COMPUTED_VALUE"""),"Daedalus")</f>
        <v>Daedalus</v>
      </c>
      <c r="B15" s="102" t="str">
        <f>IFERROR(__xludf.DUMMYFUNCTION("""COMPUTED_VALUE"""),"Assault Rifle")</f>
        <v>Assault Rifle</v>
      </c>
      <c r="C15" s="103">
        <f>IFERROR(__xludf.DUMMYFUNCTION("""COMPUTED_VALUE"""),13.0)</f>
        <v>13</v>
      </c>
      <c r="D15" s="102" t="str">
        <f>IFERROR(__xludf.DUMMYFUNCTION("""COMPUTED_VALUE"""),"Barrel Accessory")</f>
        <v>Barrel Accessory</v>
      </c>
      <c r="E15" s="102" t="str">
        <f>IFERROR(__xludf.DUMMYFUNCTION("""COMPUTED_VALUE"""),"DAD_AR.part_barrel_02_a")</f>
        <v>DAD_AR.part_barrel_02_a</v>
      </c>
      <c r="F15" s="102" t="str">
        <f>IFERROR(__xludf.DUMMYFUNCTION("""COMPUTED_VALUE"""),"DAD_AR_Barrel_02_A")</f>
        <v>DAD_AR_Barrel_02_A</v>
      </c>
      <c r="G15" s="104" t="str">
        <f>IFERROR(__xludf.DUMMYFUNCTION("""COMPUTED_VALUE"""),"+Damage")</f>
        <v>+Damage</v>
      </c>
      <c r="H15" s="102"/>
      <c r="I15" s="102"/>
      <c r="J15" s="102"/>
      <c r="K15" s="102"/>
      <c r="L15" s="102"/>
    </row>
    <row r="16">
      <c r="A16" s="102" t="str">
        <f>IFERROR(__xludf.DUMMYFUNCTION("""COMPUTED_VALUE"""),"Daedalus")</f>
        <v>Daedalus</v>
      </c>
      <c r="B16" s="102" t="str">
        <f>IFERROR(__xludf.DUMMYFUNCTION("""COMPUTED_VALUE"""),"Assault Rifle")</f>
        <v>Assault Rifle</v>
      </c>
      <c r="C16" s="103">
        <f>IFERROR(__xludf.DUMMYFUNCTION("""COMPUTED_VALUE"""),14.0)</f>
        <v>14</v>
      </c>
      <c r="D16" s="102" t="str">
        <f>IFERROR(__xludf.DUMMYFUNCTION("""COMPUTED_VALUE"""),"Barrel Accessory")</f>
        <v>Barrel Accessory</v>
      </c>
      <c r="E16" s="102" t="str">
        <f>IFERROR(__xludf.DUMMYFUNCTION("""COMPUTED_VALUE"""),"DAD_AR.part_barrel_02_b")</f>
        <v>DAD_AR.part_barrel_02_b</v>
      </c>
      <c r="F16" s="102" t="str">
        <f>IFERROR(__xludf.DUMMYFUNCTION("""COMPUTED_VALUE"""),"DAD_AR_Barrel_02_B")</f>
        <v>DAD_AR_Barrel_02_B</v>
      </c>
      <c r="G16" s="104" t="str">
        <f>IFERROR(__xludf.DUMMYFUNCTION("""COMPUTED_VALUE"""),"+Accuracy")</f>
        <v>+Accuracy</v>
      </c>
      <c r="H16" s="102"/>
      <c r="I16" s="102"/>
      <c r="J16" s="102"/>
      <c r="K16" s="102"/>
      <c r="L16" s="102"/>
    </row>
    <row r="17">
      <c r="A17" s="102" t="str">
        <f>IFERROR(__xludf.DUMMYFUNCTION("""COMPUTED_VALUE"""),"Daedalus")</f>
        <v>Daedalus</v>
      </c>
      <c r="B17" s="102" t="str">
        <f>IFERROR(__xludf.DUMMYFUNCTION("""COMPUTED_VALUE"""),"Assault Rifle")</f>
        <v>Assault Rifle</v>
      </c>
      <c r="C17" s="103">
        <f>IFERROR(__xludf.DUMMYFUNCTION("""COMPUTED_VALUE"""),15.0)</f>
        <v>15</v>
      </c>
      <c r="D17" s="102" t="str">
        <f>IFERROR(__xludf.DUMMYFUNCTION("""COMPUTED_VALUE"""),"Barrel Accessory")</f>
        <v>Barrel Accessory</v>
      </c>
      <c r="E17" s="102" t="str">
        <f>IFERROR(__xludf.DUMMYFUNCTION("""COMPUTED_VALUE"""),"DAD_AR.part_barrel_02_c")</f>
        <v>DAD_AR.part_barrel_02_c</v>
      </c>
      <c r="F17" s="102" t="str">
        <f>IFERROR(__xludf.DUMMYFUNCTION("""COMPUTED_VALUE"""),"DAD_AR_Barrel_02_C")</f>
        <v>DAD_AR_Barrel_02_C</v>
      </c>
      <c r="G17" s="104" t="str">
        <f>IFERROR(__xludf.DUMMYFUNCTION("""COMPUTED_VALUE"""),"+Fire Rate")</f>
        <v>+Fire Rate</v>
      </c>
      <c r="H17" s="102"/>
      <c r="I17" s="102"/>
      <c r="J17" s="102"/>
      <c r="K17" s="102"/>
      <c r="L17" s="102"/>
    </row>
    <row r="18">
      <c r="A18" s="102" t="str">
        <f>IFERROR(__xludf.DUMMYFUNCTION("""COMPUTED_VALUE"""),"Daedalus")</f>
        <v>Daedalus</v>
      </c>
      <c r="B18" s="102" t="str">
        <f>IFERROR(__xludf.DUMMYFUNCTION("""COMPUTED_VALUE"""),"Assault Rifle")</f>
        <v>Assault Rifle</v>
      </c>
      <c r="C18" s="103">
        <f>IFERROR(__xludf.DUMMYFUNCTION("""COMPUTED_VALUE"""),16.0)</f>
        <v>16</v>
      </c>
      <c r="D18" s="102" t="str">
        <f>IFERROR(__xludf.DUMMYFUNCTION("""COMPUTED_VALUE"""),"Barrel Accessory")</f>
        <v>Barrel Accessory</v>
      </c>
      <c r="E18" s="102" t="str">
        <f>IFERROR(__xludf.DUMMYFUNCTION("""COMPUTED_VALUE"""),"DAD_AR.part_barrel_02_d")</f>
        <v>DAD_AR.part_barrel_02_d</v>
      </c>
      <c r="F18" s="102" t="str">
        <f>IFERROR(__xludf.DUMMYFUNCTION("""COMPUTED_VALUE"""),"DAD_AR_Barrel_02_D")</f>
        <v>DAD_AR_Barrel_02_D</v>
      </c>
      <c r="G18" s="102" t="str">
        <f>IFERROR(__xludf.DUMMYFUNCTION("""COMPUTED_VALUE"""),"+Fire Rate")</f>
        <v>+Fire Rate</v>
      </c>
      <c r="H18" s="102"/>
      <c r="I18" s="102"/>
      <c r="J18" s="102"/>
      <c r="K18" s="102"/>
      <c r="L18" s="102"/>
    </row>
    <row r="19">
      <c r="A19" s="102" t="str">
        <f>IFERROR(__xludf.DUMMYFUNCTION("""COMPUTED_VALUE"""),"Daedalus")</f>
        <v>Daedalus</v>
      </c>
      <c r="B19" s="102" t="str">
        <f>IFERROR(__xludf.DUMMYFUNCTION("""COMPUTED_VALUE"""),"Assault Rifle")</f>
        <v>Assault Rifle</v>
      </c>
      <c r="C19" s="103">
        <f>IFERROR(__xludf.DUMMYFUNCTION("""COMPUTED_VALUE"""),17.0)</f>
        <v>17</v>
      </c>
      <c r="D19" s="102" t="str">
        <f>IFERROR(__xludf.DUMMYFUNCTION("""COMPUTED_VALUE"""),"Manufacturer Part")</f>
        <v>Manufacturer Part</v>
      </c>
      <c r="E19" s="102" t="str">
        <f>IFERROR(__xludf.DUMMYFUNCTION("""COMPUTED_VALUE"""),"DAD_AR.part_barrel_licensed_jak")</f>
        <v>DAD_AR.part_barrel_licensed_jak</v>
      </c>
      <c r="F19" s="102" t="str">
        <f>IFERROR(__xludf.DUMMYFUNCTION("""COMPUTED_VALUE"""),"DAD_AR_TopAcc_01")</f>
        <v>DAD_AR_TopAcc_01</v>
      </c>
      <c r="G19" s="102" t="str">
        <f>IFERROR(__xludf.DUMMYFUNCTION("""COMPUTED_VALUE"""),"+Crit Damage")</f>
        <v>+Crit Damage</v>
      </c>
      <c r="H19" s="102" t="str">
        <f>IFERROR(__xludf.DUMMYFUNCTION("""COMPUTED_VALUE"""),"Jakobs Ricochet")</f>
        <v>Jakobs Ricochet</v>
      </c>
      <c r="I19" s="102"/>
      <c r="J19" s="102"/>
      <c r="K19" s="102"/>
      <c r="L19" s="102"/>
    </row>
    <row r="20">
      <c r="A20" s="102" t="str">
        <f>IFERROR(__xludf.DUMMYFUNCTION("""COMPUTED_VALUE"""),"Daedalus")</f>
        <v>Daedalus</v>
      </c>
      <c r="B20" s="102" t="str">
        <f>IFERROR(__xludf.DUMMYFUNCTION("""COMPUTED_VALUE"""),"Assault Rifle")</f>
        <v>Assault Rifle</v>
      </c>
      <c r="C20" s="103">
        <f>IFERROR(__xludf.DUMMYFUNCTION("""COMPUTED_VALUE"""),18.0)</f>
        <v>18</v>
      </c>
      <c r="D20" s="102" t="str">
        <f>IFERROR(__xludf.DUMMYFUNCTION("""COMPUTED_VALUE"""),"Manufacturer Part")</f>
        <v>Manufacturer Part</v>
      </c>
      <c r="E20" s="102" t="str">
        <f>IFERROR(__xludf.DUMMYFUNCTION("""COMPUTED_VALUE"""),"DAD_AR.part_barrel_licensed_ted")</f>
        <v>DAD_AR.part_barrel_licensed_ted</v>
      </c>
      <c r="F20" s="102" t="str">
        <f>IFERROR(__xludf.DUMMYFUNCTION("""COMPUTED_VALUE"""),"DAD_AR_TopAcc_03 + 03_A")</f>
        <v>DAD_AR_TopAcc_03 + 03_A</v>
      </c>
      <c r="G20" s="102" t="str">
        <f>IFERROR(__xludf.DUMMYFUNCTION("""COMPUTED_VALUE"""),"Tediore Reload, no stat changes")</f>
        <v>Tediore Reload, no stat changes</v>
      </c>
      <c r="H20" s="102"/>
      <c r="I20" s="102"/>
      <c r="J20" s="102"/>
      <c r="K20" s="102"/>
      <c r="L20" s="102"/>
    </row>
    <row r="21">
      <c r="A21" s="102" t="str">
        <f>IFERROR(__xludf.DUMMYFUNCTION("""COMPUTED_VALUE"""),"Daedalus")</f>
        <v>Daedalus</v>
      </c>
      <c r="B21" s="102" t="str">
        <f>IFERROR(__xludf.DUMMYFUNCTION("""COMPUTED_VALUE"""),"Assault Rifle")</f>
        <v>Assault Rifle</v>
      </c>
      <c r="C21" s="103">
        <f>IFERROR(__xludf.DUMMYFUNCTION("""COMPUTED_VALUE"""),20.0)</f>
        <v>20</v>
      </c>
      <c r="D21" s="102" t="str">
        <f>IFERROR(__xludf.DUMMYFUNCTION("""COMPUTED_VALUE"""),"Manufacturer Part")</f>
        <v>Manufacturer Part</v>
      </c>
      <c r="E21" s="102" t="str">
        <f>IFERROR(__xludf.DUMMYFUNCTION("""COMPUTED_VALUE"""),"DAD_AR.part_barrel_licensed_ted_shooting")</f>
        <v>DAD_AR.part_barrel_licensed_ted_shooting</v>
      </c>
      <c r="F21" s="102" t="str">
        <f>IFERROR(__xludf.DUMMYFUNCTION("""COMPUTED_VALUE"""),"DAD_AR_TopAcc_03 + 03_A")</f>
        <v>DAD_AR_TopAcc_03 + 03_A</v>
      </c>
      <c r="G21" s="102" t="str">
        <f>IFERROR(__xludf.DUMMYFUNCTION("""COMPUTED_VALUE"""),"Tediore Shooting, no stat changes")</f>
        <v>Tediore Shooting, no stat changes</v>
      </c>
      <c r="H21" s="102"/>
      <c r="I21" s="102"/>
      <c r="J21" s="102"/>
      <c r="K21" s="102"/>
      <c r="L21" s="102"/>
    </row>
    <row r="22">
      <c r="A22" s="102" t="str">
        <f>IFERROR(__xludf.DUMMYFUNCTION("""COMPUTED_VALUE"""),"Daedalus")</f>
        <v>Daedalus</v>
      </c>
      <c r="B22" s="102" t="str">
        <f>IFERROR(__xludf.DUMMYFUNCTION("""COMPUTED_VALUE"""),"Assault Rifle")</f>
        <v>Assault Rifle</v>
      </c>
      <c r="C22" s="103">
        <f>IFERROR(__xludf.DUMMYFUNCTION("""COMPUTED_VALUE"""),21.0)</f>
        <v>21</v>
      </c>
      <c r="D22" s="102" t="str">
        <f>IFERROR(__xludf.DUMMYFUNCTION("""COMPUTED_VALUE"""),"Manufacturer Part")</f>
        <v>Manufacturer Part</v>
      </c>
      <c r="E22" s="102" t="str">
        <f>IFERROR(__xludf.DUMMYFUNCTION("""COMPUTED_VALUE"""),"DAD_AR.part_barrel_licensed_ted_mirv")</f>
        <v>DAD_AR.part_barrel_licensed_ted_mirv</v>
      </c>
      <c r="F22" s="102" t="str">
        <f>IFERROR(__xludf.DUMMYFUNCTION("""COMPUTED_VALUE"""),"DAD_AR_TopAcc_03 + 03_B")</f>
        <v>DAD_AR_TopAcc_03 + 03_B</v>
      </c>
      <c r="G22" s="102" t="str">
        <f>IFERROR(__xludf.DUMMYFUNCTION("""COMPUTED_VALUE"""),"Tediore MIRV, no stat changes")</f>
        <v>Tediore MIRV, no stat changes</v>
      </c>
      <c r="H22" s="102"/>
      <c r="I22" s="102"/>
      <c r="J22" s="102"/>
      <c r="K22" s="102"/>
      <c r="L22" s="102"/>
    </row>
    <row r="23">
      <c r="A23" s="102" t="str">
        <f>IFERROR(__xludf.DUMMYFUNCTION("""COMPUTED_VALUE"""),"Daedalus")</f>
        <v>Daedalus</v>
      </c>
      <c r="B23" s="102" t="str">
        <f>IFERROR(__xludf.DUMMYFUNCTION("""COMPUTED_VALUE"""),"Assault Rifle")</f>
        <v>Assault Rifle</v>
      </c>
      <c r="C23" s="103">
        <f>IFERROR(__xludf.DUMMYFUNCTION("""COMPUTED_VALUE"""),22.0)</f>
        <v>22</v>
      </c>
      <c r="D23" s="102" t="str">
        <f>IFERROR(__xludf.DUMMYFUNCTION("""COMPUTED_VALUE"""),"Manufacturer Part")</f>
        <v>Manufacturer Part</v>
      </c>
      <c r="E23" s="102" t="str">
        <f>IFERROR(__xludf.DUMMYFUNCTION("""COMPUTED_VALUE"""),"DAD_AR.part_barrel_licensed_ted_combo")</f>
        <v>DAD_AR.part_barrel_licensed_ted_combo</v>
      </c>
      <c r="F23" s="102" t="str">
        <f>IFERROR(__xludf.DUMMYFUNCTION("""COMPUTED_VALUE"""),"DAD_AR_TopAcc_03 + 03_C")</f>
        <v>DAD_AR_TopAcc_03 + 03_C</v>
      </c>
      <c r="G23" s="102" t="str">
        <f>IFERROR(__xludf.DUMMYFUNCTION("""COMPUTED_VALUE"""),"Tediore Combo, no stat changes")</f>
        <v>Tediore Combo, no stat changes</v>
      </c>
      <c r="H23" s="102"/>
      <c r="I23" s="102"/>
      <c r="J23" s="102"/>
      <c r="K23" s="102"/>
      <c r="L23" s="102"/>
    </row>
    <row r="24">
      <c r="A24" s="102" t="str">
        <f>IFERROR(__xludf.DUMMYFUNCTION("""COMPUTED_VALUE"""),"Daedalus")</f>
        <v>Daedalus</v>
      </c>
      <c r="B24" s="102" t="str">
        <f>IFERROR(__xludf.DUMMYFUNCTION("""COMPUTED_VALUE"""),"Assault Rifle")</f>
        <v>Assault Rifle</v>
      </c>
      <c r="C24" s="103">
        <f>IFERROR(__xludf.DUMMYFUNCTION("""COMPUTED_VALUE"""),23.0)</f>
        <v>23</v>
      </c>
      <c r="D24" s="102" t="str">
        <f>IFERROR(__xludf.DUMMYFUNCTION("""COMPUTED_VALUE"""),"Manufacturer Part")</f>
        <v>Manufacturer Part</v>
      </c>
      <c r="E24" s="102" t="str">
        <f>IFERROR(__xludf.DUMMYFUNCTION("""COMPUTED_VALUE"""),"DAD_AR.part_barrel_licensed_hyp")</f>
        <v>DAD_AR.part_barrel_licensed_hyp</v>
      </c>
      <c r="F24" s="102" t="str">
        <f>IFERROR(__xludf.DUMMYFUNCTION("""COMPUTED_VALUE"""),"DAD_AR_TopAcc_02")</f>
        <v>DAD_AR_TopAcc_02</v>
      </c>
      <c r="G24" s="102" t="str">
        <f>IFERROR(__xludf.DUMMYFUNCTION("""COMPUTED_VALUE"""),"Hyperion Shield visual accessory, no stat changes")</f>
        <v>Hyperion Shield visual accessory, no stat changes</v>
      </c>
      <c r="H24" s="102"/>
      <c r="I24" s="102"/>
      <c r="J24" s="102"/>
      <c r="K24" s="102"/>
      <c r="L24" s="102"/>
    </row>
    <row r="25">
      <c r="A25" s="102" t="str">
        <f>IFERROR(__xludf.DUMMYFUNCTION("""COMPUTED_VALUE"""),"Daedalus")</f>
        <v>Daedalus</v>
      </c>
      <c r="B25" s="102" t="str">
        <f>IFERROR(__xludf.DUMMYFUNCTION("""COMPUTED_VALUE"""),"Assault Rifle")</f>
        <v>Assault Rifle</v>
      </c>
      <c r="C25" s="103">
        <f>IFERROR(__xludf.DUMMYFUNCTION("""COMPUTED_VALUE"""),24.0)</f>
        <v>24</v>
      </c>
      <c r="D25" s="102" t="str">
        <f>IFERROR(__xludf.DUMMYFUNCTION("""COMPUTED_VALUE"""),"Magazine")</f>
        <v>Magazine</v>
      </c>
      <c r="E25" s="102" t="str">
        <f>IFERROR(__xludf.DUMMYFUNCTION("""COMPUTED_VALUE"""),"DAD_AR.part_mag_01")</f>
        <v>DAD_AR.part_mag_01</v>
      </c>
      <c r="F25" s="102" t="str">
        <f>IFERROR(__xludf.DUMMYFUNCTION("""COMPUTED_VALUE"""),"DAD_AR_Mag_01")</f>
        <v>DAD_AR_Mag_01</v>
      </c>
      <c r="G25" s="102" t="str">
        <f>IFERROR(__xludf.DUMMYFUNCTION("""COMPUTED_VALUE"""),"2.1s Reload, 28 shots")</f>
        <v>2.1s Reload, 28 shots</v>
      </c>
      <c r="H25" s="102"/>
      <c r="I25" s="102"/>
      <c r="J25" s="102"/>
      <c r="K25" s="102"/>
      <c r="L25" s="102"/>
    </row>
    <row r="26">
      <c r="A26" s="102" t="str">
        <f>IFERROR(__xludf.DUMMYFUNCTION("""COMPUTED_VALUE"""),"Daedalus")</f>
        <v>Daedalus</v>
      </c>
      <c r="B26" s="102" t="str">
        <f>IFERROR(__xludf.DUMMYFUNCTION("""COMPUTED_VALUE"""),"Assault Rifle")</f>
        <v>Assault Rifle</v>
      </c>
      <c r="C26" s="103">
        <f>IFERROR(__xludf.DUMMYFUNCTION("""COMPUTED_VALUE"""),25.0)</f>
        <v>25</v>
      </c>
      <c r="D26" s="102" t="str">
        <f>IFERROR(__xludf.DUMMYFUNCTION("""COMPUTED_VALUE"""),"Magazine")</f>
        <v>Magazine</v>
      </c>
      <c r="E26" s="102" t="str">
        <f>IFERROR(__xludf.DUMMYFUNCTION("""COMPUTED_VALUE"""),"DAD_AR.part_mag_02")</f>
        <v>DAD_AR.part_mag_02</v>
      </c>
      <c r="F26" s="102" t="str">
        <f>IFERROR(__xludf.DUMMYFUNCTION("""COMPUTED_VALUE"""),"DAD_AR_Mag_02")</f>
        <v>DAD_AR_Mag_02</v>
      </c>
      <c r="G26" s="102" t="str">
        <f>IFERROR(__xludf.DUMMYFUNCTION("""COMPUTED_VALUE"""),"2.6s Reload, 36 shots")</f>
        <v>2.6s Reload, 36 shots</v>
      </c>
      <c r="H26" s="102"/>
      <c r="I26" s="102"/>
      <c r="J26" s="102"/>
      <c r="K26" s="102"/>
      <c r="L26" s="102"/>
    </row>
    <row r="27">
      <c r="A27" s="102" t="str">
        <f>IFERROR(__xludf.DUMMYFUNCTION("""COMPUTED_VALUE"""),"Daedalus")</f>
        <v>Daedalus</v>
      </c>
      <c r="B27" s="102" t="str">
        <f>IFERROR(__xludf.DUMMYFUNCTION("""COMPUTED_VALUE"""),"Assault Rifle")</f>
        <v>Assault Rifle</v>
      </c>
      <c r="C27" s="103">
        <f>IFERROR(__xludf.DUMMYFUNCTION("""COMPUTED_VALUE"""),26.0)</f>
        <v>26</v>
      </c>
      <c r="D27" s="102" t="str">
        <f>IFERROR(__xludf.DUMMYFUNCTION("""COMPUTED_VALUE"""),"Magazine")</f>
        <v>Magazine</v>
      </c>
      <c r="E27" s="102" t="str">
        <f>IFERROR(__xludf.DUMMYFUNCTION("""COMPUTED_VALUE"""),"DAD_AR.part_mag_03_tor")</f>
        <v>DAD_AR.part_mag_03_tor</v>
      </c>
      <c r="F27" s="102" t="str">
        <f>IFERROR(__xludf.DUMMYFUNCTION("""COMPUTED_VALUE"""),"DAD_AR_Mag_03")</f>
        <v>DAD_AR_Mag_03</v>
      </c>
      <c r="G27" s="102" t="str">
        <f>IFERROR(__xludf.DUMMYFUNCTION("""COMPUTED_VALUE"""),"2.0s Reload, +Damage, -Fire Rate, 20 shots, Torgue Mag")</f>
        <v>2.0s Reload, +Damage, -Fire Rate, 20 shots, Torgue Mag</v>
      </c>
      <c r="H27" s="102"/>
      <c r="I27" s="102"/>
      <c r="J27" s="102"/>
      <c r="K27" s="102"/>
      <c r="L27" s="102"/>
    </row>
    <row r="28">
      <c r="A28" s="102" t="str">
        <f>IFERROR(__xludf.DUMMYFUNCTION("""COMPUTED_VALUE"""),"Daedalus")</f>
        <v>Daedalus</v>
      </c>
      <c r="B28" s="102" t="str">
        <f>IFERROR(__xludf.DUMMYFUNCTION("""COMPUTED_VALUE"""),"Assault Rifle")</f>
        <v>Assault Rifle</v>
      </c>
      <c r="C28" s="103">
        <f>IFERROR(__xludf.DUMMYFUNCTION("""COMPUTED_VALUE"""),27.0)</f>
        <v>27</v>
      </c>
      <c r="D28" s="102" t="str">
        <f>IFERROR(__xludf.DUMMYFUNCTION("""COMPUTED_VALUE"""),"Magazine")</f>
        <v>Magazine</v>
      </c>
      <c r="E28" s="102" t="str">
        <f>IFERROR(__xludf.DUMMYFUNCTION("""COMPUTED_VALUE"""),"DAD_AR.part_mag_04_cov")</f>
        <v>DAD_AR.part_mag_04_cov</v>
      </c>
      <c r="F28" s="102" t="str">
        <f>IFERROR(__xludf.DUMMYFUNCTION("""COMPUTED_VALUE"""),"DAD_AR_Mag_04")</f>
        <v>DAD_AR_Mag_04</v>
      </c>
      <c r="G28" s="102" t="str">
        <f>IFERROR(__xludf.DUMMYFUNCTION("""COMPUTED_VALUE"""),"4.3s Reload, +Damage, -Acc, 50 shots to overheat, CoV Mag")</f>
        <v>4.3s Reload, +Damage, -Acc, 50 shots to overheat, CoV Mag</v>
      </c>
      <c r="H28" s="102"/>
      <c r="I28" s="102"/>
      <c r="J28" s="102"/>
      <c r="K28" s="102"/>
      <c r="L28" s="102"/>
    </row>
    <row r="29">
      <c r="A29" s="102" t="str">
        <f>IFERROR(__xludf.DUMMYFUNCTION("""COMPUTED_VALUE"""),"Daedalus")</f>
        <v>Daedalus</v>
      </c>
      <c r="B29" s="102" t="str">
        <f>IFERROR(__xludf.DUMMYFUNCTION("""COMPUTED_VALUE"""),"Assault Rifle")</f>
        <v>Assault Rifle</v>
      </c>
      <c r="C29" s="103">
        <f>IFERROR(__xludf.DUMMYFUNCTION("""COMPUTED_VALUE"""),28.0)</f>
        <v>28</v>
      </c>
      <c r="D29" s="102" t="str">
        <f>IFERROR(__xludf.DUMMYFUNCTION("""COMPUTED_VALUE"""),"Magazine")</f>
        <v>Magazine</v>
      </c>
      <c r="E29" s="102" t="str">
        <f>IFERROR(__xludf.DUMMYFUNCTION("""COMPUTED_VALUE"""),"DAD_AR.part_mag_05_borg")</f>
        <v>DAD_AR.part_mag_05_borg</v>
      </c>
      <c r="F29" s="102" t="str">
        <f>IFERROR(__xludf.DUMMYFUNCTION("""COMPUTED_VALUE"""),"DAD_AR_Mag_05")</f>
        <v>DAD_AR_Mag_05</v>
      </c>
      <c r="G29" s="102" t="str">
        <f>IFERROR(__xludf.DUMMYFUNCTION("""COMPUTED_VALUE"""),"3.0s Reload, +Damage, +Acc, +Fire Rate, 44 shots, Ripper Mag")</f>
        <v>3.0s Reload, +Damage, +Acc, +Fire Rate, 44 shots, Ripper Mag</v>
      </c>
      <c r="H29" s="102"/>
      <c r="I29" s="102"/>
      <c r="J29" s="102"/>
      <c r="K29" s="102"/>
      <c r="L29" s="102"/>
    </row>
    <row r="30">
      <c r="A30" s="102" t="str">
        <f>IFERROR(__xludf.DUMMYFUNCTION("""COMPUTED_VALUE"""),"Daedalus")</f>
        <v>Daedalus</v>
      </c>
      <c r="B30" s="102" t="str">
        <f>IFERROR(__xludf.DUMMYFUNCTION("""COMPUTED_VALUE"""),"Assault Rifle")</f>
        <v>Assault Rifle</v>
      </c>
      <c r="C30" s="103">
        <f>IFERROR(__xludf.DUMMYFUNCTION("""COMPUTED_VALUE"""),29.0)</f>
        <v>29</v>
      </c>
      <c r="D30" s="102" t="str">
        <f>IFERROR(__xludf.DUMMYFUNCTION("""COMPUTED_VALUE"""),"Manufacturer Part")</f>
        <v>Manufacturer Part</v>
      </c>
      <c r="E30" s="102" t="str">
        <f>IFERROR(__xludf.DUMMYFUNCTION("""COMPUTED_VALUE"""),"DAD_AR.part_mag_torgue_normal")</f>
        <v>DAD_AR.part_mag_torgue_normal</v>
      </c>
      <c r="F30" s="102" t="str">
        <f>IFERROR(__xludf.DUMMYFUNCTION("""COMPUTED_VALUE"""),"No visual")</f>
        <v>No visual</v>
      </c>
      <c r="G30" s="102" t="str">
        <f>IFERROR(__xludf.DUMMYFUNCTION("""COMPUTED_VALUE"""),"Torgue Impact Gyrojets")</f>
        <v>Torgue Impact Gyrojets</v>
      </c>
      <c r="H30" s="102"/>
      <c r="I30" s="102"/>
      <c r="J30" s="102"/>
      <c r="K30" s="102"/>
      <c r="L30" s="102"/>
    </row>
    <row r="31">
      <c r="A31" s="102" t="str">
        <f>IFERROR(__xludf.DUMMYFUNCTION("""COMPUTED_VALUE"""),"Daedalus")</f>
        <v>Daedalus</v>
      </c>
      <c r="B31" s="102" t="str">
        <f>IFERROR(__xludf.DUMMYFUNCTION("""COMPUTED_VALUE"""),"Assault Rifle")</f>
        <v>Assault Rifle</v>
      </c>
      <c r="C31" s="103">
        <f>IFERROR(__xludf.DUMMYFUNCTION("""COMPUTED_VALUE"""),30.0)</f>
        <v>30</v>
      </c>
      <c r="D31" s="102" t="str">
        <f>IFERROR(__xludf.DUMMYFUNCTION("""COMPUTED_VALUE"""),"Stat Modifier")</f>
        <v>Stat Modifier</v>
      </c>
      <c r="E31" s="102" t="str">
        <f>IFERROR(__xludf.DUMMYFUNCTION("""COMPUTED_VALUE"""),"DAD_AR.part_mag_ted_thrown_01")</f>
        <v>DAD_AR.part_mag_ted_thrown_01</v>
      </c>
      <c r="F31" s="102" t="str">
        <f>IFERROR(__xludf.DUMMYFUNCTION("""COMPUTED_VALUE"""),"No visual")</f>
        <v>No visual</v>
      </c>
      <c r="G31" s="102" t="str">
        <f>IFERROR(__xludf.DUMMYFUNCTION("""COMPUTED_VALUE"""),"2.0s Reload")</f>
        <v>2.0s Reload</v>
      </c>
      <c r="H31" s="102"/>
      <c r="I31" s="102"/>
      <c r="J31" s="102"/>
      <c r="K31" s="102"/>
      <c r="L31" s="102"/>
    </row>
    <row r="32">
      <c r="A32" s="102" t="str">
        <f>IFERROR(__xludf.DUMMYFUNCTION("""COMPUTED_VALUE"""),"Daedalus")</f>
        <v>Daedalus</v>
      </c>
      <c r="B32" s="102" t="str">
        <f>IFERROR(__xludf.DUMMYFUNCTION("""COMPUTED_VALUE"""),"Assault Rifle")</f>
        <v>Assault Rifle</v>
      </c>
      <c r="C32" s="103">
        <f>IFERROR(__xludf.DUMMYFUNCTION("""COMPUTED_VALUE"""),31.0)</f>
        <v>31</v>
      </c>
      <c r="D32" s="102" t="str">
        <f>IFERROR(__xludf.DUMMYFUNCTION("""COMPUTED_VALUE"""),"Stat Modifier")</f>
        <v>Stat Modifier</v>
      </c>
      <c r="E32" s="102" t="str">
        <f>IFERROR(__xludf.DUMMYFUNCTION("""COMPUTED_VALUE"""),"DAD_AR.part_mag_ted_thrown_02")</f>
        <v>DAD_AR.part_mag_ted_thrown_02</v>
      </c>
      <c r="F32" s="102" t="str">
        <f>IFERROR(__xludf.DUMMYFUNCTION("""COMPUTED_VALUE"""),"No visual")</f>
        <v>No visual</v>
      </c>
      <c r="G32" s="102" t="str">
        <f>IFERROR(__xludf.DUMMYFUNCTION("""COMPUTED_VALUE"""),"2.0s Reload")</f>
        <v>2.0s Reload</v>
      </c>
      <c r="H32" s="102"/>
      <c r="I32" s="102"/>
      <c r="J32" s="102"/>
      <c r="K32" s="102"/>
      <c r="L32" s="102"/>
    </row>
    <row r="33">
      <c r="A33" s="102" t="str">
        <f>IFERROR(__xludf.DUMMYFUNCTION("""COMPUTED_VALUE"""),"Daedalus")</f>
        <v>Daedalus</v>
      </c>
      <c r="B33" s="102" t="str">
        <f>IFERROR(__xludf.DUMMYFUNCTION("""COMPUTED_VALUE"""),"Assault Rifle")</f>
        <v>Assault Rifle</v>
      </c>
      <c r="C33" s="103">
        <f>IFERROR(__xludf.DUMMYFUNCTION("""COMPUTED_VALUE"""),32.0)</f>
        <v>32</v>
      </c>
      <c r="D33" s="102" t="str">
        <f>IFERROR(__xludf.DUMMYFUNCTION("""COMPUTED_VALUE"""),"Manufacturer Part")</f>
        <v>Manufacturer Part</v>
      </c>
      <c r="E33" s="102" t="str">
        <f>IFERROR(__xludf.DUMMYFUNCTION("""COMPUTED_VALUE"""),"DAD_AR.part_mag_torgue_sticky")</f>
        <v>DAD_AR.part_mag_torgue_sticky</v>
      </c>
      <c r="F33" s="102" t="str">
        <f>IFERROR(__xludf.DUMMYFUNCTION("""COMPUTED_VALUE"""),"No visual")</f>
        <v>No visual</v>
      </c>
      <c r="G33" s="102" t="str">
        <f>IFERROR(__xludf.DUMMYFUNCTION("""COMPUTED_VALUE"""),"Torgue Sticky Gyrojets")</f>
        <v>Torgue Sticky Gyrojets</v>
      </c>
      <c r="H33" s="102"/>
      <c r="I33" s="102"/>
      <c r="J33" s="102"/>
      <c r="K33" s="102"/>
      <c r="L33" s="102"/>
    </row>
    <row r="34">
      <c r="A34" s="102" t="str">
        <f>IFERROR(__xludf.DUMMYFUNCTION("""COMPUTED_VALUE"""),"Daedalus")</f>
        <v>Daedalus</v>
      </c>
      <c r="B34" s="102" t="str">
        <f>IFERROR(__xludf.DUMMYFUNCTION("""COMPUTED_VALUE"""),"Assault Rifle")</f>
        <v>Assault Rifle</v>
      </c>
      <c r="C34" s="103">
        <f>IFERROR(__xludf.DUMMYFUNCTION("""COMPUTED_VALUE"""),33.0)</f>
        <v>33</v>
      </c>
      <c r="D34" s="102" t="str">
        <f>IFERROR(__xludf.DUMMYFUNCTION("""COMPUTED_VALUE"""),"Stat Modifier")</f>
        <v>Stat Modifier</v>
      </c>
      <c r="E34" s="102" t="str">
        <f>IFERROR(__xludf.DUMMYFUNCTION("""COMPUTED_VALUE"""),"DAD_AR.part_mag_ted_thrown_03_tor")</f>
        <v>DAD_AR.part_mag_ted_thrown_03_tor</v>
      </c>
      <c r="F34" s="102" t="str">
        <f>IFERROR(__xludf.DUMMYFUNCTION("""COMPUTED_VALUE"""),"No visual")</f>
        <v>No visual</v>
      </c>
      <c r="G34" s="102" t="str">
        <f>IFERROR(__xludf.DUMMYFUNCTION("""COMPUTED_VALUE"""),"2.0s Reload")</f>
        <v>2.0s Reload</v>
      </c>
      <c r="H34" s="102"/>
      <c r="I34" s="102"/>
      <c r="J34" s="102"/>
      <c r="K34" s="102"/>
      <c r="L34" s="102"/>
    </row>
    <row r="35">
      <c r="A35" s="102" t="str">
        <f>IFERROR(__xludf.DUMMYFUNCTION("""COMPUTED_VALUE"""),"Daedalus")</f>
        <v>Daedalus</v>
      </c>
      <c r="B35" s="102" t="str">
        <f>IFERROR(__xludf.DUMMYFUNCTION("""COMPUTED_VALUE"""),"Assault Rifle")</f>
        <v>Assault Rifle</v>
      </c>
      <c r="C35" s="103">
        <f>IFERROR(__xludf.DUMMYFUNCTION("""COMPUTED_VALUE"""),34.0)</f>
        <v>34</v>
      </c>
      <c r="D35" s="102" t="str">
        <f>IFERROR(__xludf.DUMMYFUNCTION("""COMPUTED_VALUE"""),"Stat Modifier")</f>
        <v>Stat Modifier</v>
      </c>
      <c r="E35" s="102" t="str">
        <f>IFERROR(__xludf.DUMMYFUNCTION("""COMPUTED_VALUE"""),"DAD_AR.part_mag_ted_thrown_04_cov")</f>
        <v>DAD_AR.part_mag_ted_thrown_04_cov</v>
      </c>
      <c r="F35" s="102" t="str">
        <f>IFERROR(__xludf.DUMMYFUNCTION("""COMPUTED_VALUE"""),"No visual")</f>
        <v>No visual</v>
      </c>
      <c r="G35" s="102" t="str">
        <f>IFERROR(__xludf.DUMMYFUNCTION("""COMPUTED_VALUE"""),"3.0s Reload")</f>
        <v>3.0s Reload</v>
      </c>
      <c r="H35" s="102"/>
      <c r="I35" s="102"/>
      <c r="J35" s="102"/>
      <c r="K35" s="102"/>
      <c r="L35" s="102"/>
    </row>
    <row r="36">
      <c r="A36" s="102" t="str">
        <f>IFERROR(__xludf.DUMMYFUNCTION("""COMPUTED_VALUE"""),"Daedalus")</f>
        <v>Daedalus</v>
      </c>
      <c r="B36" s="102" t="str">
        <f>IFERROR(__xludf.DUMMYFUNCTION("""COMPUTED_VALUE"""),"Assault Rifle")</f>
        <v>Assault Rifle</v>
      </c>
      <c r="C36" s="103">
        <f>IFERROR(__xludf.DUMMYFUNCTION("""COMPUTED_VALUE"""),35.0)</f>
        <v>35</v>
      </c>
      <c r="D36" s="102" t="str">
        <f>IFERROR(__xludf.DUMMYFUNCTION("""COMPUTED_VALUE"""),"Stat Modifier")</f>
        <v>Stat Modifier</v>
      </c>
      <c r="E36" s="102" t="str">
        <f>IFERROR(__xludf.DUMMYFUNCTION("""COMPUTED_VALUE"""),"DAD_AR.part_mag_ted_thrown_05_bor")</f>
        <v>DAD_AR.part_mag_ted_thrown_05_bor</v>
      </c>
      <c r="F36" s="102" t="str">
        <f>IFERROR(__xludf.DUMMYFUNCTION("""COMPUTED_VALUE"""),"No visual")</f>
        <v>No visual</v>
      </c>
      <c r="G36" s="102" t="str">
        <f>IFERROR(__xludf.DUMMYFUNCTION("""COMPUTED_VALUE"""),"3.0s Reload")</f>
        <v>3.0s Reload</v>
      </c>
      <c r="H36" s="102"/>
      <c r="I36" s="102"/>
      <c r="J36" s="102"/>
      <c r="K36" s="102"/>
      <c r="L36" s="102"/>
    </row>
    <row r="37">
      <c r="A37" s="102" t="str">
        <f>IFERROR(__xludf.DUMMYFUNCTION("""COMPUTED_VALUE"""),"Daedalus")</f>
        <v>Daedalus</v>
      </c>
      <c r="B37" s="102" t="str">
        <f>IFERROR(__xludf.DUMMYFUNCTION("""COMPUTED_VALUE"""),"Assault Rifle")</f>
        <v>Assault Rifle</v>
      </c>
      <c r="C37" s="103">
        <f>IFERROR(__xludf.DUMMYFUNCTION("""COMPUTED_VALUE"""),36.0)</f>
        <v>36</v>
      </c>
      <c r="D37" s="102" t="str">
        <f>IFERROR(__xludf.DUMMYFUNCTION("""COMPUTED_VALUE"""),"Body")</f>
        <v>Body</v>
      </c>
      <c r="E37" s="102" t="str">
        <f>IFERROR(__xludf.DUMMYFUNCTION("""COMPUTED_VALUE"""),"DAD_AR.part_body_bolt")</f>
        <v>DAD_AR.part_body_bolt</v>
      </c>
      <c r="F37" s="102" t="str">
        <f>IFERROR(__xludf.DUMMYFUNCTION("""COMPUTED_VALUE"""),"DAD_AR_Body_Bolt")</f>
        <v>DAD_AR_Body_Bolt</v>
      </c>
      <c r="G37" s="102" t="str">
        <f>IFERROR(__xludf.DUMMYFUNCTION("""COMPUTED_VALUE"""),"No Stat Changes, always present")</f>
        <v>No Stat Changes, always present</v>
      </c>
      <c r="H37" s="102"/>
      <c r="I37" s="102"/>
      <c r="J37" s="102"/>
      <c r="K37" s="102"/>
      <c r="L37" s="102"/>
    </row>
    <row r="38">
      <c r="A38" s="102" t="str">
        <f>IFERROR(__xludf.DUMMYFUNCTION("""COMPUTED_VALUE"""),"Daedalus")</f>
        <v>Daedalus</v>
      </c>
      <c r="B38" s="102" t="str">
        <f>IFERROR(__xludf.DUMMYFUNCTION("""COMPUTED_VALUE"""),"Assault Rifle")</f>
        <v>Assault Rifle</v>
      </c>
      <c r="C38" s="103">
        <f>IFERROR(__xludf.DUMMYFUNCTION("""COMPUTED_VALUE"""),37.0)</f>
        <v>37</v>
      </c>
      <c r="D38" s="102" t="str">
        <f>IFERROR(__xludf.DUMMYFUNCTION("""COMPUTED_VALUE"""),"Scope")</f>
        <v>Scope</v>
      </c>
      <c r="E38" s="102" t="str">
        <f>IFERROR(__xludf.DUMMYFUNCTION("""COMPUTED_VALUE"""),"DAD_AR.part_scope_02_lens_02")</f>
        <v>DAD_AR.part_scope_02_lens_02</v>
      </c>
      <c r="F38" s="102" t="str">
        <f>IFERROR(__xludf.DUMMYFUNCTION("""COMPUTED_VALUE"""),"DAD_AR_Scope_02 + 02_L2")</f>
        <v>DAD_AR_Scope_02 + 02_L2</v>
      </c>
      <c r="G38" s="102" t="str">
        <f>IFERROR(__xludf.DUMMYFUNCTION("""COMPUTED_VALUE"""),"ADS ++++Zoom")</f>
        <v>ADS ++++Zoom</v>
      </c>
      <c r="H38" s="102"/>
      <c r="I38" s="102"/>
      <c r="J38" s="102"/>
      <c r="K38" s="102"/>
      <c r="L38" s="102"/>
    </row>
    <row r="39">
      <c r="A39" s="102" t="str">
        <f>IFERROR(__xludf.DUMMYFUNCTION("""COMPUTED_VALUE"""),"Daedalus")</f>
        <v>Daedalus</v>
      </c>
      <c r="B39" s="102" t="str">
        <f>IFERROR(__xludf.DUMMYFUNCTION("""COMPUTED_VALUE"""),"Assault Rifle")</f>
        <v>Assault Rifle</v>
      </c>
      <c r="C39" s="103">
        <f>IFERROR(__xludf.DUMMYFUNCTION("""COMPUTED_VALUE"""),38.0)</f>
        <v>38</v>
      </c>
      <c r="D39" s="102" t="str">
        <f>IFERROR(__xludf.DUMMYFUNCTION("""COMPUTED_VALUE"""),"Scope")</f>
        <v>Scope</v>
      </c>
      <c r="E39" s="102" t="str">
        <f>IFERROR(__xludf.DUMMYFUNCTION("""COMPUTED_VALUE"""),"DAD_AR.part_scope_02_lens_01")</f>
        <v>DAD_AR.part_scope_02_lens_01</v>
      </c>
      <c r="F39" s="102" t="str">
        <f>IFERROR(__xludf.DUMMYFUNCTION("""COMPUTED_VALUE"""),"DAD_AR_Scope_02 + 02_L1")</f>
        <v>DAD_AR_Scope_02 + 02_L1</v>
      </c>
      <c r="G39" s="102" t="str">
        <f>IFERROR(__xludf.DUMMYFUNCTION("""COMPUTED_VALUE"""),"ADS +++Zoom")</f>
        <v>ADS +++Zoom</v>
      </c>
      <c r="H39" s="102"/>
      <c r="I39" s="102"/>
      <c r="J39" s="102"/>
      <c r="K39" s="102"/>
      <c r="L39" s="102"/>
    </row>
    <row r="40">
      <c r="A40" s="102" t="str">
        <f>IFERROR(__xludf.DUMMYFUNCTION("""COMPUTED_VALUE"""),"Daedalus")</f>
        <v>Daedalus</v>
      </c>
      <c r="B40" s="102" t="str">
        <f>IFERROR(__xludf.DUMMYFUNCTION("""COMPUTED_VALUE"""),"Assault Rifle")</f>
        <v>Assault Rifle</v>
      </c>
      <c r="C40" s="103">
        <f>IFERROR(__xludf.DUMMYFUNCTION("""COMPUTED_VALUE"""),39.0)</f>
        <v>39</v>
      </c>
      <c r="D40" s="102" t="str">
        <f>IFERROR(__xludf.DUMMYFUNCTION("""COMPUTED_VALUE"""),"Scope")</f>
        <v>Scope</v>
      </c>
      <c r="E40" s="102" t="str">
        <f>IFERROR(__xludf.DUMMYFUNCTION("""COMPUTED_VALUE"""),"DAD_AR.part_scope_01_lens_02")</f>
        <v>DAD_AR.part_scope_01_lens_02</v>
      </c>
      <c r="F40" s="102" t="str">
        <f>IFERROR(__xludf.DUMMYFUNCTION("""COMPUTED_VALUE"""),"DAD_AR_Scope_01 + 01_L2")</f>
        <v>DAD_AR_Scope_01 + 01_L2</v>
      </c>
      <c r="G40" s="102" t="str">
        <f>IFERROR(__xludf.DUMMYFUNCTION("""COMPUTED_VALUE"""),"ADS ++Zoom")</f>
        <v>ADS ++Zoom</v>
      </c>
      <c r="H40" s="102"/>
      <c r="I40" s="102"/>
      <c r="J40" s="102"/>
      <c r="K40" s="102"/>
      <c r="L40" s="102"/>
    </row>
    <row r="41">
      <c r="A41" s="102" t="str">
        <f>IFERROR(__xludf.DUMMYFUNCTION("""COMPUTED_VALUE"""),"Daedalus")</f>
        <v>Daedalus</v>
      </c>
      <c r="B41" s="102" t="str">
        <f>IFERROR(__xludf.DUMMYFUNCTION("""COMPUTED_VALUE"""),"Assault Rifle")</f>
        <v>Assault Rifle</v>
      </c>
      <c r="C41" s="103">
        <f>IFERROR(__xludf.DUMMYFUNCTION("""COMPUTED_VALUE"""),40.0)</f>
        <v>40</v>
      </c>
      <c r="D41" s="102" t="str">
        <f>IFERROR(__xludf.DUMMYFUNCTION("""COMPUTED_VALUE"""),"Scope")</f>
        <v>Scope</v>
      </c>
      <c r="E41" s="102" t="str">
        <f>IFERROR(__xludf.DUMMYFUNCTION("""COMPUTED_VALUE"""),"DAD_AR.part_scope_01_lens_01")</f>
        <v>DAD_AR.part_scope_01_lens_01</v>
      </c>
      <c r="F41" s="102" t="str">
        <f>IFERROR(__xludf.DUMMYFUNCTION("""COMPUTED_VALUE"""),"DAD_AR_Scope_01 + 01_L1")</f>
        <v>DAD_AR_Scope_01 + 01_L1</v>
      </c>
      <c r="G41" s="102" t="str">
        <f>IFERROR(__xludf.DUMMYFUNCTION("""COMPUTED_VALUE"""),"ADS +Zoom")</f>
        <v>ADS +Zoom</v>
      </c>
      <c r="H41" s="102"/>
      <c r="I41" s="102"/>
      <c r="J41" s="102"/>
      <c r="K41" s="102"/>
      <c r="L41" s="102"/>
    </row>
    <row r="42">
      <c r="A42" s="102" t="str">
        <f>IFERROR(__xludf.DUMMYFUNCTION("""COMPUTED_VALUE"""),"Daedalus")</f>
        <v>Daedalus</v>
      </c>
      <c r="B42" s="102" t="str">
        <f>IFERROR(__xludf.DUMMYFUNCTION("""COMPUTED_VALUE"""),"Assault Rifle")</f>
        <v>Assault Rifle</v>
      </c>
      <c r="C42" s="103">
        <f>IFERROR(__xludf.DUMMYFUNCTION("""COMPUTED_VALUE"""),41.0)</f>
        <v>41</v>
      </c>
      <c r="D42" s="102" t="str">
        <f>IFERROR(__xludf.DUMMYFUNCTION("""COMPUTED_VALUE"""),"Scope")</f>
        <v>Scope</v>
      </c>
      <c r="E42" s="102" t="str">
        <f>IFERROR(__xludf.DUMMYFUNCTION("""COMPUTED_VALUE"""),"DAD_AR.part_scope_ironsight")</f>
        <v>DAD_AR.part_scope_ironsight</v>
      </c>
      <c r="F42" s="102" t="str">
        <f>IFERROR(__xludf.DUMMYFUNCTION("""COMPUTED_VALUE"""),"DAD_AR_Scope_Iron")</f>
        <v>DAD_AR_Scope_Iron</v>
      </c>
      <c r="G42" s="102" t="str">
        <f>IFERROR(__xludf.DUMMYFUNCTION("""COMPUTED_VALUE"""),"ADS")</f>
        <v>ADS</v>
      </c>
      <c r="H42" s="102"/>
      <c r="I42" s="102"/>
      <c r="J42" s="102"/>
      <c r="K42" s="102"/>
      <c r="L42" s="102"/>
    </row>
    <row r="43">
      <c r="A43" s="102" t="str">
        <f>IFERROR(__xludf.DUMMYFUNCTION("""COMPUTED_VALUE"""),"Daedalus")</f>
        <v>Daedalus</v>
      </c>
      <c r="B43" s="102" t="str">
        <f>IFERROR(__xludf.DUMMYFUNCTION("""COMPUTED_VALUE"""),"Assault Rifle")</f>
        <v>Assault Rifle</v>
      </c>
      <c r="C43" s="103">
        <f>IFERROR(__xludf.DUMMYFUNCTION("""COMPUTED_VALUE"""),42.0)</f>
        <v>42</v>
      </c>
      <c r="D43" s="102" t="str">
        <f>IFERROR(__xludf.DUMMYFUNCTION("""COMPUTED_VALUE"""),"Scope Accessory")</f>
        <v>Scope Accessory</v>
      </c>
      <c r="E43" s="102" t="str">
        <f>IFERROR(__xludf.DUMMYFUNCTION("""COMPUTED_VALUE"""),"DAD_AR.part_scope_acc_s01_l01_a")</f>
        <v>DAD_AR.part_scope_acc_s01_l01_a</v>
      </c>
      <c r="F43" s="102" t="str">
        <f>IFERROR(__xludf.DUMMYFUNCTION("""COMPUTED_VALUE"""),"DAD_AR_Scope_01_A")</f>
        <v>DAD_AR_Scope_01_A</v>
      </c>
      <c r="G43" s="102" t="str">
        <f>IFERROR(__xludf.DUMMYFUNCTION("""COMPUTED_VALUE"""),"+Fire Rate")</f>
        <v>+Fire Rate</v>
      </c>
      <c r="H43" s="102" t="str">
        <f>IFERROR(__xludf.DUMMYFUNCTION("""COMPUTED_VALUE"""),"Extra borders, Mag Counter")</f>
        <v>Extra borders, Mag Counter</v>
      </c>
      <c r="I43" s="102"/>
      <c r="J43" s="102"/>
      <c r="K43" s="102"/>
      <c r="L43" s="102"/>
    </row>
    <row r="44">
      <c r="A44" s="102" t="str">
        <f>IFERROR(__xludf.DUMMYFUNCTION("""COMPUTED_VALUE"""),"Daedalus")</f>
        <v>Daedalus</v>
      </c>
      <c r="B44" s="102" t="str">
        <f>IFERROR(__xludf.DUMMYFUNCTION("""COMPUTED_VALUE"""),"Assault Rifle")</f>
        <v>Assault Rifle</v>
      </c>
      <c r="C44" s="103">
        <f>IFERROR(__xludf.DUMMYFUNCTION("""COMPUTED_VALUE"""),43.0)</f>
        <v>43</v>
      </c>
      <c r="D44" s="102" t="str">
        <f>IFERROR(__xludf.DUMMYFUNCTION("""COMPUTED_VALUE"""),"Scope Accessory")</f>
        <v>Scope Accessory</v>
      </c>
      <c r="E44" s="102" t="str">
        <f>IFERROR(__xludf.DUMMYFUNCTION("""COMPUTED_VALUE"""),"DAD_AR.part_scope_acc_s01_l01_b")</f>
        <v>DAD_AR.part_scope_acc_s01_l01_b</v>
      </c>
      <c r="F44" s="102" t="str">
        <f>IFERROR(__xludf.DUMMYFUNCTION("""COMPUTED_VALUE"""),"DAD_AR_Scope_01_B")</f>
        <v>DAD_AR_Scope_01_B</v>
      </c>
      <c r="G44" s="102" t="str">
        <f>IFERROR(__xludf.DUMMYFUNCTION("""COMPUTED_VALUE"""),"+Damage")</f>
        <v>+Damage</v>
      </c>
      <c r="H44" s="102" t="str">
        <f>IFERROR(__xludf.DUMMYFUNCTION("""COMPUTED_VALUE"""),"Extra borders")</f>
        <v>Extra borders</v>
      </c>
      <c r="I44" s="102"/>
      <c r="J44" s="102"/>
      <c r="K44" s="102"/>
      <c r="L44" s="102"/>
    </row>
    <row r="45">
      <c r="A45" s="102" t="str">
        <f>IFERROR(__xludf.DUMMYFUNCTION("""COMPUTED_VALUE"""),"Daedalus")</f>
        <v>Daedalus</v>
      </c>
      <c r="B45" s="102" t="str">
        <f>IFERROR(__xludf.DUMMYFUNCTION("""COMPUTED_VALUE"""),"Assault Rifle")</f>
        <v>Assault Rifle</v>
      </c>
      <c r="C45" s="103">
        <f>IFERROR(__xludf.DUMMYFUNCTION("""COMPUTED_VALUE"""),44.0)</f>
        <v>44</v>
      </c>
      <c r="D45" s="102" t="str">
        <f>IFERROR(__xludf.DUMMYFUNCTION("""COMPUTED_VALUE"""),"Scope Accessory")</f>
        <v>Scope Accessory</v>
      </c>
      <c r="E45" s="102" t="str">
        <f>IFERROR(__xludf.DUMMYFUNCTION("""COMPUTED_VALUE"""),"DAD_AR.part_scope_acc_s01_l02_a")</f>
        <v>DAD_AR.part_scope_acc_s01_l02_a</v>
      </c>
      <c r="F45" s="102" t="str">
        <f>IFERROR(__xludf.DUMMYFUNCTION("""COMPUTED_VALUE"""),"DAD_AR_Scope_01_A")</f>
        <v>DAD_AR_Scope_01_A</v>
      </c>
      <c r="G45" s="102" t="str">
        <f>IFERROR(__xludf.DUMMYFUNCTION("""COMPUTED_VALUE"""),"+Fire Rate")</f>
        <v>+Fire Rate</v>
      </c>
      <c r="H45" s="102" t="str">
        <f>IFERROR(__xludf.DUMMYFUNCTION("""COMPUTED_VALUE"""),"Extra central visual, Mag Counter")</f>
        <v>Extra central visual, Mag Counter</v>
      </c>
      <c r="I45" s="102"/>
      <c r="J45" s="102"/>
      <c r="K45" s="102"/>
      <c r="L45" s="102"/>
    </row>
    <row r="46">
      <c r="A46" s="102" t="str">
        <f>IFERROR(__xludf.DUMMYFUNCTION("""COMPUTED_VALUE"""),"Daedalus")</f>
        <v>Daedalus</v>
      </c>
      <c r="B46" s="102" t="str">
        <f>IFERROR(__xludf.DUMMYFUNCTION("""COMPUTED_VALUE"""),"Assault Rifle")</f>
        <v>Assault Rifle</v>
      </c>
      <c r="C46" s="103">
        <f>IFERROR(__xludf.DUMMYFUNCTION("""COMPUTED_VALUE"""),45.0)</f>
        <v>45</v>
      </c>
      <c r="D46" s="102" t="str">
        <f>IFERROR(__xludf.DUMMYFUNCTION("""COMPUTED_VALUE"""),"Scope Accessory")</f>
        <v>Scope Accessory</v>
      </c>
      <c r="E46" s="102" t="str">
        <f>IFERROR(__xludf.DUMMYFUNCTION("""COMPUTED_VALUE"""),"DAD_AR.part_scope_acc_s01_l02_b")</f>
        <v>DAD_AR.part_scope_acc_s01_l02_b</v>
      </c>
      <c r="F46" s="102" t="str">
        <f>IFERROR(__xludf.DUMMYFUNCTION("""COMPUTED_VALUE"""),"DAD_AR_Scope_01_B")</f>
        <v>DAD_AR_Scope_01_B</v>
      </c>
      <c r="G46" s="102" t="str">
        <f>IFERROR(__xludf.DUMMYFUNCTION("""COMPUTED_VALUE"""),"+Damage")</f>
        <v>+Damage</v>
      </c>
      <c r="H46" s="102" t="str">
        <f>IFERROR(__xludf.DUMMYFUNCTION("""COMPUTED_VALUE"""),"Blue and green lines on right of crosshair")</f>
        <v>Blue and green lines on right of crosshair</v>
      </c>
      <c r="I46" s="102"/>
      <c r="J46" s="102"/>
      <c r="K46" s="102"/>
      <c r="L46" s="102"/>
    </row>
    <row r="47">
      <c r="A47" s="102" t="str">
        <f>IFERROR(__xludf.DUMMYFUNCTION("""COMPUTED_VALUE"""),"Daedalus")</f>
        <v>Daedalus</v>
      </c>
      <c r="B47" s="102" t="str">
        <f>IFERROR(__xludf.DUMMYFUNCTION("""COMPUTED_VALUE"""),"Assault Rifle")</f>
        <v>Assault Rifle</v>
      </c>
      <c r="C47" s="103">
        <f>IFERROR(__xludf.DUMMYFUNCTION("""COMPUTED_VALUE"""),46.0)</f>
        <v>46</v>
      </c>
      <c r="D47" s="102" t="str">
        <f>IFERROR(__xludf.DUMMYFUNCTION("""COMPUTED_VALUE"""),"Scope Accessory")</f>
        <v>Scope Accessory</v>
      </c>
      <c r="E47" s="102" t="str">
        <f>IFERROR(__xludf.DUMMYFUNCTION("""COMPUTED_VALUE"""),"DAD_AR.part_scope_acc_s02_l01_a")</f>
        <v>DAD_AR.part_scope_acc_s02_l01_a</v>
      </c>
      <c r="F47" s="102" t="str">
        <f>IFERROR(__xludf.DUMMYFUNCTION("""COMPUTED_VALUE"""),"DAD_AR_Scope_02_A")</f>
        <v>DAD_AR_Scope_02_A</v>
      </c>
      <c r="G47" s="102" t="str">
        <f>IFERROR(__xludf.DUMMYFUNCTION("""COMPUTED_VALUE"""),"No Stat Changes")</f>
        <v>No Stat Changes</v>
      </c>
      <c r="H47" s="102" t="str">
        <f>IFERROR(__xludf.DUMMYFUNCTION("""COMPUTED_VALUE"""),"Radar, Damage type indicator, Extra borders")</f>
        <v>Radar, Damage type indicator, Extra borders</v>
      </c>
      <c r="I47" s="102"/>
      <c r="J47" s="102"/>
      <c r="K47" s="102"/>
      <c r="L47" s="102"/>
    </row>
    <row r="48">
      <c r="A48" s="102" t="str">
        <f>IFERROR(__xludf.DUMMYFUNCTION("""COMPUTED_VALUE"""),"Daedalus")</f>
        <v>Daedalus</v>
      </c>
      <c r="B48" s="102" t="str">
        <f>IFERROR(__xludf.DUMMYFUNCTION("""COMPUTED_VALUE"""),"Assault Rifle")</f>
        <v>Assault Rifle</v>
      </c>
      <c r="C48" s="103">
        <f>IFERROR(__xludf.DUMMYFUNCTION("""COMPUTED_VALUE"""),47.0)</f>
        <v>47</v>
      </c>
      <c r="D48" s="102" t="str">
        <f>IFERROR(__xludf.DUMMYFUNCTION("""COMPUTED_VALUE"""),"Scope Accessory")</f>
        <v>Scope Accessory</v>
      </c>
      <c r="E48" s="102" t="str">
        <f>IFERROR(__xludf.DUMMYFUNCTION("""COMPUTED_VALUE"""),"DAD_AR.part_scope_acc_s02_l01_b")</f>
        <v>DAD_AR.part_scope_acc_s02_l01_b</v>
      </c>
      <c r="F48" s="102" t="str">
        <f>IFERROR(__xludf.DUMMYFUNCTION("""COMPUTED_VALUE"""),"DAD_AR_Scope_02_B")</f>
        <v>DAD_AR_Scope_02_B</v>
      </c>
      <c r="G48" s="102" t="str">
        <f>IFERROR(__xludf.DUMMYFUNCTION("""COMPUTED_VALUE"""),"+Crit Damage")</f>
        <v>+Crit Damage</v>
      </c>
      <c r="H48" s="102" t="str">
        <f>IFERROR(__xludf.DUMMYFUNCTION("""COMPUTED_VALUE"""),"Extra red visuals on scope")</f>
        <v>Extra red visuals on scope</v>
      </c>
      <c r="I48" s="102"/>
      <c r="J48" s="102"/>
      <c r="K48" s="102"/>
      <c r="L48" s="102"/>
    </row>
    <row r="49">
      <c r="A49" s="102" t="str">
        <f>IFERROR(__xludf.DUMMYFUNCTION("""COMPUTED_VALUE"""),"Daedalus")</f>
        <v>Daedalus</v>
      </c>
      <c r="B49" s="102" t="str">
        <f>IFERROR(__xludf.DUMMYFUNCTION("""COMPUTED_VALUE"""),"Assault Rifle")</f>
        <v>Assault Rifle</v>
      </c>
      <c r="C49" s="103">
        <f>IFERROR(__xludf.DUMMYFUNCTION("""COMPUTED_VALUE"""),48.0)</f>
        <v>48</v>
      </c>
      <c r="D49" s="102" t="str">
        <f>IFERROR(__xludf.DUMMYFUNCTION("""COMPUTED_VALUE"""),"Scope Accessory")</f>
        <v>Scope Accessory</v>
      </c>
      <c r="E49" s="102" t="str">
        <f>IFERROR(__xludf.DUMMYFUNCTION("""COMPUTED_VALUE"""),"DAD_AR.part_scope_acc_s02_l02_a")</f>
        <v>DAD_AR.part_scope_acc_s02_l02_a</v>
      </c>
      <c r="F49" s="102" t="str">
        <f>IFERROR(__xludf.DUMMYFUNCTION("""COMPUTED_VALUE"""),"DAD_AR_Scope_02_A")</f>
        <v>DAD_AR_Scope_02_A</v>
      </c>
      <c r="G49" s="102" t="str">
        <f>IFERROR(__xludf.DUMMYFUNCTION("""COMPUTED_VALUE"""),"No Stat Changes")</f>
        <v>No Stat Changes</v>
      </c>
      <c r="H49" s="102" t="str">
        <f>IFERROR(__xludf.DUMMYFUNCTION("""COMPUTED_VALUE"""),"Extra borders, Damage type indicator")</f>
        <v>Extra borders, Damage type indicator</v>
      </c>
      <c r="I49" s="102"/>
      <c r="J49" s="102"/>
      <c r="K49" s="102"/>
      <c r="L49" s="102"/>
    </row>
    <row r="50">
      <c r="A50" s="102" t="str">
        <f>IFERROR(__xludf.DUMMYFUNCTION("""COMPUTED_VALUE"""),"Daedalus")</f>
        <v>Daedalus</v>
      </c>
      <c r="B50" s="102" t="str">
        <f>IFERROR(__xludf.DUMMYFUNCTION("""COMPUTED_VALUE"""),"Assault Rifle")</f>
        <v>Assault Rifle</v>
      </c>
      <c r="C50" s="103">
        <f>IFERROR(__xludf.DUMMYFUNCTION("""COMPUTED_VALUE"""),49.0)</f>
        <v>49</v>
      </c>
      <c r="D50" s="102" t="str">
        <f>IFERROR(__xludf.DUMMYFUNCTION("""COMPUTED_VALUE"""),"Scope Accessory")</f>
        <v>Scope Accessory</v>
      </c>
      <c r="E50" s="102" t="str">
        <f>IFERROR(__xludf.DUMMYFUNCTION("""COMPUTED_VALUE"""),"DAD_AR.part_scope_acc_s02_l02_b")</f>
        <v>DAD_AR.part_scope_acc_s02_l02_b</v>
      </c>
      <c r="F50" s="102" t="str">
        <f>IFERROR(__xludf.DUMMYFUNCTION("""COMPUTED_VALUE"""),"DAD_AR_Scope_02_B")</f>
        <v>DAD_AR_Scope_02_B</v>
      </c>
      <c r="G50" s="102" t="str">
        <f>IFERROR(__xludf.DUMMYFUNCTION("""COMPUTED_VALUE"""),"+Crit Damage")</f>
        <v>+Crit Damage</v>
      </c>
      <c r="H50" s="102" t="str">
        <f>IFERROR(__xludf.DUMMYFUNCTION("""COMPUTED_VALUE"""),"Extra borders")</f>
        <v>Extra borders</v>
      </c>
      <c r="I50" s="102"/>
      <c r="J50" s="102"/>
      <c r="K50" s="102"/>
      <c r="L50" s="102"/>
    </row>
    <row r="51">
      <c r="A51" s="102" t="str">
        <f>IFERROR(__xludf.DUMMYFUNCTION("""COMPUTED_VALUE"""),"Daedalus")</f>
        <v>Daedalus</v>
      </c>
      <c r="B51" s="102" t="str">
        <f>IFERROR(__xludf.DUMMYFUNCTION("""COMPUTED_VALUE"""),"Assault Rifle")</f>
        <v>Assault Rifle</v>
      </c>
      <c r="C51" s="103">
        <f>IFERROR(__xludf.DUMMYFUNCTION("""COMPUTED_VALUE"""),50.0)</f>
        <v>50</v>
      </c>
      <c r="D51" s="102" t="str">
        <f>IFERROR(__xludf.DUMMYFUNCTION("""COMPUTED_VALUE"""),"Grip")</f>
        <v>Grip</v>
      </c>
      <c r="E51" s="102" t="str">
        <f>IFERROR(__xludf.DUMMYFUNCTION("""COMPUTED_VALUE"""),"DAD_AR.part_grip_05c_ted_jav")</f>
        <v>DAD_AR.part_grip_05c_ted_jav</v>
      </c>
      <c r="F51" s="102" t="str">
        <f>IFERROR(__xludf.DUMMYFUNCTION("""COMPUTED_VALUE"""),"DAD_AR_Grip_05 + 05_C")</f>
        <v>DAD_AR_Grip_05 + 05_C</v>
      </c>
      <c r="G51" s="102" t="str">
        <f>IFERROR(__xludf.DUMMYFUNCTION("""COMPUTED_VALUE"""),"Tediore reload modifier: Javelin, no stat changes")</f>
        <v>Tediore reload modifier: Javelin, no stat changes</v>
      </c>
      <c r="H51" s="102"/>
      <c r="I51" s="102"/>
      <c r="J51" s="102"/>
      <c r="K51" s="102"/>
      <c r="L51" s="102"/>
    </row>
    <row r="52">
      <c r="A52" s="102" t="str">
        <f>IFERROR(__xludf.DUMMYFUNCTION("""COMPUTED_VALUE"""),"Daedalus")</f>
        <v>Daedalus</v>
      </c>
      <c r="B52" s="102" t="str">
        <f>IFERROR(__xludf.DUMMYFUNCTION("""COMPUTED_VALUE"""),"Assault Rifle")</f>
        <v>Assault Rifle</v>
      </c>
      <c r="C52" s="103">
        <f>IFERROR(__xludf.DUMMYFUNCTION("""COMPUTED_VALUE"""),51.0)</f>
        <v>51</v>
      </c>
      <c r="D52" s="102" t="str">
        <f>IFERROR(__xludf.DUMMYFUNCTION("""COMPUTED_VALUE"""),"Grip")</f>
        <v>Grip</v>
      </c>
      <c r="E52" s="102" t="str">
        <f>IFERROR(__xludf.DUMMYFUNCTION("""COMPUTED_VALUE"""),"DAD_AR.part_grip_05a_ted_legs")</f>
        <v>DAD_AR.part_grip_05a_ted_legs</v>
      </c>
      <c r="F52" s="102" t="str">
        <f>IFERROR(__xludf.DUMMYFUNCTION("""COMPUTED_VALUE"""),"DAD_AR_Grip_05 + 05_A")</f>
        <v>DAD_AR_Grip_05 + 05_A</v>
      </c>
      <c r="G52" s="102" t="str">
        <f>IFERROR(__xludf.DUMMYFUNCTION("""COMPUTED_VALUE"""),"Tediore reload modifier: Legs, no stat changes")</f>
        <v>Tediore reload modifier: Legs, no stat changes</v>
      </c>
      <c r="H52" s="102"/>
      <c r="I52" s="102"/>
      <c r="J52" s="102"/>
      <c r="K52" s="102"/>
      <c r="L52" s="102"/>
    </row>
    <row r="53">
      <c r="A53" s="102" t="str">
        <f>IFERROR(__xludf.DUMMYFUNCTION("""COMPUTED_VALUE"""),"Daedalus")</f>
        <v>Daedalus</v>
      </c>
      <c r="B53" s="102" t="str">
        <f>IFERROR(__xludf.DUMMYFUNCTION("""COMPUTED_VALUE"""),"Assault Rifle")</f>
        <v>Assault Rifle</v>
      </c>
      <c r="C53" s="103">
        <f>IFERROR(__xludf.DUMMYFUNCTION("""COMPUTED_VALUE"""),52.0)</f>
        <v>52</v>
      </c>
      <c r="D53" s="102" t="str">
        <f>IFERROR(__xludf.DUMMYFUNCTION("""COMPUTED_VALUE"""),"Grip")</f>
        <v>Grip</v>
      </c>
      <c r="E53" s="102" t="str">
        <f>IFERROR(__xludf.DUMMYFUNCTION("""COMPUTED_VALUE"""),"DAD_AR.part_grip_05b_ted_homing")</f>
        <v>DAD_AR.part_grip_05b_ted_homing</v>
      </c>
      <c r="F53" s="102" t="str">
        <f>IFERROR(__xludf.DUMMYFUNCTION("""COMPUTED_VALUE"""),"DAD_AR_Grip_05 + 05_B")</f>
        <v>DAD_AR_Grip_05 + 05_B</v>
      </c>
      <c r="G53" s="102" t="str">
        <f>IFERROR(__xludf.DUMMYFUNCTION("""COMPUTED_VALUE"""),"Tediore reload modifier: Homing, no stat changes")</f>
        <v>Tediore reload modifier: Homing, no stat changes</v>
      </c>
      <c r="H53" s="102"/>
      <c r="I53" s="102"/>
      <c r="J53" s="102"/>
      <c r="K53" s="102"/>
      <c r="L53" s="102"/>
    </row>
    <row r="54">
      <c r="A54" s="102" t="str">
        <f>IFERROR(__xludf.DUMMYFUNCTION("""COMPUTED_VALUE"""),"Daedalus")</f>
        <v>Daedalus</v>
      </c>
      <c r="B54" s="102" t="str">
        <f>IFERROR(__xludf.DUMMYFUNCTION("""COMPUTED_VALUE"""),"Assault Rifle")</f>
        <v>Assault Rifle</v>
      </c>
      <c r="C54" s="103">
        <f>IFERROR(__xludf.DUMMYFUNCTION("""COMPUTED_VALUE"""),53.0)</f>
        <v>53</v>
      </c>
      <c r="D54" s="102" t="str">
        <f>IFERROR(__xludf.DUMMYFUNCTION("""COMPUTED_VALUE"""),"Grip")</f>
        <v>Grip</v>
      </c>
      <c r="E54" s="102" t="str">
        <f>IFERROR(__xludf.DUMMYFUNCTION("""COMPUTED_VALUE"""),"DAD_AR.part_grip_01")</f>
        <v>DAD_AR.part_grip_01</v>
      </c>
      <c r="F54" s="102" t="str">
        <f>IFERROR(__xludf.DUMMYFUNCTION("""COMPUTED_VALUE"""),"DAD_AR_Grip_01")</f>
        <v>DAD_AR_Grip_01</v>
      </c>
      <c r="G54" s="102" t="str">
        <f>IFERROR(__xludf.DUMMYFUNCTION("""COMPUTED_VALUE"""),"+Damage")</f>
        <v>+Damage</v>
      </c>
      <c r="H54" s="102"/>
      <c r="I54" s="102"/>
      <c r="J54" s="102"/>
      <c r="K54" s="102"/>
      <c r="L54" s="102"/>
    </row>
    <row r="55">
      <c r="A55" s="102" t="str">
        <f>IFERROR(__xludf.DUMMYFUNCTION("""COMPUTED_VALUE"""),"Daedalus")</f>
        <v>Daedalus</v>
      </c>
      <c r="B55" s="102" t="str">
        <f>IFERROR(__xludf.DUMMYFUNCTION("""COMPUTED_VALUE"""),"Assault Rifle")</f>
        <v>Assault Rifle</v>
      </c>
      <c r="C55" s="103">
        <f>IFERROR(__xludf.DUMMYFUNCTION("""COMPUTED_VALUE"""),54.0)</f>
        <v>54</v>
      </c>
      <c r="D55" s="102" t="str">
        <f>IFERROR(__xludf.DUMMYFUNCTION("""COMPUTED_VALUE"""),"Grip")</f>
        <v>Grip</v>
      </c>
      <c r="E55" s="102" t="str">
        <f>IFERROR(__xludf.DUMMYFUNCTION("""COMPUTED_VALUE"""),"DAD_AR.part_grip_02")</f>
        <v>DAD_AR.part_grip_02</v>
      </c>
      <c r="F55" s="102" t="str">
        <f>IFERROR(__xludf.DUMMYFUNCTION("""COMPUTED_VALUE"""),"DAD_AR_Grip_02")</f>
        <v>DAD_AR_Grip_02</v>
      </c>
      <c r="G55" s="102" t="str">
        <f>IFERROR(__xludf.DUMMYFUNCTION("""COMPUTED_VALUE"""),"+Fire Rate")</f>
        <v>+Fire Rate</v>
      </c>
      <c r="H55" s="102"/>
      <c r="I55" s="102"/>
      <c r="J55" s="102"/>
      <c r="K55" s="102"/>
      <c r="L55" s="102"/>
    </row>
    <row r="56">
      <c r="A56" s="102" t="str">
        <f>IFERROR(__xludf.DUMMYFUNCTION("""COMPUTED_VALUE"""),"Daedalus")</f>
        <v>Daedalus</v>
      </c>
      <c r="B56" s="102" t="str">
        <f>IFERROR(__xludf.DUMMYFUNCTION("""COMPUTED_VALUE"""),"Assault Rifle")</f>
        <v>Assault Rifle</v>
      </c>
      <c r="C56" s="103">
        <f>IFERROR(__xludf.DUMMYFUNCTION("""COMPUTED_VALUE"""),55.0)</f>
        <v>55</v>
      </c>
      <c r="D56" s="102" t="str">
        <f>IFERROR(__xludf.DUMMYFUNCTION("""COMPUTED_VALUE"""),"Grip")</f>
        <v>Grip</v>
      </c>
      <c r="E56" s="102" t="str">
        <f>IFERROR(__xludf.DUMMYFUNCTION("""COMPUTED_VALUE"""),"DAD_AR.part_grip_03")</f>
        <v>DAD_AR.part_grip_03</v>
      </c>
      <c r="F56" s="102" t="str">
        <f>IFERROR(__xludf.DUMMYFUNCTION("""COMPUTED_VALUE"""),"DAD_AR_Grip_03")</f>
        <v>DAD_AR_Grip_03</v>
      </c>
      <c r="G56" s="102" t="str">
        <f>IFERROR(__xludf.DUMMYFUNCTION("""COMPUTED_VALUE"""),"-Reload Speed")</f>
        <v>-Reload Speed</v>
      </c>
      <c r="H56" s="102"/>
      <c r="I56" s="102"/>
      <c r="J56" s="102"/>
      <c r="K56" s="102"/>
      <c r="L56" s="102"/>
    </row>
    <row r="57">
      <c r="A57" s="102" t="str">
        <f>IFERROR(__xludf.DUMMYFUNCTION("""COMPUTED_VALUE"""),"Daedalus")</f>
        <v>Daedalus</v>
      </c>
      <c r="B57" s="102" t="str">
        <f>IFERROR(__xludf.DUMMYFUNCTION("""COMPUTED_VALUE"""),"Assault Rifle")</f>
        <v>Assault Rifle</v>
      </c>
      <c r="C57" s="103">
        <f>IFERROR(__xludf.DUMMYFUNCTION("""COMPUTED_VALUE"""),56.0)</f>
        <v>56</v>
      </c>
      <c r="D57" s="102" t="str">
        <f>IFERROR(__xludf.DUMMYFUNCTION("""COMPUTED_VALUE"""),"Grip")</f>
        <v>Grip</v>
      </c>
      <c r="E57" s="102" t="str">
        <f>IFERROR(__xludf.DUMMYFUNCTION("""COMPUTED_VALUE"""),"DAD_AR.part_grip_04_hyp")</f>
        <v>DAD_AR.part_grip_04_hyp</v>
      </c>
      <c r="F57" s="102" t="str">
        <f>IFERROR(__xludf.DUMMYFUNCTION("""COMPUTED_VALUE"""),"DAD_AR_Grip_04")</f>
        <v>DAD_AR_Grip_04</v>
      </c>
      <c r="G57" s="102" t="str">
        <f>IFERROR(__xludf.DUMMYFUNCTION("""COMPUTED_VALUE"""),"Hyperion Grip, -Acc, Acc increases with continuous fire")</f>
        <v>Hyperion Grip, -Acc, Acc increases with continuous fire</v>
      </c>
      <c r="H57" s="102"/>
      <c r="I57" s="102"/>
      <c r="J57" s="102"/>
      <c r="K57" s="102"/>
      <c r="L57" s="102"/>
    </row>
    <row r="58">
      <c r="A58" s="102" t="str">
        <f>IFERROR(__xludf.DUMMYFUNCTION("""COMPUTED_VALUE"""),"Daedalus")</f>
        <v>Daedalus</v>
      </c>
      <c r="B58" s="102" t="str">
        <f>IFERROR(__xludf.DUMMYFUNCTION("""COMPUTED_VALUE"""),"Assault Rifle")</f>
        <v>Assault Rifle</v>
      </c>
      <c r="C58" s="103">
        <f>IFERROR(__xludf.DUMMYFUNCTION("""COMPUTED_VALUE"""),57.0)</f>
        <v>57</v>
      </c>
      <c r="D58" s="102" t="str">
        <f>IFERROR(__xludf.DUMMYFUNCTION("""COMPUTED_VALUE"""),"Barrel")</f>
        <v>Barrel</v>
      </c>
      <c r="E58" s="102" t="str">
        <f>IFERROR(__xludf.DUMMYFUNCTION("""COMPUTED_VALUE"""),"DAD_AR.part_barrel_02_lumberjack")</f>
        <v>DAD_AR.part_barrel_02_lumberjack</v>
      </c>
      <c r="F58" s="102" t="str">
        <f>IFERROR(__xludf.DUMMYFUNCTION("""COMPUTED_VALUE"""),"DAD_AR_Barrel_02")</f>
        <v>DAD_AR_Barrel_02</v>
      </c>
      <c r="G58" s="102" t="str">
        <f>IFERROR(__xludf.DUMMYFUNCTION("""COMPUTED_VALUE"""),"Bloody Lumberjack, 1227 Damage, 82% Acc, 4.0/s FR, 2 Shot")</f>
        <v>Bloody Lumberjack, 1227 Damage, 82% Acc, 4.0/s FR, 2 Shot</v>
      </c>
      <c r="H58" s="102" t="str">
        <f>IFERROR(__xludf.DUMMYFUNCTION("""COMPUTED_VALUE"""),"Timber - Fires saw-blades that penetrate enemies and ricochet off surfaces; successful hits apply a bleed status effect with a 3 second tick interval.")</f>
        <v>Timber - Fires saw-blades that penetrate enemies and ricochet off surfaces; successful hits apply a bleed status effect with a 3 second tick interval.</v>
      </c>
      <c r="I58" s="102"/>
      <c r="J58" s="102"/>
      <c r="K58" s="102"/>
      <c r="L58" s="102"/>
    </row>
    <row r="59">
      <c r="A59" s="102" t="str">
        <f>IFERROR(__xludf.DUMMYFUNCTION("""COMPUTED_VALUE"""),"Daedalus")</f>
        <v>Daedalus</v>
      </c>
      <c r="B59" s="102" t="str">
        <f>IFERROR(__xludf.DUMMYFUNCTION("""COMPUTED_VALUE"""),"Assault Rifle")</f>
        <v>Assault Rifle</v>
      </c>
      <c r="C59" s="103">
        <f>IFERROR(__xludf.DUMMYFUNCTION("""COMPUTED_VALUE"""),58.0)</f>
        <v>58</v>
      </c>
      <c r="D59" s="102" t="str">
        <f>IFERROR(__xludf.DUMMYFUNCTION("""COMPUTED_VALUE"""),"Underbarrel")</f>
        <v>Underbarrel</v>
      </c>
      <c r="E59" s="102" t="str">
        <f>IFERROR(__xludf.DUMMYFUNCTION("""COMPUTED_VALUE"""),"DAD_AR.part_underbarrel_04_atlas_ball")</f>
        <v>DAD_AR.part_underbarrel_04_atlas_ball</v>
      </c>
      <c r="F59" s="102" t="str">
        <f>IFERROR(__xludf.DUMMYFUNCTION("""COMPUTED_VALUE"""),"DAD_AR_UnderBarrel_04")</f>
        <v>DAD_AR_UnderBarrel_04</v>
      </c>
      <c r="G59" s="102" t="str">
        <f>IFERROR(__xludf.DUMMYFUNCTION("""COMPUTED_VALUE"""),"Atlas Tracker Grenades")</f>
        <v>Atlas Tracker Grenades</v>
      </c>
      <c r="H59" s="102"/>
      <c r="I59" s="102"/>
      <c r="J59" s="102"/>
      <c r="K59" s="102"/>
      <c r="L59" s="102"/>
    </row>
    <row r="60">
      <c r="A60" s="102" t="str">
        <f>IFERROR(__xludf.DUMMYFUNCTION("""COMPUTED_VALUE"""),"Daedalus")</f>
        <v>Daedalus</v>
      </c>
      <c r="B60" s="102" t="str">
        <f>IFERROR(__xludf.DUMMYFUNCTION("""COMPUTED_VALUE"""),"Assault Rifle")</f>
        <v>Assault Rifle</v>
      </c>
      <c r="C60" s="103">
        <f>IFERROR(__xludf.DUMMYFUNCTION("""COMPUTED_VALUE"""),59.0)</f>
        <v>59</v>
      </c>
      <c r="D60" s="102" t="str">
        <f>IFERROR(__xludf.DUMMYFUNCTION("""COMPUTED_VALUE"""),"Underbarrel")</f>
        <v>Underbarrel</v>
      </c>
      <c r="E60" s="102" t="str">
        <f>IFERROR(__xludf.DUMMYFUNCTION("""COMPUTED_VALUE"""),"DAD_AR.part_underbarrel_04_atlas")</f>
        <v>DAD_AR.part_underbarrel_04_atlas</v>
      </c>
      <c r="F60" s="102" t="str">
        <f>IFERROR(__xludf.DUMMYFUNCTION("""COMPUTED_VALUE"""),"DAD_AR_UnderBarrel_04")</f>
        <v>DAD_AR_UnderBarrel_04</v>
      </c>
      <c r="G60" s="102" t="str">
        <f>IFERROR(__xludf.DUMMYFUNCTION("""COMPUTED_VALUE"""),"Atlas Tracker Darts")</f>
        <v>Atlas Tracker Darts</v>
      </c>
      <c r="H60" s="102"/>
      <c r="I60" s="102"/>
      <c r="J60" s="102"/>
      <c r="K60" s="102"/>
      <c r="L60" s="102"/>
    </row>
    <row r="61">
      <c r="A61" s="102" t="str">
        <f>IFERROR(__xludf.DUMMYFUNCTION("""COMPUTED_VALUE"""),"Daedalus")</f>
        <v>Daedalus</v>
      </c>
      <c r="B61" s="102" t="str">
        <f>IFERROR(__xludf.DUMMYFUNCTION("""COMPUTED_VALUE"""),"Assault Rifle")</f>
        <v>Assault Rifle</v>
      </c>
      <c r="C61" s="103">
        <f>IFERROR(__xludf.DUMMYFUNCTION("""COMPUTED_VALUE"""),60.0)</f>
        <v>60</v>
      </c>
      <c r="D61" s="102" t="str">
        <f>IFERROR(__xludf.DUMMYFUNCTION("""COMPUTED_VALUE"""),"Underbarrel")</f>
        <v>Underbarrel</v>
      </c>
      <c r="E61" s="102" t="str">
        <f>IFERROR(__xludf.DUMMYFUNCTION("""COMPUTED_VALUE"""),"DAD_AR.part_underbarrel_06_malswitch")</f>
        <v>DAD_AR.part_underbarrel_06_malswitch</v>
      </c>
      <c r="F61" s="102" t="str">
        <f>IFERROR(__xludf.DUMMYFUNCTION("""COMPUTED_VALUE"""),"DAD_AR_UnderBarrel_06")</f>
        <v>DAD_AR_UnderBarrel_06</v>
      </c>
      <c r="G61" s="102" t="str">
        <f>IFERROR(__xludf.DUMMYFUNCTION("""COMPUTED_VALUE"""),"Maliwan Element Switch")</f>
        <v>Maliwan Element Switch</v>
      </c>
      <c r="H61" s="102" t="str">
        <f>IFERROR(__xludf.DUMMYFUNCTION("""COMPUTED_VALUE"""),"Used for Maliwan elemental switch")</f>
        <v>Used for Maliwan elemental switch</v>
      </c>
      <c r="I61" s="102"/>
      <c r="J61" s="102"/>
      <c r="K61" s="102"/>
      <c r="L61" s="102"/>
    </row>
    <row r="62">
      <c r="A62" s="102" t="str">
        <f>IFERROR(__xludf.DUMMYFUNCTION("""COMPUTED_VALUE"""),"Daedalus")</f>
        <v>Daedalus</v>
      </c>
      <c r="B62" s="102" t="str">
        <f>IFERROR(__xludf.DUMMYFUNCTION("""COMPUTED_VALUE"""),"Assault Rifle")</f>
        <v>Assault Rifle</v>
      </c>
      <c r="C62" s="103">
        <f>IFERROR(__xludf.DUMMYFUNCTION("""COMPUTED_VALUE"""),61.0)</f>
        <v>61</v>
      </c>
      <c r="D62" s="102" t="str">
        <f>IFERROR(__xludf.DUMMYFUNCTION("""COMPUTED_VALUE"""),"Underbarrel")</f>
        <v>Underbarrel</v>
      </c>
      <c r="E62" s="102" t="str">
        <f>IFERROR(__xludf.DUMMYFUNCTION("""COMPUTED_VALUE"""),"DAD_AR.part_underbarrel_02_shotgun")</f>
        <v>DAD_AR.part_underbarrel_02_shotgun</v>
      </c>
      <c r="F62" s="102" t="str">
        <f>IFERROR(__xludf.DUMMYFUNCTION("""COMPUTED_VALUE"""),"DAD_AR_UnderBarrel_02")</f>
        <v>DAD_AR_UnderBarrel_02</v>
      </c>
      <c r="G62" s="102" t="str">
        <f>IFERROR(__xludf.DUMMYFUNCTION("""COMPUTED_VALUE"""),"Alt Fire - Shotgun")</f>
        <v>Alt Fire - Shotgun</v>
      </c>
      <c r="H62" s="102"/>
      <c r="I62" s="102"/>
      <c r="J62" s="102"/>
      <c r="K62" s="102"/>
      <c r="L62" s="102"/>
    </row>
    <row r="63">
      <c r="A63" s="102" t="str">
        <f>IFERROR(__xludf.DUMMYFUNCTION("""COMPUTED_VALUE"""),"Daedalus")</f>
        <v>Daedalus</v>
      </c>
      <c r="B63" s="102" t="str">
        <f>IFERROR(__xludf.DUMMYFUNCTION("""COMPUTED_VALUE"""),"Assault Rifle")</f>
        <v>Assault Rifle</v>
      </c>
      <c r="C63" s="103">
        <f>IFERROR(__xludf.DUMMYFUNCTION("""COMPUTED_VALUE"""),62.0)</f>
        <v>62</v>
      </c>
      <c r="D63" s="102" t="str">
        <f>IFERROR(__xludf.DUMMYFUNCTION("""COMPUTED_VALUE"""),"Underbarrel")</f>
        <v>Underbarrel</v>
      </c>
      <c r="E63" s="102" t="str">
        <f>IFERROR(__xludf.DUMMYFUNCTION("""COMPUTED_VALUE"""),"DAD_AR.part_underbarrel_03_microrocket")</f>
        <v>DAD_AR.part_underbarrel_03_microrocket</v>
      </c>
      <c r="F63" s="102" t="str">
        <f>IFERROR(__xludf.DUMMYFUNCTION("""COMPUTED_VALUE"""),"DAD_AR_UnderBarrel_03")</f>
        <v>DAD_AR_UnderBarrel_03</v>
      </c>
      <c r="G63" s="102" t="str">
        <f>IFERROR(__xludf.DUMMYFUNCTION("""COMPUTED_VALUE"""),"Alt Fire - Micro-Rocket POD")</f>
        <v>Alt Fire - Micro-Rocket POD</v>
      </c>
      <c r="H63" s="102"/>
      <c r="I63" s="102"/>
      <c r="J63" s="102"/>
      <c r="K63" s="102"/>
      <c r="L63" s="102"/>
    </row>
    <row r="64">
      <c r="A64" s="102" t="str">
        <f>IFERROR(__xludf.DUMMYFUNCTION("""COMPUTED_VALUE"""),"Daedalus")</f>
        <v>Daedalus</v>
      </c>
      <c r="B64" s="102" t="str">
        <f>IFERROR(__xludf.DUMMYFUNCTION("""COMPUTED_VALUE"""),"Assault Rifle")</f>
        <v>Assault Rifle</v>
      </c>
      <c r="C64" s="103">
        <f>IFERROR(__xludf.DUMMYFUNCTION("""COMPUTED_VALUE"""),63.0)</f>
        <v>63</v>
      </c>
      <c r="D64" s="102" t="str">
        <f>IFERROR(__xludf.DUMMYFUNCTION("""COMPUTED_VALUE"""),"Underbarrel")</f>
        <v>Underbarrel</v>
      </c>
      <c r="E64" s="102" t="str">
        <f>IFERROR(__xludf.DUMMYFUNCTION("""COMPUTED_VALUE"""),"DAD_AR.part_underbarrel_01_grenade")</f>
        <v>DAD_AR.part_underbarrel_01_grenade</v>
      </c>
      <c r="F64" s="102" t="str">
        <f>IFERROR(__xludf.DUMMYFUNCTION("""COMPUTED_VALUE"""),"DAD_AR_UnderBarrel_01")</f>
        <v>DAD_AR_UnderBarrel_01</v>
      </c>
      <c r="G64" s="102" t="str">
        <f>IFERROR(__xludf.DUMMYFUNCTION("""COMPUTED_VALUE"""),"Alt Fire - Grenade Launcher")</f>
        <v>Alt Fire - Grenade Launcher</v>
      </c>
      <c r="H64" s="102"/>
      <c r="I64" s="102"/>
      <c r="J64" s="102"/>
      <c r="K64" s="102"/>
      <c r="L64" s="102"/>
    </row>
    <row r="65">
      <c r="A65" s="102" t="str">
        <f>IFERROR(__xludf.DUMMYFUNCTION("""COMPUTED_VALUE"""),"Daedalus")</f>
        <v>Daedalus</v>
      </c>
      <c r="B65" s="102" t="str">
        <f>IFERROR(__xludf.DUMMYFUNCTION("""COMPUTED_VALUE"""),"Assault Rifle")</f>
        <v>Assault Rifle</v>
      </c>
      <c r="C65" s="103">
        <f>IFERROR(__xludf.DUMMYFUNCTION("""COMPUTED_VALUE"""),64.0)</f>
        <v>64</v>
      </c>
      <c r="D65" s="102" t="str">
        <f>IFERROR(__xludf.DUMMYFUNCTION("""COMPUTED_VALUE"""),"Foregrip")</f>
        <v>Foregrip</v>
      </c>
      <c r="E65" s="102" t="str">
        <f>IFERROR(__xludf.DUMMYFUNCTION("""COMPUTED_VALUE"""),"DAD_AR.part_foregrip_01")</f>
        <v>DAD_AR.part_foregrip_01</v>
      </c>
      <c r="F65" s="102" t="str">
        <f>IFERROR(__xludf.DUMMYFUNCTION("""COMPUTED_VALUE"""),"DAD_AR_Foregrip_01")</f>
        <v>DAD_AR_Foregrip_01</v>
      </c>
      <c r="G65" s="104" t="str">
        <f>IFERROR(__xludf.DUMMYFUNCTION("""COMPUTED_VALUE"""),"+Damage")</f>
        <v>+Damage</v>
      </c>
      <c r="H65" s="102"/>
      <c r="I65" s="102"/>
      <c r="J65" s="102"/>
      <c r="K65" s="102"/>
      <c r="L65" s="102"/>
    </row>
    <row r="66">
      <c r="A66" s="102" t="str">
        <f>IFERROR(__xludf.DUMMYFUNCTION("""COMPUTED_VALUE"""),"Daedalus")</f>
        <v>Daedalus</v>
      </c>
      <c r="B66" s="102" t="str">
        <f>IFERROR(__xludf.DUMMYFUNCTION("""COMPUTED_VALUE"""),"Assault Rifle")</f>
        <v>Assault Rifle</v>
      </c>
      <c r="C66" s="103">
        <f>IFERROR(__xludf.DUMMYFUNCTION("""COMPUTED_VALUE"""),65.0)</f>
        <v>65</v>
      </c>
      <c r="D66" s="102" t="str">
        <f>IFERROR(__xludf.DUMMYFUNCTION("""COMPUTED_VALUE"""),"Foregrip")</f>
        <v>Foregrip</v>
      </c>
      <c r="E66" s="102" t="str">
        <f>IFERROR(__xludf.DUMMYFUNCTION("""COMPUTED_VALUE"""),"DAD_AR.part_foregrip_02")</f>
        <v>DAD_AR.part_foregrip_02</v>
      </c>
      <c r="F66" s="102" t="str">
        <f>IFERROR(__xludf.DUMMYFUNCTION("""COMPUTED_VALUE"""),"DAD_AR_Foregrip_02")</f>
        <v>DAD_AR_Foregrip_02</v>
      </c>
      <c r="G66" s="102" t="str">
        <f>IFERROR(__xludf.DUMMYFUNCTION("""COMPUTED_VALUE"""),"+Fire Rate")</f>
        <v>+Fire Rate</v>
      </c>
      <c r="H66" s="102"/>
      <c r="I66" s="102"/>
      <c r="J66" s="102"/>
      <c r="K66" s="102"/>
      <c r="L66" s="102"/>
    </row>
    <row r="67">
      <c r="A67" s="102" t="str">
        <f>IFERROR(__xludf.DUMMYFUNCTION("""COMPUTED_VALUE"""),"Daedalus")</f>
        <v>Daedalus</v>
      </c>
      <c r="B67" s="102" t="str">
        <f>IFERROR(__xludf.DUMMYFUNCTION("""COMPUTED_VALUE"""),"Assault Rifle")</f>
        <v>Assault Rifle</v>
      </c>
      <c r="C67" s="103">
        <f>IFERROR(__xludf.DUMMYFUNCTION("""COMPUTED_VALUE"""),66.0)</f>
        <v>66</v>
      </c>
      <c r="D67" s="102" t="str">
        <f>IFERROR(__xludf.DUMMYFUNCTION("""COMPUTED_VALUE"""),"Foregrip")</f>
        <v>Foregrip</v>
      </c>
      <c r="E67" s="102" t="str">
        <f>IFERROR(__xludf.DUMMYFUNCTION("""COMPUTED_VALUE"""),"DAD_AR.part_foregrip_03")</f>
        <v>DAD_AR.part_foregrip_03</v>
      </c>
      <c r="F67" s="102" t="str">
        <f>IFERROR(__xludf.DUMMYFUNCTION("""COMPUTED_VALUE"""),"DAD_AR_Foregrip_03")</f>
        <v>DAD_AR_Foregrip_03</v>
      </c>
      <c r="G67" s="102" t="str">
        <f>IFERROR(__xludf.DUMMYFUNCTION("""COMPUTED_VALUE"""),"+Accuracy")</f>
        <v>+Accuracy</v>
      </c>
      <c r="H67" s="102"/>
      <c r="I67" s="102"/>
      <c r="J67" s="102"/>
      <c r="K67" s="102"/>
      <c r="L67" s="102"/>
    </row>
    <row r="68">
      <c r="A68" s="102" t="str">
        <f>IFERROR(__xludf.DUMMYFUNCTION("""COMPUTED_VALUE"""),"Daedalus")</f>
        <v>Daedalus</v>
      </c>
      <c r="B68" s="102" t="str">
        <f>IFERROR(__xludf.DUMMYFUNCTION("""COMPUTED_VALUE"""),"Assault Rifle")</f>
        <v>Assault Rifle</v>
      </c>
      <c r="C68" s="103">
        <f>IFERROR(__xludf.DUMMYFUNCTION("""COMPUTED_VALUE"""),67.0)</f>
        <v>67</v>
      </c>
      <c r="D68" s="102" t="str">
        <f>IFERROR(__xludf.DUMMYFUNCTION("""COMPUTED_VALUE"""),"Underbarrel")</f>
        <v>Underbarrel</v>
      </c>
      <c r="E68" s="102" t="str">
        <f>IFERROR(__xludf.DUMMYFUNCTION("""COMPUTED_VALUE"""),"DAD_AR.part_underbarrel_01_grenade_om")</f>
        <v>DAD_AR.part_underbarrel_01_grenade_om</v>
      </c>
      <c r="F68" s="102" t="str">
        <f>IFERROR(__xludf.DUMMYFUNCTION("""COMPUTED_VALUE"""),"DAD_AR_UnderBarrel_01")</f>
        <v>DAD_AR_UnderBarrel_01</v>
      </c>
      <c r="G68" s="102" t="str">
        <f>IFERROR(__xludf.DUMMYFUNCTION("""COMPUTED_VALUE"""),"Fragcendiary Grenades")</f>
        <v>Fragcendiary Grenades</v>
      </c>
      <c r="H68" s="102" t="str">
        <f>IFERROR(__xludf.DUMMYFUNCTION("""COMPUTED_VALUE"""),"Alt-Fire Launches Grenades that deal Incindeary Damage and spawn a Fire Hazard")</f>
        <v>Alt-Fire Launches Grenades that deal Incindeary Damage and spawn a Fire Hazard</v>
      </c>
      <c r="I68" s="102"/>
      <c r="J68" s="102"/>
      <c r="K68" s="102"/>
      <c r="L68" s="102"/>
    </row>
    <row r="69">
      <c r="A69" s="102" t="str">
        <f>IFERROR(__xludf.DUMMYFUNCTION("""COMPUTED_VALUE"""),"Daedalus")</f>
        <v>Daedalus</v>
      </c>
      <c r="B69" s="102" t="str">
        <f>IFERROR(__xludf.DUMMYFUNCTION("""COMPUTED_VALUE"""),"Assault Rifle")</f>
        <v>Assault Rifle</v>
      </c>
      <c r="C69" s="103">
        <f>IFERROR(__xludf.DUMMYFUNCTION("""COMPUTED_VALUE"""),68.0)</f>
        <v>68</v>
      </c>
      <c r="D69" s="102" t="str">
        <f>IFERROR(__xludf.DUMMYFUNCTION("""COMPUTED_VALUE"""),"Manufacturer Part")</f>
        <v>Manufacturer Part</v>
      </c>
      <c r="E69" s="102" t="str">
        <f>IFERROR(__xludf.DUMMYFUNCTION("""COMPUTED_VALUE"""),"DAD_AR.part_body_mag_ps")</f>
        <v>DAD_AR.part_body_mag_ps</v>
      </c>
      <c r="F69" s="102" t="str">
        <f>IFERROR(__xludf.DUMMYFUNCTION("""COMPUTED_VALUE"""),"No visual")</f>
        <v>No visual</v>
      </c>
      <c r="G69" s="102" t="str">
        <f>IFERROR(__xludf.DUMMYFUNCTION("""COMPUTED_VALUE"""),"Daedalus Pistol Ammo")</f>
        <v>Daedalus Pistol Ammo</v>
      </c>
      <c r="H69" s="102"/>
      <c r="I69" s="102"/>
      <c r="J69" s="102"/>
      <c r="K69" s="102"/>
      <c r="L69" s="102"/>
    </row>
    <row r="70">
      <c r="A70" s="102" t="str">
        <f>IFERROR(__xludf.DUMMYFUNCTION("""COMPUTED_VALUE"""),"Daedalus")</f>
        <v>Daedalus</v>
      </c>
      <c r="B70" s="102" t="str">
        <f>IFERROR(__xludf.DUMMYFUNCTION("""COMPUTED_VALUE"""),"Assault Rifle")</f>
        <v>Assault Rifle</v>
      </c>
      <c r="C70" s="103">
        <f>IFERROR(__xludf.DUMMYFUNCTION("""COMPUTED_VALUE"""),69.0)</f>
        <v>69</v>
      </c>
      <c r="D70" s="102" t="str">
        <f>IFERROR(__xludf.DUMMYFUNCTION("""COMPUTED_VALUE"""),"Manufacturer Part")</f>
        <v>Manufacturer Part</v>
      </c>
      <c r="E70" s="102" t="str">
        <f>IFERROR(__xludf.DUMMYFUNCTION("""COMPUTED_VALUE"""),"DAD_AR.part_body_mag_smg")</f>
        <v>DAD_AR.part_body_mag_smg</v>
      </c>
      <c r="F70" s="102" t="str">
        <f>IFERROR(__xludf.DUMMYFUNCTION("""COMPUTED_VALUE"""),"No visual")</f>
        <v>No visual</v>
      </c>
      <c r="G70" s="102" t="str">
        <f>IFERROR(__xludf.DUMMYFUNCTION("""COMPUTED_VALUE"""),"Daedalus SMG Ammo")</f>
        <v>Daedalus SMG Ammo</v>
      </c>
      <c r="H70" s="102"/>
      <c r="I70" s="102"/>
      <c r="J70" s="102"/>
      <c r="K70" s="102"/>
      <c r="L70" s="102"/>
    </row>
    <row r="71">
      <c r="A71" s="102" t="str">
        <f>IFERROR(__xludf.DUMMYFUNCTION("""COMPUTED_VALUE"""),"Daedalus")</f>
        <v>Daedalus</v>
      </c>
      <c r="B71" s="102" t="str">
        <f>IFERROR(__xludf.DUMMYFUNCTION("""COMPUTED_VALUE"""),"Assault Rifle")</f>
        <v>Assault Rifle</v>
      </c>
      <c r="C71" s="103">
        <f>IFERROR(__xludf.DUMMYFUNCTION("""COMPUTED_VALUE"""),70.0)</f>
        <v>70</v>
      </c>
      <c r="D71" s="102" t="str">
        <f>IFERROR(__xludf.DUMMYFUNCTION("""COMPUTED_VALUE"""),"Manufacturer Part")</f>
        <v>Manufacturer Part</v>
      </c>
      <c r="E71" s="102" t="str">
        <f>IFERROR(__xludf.DUMMYFUNCTION("""COMPUTED_VALUE"""),"DAD_AR.part_body_mag_sg")</f>
        <v>DAD_AR.part_body_mag_sg</v>
      </c>
      <c r="F71" s="102" t="str">
        <f>IFERROR(__xludf.DUMMYFUNCTION("""COMPUTED_VALUE"""),"No visual")</f>
        <v>No visual</v>
      </c>
      <c r="G71" s="102" t="str">
        <f>IFERROR(__xludf.DUMMYFUNCTION("""COMPUTED_VALUE"""),"Daedalus Shotgun Ammo")</f>
        <v>Daedalus Shotgun Ammo</v>
      </c>
      <c r="H71" s="102"/>
      <c r="I71" s="102"/>
      <c r="J71" s="102"/>
      <c r="K71" s="102"/>
      <c r="L71" s="102"/>
    </row>
    <row r="72">
      <c r="A72" s="102" t="str">
        <f>IFERROR(__xludf.DUMMYFUNCTION("""COMPUTED_VALUE"""),"Daedalus")</f>
        <v>Daedalus</v>
      </c>
      <c r="B72" s="102" t="str">
        <f>IFERROR(__xludf.DUMMYFUNCTION("""COMPUTED_VALUE"""),"Assault Rifle")</f>
        <v>Assault Rifle</v>
      </c>
      <c r="C72" s="103">
        <f>IFERROR(__xludf.DUMMYFUNCTION("""COMPUTED_VALUE"""),71.0)</f>
        <v>71</v>
      </c>
      <c r="D72" s="102" t="str">
        <f>IFERROR(__xludf.DUMMYFUNCTION("""COMPUTED_VALUE"""),"Manufacturer Part")</f>
        <v>Manufacturer Part</v>
      </c>
      <c r="E72" s="102" t="str">
        <f>IFERROR(__xludf.DUMMYFUNCTION("""COMPUTED_VALUE"""),"DAD_AR.part_body_mag_sr")</f>
        <v>DAD_AR.part_body_mag_sr</v>
      </c>
      <c r="F72" s="102" t="str">
        <f>IFERROR(__xludf.DUMMYFUNCTION("""COMPUTED_VALUE"""),"No visual")</f>
        <v>No visual</v>
      </c>
      <c r="G72" s="102" t="str">
        <f>IFERROR(__xludf.DUMMYFUNCTION("""COMPUTED_VALUE"""),"Daedalus SR Ammo")</f>
        <v>Daedalus SR Ammo</v>
      </c>
      <c r="H72" s="102"/>
      <c r="I72" s="102"/>
      <c r="J72" s="102"/>
      <c r="K72" s="102"/>
      <c r="L72" s="102"/>
    </row>
    <row r="73">
      <c r="A73" s="102" t="str">
        <f>IFERROR(__xludf.DUMMYFUNCTION("""COMPUTED_VALUE"""),"Daedalus")</f>
        <v>Daedalus</v>
      </c>
      <c r="B73" s="102" t="str">
        <f>IFERROR(__xludf.DUMMYFUNCTION("""COMPUTED_VALUE"""),"Assault Rifle")</f>
        <v>Assault Rifle</v>
      </c>
      <c r="C73" s="103">
        <f>IFERROR(__xludf.DUMMYFUNCTION("""COMPUTED_VALUE"""),75.0)</f>
        <v>75</v>
      </c>
      <c r="D73" s="102" t="str">
        <f>IFERROR(__xludf.DUMMYFUNCTION("""COMPUTED_VALUE"""),"Underbarrel")</f>
        <v>Underbarrel</v>
      </c>
      <c r="E73" s="102" t="str">
        <f>IFERROR(__xludf.DUMMYFUNCTION("""COMPUTED_VALUE"""),"DAD_AR.part_underbarrel_om_spacelaser")</f>
        <v>DAD_AR.part_underbarrel_om_spacelaser</v>
      </c>
      <c r="F73" s="102" t="str">
        <f>IFERROR(__xludf.DUMMYFUNCTION("""COMPUTED_VALUE"""),"DAD_AR_UnderBarrel_01")</f>
        <v>DAD_AR_UnderBarrel_01</v>
      </c>
      <c r="G73" s="102" t="str">
        <f>IFERROR(__xludf.DUMMYFUNCTION("""COMPUTED_VALUE"""),"Space Laser")</f>
        <v>Space Laser</v>
      </c>
      <c r="H73" s="102" t="str">
        <f>IFERROR(__xludf.DUMMYFUNCTION("""COMPUTED_VALUE"""),"Alt-Fire Calls down a Space Laser")</f>
        <v>Alt-Fire Calls down a Space Laser</v>
      </c>
      <c r="I73" s="102"/>
      <c r="J73" s="102"/>
      <c r="K73" s="102"/>
      <c r="L73" s="102"/>
    </row>
    <row r="74">
      <c r="A74" s="102" t="str">
        <f>IFERROR(__xludf.DUMMYFUNCTION("""COMPUTED_VALUE"""),"Daedalus")</f>
        <v>Daedalus</v>
      </c>
      <c r="B74" s="102" t="str">
        <f>IFERROR(__xludf.DUMMYFUNCTION("""COMPUTED_VALUE"""),"Assault Rifle")</f>
        <v>Assault Rifle</v>
      </c>
      <c r="C74" s="103">
        <f>IFERROR(__xludf.DUMMYFUNCTION("""COMPUTED_VALUE"""),76.0)</f>
        <v>76</v>
      </c>
      <c r="D74" s="102" t="str">
        <f>IFERROR(__xludf.DUMMYFUNCTION("""COMPUTED_VALUE"""),"Underbarrel")</f>
        <v>Underbarrel</v>
      </c>
      <c r="E74" s="102" t="str">
        <f>IFERROR(__xludf.DUMMYFUNCTION("""COMPUTED_VALUE"""),"DAD_AR.part_underbarrel_06_star_helix")</f>
        <v>DAD_AR.part_underbarrel_06_star_helix</v>
      </c>
      <c r="F74" s="102" t="str">
        <f>IFERROR(__xludf.DUMMYFUNCTION("""COMPUTED_VALUE"""),"DAD_AR_UnderBarrel_06")</f>
        <v>DAD_AR_UnderBarrel_06</v>
      </c>
      <c r="G74" s="102" t="str">
        <f>IFERROR(__xludf.DUMMYFUNCTION("""COMPUTED_VALUE"""),"Star Helix Underbarrel")</f>
        <v>Star Helix Underbarrel</v>
      </c>
      <c r="H74" s="102" t="str">
        <f>IFERROR(__xludf.DUMMYFUNCTION("""COMPUTED_VALUE"""),"Vertical mode for Constellation")</f>
        <v>Vertical mode for Constellation</v>
      </c>
      <c r="I74" s="102"/>
      <c r="J74" s="102"/>
      <c r="K74" s="102"/>
      <c r="L74" s="102"/>
    </row>
    <row r="75">
      <c r="A75" s="102" t="str">
        <f>IFERROR(__xludf.DUMMYFUNCTION("""COMPUTED_VALUE"""),"Daedalus")</f>
        <v>Daedalus</v>
      </c>
      <c r="B75" s="102" t="str">
        <f>IFERROR(__xludf.DUMMYFUNCTION("""COMPUTED_VALUE"""),"Assault Rifle")</f>
        <v>Assault Rifle</v>
      </c>
      <c r="C75" s="103">
        <f>IFERROR(__xludf.DUMMYFUNCTION("""COMPUTED_VALUE"""),77.0)</f>
        <v>77</v>
      </c>
      <c r="D75" s="102" t="str">
        <f>IFERROR(__xludf.DUMMYFUNCTION("""COMPUTED_VALUE"""),"Barrel")</f>
        <v>Barrel</v>
      </c>
      <c r="E75" s="102" t="str">
        <f>IFERROR(__xludf.DUMMYFUNCTION("""COMPUTED_VALUE"""),"DAD_AR.part_barrel_02_star_helix")</f>
        <v>DAD_AR.part_barrel_02_star_helix</v>
      </c>
      <c r="F75" s="102" t="str">
        <f>IFERROR(__xludf.DUMMYFUNCTION("""COMPUTED_VALUE"""),"DAD_AR_Barrel_02")</f>
        <v>DAD_AR_Barrel_02</v>
      </c>
      <c r="G75" s="102" t="str">
        <f>IFERROR(__xludf.DUMMYFUNCTION("""COMPUTED_VALUE"""),"Star Helix Barrel, 669 x 3 Damage, 78% Acc, 4.7/s FR")</f>
        <v>Star Helix Barrel, 669 x 3 Damage, 78% Acc, 4.7/s FR</v>
      </c>
      <c r="H75" s="102" t="str">
        <f>IFERROR(__xludf.DUMMYFUNCTION("""COMPUTED_VALUE"""),"Constellation - Projectiles can be fired vertically or horizontally")</f>
        <v>Constellation - Projectiles can be fired vertically or horizontally</v>
      </c>
      <c r="I75" s="102" t="str">
        <f>IFERROR(__xludf.DUMMYFUNCTION("""COMPUTED_VALUE"""),"Requires Star Helix underbarrel, part 76")</f>
        <v>Requires Star Helix underbarrel, part 76</v>
      </c>
      <c r="J75" s="102"/>
      <c r="K75" s="102"/>
      <c r="L75" s="102"/>
    </row>
    <row r="76">
      <c r="A76" s="102" t="str">
        <f>IFERROR(__xludf.DUMMYFUNCTION("""COMPUTED_VALUE"""),"Daedalus")</f>
        <v>Daedalus</v>
      </c>
      <c r="B76" s="102" t="str">
        <f>IFERROR(__xludf.DUMMYFUNCTION("""COMPUTED_VALUE"""),"Assault Rifle")</f>
        <v>Assault Rifle</v>
      </c>
      <c r="C76" s="103">
        <f>IFERROR(__xludf.DUMMYFUNCTION("""COMPUTED_VALUE"""),78.0)</f>
        <v>78</v>
      </c>
      <c r="D76" s="102" t="str">
        <f>IFERROR(__xludf.DUMMYFUNCTION("""COMPUTED_VALUE"""),"Manufacturer Part")</f>
        <v>Manufacturer Part</v>
      </c>
      <c r="E76" s="102" t="str">
        <f>IFERROR(__xludf.DUMMYFUNCTION("""COMPUTED_VALUE"""),"DAD_AR.part_shield_default")</f>
        <v>DAD_AR.part_shield_default</v>
      </c>
      <c r="F76" s="102" t="str">
        <f>IFERROR(__xludf.DUMMYFUNCTION("""COMPUTED_VALUE"""),"No visual")</f>
        <v>No visual</v>
      </c>
      <c r="G76" s="102" t="str">
        <f>IFERROR(__xludf.DUMMYFUNCTION("""COMPUTED_VALUE"""),"Hyperion Shield")</f>
        <v>Hyperion Shield</v>
      </c>
      <c r="H76" s="102"/>
      <c r="I76" s="102"/>
      <c r="J76" s="102"/>
      <c r="K76" s="102"/>
      <c r="L76" s="102"/>
    </row>
    <row r="77">
      <c r="A77" s="102" t="str">
        <f>IFERROR(__xludf.DUMMYFUNCTION("""COMPUTED_VALUE"""),"Daedalus")</f>
        <v>Daedalus</v>
      </c>
      <c r="B77" s="102" t="str">
        <f>IFERROR(__xludf.DUMMYFUNCTION("""COMPUTED_VALUE"""),"Assault Rifle")</f>
        <v>Assault Rifle</v>
      </c>
      <c r="C77" s="103">
        <f>IFERROR(__xludf.DUMMYFUNCTION("""COMPUTED_VALUE"""),79.0)</f>
        <v>79</v>
      </c>
      <c r="D77" s="102" t="str">
        <f>IFERROR(__xludf.DUMMYFUNCTION("""COMPUTED_VALUE"""),"Manufacturer Part")</f>
        <v>Manufacturer Part</v>
      </c>
      <c r="E77" s="102" t="str">
        <f>IFERROR(__xludf.DUMMYFUNCTION("""COMPUTED_VALUE"""),"DAD_AR.part_shield_ricochet")</f>
        <v>DAD_AR.part_shield_ricochet</v>
      </c>
      <c r="F77" s="102" t="str">
        <f>IFERROR(__xludf.DUMMYFUNCTION("""COMPUTED_VALUE"""),"No visual")</f>
        <v>No visual</v>
      </c>
      <c r="G77" s="102" t="str">
        <f>IFERROR(__xludf.DUMMYFUNCTION("""COMPUTED_VALUE"""),"Hyperion Ricochet Shield")</f>
        <v>Hyperion Ricochet Shield</v>
      </c>
      <c r="H77" s="102"/>
      <c r="I77" s="102"/>
      <c r="J77" s="102"/>
      <c r="K77" s="102"/>
      <c r="L77" s="102"/>
    </row>
    <row r="78">
      <c r="A78" s="102" t="str">
        <f>IFERROR(__xludf.DUMMYFUNCTION("""COMPUTED_VALUE"""),"Daedalus")</f>
        <v>Daedalus</v>
      </c>
      <c r="B78" s="102" t="str">
        <f>IFERROR(__xludf.DUMMYFUNCTION("""COMPUTED_VALUE"""),"Assault Rifle")</f>
        <v>Assault Rifle</v>
      </c>
      <c r="C78" s="103">
        <f>IFERROR(__xludf.DUMMYFUNCTION("""COMPUTED_VALUE"""),80.0)</f>
        <v>80</v>
      </c>
      <c r="D78" s="102" t="str">
        <f>IFERROR(__xludf.DUMMYFUNCTION("""COMPUTED_VALUE"""),"Manufacturer Part")</f>
        <v>Manufacturer Part</v>
      </c>
      <c r="E78" s="102" t="str">
        <f>IFERROR(__xludf.DUMMYFUNCTION("""COMPUTED_VALUE"""),"DAD_AR.part_shield_ammo")</f>
        <v>DAD_AR.part_shield_ammo</v>
      </c>
      <c r="F78" s="102" t="str">
        <f>IFERROR(__xludf.DUMMYFUNCTION("""COMPUTED_VALUE"""),"No visual")</f>
        <v>No visual</v>
      </c>
      <c r="G78" s="102" t="str">
        <f>IFERROR(__xludf.DUMMYFUNCTION("""COMPUTED_VALUE"""),"Hyperion Absorb Shield")</f>
        <v>Hyperion Absorb Shield</v>
      </c>
      <c r="H78" s="102"/>
      <c r="I78" s="102"/>
      <c r="J78" s="102"/>
      <c r="K78" s="102"/>
      <c r="L78" s="102"/>
    </row>
    <row r="79">
      <c r="A79" s="102" t="str">
        <f>IFERROR(__xludf.DUMMYFUNCTION("""COMPUTED_VALUE"""),"Daedalus")</f>
        <v>Daedalus</v>
      </c>
      <c r="B79" s="102" t="str">
        <f>IFERROR(__xludf.DUMMYFUNCTION("""COMPUTED_VALUE"""),"Assault Rifle")</f>
        <v>Assault Rifle</v>
      </c>
      <c r="C79" s="103">
        <f>IFERROR(__xludf.DUMMYFUNCTION("""COMPUTED_VALUE"""),81.0)</f>
        <v>81</v>
      </c>
      <c r="D79" s="102" t="str">
        <f>IFERROR(__xludf.DUMMYFUNCTION("""COMPUTED_VALUE"""),"Manufacturer Part")</f>
        <v>Manufacturer Part</v>
      </c>
      <c r="E79" s="102" t="str">
        <f>IFERROR(__xludf.DUMMYFUNCTION("""COMPUTED_VALUE"""),"DAD_AR.part_shield_amp")</f>
        <v>DAD_AR.part_shield_amp</v>
      </c>
      <c r="F79" s="102" t="str">
        <f>IFERROR(__xludf.DUMMYFUNCTION("""COMPUTED_VALUE"""),"No visual")</f>
        <v>No visual</v>
      </c>
      <c r="G79" s="102" t="str">
        <f>IFERROR(__xludf.DUMMYFUNCTION("""COMPUTED_VALUE"""),"Hyperion Amp Shield")</f>
        <v>Hyperion Amp Shield</v>
      </c>
      <c r="H79" s="102"/>
      <c r="I79" s="102"/>
      <c r="J79" s="102"/>
      <c r="K79" s="102"/>
      <c r="L79" s="102"/>
    </row>
    <row r="80">
      <c r="A80" s="102" t="str">
        <f>IFERROR(__xludf.DUMMYFUNCTION("""COMPUTED_VALUE"""),"Daedalus")</f>
        <v>Daedalus</v>
      </c>
      <c r="B80" s="102" t="str">
        <f>IFERROR(__xludf.DUMMYFUNCTION("""COMPUTED_VALUE"""),"Pistol")</f>
        <v>Pistol</v>
      </c>
      <c r="C80" s="103">
        <f>IFERROR(__xludf.DUMMYFUNCTION("""COMPUTED_VALUE"""),1.0)</f>
        <v>1</v>
      </c>
      <c r="D80" s="102" t="str">
        <f>IFERROR(__xludf.DUMMYFUNCTION("""COMPUTED_VALUE"""),"Barrel")</f>
        <v>Barrel</v>
      </c>
      <c r="E80" s="102" t="str">
        <f>IFERROR(__xludf.DUMMYFUNCTION("""COMPUTED_VALUE"""),"DAD_PS.part_barrel_01_zipgun")</f>
        <v>DAD_PS.part_barrel_01_zipgun</v>
      </c>
      <c r="F80" s="102"/>
      <c r="G80" s="102" t="str">
        <f>IFERROR(__xludf.DUMMYFUNCTION("""COMPUTED_VALUE"""),"Zipper, 692 Damage, 75% Acc, 6.2/s FR")</f>
        <v>Zipper, 692 Damage, 75% Acc, 6.2/s FR</v>
      </c>
      <c r="H80" s="102" t="str">
        <f>IFERROR(__xludf.DUMMYFUNCTION("""COMPUTED_VALUE"""),"Prison Rules - Grants +75% Critical Damage and +75% Damage when hitting a target in the back")</f>
        <v>Prison Rules - Grants +75% Critical Damage and +75% Damage when hitting a target in the back</v>
      </c>
      <c r="I80" s="102"/>
      <c r="J80" s="102"/>
      <c r="K80" s="102"/>
      <c r="L80" s="102"/>
    </row>
    <row r="81">
      <c r="A81" s="102" t="str">
        <f>IFERROR(__xludf.DUMMYFUNCTION("""COMPUTED_VALUE"""),"Daedalus")</f>
        <v>Daedalus</v>
      </c>
      <c r="B81" s="102" t="str">
        <f>IFERROR(__xludf.DUMMYFUNCTION("""COMPUTED_VALUE"""),"Pistol")</f>
        <v>Pistol</v>
      </c>
      <c r="C81" s="103">
        <f>IFERROR(__xludf.DUMMYFUNCTION("""COMPUTED_VALUE"""),2.0)</f>
        <v>2</v>
      </c>
      <c r="D81" s="102" t="str">
        <f>IFERROR(__xludf.DUMMYFUNCTION("""COMPUTED_VALUE"""),"Body")</f>
        <v>Body</v>
      </c>
      <c r="E81" s="102" t="str">
        <f>IFERROR(__xludf.DUMMYFUNCTION("""COMPUTED_VALUE"""),"DAD_PS.part_body")</f>
        <v>DAD_PS.part_body</v>
      </c>
      <c r="F81" s="102"/>
      <c r="G81" s="102" t="str">
        <f>IFERROR(__xludf.DUMMYFUNCTION("""COMPUTED_VALUE"""),"No Stat Changes, always present")</f>
        <v>No Stat Changes, always present</v>
      </c>
      <c r="H81" s="102"/>
      <c r="I81" s="102"/>
      <c r="J81" s="102"/>
      <c r="K81" s="102"/>
      <c r="L81" s="102"/>
    </row>
    <row r="82">
      <c r="A82" s="102" t="str">
        <f>IFERROR(__xludf.DUMMYFUNCTION("""COMPUTED_VALUE"""),"Daedalus")</f>
        <v>Daedalus</v>
      </c>
      <c r="B82" s="102" t="str">
        <f>IFERROR(__xludf.DUMMYFUNCTION("""COMPUTED_VALUE"""),"Pistol")</f>
        <v>Pistol</v>
      </c>
      <c r="C82" s="103">
        <f>IFERROR(__xludf.DUMMYFUNCTION("""COMPUTED_VALUE"""),3.0)</f>
        <v>3</v>
      </c>
      <c r="D82" s="102" t="str">
        <f>IFERROR(__xludf.DUMMYFUNCTION("""COMPUTED_VALUE"""),"Body Accessory")</f>
        <v>Body Accessory</v>
      </c>
      <c r="E82" s="102" t="str">
        <f>IFERROR(__xludf.DUMMYFUNCTION("""COMPUTED_VALUE"""),"DAD_PS.part_body_a")</f>
        <v>DAD_PS.part_body_a</v>
      </c>
      <c r="F82" s="102"/>
      <c r="G82" s="104" t="str">
        <f>IFERROR(__xludf.DUMMYFUNCTION("""COMPUTED_VALUE"""),"-Reload Speed")</f>
        <v>-Reload Speed</v>
      </c>
      <c r="H82" s="102"/>
      <c r="I82" s="102"/>
      <c r="J82" s="102"/>
      <c r="K82" s="102"/>
      <c r="L82" s="102"/>
    </row>
    <row r="83">
      <c r="A83" s="102" t="str">
        <f>IFERROR(__xludf.DUMMYFUNCTION("""COMPUTED_VALUE"""),"Daedalus")</f>
        <v>Daedalus</v>
      </c>
      <c r="B83" s="102" t="str">
        <f>IFERROR(__xludf.DUMMYFUNCTION("""COMPUTED_VALUE"""),"Pistol")</f>
        <v>Pistol</v>
      </c>
      <c r="C83" s="103">
        <f>IFERROR(__xludf.DUMMYFUNCTION("""COMPUTED_VALUE"""),4.0)</f>
        <v>4</v>
      </c>
      <c r="D83" s="102" t="str">
        <f>IFERROR(__xludf.DUMMYFUNCTION("""COMPUTED_VALUE"""),"Body Accessory")</f>
        <v>Body Accessory</v>
      </c>
      <c r="E83" s="102" t="str">
        <f>IFERROR(__xludf.DUMMYFUNCTION("""COMPUTED_VALUE"""),"DAD_PS.part_body_b")</f>
        <v>DAD_PS.part_body_b</v>
      </c>
      <c r="F83" s="102"/>
      <c r="G83" s="102" t="str">
        <f>IFERROR(__xludf.DUMMYFUNCTION("""COMPUTED_VALUE"""),"-Reload Speed")</f>
        <v>-Reload Speed</v>
      </c>
      <c r="H83" s="102"/>
      <c r="I83" s="102"/>
      <c r="J83" s="102"/>
      <c r="K83" s="102"/>
      <c r="L83" s="102"/>
    </row>
    <row r="84">
      <c r="A84" s="102" t="str">
        <f>IFERROR(__xludf.DUMMYFUNCTION("""COMPUTED_VALUE"""),"Daedalus")</f>
        <v>Daedalus</v>
      </c>
      <c r="B84" s="102" t="str">
        <f>IFERROR(__xludf.DUMMYFUNCTION("""COMPUTED_VALUE"""),"Pistol")</f>
        <v>Pistol</v>
      </c>
      <c r="C84" s="103">
        <f>IFERROR(__xludf.DUMMYFUNCTION("""COMPUTED_VALUE"""),5.0)</f>
        <v>5</v>
      </c>
      <c r="D84" s="102" t="str">
        <f>IFERROR(__xludf.DUMMYFUNCTION("""COMPUTED_VALUE"""),"Body Accessory")</f>
        <v>Body Accessory</v>
      </c>
      <c r="E84" s="102" t="str">
        <f>IFERROR(__xludf.DUMMYFUNCTION("""COMPUTED_VALUE"""),"DAD_PS.part_body_c")</f>
        <v>DAD_PS.part_body_c</v>
      </c>
      <c r="F84" s="102"/>
      <c r="G84" s="102" t="str">
        <f>IFERROR(__xludf.DUMMYFUNCTION("""COMPUTED_VALUE"""),"+Accuracy")</f>
        <v>+Accuracy</v>
      </c>
      <c r="H84" s="102"/>
      <c r="I84" s="102"/>
      <c r="J84" s="102"/>
      <c r="K84" s="102"/>
      <c r="L84" s="102"/>
    </row>
    <row r="85">
      <c r="A85" s="102" t="str">
        <f>IFERROR(__xludf.DUMMYFUNCTION("""COMPUTED_VALUE"""),"Daedalus")</f>
        <v>Daedalus</v>
      </c>
      <c r="B85" s="102" t="str">
        <f>IFERROR(__xludf.DUMMYFUNCTION("""COMPUTED_VALUE"""),"Pistol")</f>
        <v>Pistol</v>
      </c>
      <c r="C85" s="103">
        <f>IFERROR(__xludf.DUMMYFUNCTION("""COMPUTED_VALUE"""),6.0)</f>
        <v>6</v>
      </c>
      <c r="D85" s="102" t="str">
        <f>IFERROR(__xludf.DUMMYFUNCTION("""COMPUTED_VALUE"""),"Body Accessory")</f>
        <v>Body Accessory</v>
      </c>
      <c r="E85" s="102" t="str">
        <f>IFERROR(__xludf.DUMMYFUNCTION("""COMPUTED_VALUE"""),"DAD_PS.part_body_d")</f>
        <v>DAD_PS.part_body_d</v>
      </c>
      <c r="F85" s="102"/>
      <c r="G85" s="102" t="str">
        <f>IFERROR(__xludf.DUMMYFUNCTION("""COMPUTED_VALUE"""),"No Stat Changes")</f>
        <v>No Stat Changes</v>
      </c>
      <c r="H85" s="102" t="str">
        <f>IFERROR(__xludf.DUMMYFUNCTION("""COMPUTED_VALUE"""),"Used for Daedalus Underbarrels")</f>
        <v>Used for Daedalus Underbarrels</v>
      </c>
      <c r="I85" s="102"/>
      <c r="J85" s="102"/>
      <c r="K85" s="102"/>
      <c r="L85" s="102"/>
    </row>
    <row r="86">
      <c r="A86" s="102" t="str">
        <f>IFERROR(__xludf.DUMMYFUNCTION("""COMPUTED_VALUE"""),"Daedalus")</f>
        <v>Daedalus</v>
      </c>
      <c r="B86" s="102" t="str">
        <f>IFERROR(__xludf.DUMMYFUNCTION("""COMPUTED_VALUE"""),"Pistol")</f>
        <v>Pistol</v>
      </c>
      <c r="C86" s="103">
        <f>IFERROR(__xludf.DUMMYFUNCTION("""COMPUTED_VALUE"""),7.0)</f>
        <v>7</v>
      </c>
      <c r="D86" s="102" t="str">
        <f>IFERROR(__xludf.DUMMYFUNCTION("""COMPUTED_VALUE"""),"Barrel")</f>
        <v>Barrel</v>
      </c>
      <c r="E86" s="102" t="str">
        <f>IFERROR(__xludf.DUMMYFUNCTION("""COMPUTED_VALUE"""),"DAD_PS.part_barrel_01")</f>
        <v>DAD_PS.part_barrel_01</v>
      </c>
      <c r="F86" s="102"/>
      <c r="G86" s="102" t="str">
        <f>IFERROR(__xludf.DUMMYFUNCTION("""COMPUTED_VALUE"""),"S23, 692 Damage, 75% Acc, 6.0/s FR")</f>
        <v>S23, 692 Damage, 75% Acc, 6.0/s FR</v>
      </c>
      <c r="H86" s="102"/>
      <c r="I86" s="102"/>
      <c r="J86" s="102"/>
      <c r="K86" s="102"/>
      <c r="L86" s="102"/>
    </row>
    <row r="87">
      <c r="A87" s="102" t="str">
        <f>IFERROR(__xludf.DUMMYFUNCTION("""COMPUTED_VALUE"""),"Daedalus")</f>
        <v>Daedalus</v>
      </c>
      <c r="B87" s="102" t="str">
        <f>IFERROR(__xludf.DUMMYFUNCTION("""COMPUTED_VALUE"""),"Pistol")</f>
        <v>Pistol</v>
      </c>
      <c r="C87" s="103">
        <f>IFERROR(__xludf.DUMMYFUNCTION("""COMPUTED_VALUE"""),8.0)</f>
        <v>8</v>
      </c>
      <c r="D87" s="102" t="str">
        <f>IFERROR(__xludf.DUMMYFUNCTION("""COMPUTED_VALUE"""),"Barrel")</f>
        <v>Barrel</v>
      </c>
      <c r="E87" s="102" t="str">
        <f>IFERROR(__xludf.DUMMYFUNCTION("""COMPUTED_VALUE"""),"DAD_PS.part_barrel_02")</f>
        <v>DAD_PS.part_barrel_02</v>
      </c>
      <c r="F87" s="102"/>
      <c r="G87" s="102" t="str">
        <f>IFERROR(__xludf.DUMMYFUNCTION("""COMPUTED_VALUE"""),"Bonn-91, 714 Damage, 76% Acc, 5.8/s FR")</f>
        <v>Bonn-91, 714 Damage, 76% Acc, 5.8/s FR</v>
      </c>
      <c r="H87" s="102"/>
      <c r="I87" s="102"/>
      <c r="J87" s="102"/>
      <c r="K87" s="102"/>
      <c r="L87" s="102"/>
    </row>
    <row r="88">
      <c r="A88" s="102" t="str">
        <f>IFERROR(__xludf.DUMMYFUNCTION("""COMPUTED_VALUE"""),"Daedalus")</f>
        <v>Daedalus</v>
      </c>
      <c r="B88" s="102" t="str">
        <f>IFERROR(__xludf.DUMMYFUNCTION("""COMPUTED_VALUE"""),"Pistol")</f>
        <v>Pistol</v>
      </c>
      <c r="C88" s="103">
        <f>IFERROR(__xludf.DUMMYFUNCTION("""COMPUTED_VALUE"""),9.0)</f>
        <v>9</v>
      </c>
      <c r="D88" s="102" t="str">
        <f>IFERROR(__xludf.DUMMYFUNCTION("""COMPUTED_VALUE"""),"Manufacturer Part")</f>
        <v>Manufacturer Part</v>
      </c>
      <c r="E88" s="102" t="str">
        <f>IFERROR(__xludf.DUMMYFUNCTION("""COMPUTED_VALUE"""),"DAD_PS.part_shield_default")</f>
        <v>DAD_PS.part_shield_default</v>
      </c>
      <c r="F88" s="102"/>
      <c r="G88" s="102" t="str">
        <f>IFERROR(__xludf.DUMMYFUNCTION("""COMPUTED_VALUE"""),"Hyperion Shield")</f>
        <v>Hyperion Shield</v>
      </c>
      <c r="H88" s="102"/>
      <c r="I88" s="102"/>
      <c r="J88" s="102"/>
      <c r="K88" s="102"/>
      <c r="L88" s="102"/>
    </row>
    <row r="89">
      <c r="A89" s="102" t="str">
        <f>IFERROR(__xludf.DUMMYFUNCTION("""COMPUTED_VALUE"""),"Daedalus")</f>
        <v>Daedalus</v>
      </c>
      <c r="B89" s="102" t="str">
        <f>IFERROR(__xludf.DUMMYFUNCTION("""COMPUTED_VALUE"""),"Pistol")</f>
        <v>Pistol</v>
      </c>
      <c r="C89" s="103">
        <f>IFERROR(__xludf.DUMMYFUNCTION("""COMPUTED_VALUE"""),10.0)</f>
        <v>10</v>
      </c>
      <c r="D89" s="102" t="str">
        <f>IFERROR(__xludf.DUMMYFUNCTION("""COMPUTED_VALUE"""),"Manufacturer Part")</f>
        <v>Manufacturer Part</v>
      </c>
      <c r="E89" s="102" t="str">
        <f>IFERROR(__xludf.DUMMYFUNCTION("""COMPUTED_VALUE"""),"DAD_PS.part_shield_ricochet")</f>
        <v>DAD_PS.part_shield_ricochet</v>
      </c>
      <c r="F89" s="102"/>
      <c r="G89" s="102" t="str">
        <f>IFERROR(__xludf.DUMMYFUNCTION("""COMPUTED_VALUE"""),"Hyperion Ricochet Shield")</f>
        <v>Hyperion Ricochet Shield</v>
      </c>
      <c r="H89" s="102"/>
      <c r="I89" s="102"/>
      <c r="J89" s="102"/>
      <c r="K89" s="102"/>
      <c r="L89" s="102"/>
    </row>
    <row r="90">
      <c r="A90" s="102" t="str">
        <f>IFERROR(__xludf.DUMMYFUNCTION("""COMPUTED_VALUE"""),"Daedalus")</f>
        <v>Daedalus</v>
      </c>
      <c r="B90" s="102" t="str">
        <f>IFERROR(__xludf.DUMMYFUNCTION("""COMPUTED_VALUE"""),"Pistol")</f>
        <v>Pistol</v>
      </c>
      <c r="C90" s="103">
        <f>IFERROR(__xludf.DUMMYFUNCTION("""COMPUTED_VALUE"""),11.0)</f>
        <v>11</v>
      </c>
      <c r="D90" s="102" t="str">
        <f>IFERROR(__xludf.DUMMYFUNCTION("""COMPUTED_VALUE"""),"Manufacturer Part")</f>
        <v>Manufacturer Part</v>
      </c>
      <c r="E90" s="102" t="str">
        <f>IFERROR(__xludf.DUMMYFUNCTION("""COMPUTED_VALUE"""),"DAD_PS.part_shield_ammo")</f>
        <v>DAD_PS.part_shield_ammo</v>
      </c>
      <c r="F90" s="102"/>
      <c r="G90" s="102" t="str">
        <f>IFERROR(__xludf.DUMMYFUNCTION("""COMPUTED_VALUE"""),"Hyperion Absorb Shield")</f>
        <v>Hyperion Absorb Shield</v>
      </c>
      <c r="H90" s="102"/>
      <c r="I90" s="102"/>
      <c r="J90" s="102"/>
      <c r="K90" s="102"/>
      <c r="L90" s="102"/>
    </row>
    <row r="91">
      <c r="A91" s="102" t="str">
        <f>IFERROR(__xludf.DUMMYFUNCTION("""COMPUTED_VALUE"""),"Daedalus")</f>
        <v>Daedalus</v>
      </c>
      <c r="B91" s="102" t="str">
        <f>IFERROR(__xludf.DUMMYFUNCTION("""COMPUTED_VALUE"""),"Pistol")</f>
        <v>Pistol</v>
      </c>
      <c r="C91" s="103">
        <f>IFERROR(__xludf.DUMMYFUNCTION("""COMPUTED_VALUE"""),12.0)</f>
        <v>12</v>
      </c>
      <c r="D91" s="102" t="str">
        <f>IFERROR(__xludf.DUMMYFUNCTION("""COMPUTED_VALUE"""),"Manufacturer Part")</f>
        <v>Manufacturer Part</v>
      </c>
      <c r="E91" s="102" t="str">
        <f>IFERROR(__xludf.DUMMYFUNCTION("""COMPUTED_VALUE"""),"DAD_PS.part_shield_amp")</f>
        <v>DAD_PS.part_shield_amp</v>
      </c>
      <c r="F91" s="102"/>
      <c r="G91" s="102" t="str">
        <f>IFERROR(__xludf.DUMMYFUNCTION("""COMPUTED_VALUE"""),"Hyperion Amp Shield")</f>
        <v>Hyperion Amp Shield</v>
      </c>
      <c r="H91" s="102"/>
      <c r="I91" s="102"/>
      <c r="J91" s="102"/>
      <c r="K91" s="102"/>
      <c r="L91" s="102"/>
    </row>
    <row r="92">
      <c r="A92" s="102" t="str">
        <f>IFERROR(__xludf.DUMMYFUNCTION("""COMPUTED_VALUE"""),"Daedalus")</f>
        <v>Daedalus</v>
      </c>
      <c r="B92" s="102" t="str">
        <f>IFERROR(__xludf.DUMMYFUNCTION("""COMPUTED_VALUE"""),"Pistol")</f>
        <v>Pistol</v>
      </c>
      <c r="C92" s="103">
        <f>IFERROR(__xludf.DUMMYFUNCTION("""COMPUTED_VALUE"""),13.0)</f>
        <v>13</v>
      </c>
      <c r="D92" s="102" t="str">
        <f>IFERROR(__xludf.DUMMYFUNCTION("""COMPUTED_VALUE"""),"Magazine")</f>
        <v>Magazine</v>
      </c>
      <c r="E92" s="102" t="str">
        <f>IFERROR(__xludf.DUMMYFUNCTION("""COMPUTED_VALUE"""),"DAD_PS.part_mag_01")</f>
        <v>DAD_PS.part_mag_01</v>
      </c>
      <c r="F92" s="102"/>
      <c r="G92" s="102" t="str">
        <f>IFERROR(__xludf.DUMMYFUNCTION("""COMPUTED_VALUE"""),"2.0s Reload, +Damage, 16 Shots")</f>
        <v>2.0s Reload, +Damage, 16 Shots</v>
      </c>
      <c r="H92" s="102"/>
      <c r="I92" s="102"/>
      <c r="J92" s="102"/>
      <c r="K92" s="102"/>
      <c r="L92" s="102"/>
    </row>
    <row r="93">
      <c r="A93" s="102" t="str">
        <f>IFERROR(__xludf.DUMMYFUNCTION("""COMPUTED_VALUE"""),"Daedalus")</f>
        <v>Daedalus</v>
      </c>
      <c r="B93" s="102" t="str">
        <f>IFERROR(__xludf.DUMMYFUNCTION("""COMPUTED_VALUE"""),"Pistol")</f>
        <v>Pistol</v>
      </c>
      <c r="C93" s="103">
        <f>IFERROR(__xludf.DUMMYFUNCTION("""COMPUTED_VALUE"""),14.0)</f>
        <v>14</v>
      </c>
      <c r="D93" s="102" t="str">
        <f>IFERROR(__xludf.DUMMYFUNCTION("""COMPUTED_VALUE"""),"Magazine")</f>
        <v>Magazine</v>
      </c>
      <c r="E93" s="102" t="str">
        <f>IFERROR(__xludf.DUMMYFUNCTION("""COMPUTED_VALUE"""),"DAD_PS.part_mag_02")</f>
        <v>DAD_PS.part_mag_02</v>
      </c>
      <c r="F93" s="102"/>
      <c r="G93" s="102" t="str">
        <f>IFERROR(__xludf.DUMMYFUNCTION("""COMPUTED_VALUE"""),"2.7s Reload, +Damage, 20 Shots")</f>
        <v>2.7s Reload, +Damage, 20 Shots</v>
      </c>
      <c r="H93" s="102"/>
      <c r="I93" s="102"/>
      <c r="J93" s="102"/>
      <c r="K93" s="102"/>
      <c r="L93" s="102"/>
    </row>
    <row r="94">
      <c r="A94" s="102" t="str">
        <f>IFERROR(__xludf.DUMMYFUNCTION("""COMPUTED_VALUE"""),"Daedalus")</f>
        <v>Daedalus</v>
      </c>
      <c r="B94" s="102" t="str">
        <f>IFERROR(__xludf.DUMMYFUNCTION("""COMPUTED_VALUE"""),"Pistol")</f>
        <v>Pistol</v>
      </c>
      <c r="C94" s="103">
        <f>IFERROR(__xludf.DUMMYFUNCTION("""COMPUTED_VALUE"""),15.0)</f>
        <v>15</v>
      </c>
      <c r="D94" s="102" t="str">
        <f>IFERROR(__xludf.DUMMYFUNCTION("""COMPUTED_VALUE"""),"Magazine")</f>
        <v>Magazine</v>
      </c>
      <c r="E94" s="102" t="str">
        <f>IFERROR(__xludf.DUMMYFUNCTION("""COMPUTED_VALUE"""),"DAD_PS.part_mag_03_tor")</f>
        <v>DAD_PS.part_mag_03_tor</v>
      </c>
      <c r="F94" s="102"/>
      <c r="G94" s="102" t="str">
        <f>IFERROR(__xludf.DUMMYFUNCTION("""COMPUTED_VALUE"""),"2.4s Reload, +Damage, +Acc, -Fire Rate, 12 Shots, Torgue")</f>
        <v>2.4s Reload, +Damage, +Acc, -Fire Rate, 12 Shots, Torgue</v>
      </c>
      <c r="H94" s="102"/>
      <c r="I94" s="102"/>
      <c r="J94" s="102"/>
      <c r="K94" s="102"/>
      <c r="L94" s="102"/>
    </row>
    <row r="95">
      <c r="A95" s="102" t="str">
        <f>IFERROR(__xludf.DUMMYFUNCTION("""COMPUTED_VALUE"""),"Daedalus")</f>
        <v>Daedalus</v>
      </c>
      <c r="B95" s="102" t="str">
        <f>IFERROR(__xludf.DUMMYFUNCTION("""COMPUTED_VALUE"""),"Pistol")</f>
        <v>Pistol</v>
      </c>
      <c r="C95" s="103">
        <f>IFERROR(__xludf.DUMMYFUNCTION("""COMPUTED_VALUE"""),16.0)</f>
        <v>16</v>
      </c>
      <c r="D95" s="102" t="str">
        <f>IFERROR(__xludf.DUMMYFUNCTION("""COMPUTED_VALUE"""),"Magazine")</f>
        <v>Magazine</v>
      </c>
      <c r="E95" s="102" t="str">
        <f>IFERROR(__xludf.DUMMYFUNCTION("""COMPUTED_VALUE"""),"DAD_PS.part_mag_04_cov")</f>
        <v>DAD_PS.part_mag_04_cov</v>
      </c>
      <c r="F95" s="102"/>
      <c r="G95" s="102" t="str">
        <f>IFERROR(__xludf.DUMMYFUNCTION("""COMPUTED_VALUE"""),"3.5s Reload, +Damage, -Acc, 25 Shots, CoV Mag")</f>
        <v>3.5s Reload, +Damage, -Acc, 25 Shots, CoV Mag</v>
      </c>
      <c r="H95" s="102"/>
      <c r="I95" s="102"/>
      <c r="J95" s="102"/>
      <c r="K95" s="102"/>
      <c r="L95" s="102"/>
    </row>
    <row r="96">
      <c r="A96" s="102" t="str">
        <f>IFERROR(__xludf.DUMMYFUNCTION("""COMPUTED_VALUE"""),"Daedalus")</f>
        <v>Daedalus</v>
      </c>
      <c r="B96" s="102" t="str">
        <f>IFERROR(__xludf.DUMMYFUNCTION("""COMPUTED_VALUE"""),"Pistol")</f>
        <v>Pistol</v>
      </c>
      <c r="C96" s="103">
        <f>IFERROR(__xludf.DUMMYFUNCTION("""COMPUTED_VALUE"""),17.0)</f>
        <v>17</v>
      </c>
      <c r="D96" s="102" t="str">
        <f>IFERROR(__xludf.DUMMYFUNCTION("""COMPUTED_VALUE"""),"Magazine")</f>
        <v>Magazine</v>
      </c>
      <c r="E96" s="102" t="str">
        <f>IFERROR(__xludf.DUMMYFUNCTION("""COMPUTED_VALUE"""),"DAD_PS.part_mag_05_borg")</f>
        <v>DAD_PS.part_mag_05_borg</v>
      </c>
      <c r="F96" s="102"/>
      <c r="G96" s="102" t="str">
        <f>IFERROR(__xludf.DUMMYFUNCTION("""COMPUTED_VALUE"""),"2.1s Reload, ++Fire Rate, 28 Shots, Ripper Mag")</f>
        <v>2.1s Reload, ++Fire Rate, 28 Shots, Ripper Mag</v>
      </c>
      <c r="H96" s="102"/>
      <c r="I96" s="102"/>
      <c r="J96" s="102"/>
      <c r="K96" s="102"/>
      <c r="L96" s="102"/>
    </row>
    <row r="97">
      <c r="A97" s="102" t="str">
        <f>IFERROR(__xludf.DUMMYFUNCTION("""COMPUTED_VALUE"""),"Daedalus")</f>
        <v>Daedalus</v>
      </c>
      <c r="B97" s="102" t="str">
        <f>IFERROR(__xludf.DUMMYFUNCTION("""COMPUTED_VALUE"""),"Pistol")</f>
        <v>Pistol</v>
      </c>
      <c r="C97" s="103">
        <f>IFERROR(__xludf.DUMMYFUNCTION("""COMPUTED_VALUE"""),18.0)</f>
        <v>18</v>
      </c>
      <c r="D97" s="102" t="str">
        <f>IFERROR(__xludf.DUMMYFUNCTION("""COMPUTED_VALUE"""),"Manufacturer Part")</f>
        <v>Manufacturer Part</v>
      </c>
      <c r="E97" s="102" t="str">
        <f>IFERROR(__xludf.DUMMYFUNCTION("""COMPUTED_VALUE"""),"DAD_PS.part_mag_torgue_normal")</f>
        <v>DAD_PS.part_mag_torgue_normal</v>
      </c>
      <c r="F97" s="102"/>
      <c r="G97" s="102" t="str">
        <f>IFERROR(__xludf.DUMMYFUNCTION("""COMPUTED_VALUE"""),"Torgue Impact Gyrojets")</f>
        <v>Torgue Impact Gyrojets</v>
      </c>
      <c r="H97" s="102"/>
      <c r="I97" s="102"/>
      <c r="J97" s="102"/>
      <c r="K97" s="102"/>
      <c r="L97" s="102"/>
    </row>
    <row r="98">
      <c r="A98" s="102" t="str">
        <f>IFERROR(__xludf.DUMMYFUNCTION("""COMPUTED_VALUE"""),"Daedalus")</f>
        <v>Daedalus</v>
      </c>
      <c r="B98" s="102" t="str">
        <f>IFERROR(__xludf.DUMMYFUNCTION("""COMPUTED_VALUE"""),"Pistol")</f>
        <v>Pistol</v>
      </c>
      <c r="C98" s="103">
        <f>IFERROR(__xludf.DUMMYFUNCTION("""COMPUTED_VALUE"""),19.0)</f>
        <v>19</v>
      </c>
      <c r="D98" s="102" t="str">
        <f>IFERROR(__xludf.DUMMYFUNCTION("""COMPUTED_VALUE"""),"Manufacturer Part")</f>
        <v>Manufacturer Part</v>
      </c>
      <c r="E98" s="102" t="str">
        <f>IFERROR(__xludf.DUMMYFUNCTION("""COMPUTED_VALUE"""),"DAD_PS.part_mag_torgue_sticky")</f>
        <v>DAD_PS.part_mag_torgue_sticky</v>
      </c>
      <c r="F98" s="102"/>
      <c r="G98" s="102" t="str">
        <f>IFERROR(__xludf.DUMMYFUNCTION("""COMPUTED_VALUE"""),"Torgue Sticky Gyrojets")</f>
        <v>Torgue Sticky Gyrojets</v>
      </c>
      <c r="H98" s="102"/>
      <c r="I98" s="102"/>
      <c r="J98" s="102"/>
      <c r="K98" s="102"/>
      <c r="L98" s="102"/>
    </row>
    <row r="99">
      <c r="A99" s="102" t="str">
        <f>IFERROR(__xludf.DUMMYFUNCTION("""COMPUTED_VALUE"""),"Daedalus")</f>
        <v>Daedalus</v>
      </c>
      <c r="B99" s="102" t="str">
        <f>IFERROR(__xludf.DUMMYFUNCTION("""COMPUTED_VALUE"""),"Pistol")</f>
        <v>Pistol</v>
      </c>
      <c r="C99" s="103">
        <f>IFERROR(__xludf.DUMMYFUNCTION("""COMPUTED_VALUE"""),20.0)</f>
        <v>20</v>
      </c>
      <c r="D99" s="102" t="str">
        <f>IFERROR(__xludf.DUMMYFUNCTION("""COMPUTED_VALUE"""),"Stat Modifier")</f>
        <v>Stat Modifier</v>
      </c>
      <c r="E99" s="102" t="str">
        <f>IFERROR(__xludf.DUMMYFUNCTION("""COMPUTED_VALUE"""),"DAD_PS.part_mag_ted_thrown_01")</f>
        <v>DAD_PS.part_mag_ted_thrown_01</v>
      </c>
      <c r="F99" s="102"/>
      <c r="G99" s="102" t="str">
        <f>IFERROR(__xludf.DUMMYFUNCTION("""COMPUTED_VALUE"""),"2.0s Reload")</f>
        <v>2.0s Reload</v>
      </c>
      <c r="H99" s="102"/>
      <c r="I99" s="102"/>
      <c r="J99" s="102"/>
      <c r="K99" s="102"/>
      <c r="L99" s="102"/>
    </row>
    <row r="100">
      <c r="A100" s="102" t="str">
        <f>IFERROR(__xludf.DUMMYFUNCTION("""COMPUTED_VALUE"""),"Daedalus")</f>
        <v>Daedalus</v>
      </c>
      <c r="B100" s="102" t="str">
        <f>IFERROR(__xludf.DUMMYFUNCTION("""COMPUTED_VALUE"""),"Pistol")</f>
        <v>Pistol</v>
      </c>
      <c r="C100" s="103">
        <f>IFERROR(__xludf.DUMMYFUNCTION("""COMPUTED_VALUE"""),21.0)</f>
        <v>21</v>
      </c>
      <c r="D100" s="102" t="str">
        <f>IFERROR(__xludf.DUMMYFUNCTION("""COMPUTED_VALUE"""),"Stat Modifier")</f>
        <v>Stat Modifier</v>
      </c>
      <c r="E100" s="102" t="str">
        <f>IFERROR(__xludf.DUMMYFUNCTION("""COMPUTED_VALUE"""),"DAD_PS.part_mag_ted_thrown_02")</f>
        <v>DAD_PS.part_mag_ted_thrown_02</v>
      </c>
      <c r="F100" s="102"/>
      <c r="G100" s="102" t="str">
        <f>IFERROR(__xludf.DUMMYFUNCTION("""COMPUTED_VALUE"""),"2.0s Reload")</f>
        <v>2.0s Reload</v>
      </c>
      <c r="H100" s="102"/>
      <c r="I100" s="102"/>
      <c r="J100" s="102"/>
      <c r="K100" s="102"/>
      <c r="L100" s="102"/>
    </row>
    <row r="101">
      <c r="A101" s="102" t="str">
        <f>IFERROR(__xludf.DUMMYFUNCTION("""COMPUTED_VALUE"""),"Daedalus")</f>
        <v>Daedalus</v>
      </c>
      <c r="B101" s="102" t="str">
        <f>IFERROR(__xludf.DUMMYFUNCTION("""COMPUTED_VALUE"""),"Pistol")</f>
        <v>Pistol</v>
      </c>
      <c r="C101" s="103">
        <f>IFERROR(__xludf.DUMMYFUNCTION("""COMPUTED_VALUE"""),22.0)</f>
        <v>22</v>
      </c>
      <c r="D101" s="102" t="str">
        <f>IFERROR(__xludf.DUMMYFUNCTION("""COMPUTED_VALUE"""),"Stat Modifier")</f>
        <v>Stat Modifier</v>
      </c>
      <c r="E101" s="102" t="str">
        <f>IFERROR(__xludf.DUMMYFUNCTION("""COMPUTED_VALUE"""),"DAD_PS.part_mag_ted_thrown_03_tor")</f>
        <v>DAD_PS.part_mag_ted_thrown_03_tor</v>
      </c>
      <c r="F101" s="102"/>
      <c r="G101" s="102" t="str">
        <f>IFERROR(__xludf.DUMMYFUNCTION("""COMPUTED_VALUE"""),"2.0s Reload")</f>
        <v>2.0s Reload</v>
      </c>
      <c r="H101" s="102"/>
      <c r="I101" s="102"/>
      <c r="J101" s="102"/>
      <c r="K101" s="102"/>
      <c r="L101" s="102"/>
    </row>
    <row r="102">
      <c r="A102" s="102" t="str">
        <f>IFERROR(__xludf.DUMMYFUNCTION("""COMPUTED_VALUE"""),"Daedalus")</f>
        <v>Daedalus</v>
      </c>
      <c r="B102" s="102" t="str">
        <f>IFERROR(__xludf.DUMMYFUNCTION("""COMPUTED_VALUE"""),"Pistol")</f>
        <v>Pistol</v>
      </c>
      <c r="C102" s="103">
        <f>IFERROR(__xludf.DUMMYFUNCTION("""COMPUTED_VALUE"""),23.0)</f>
        <v>23</v>
      </c>
      <c r="D102" s="102" t="str">
        <f>IFERROR(__xludf.DUMMYFUNCTION("""COMPUTED_VALUE"""),"Stat Modifier")</f>
        <v>Stat Modifier</v>
      </c>
      <c r="E102" s="102" t="str">
        <f>IFERROR(__xludf.DUMMYFUNCTION("""COMPUTED_VALUE"""),"DAD_PS.part_mag_ted_thrown_04_cov")</f>
        <v>DAD_PS.part_mag_ted_thrown_04_cov</v>
      </c>
      <c r="F102" s="102"/>
      <c r="G102" s="102" t="str">
        <f>IFERROR(__xludf.DUMMYFUNCTION("""COMPUTED_VALUE"""),"3.0s Reload")</f>
        <v>3.0s Reload</v>
      </c>
      <c r="H102" s="102"/>
      <c r="I102" s="102"/>
      <c r="J102" s="102"/>
      <c r="K102" s="102"/>
      <c r="L102" s="102"/>
    </row>
    <row r="103">
      <c r="A103" s="102" t="str">
        <f>IFERROR(__xludf.DUMMYFUNCTION("""COMPUTED_VALUE"""),"Daedalus")</f>
        <v>Daedalus</v>
      </c>
      <c r="B103" s="102" t="str">
        <f>IFERROR(__xludf.DUMMYFUNCTION("""COMPUTED_VALUE"""),"Pistol")</f>
        <v>Pistol</v>
      </c>
      <c r="C103" s="103">
        <f>IFERROR(__xludf.DUMMYFUNCTION("""COMPUTED_VALUE"""),24.0)</f>
        <v>24</v>
      </c>
      <c r="D103" s="102" t="str">
        <f>IFERROR(__xludf.DUMMYFUNCTION("""COMPUTED_VALUE"""),"Stat Modifier")</f>
        <v>Stat Modifier</v>
      </c>
      <c r="E103" s="102" t="str">
        <f>IFERROR(__xludf.DUMMYFUNCTION("""COMPUTED_VALUE"""),"DAD_PS.part_mag_ted_thrown_05_bor")</f>
        <v>DAD_PS.part_mag_ted_thrown_05_bor</v>
      </c>
      <c r="F103" s="102"/>
      <c r="G103" s="102" t="str">
        <f>IFERROR(__xludf.DUMMYFUNCTION("""COMPUTED_VALUE"""),"3.0s Reload")</f>
        <v>3.0s Reload</v>
      </c>
      <c r="H103" s="102"/>
      <c r="I103" s="102"/>
      <c r="J103" s="102"/>
      <c r="K103" s="102"/>
      <c r="L103" s="102"/>
    </row>
    <row r="104">
      <c r="A104" s="102" t="str">
        <f>IFERROR(__xludf.DUMMYFUNCTION("""COMPUTED_VALUE"""),"Daedalus")</f>
        <v>Daedalus</v>
      </c>
      <c r="B104" s="102" t="str">
        <f>IFERROR(__xludf.DUMMYFUNCTION("""COMPUTED_VALUE"""),"Pistol")</f>
        <v>Pistol</v>
      </c>
      <c r="C104" s="103">
        <f>IFERROR(__xludf.DUMMYFUNCTION("""COMPUTED_VALUE"""),25.0)</f>
        <v>25</v>
      </c>
      <c r="D104" s="102" t="str">
        <f>IFERROR(__xludf.DUMMYFUNCTION("""COMPUTED_VALUE"""),"Scope")</f>
        <v>Scope</v>
      </c>
      <c r="E104" s="102" t="str">
        <f>IFERROR(__xludf.DUMMYFUNCTION("""COMPUTED_VALUE"""),"DAD_PS.part_scope_ironsight")</f>
        <v>DAD_PS.part_scope_ironsight</v>
      </c>
      <c r="F104" s="102"/>
      <c r="G104" s="102" t="str">
        <f>IFERROR(__xludf.DUMMYFUNCTION("""COMPUTED_VALUE"""),"ADS")</f>
        <v>ADS</v>
      </c>
      <c r="H104" s="102"/>
      <c r="I104" s="102"/>
      <c r="J104" s="102"/>
      <c r="K104" s="102"/>
      <c r="L104" s="102"/>
    </row>
    <row r="105">
      <c r="A105" s="102" t="str">
        <f>IFERROR(__xludf.DUMMYFUNCTION("""COMPUTED_VALUE"""),"Daedalus")</f>
        <v>Daedalus</v>
      </c>
      <c r="B105" s="102" t="str">
        <f>IFERROR(__xludf.DUMMYFUNCTION("""COMPUTED_VALUE"""),"Pistol")</f>
        <v>Pistol</v>
      </c>
      <c r="C105" s="103">
        <f>IFERROR(__xludf.DUMMYFUNCTION("""COMPUTED_VALUE"""),26.0)</f>
        <v>26</v>
      </c>
      <c r="D105" s="102" t="str">
        <f>IFERROR(__xludf.DUMMYFUNCTION("""COMPUTED_VALUE"""),"Scope")</f>
        <v>Scope</v>
      </c>
      <c r="E105" s="102" t="str">
        <f>IFERROR(__xludf.DUMMYFUNCTION("""COMPUTED_VALUE"""),"DAD_PS.part_scope_01_lens_01")</f>
        <v>DAD_PS.part_scope_01_lens_01</v>
      </c>
      <c r="F105" s="102"/>
      <c r="G105" s="102" t="str">
        <f>IFERROR(__xludf.DUMMYFUNCTION("""COMPUTED_VALUE"""),"ADS")</f>
        <v>ADS</v>
      </c>
      <c r="H105" s="102"/>
      <c r="I105" s="102"/>
      <c r="J105" s="102"/>
      <c r="K105" s="102"/>
      <c r="L105" s="102"/>
    </row>
    <row r="106">
      <c r="A106" s="102" t="str">
        <f>IFERROR(__xludf.DUMMYFUNCTION("""COMPUTED_VALUE"""),"Daedalus")</f>
        <v>Daedalus</v>
      </c>
      <c r="B106" s="102" t="str">
        <f>IFERROR(__xludf.DUMMYFUNCTION("""COMPUTED_VALUE"""),"Pistol")</f>
        <v>Pistol</v>
      </c>
      <c r="C106" s="103">
        <f>IFERROR(__xludf.DUMMYFUNCTION("""COMPUTED_VALUE"""),27.0)</f>
        <v>27</v>
      </c>
      <c r="D106" s="102" t="str">
        <f>IFERROR(__xludf.DUMMYFUNCTION("""COMPUTED_VALUE"""),"Scope")</f>
        <v>Scope</v>
      </c>
      <c r="E106" s="102" t="str">
        <f>IFERROR(__xludf.DUMMYFUNCTION("""COMPUTED_VALUE"""),"DAD_PS.part_scope_01_lens_02")</f>
        <v>DAD_PS.part_scope_01_lens_02</v>
      </c>
      <c r="F106" s="102"/>
      <c r="G106" s="102" t="str">
        <f>IFERROR(__xludf.DUMMYFUNCTION("""COMPUTED_VALUE"""),"ADS +Zoom")</f>
        <v>ADS +Zoom</v>
      </c>
      <c r="H106" s="102"/>
      <c r="I106" s="102"/>
      <c r="J106" s="102"/>
      <c r="K106" s="102"/>
      <c r="L106" s="102"/>
    </row>
    <row r="107">
      <c r="A107" s="102" t="str">
        <f>IFERROR(__xludf.DUMMYFUNCTION("""COMPUTED_VALUE"""),"Daedalus")</f>
        <v>Daedalus</v>
      </c>
      <c r="B107" s="102" t="str">
        <f>IFERROR(__xludf.DUMMYFUNCTION("""COMPUTED_VALUE"""),"Pistol")</f>
        <v>Pistol</v>
      </c>
      <c r="C107" s="103">
        <f>IFERROR(__xludf.DUMMYFUNCTION("""COMPUTED_VALUE"""),28.0)</f>
        <v>28</v>
      </c>
      <c r="D107" s="102" t="str">
        <f>IFERROR(__xludf.DUMMYFUNCTION("""COMPUTED_VALUE"""),"Scope")</f>
        <v>Scope</v>
      </c>
      <c r="E107" s="102" t="str">
        <f>IFERROR(__xludf.DUMMYFUNCTION("""COMPUTED_VALUE"""),"DAD_PS.part_scope_02_lens_01")</f>
        <v>DAD_PS.part_scope_02_lens_01</v>
      </c>
      <c r="F107" s="102"/>
      <c r="G107" s="102" t="str">
        <f>IFERROR(__xludf.DUMMYFUNCTION("""COMPUTED_VALUE"""),"ADS ++Zoom")</f>
        <v>ADS ++Zoom</v>
      </c>
      <c r="H107" s="102"/>
      <c r="I107" s="102"/>
      <c r="J107" s="102"/>
      <c r="K107" s="102"/>
      <c r="L107" s="102"/>
    </row>
    <row r="108">
      <c r="A108" s="102" t="str">
        <f>IFERROR(__xludf.DUMMYFUNCTION("""COMPUTED_VALUE"""),"Daedalus")</f>
        <v>Daedalus</v>
      </c>
      <c r="B108" s="102" t="str">
        <f>IFERROR(__xludf.DUMMYFUNCTION("""COMPUTED_VALUE"""),"Pistol")</f>
        <v>Pistol</v>
      </c>
      <c r="C108" s="103">
        <f>IFERROR(__xludf.DUMMYFUNCTION("""COMPUTED_VALUE"""),29.0)</f>
        <v>29</v>
      </c>
      <c r="D108" s="102" t="str">
        <f>IFERROR(__xludf.DUMMYFUNCTION("""COMPUTED_VALUE"""),"Scope")</f>
        <v>Scope</v>
      </c>
      <c r="E108" s="102" t="str">
        <f>IFERROR(__xludf.DUMMYFUNCTION("""COMPUTED_VALUE"""),"DAD_PS.part_scope_02_lens_02")</f>
        <v>DAD_PS.part_scope_02_lens_02</v>
      </c>
      <c r="F108" s="102"/>
      <c r="G108" s="102" t="str">
        <f>IFERROR(__xludf.DUMMYFUNCTION("""COMPUTED_VALUE"""),"ADS ++Zoom")</f>
        <v>ADS ++Zoom</v>
      </c>
      <c r="H108" s="102"/>
      <c r="I108" s="102"/>
      <c r="J108" s="102"/>
      <c r="K108" s="102"/>
      <c r="L108" s="102"/>
    </row>
    <row r="109">
      <c r="A109" s="102" t="str">
        <f>IFERROR(__xludf.DUMMYFUNCTION("""COMPUTED_VALUE"""),"Daedalus")</f>
        <v>Daedalus</v>
      </c>
      <c r="B109" s="102" t="str">
        <f>IFERROR(__xludf.DUMMYFUNCTION("""COMPUTED_VALUE"""),"Pistol")</f>
        <v>Pistol</v>
      </c>
      <c r="C109" s="103">
        <f>IFERROR(__xludf.DUMMYFUNCTION("""COMPUTED_VALUE"""),30.0)</f>
        <v>30</v>
      </c>
      <c r="D109" s="102" t="str">
        <f>IFERROR(__xludf.DUMMYFUNCTION("""COMPUTED_VALUE"""),"Scope Accessory")</f>
        <v>Scope Accessory</v>
      </c>
      <c r="E109" s="102" t="str">
        <f>IFERROR(__xludf.DUMMYFUNCTION("""COMPUTED_VALUE"""),"DAD_PS.part_scope_acc_s01_l01_a")</f>
        <v>DAD_PS.part_scope_acc_s01_l01_a</v>
      </c>
      <c r="F109" s="102"/>
      <c r="G109" s="102" t="str">
        <f>IFERROR(__xludf.DUMMYFUNCTION("""COMPUTED_VALUE"""),"+Damage")</f>
        <v>+Damage</v>
      </c>
      <c r="H109" s="102" t="str">
        <f>IFERROR(__xludf.DUMMYFUNCTION("""COMPUTED_VALUE"""),"HUD Elements")</f>
        <v>HUD Elements</v>
      </c>
      <c r="I109" s="102"/>
      <c r="J109" s="102"/>
      <c r="K109" s="102"/>
      <c r="L109" s="102"/>
    </row>
    <row r="110">
      <c r="A110" s="102" t="str">
        <f>IFERROR(__xludf.DUMMYFUNCTION("""COMPUTED_VALUE"""),"Daedalus")</f>
        <v>Daedalus</v>
      </c>
      <c r="B110" s="102" t="str">
        <f>IFERROR(__xludf.DUMMYFUNCTION("""COMPUTED_VALUE"""),"Pistol")</f>
        <v>Pistol</v>
      </c>
      <c r="C110" s="103">
        <f>IFERROR(__xludf.DUMMYFUNCTION("""COMPUTED_VALUE"""),31.0)</f>
        <v>31</v>
      </c>
      <c r="D110" s="102" t="str">
        <f>IFERROR(__xludf.DUMMYFUNCTION("""COMPUTED_VALUE"""),"Scope Accessory")</f>
        <v>Scope Accessory</v>
      </c>
      <c r="E110" s="102" t="str">
        <f>IFERROR(__xludf.DUMMYFUNCTION("""COMPUTED_VALUE"""),"DAD_PS.part_scope_acc_s01_l01_b")</f>
        <v>DAD_PS.part_scope_acc_s01_l01_b</v>
      </c>
      <c r="F110" s="102"/>
      <c r="G110" s="102" t="str">
        <f>IFERROR(__xludf.DUMMYFUNCTION("""COMPUTED_VALUE"""),"-Reload Speed")</f>
        <v>-Reload Speed</v>
      </c>
      <c r="H110" s="102" t="str">
        <f>IFERROR(__xludf.DUMMYFUNCTION("""COMPUTED_VALUE"""),"Mag Gauge")</f>
        <v>Mag Gauge</v>
      </c>
      <c r="I110" s="102"/>
      <c r="J110" s="102"/>
      <c r="K110" s="102"/>
      <c r="L110" s="102"/>
    </row>
    <row r="111">
      <c r="A111" s="102" t="str">
        <f>IFERROR(__xludf.DUMMYFUNCTION("""COMPUTED_VALUE"""),"Daedalus")</f>
        <v>Daedalus</v>
      </c>
      <c r="B111" s="102" t="str">
        <f>IFERROR(__xludf.DUMMYFUNCTION("""COMPUTED_VALUE"""),"Pistol")</f>
        <v>Pistol</v>
      </c>
      <c r="C111" s="103">
        <f>IFERROR(__xludf.DUMMYFUNCTION("""COMPUTED_VALUE"""),32.0)</f>
        <v>32</v>
      </c>
      <c r="D111" s="102" t="str">
        <f>IFERROR(__xludf.DUMMYFUNCTION("""COMPUTED_VALUE"""),"Scope Accessory")</f>
        <v>Scope Accessory</v>
      </c>
      <c r="E111" s="102" t="str">
        <f>IFERROR(__xludf.DUMMYFUNCTION("""COMPUTED_VALUE"""),"DAD_PS.part_scope_acc_s02_l01_a")</f>
        <v>DAD_PS.part_scope_acc_s02_l01_a</v>
      </c>
      <c r="F111" s="102"/>
      <c r="G111" s="102" t="str">
        <f>IFERROR(__xludf.DUMMYFUNCTION("""COMPUTED_VALUE"""),"No Stat Changes")</f>
        <v>No Stat Changes</v>
      </c>
      <c r="H111" s="102" t="str">
        <f>IFERROR(__xludf.DUMMYFUNCTION("""COMPUTED_VALUE"""),"Distance")</f>
        <v>Distance</v>
      </c>
      <c r="I111" s="102"/>
      <c r="J111" s="102"/>
      <c r="K111" s="102"/>
      <c r="L111" s="102"/>
    </row>
    <row r="112">
      <c r="A112" s="102" t="str">
        <f>IFERROR(__xludf.DUMMYFUNCTION("""COMPUTED_VALUE"""),"Daedalus")</f>
        <v>Daedalus</v>
      </c>
      <c r="B112" s="102" t="str">
        <f>IFERROR(__xludf.DUMMYFUNCTION("""COMPUTED_VALUE"""),"Pistol")</f>
        <v>Pistol</v>
      </c>
      <c r="C112" s="103">
        <f>IFERROR(__xludf.DUMMYFUNCTION("""COMPUTED_VALUE"""),33.0)</f>
        <v>33</v>
      </c>
      <c r="D112" s="102" t="str">
        <f>IFERROR(__xludf.DUMMYFUNCTION("""COMPUTED_VALUE"""),"Scope Accessory")</f>
        <v>Scope Accessory</v>
      </c>
      <c r="E112" s="102" t="str">
        <f>IFERROR(__xludf.DUMMYFUNCTION("""COMPUTED_VALUE"""),"DAD_PS.part_scope_acc_s02_l01_b")</f>
        <v>DAD_PS.part_scope_acc_s02_l01_b</v>
      </c>
      <c r="F112" s="102"/>
      <c r="G112" s="102" t="str">
        <f>IFERROR(__xludf.DUMMYFUNCTION("""COMPUTED_VALUE"""),"+Crit Damage")</f>
        <v>+Crit Damage</v>
      </c>
      <c r="H112" s="102" t="str">
        <f>IFERROR(__xludf.DUMMYFUNCTION("""COMPUTED_VALUE"""),"Damage Type")</f>
        <v>Damage Type</v>
      </c>
      <c r="I112" s="102"/>
      <c r="J112" s="102"/>
      <c r="K112" s="102"/>
      <c r="L112" s="102"/>
    </row>
    <row r="113">
      <c r="A113" s="102" t="str">
        <f>IFERROR(__xludf.DUMMYFUNCTION("""COMPUTED_VALUE"""),"Daedalus")</f>
        <v>Daedalus</v>
      </c>
      <c r="B113" s="102" t="str">
        <f>IFERROR(__xludf.DUMMYFUNCTION("""COMPUTED_VALUE"""),"Pistol")</f>
        <v>Pistol</v>
      </c>
      <c r="C113" s="103">
        <f>IFERROR(__xludf.DUMMYFUNCTION("""COMPUTED_VALUE"""),34.0)</f>
        <v>34</v>
      </c>
      <c r="D113" s="102" t="str">
        <f>IFERROR(__xludf.DUMMYFUNCTION("""COMPUTED_VALUE"""),"Scope Accessory")</f>
        <v>Scope Accessory</v>
      </c>
      <c r="E113" s="102" t="str">
        <f>IFERROR(__xludf.DUMMYFUNCTION("""COMPUTED_VALUE"""),"DAD_PS.part_scope_acc_s01_l02_a")</f>
        <v>DAD_PS.part_scope_acc_s01_l02_a</v>
      </c>
      <c r="F113" s="102"/>
      <c r="G113" s="102" t="str">
        <f>IFERROR(__xludf.DUMMYFUNCTION("""COMPUTED_VALUE"""),"+Damage")</f>
        <v>+Damage</v>
      </c>
      <c r="H113" s="102" t="str">
        <f>IFERROR(__xludf.DUMMYFUNCTION("""COMPUTED_VALUE"""),"Mag Counter")</f>
        <v>Mag Counter</v>
      </c>
      <c r="I113" s="102"/>
      <c r="J113" s="102"/>
      <c r="K113" s="102"/>
      <c r="L113" s="102"/>
    </row>
    <row r="114">
      <c r="A114" s="102" t="str">
        <f>IFERROR(__xludf.DUMMYFUNCTION("""COMPUTED_VALUE"""),"Daedalus")</f>
        <v>Daedalus</v>
      </c>
      <c r="B114" s="102" t="str">
        <f>IFERROR(__xludf.DUMMYFUNCTION("""COMPUTED_VALUE"""),"Pistol")</f>
        <v>Pistol</v>
      </c>
      <c r="C114" s="103">
        <f>IFERROR(__xludf.DUMMYFUNCTION("""COMPUTED_VALUE"""),35.0)</f>
        <v>35</v>
      </c>
      <c r="D114" s="102" t="str">
        <f>IFERROR(__xludf.DUMMYFUNCTION("""COMPUTED_VALUE"""),"Scope Accessory")</f>
        <v>Scope Accessory</v>
      </c>
      <c r="E114" s="102" t="str">
        <f>IFERROR(__xludf.DUMMYFUNCTION("""COMPUTED_VALUE"""),"DAD_PS.part_scope_acc_s01_l02_b")</f>
        <v>DAD_PS.part_scope_acc_s01_l02_b</v>
      </c>
      <c r="F114" s="102"/>
      <c r="G114" s="102" t="str">
        <f>IFERROR(__xludf.DUMMYFUNCTION("""COMPUTED_VALUE"""),"-Reload Speed")</f>
        <v>-Reload Speed</v>
      </c>
      <c r="H114" s="102" t="str">
        <f>IFERROR(__xludf.DUMMYFUNCTION("""COMPUTED_VALUE"""),"HUD Elements")</f>
        <v>HUD Elements</v>
      </c>
      <c r="I114" s="102"/>
      <c r="J114" s="102"/>
      <c r="K114" s="102"/>
      <c r="L114" s="102"/>
    </row>
    <row r="115">
      <c r="A115" s="102" t="str">
        <f>IFERROR(__xludf.DUMMYFUNCTION("""COMPUTED_VALUE"""),"Daedalus")</f>
        <v>Daedalus</v>
      </c>
      <c r="B115" s="102" t="str">
        <f>IFERROR(__xludf.DUMMYFUNCTION("""COMPUTED_VALUE"""),"Pistol")</f>
        <v>Pistol</v>
      </c>
      <c r="C115" s="103">
        <f>IFERROR(__xludf.DUMMYFUNCTION("""COMPUTED_VALUE"""),36.0)</f>
        <v>36</v>
      </c>
      <c r="D115" s="102" t="str">
        <f>IFERROR(__xludf.DUMMYFUNCTION("""COMPUTED_VALUE"""),"Scope Accessory")</f>
        <v>Scope Accessory</v>
      </c>
      <c r="E115" s="102" t="str">
        <f>IFERROR(__xludf.DUMMYFUNCTION("""COMPUTED_VALUE"""),"DAD_PS.part_scope_acc_s02_l02_a")</f>
        <v>DAD_PS.part_scope_acc_s02_l02_a</v>
      </c>
      <c r="F115" s="102"/>
      <c r="G115" s="102" t="str">
        <f>IFERROR(__xludf.DUMMYFUNCTION("""COMPUTED_VALUE"""),"No Stat Changes")</f>
        <v>No Stat Changes</v>
      </c>
      <c r="H115" s="102" t="str">
        <f>IFERROR(__xludf.DUMMYFUNCTION("""COMPUTED_VALUE"""),"HUD Elements")</f>
        <v>HUD Elements</v>
      </c>
      <c r="I115" s="102"/>
      <c r="J115" s="102"/>
      <c r="K115" s="102"/>
      <c r="L115" s="102"/>
    </row>
    <row r="116">
      <c r="A116" s="102" t="str">
        <f>IFERROR(__xludf.DUMMYFUNCTION("""COMPUTED_VALUE"""),"Daedalus")</f>
        <v>Daedalus</v>
      </c>
      <c r="B116" s="102" t="str">
        <f>IFERROR(__xludf.DUMMYFUNCTION("""COMPUTED_VALUE"""),"Pistol")</f>
        <v>Pistol</v>
      </c>
      <c r="C116" s="103">
        <f>IFERROR(__xludf.DUMMYFUNCTION("""COMPUTED_VALUE"""),37.0)</f>
        <v>37</v>
      </c>
      <c r="D116" s="102" t="str">
        <f>IFERROR(__xludf.DUMMYFUNCTION("""COMPUTED_VALUE"""),"Scope Accessory")</f>
        <v>Scope Accessory</v>
      </c>
      <c r="E116" s="102" t="str">
        <f>IFERROR(__xludf.DUMMYFUNCTION("""COMPUTED_VALUE"""),"DAD_PS.part_scope_acc_s02_l02_b")</f>
        <v>DAD_PS.part_scope_acc_s02_l02_b</v>
      </c>
      <c r="F116" s="102"/>
      <c r="G116" s="102" t="str">
        <f>IFERROR(__xludf.DUMMYFUNCTION("""COMPUTED_VALUE"""),"+Crit Damage")</f>
        <v>+Crit Damage</v>
      </c>
      <c r="H116" s="102" t="str">
        <f>IFERROR(__xludf.DUMMYFUNCTION("""COMPUTED_VALUE"""),"Mag Counter")</f>
        <v>Mag Counter</v>
      </c>
      <c r="I116" s="102"/>
      <c r="J116" s="102"/>
      <c r="K116" s="102"/>
      <c r="L116" s="102"/>
    </row>
    <row r="117">
      <c r="A117" s="102" t="str">
        <f>IFERROR(__xludf.DUMMYFUNCTION("""COMPUTED_VALUE"""),"Daedalus")</f>
        <v>Daedalus</v>
      </c>
      <c r="B117" s="102" t="str">
        <f>IFERROR(__xludf.DUMMYFUNCTION("""COMPUTED_VALUE"""),"Pistol")</f>
        <v>Pistol</v>
      </c>
      <c r="C117" s="103">
        <f>IFERROR(__xludf.DUMMYFUNCTION("""COMPUTED_VALUE"""),38.0)</f>
        <v>38</v>
      </c>
      <c r="D117" s="102" t="str">
        <f>IFERROR(__xludf.DUMMYFUNCTION("""COMPUTED_VALUE"""),"Grip")</f>
        <v>Grip</v>
      </c>
      <c r="E117" s="102" t="str">
        <f>IFERROR(__xludf.DUMMYFUNCTION("""COMPUTED_VALUE"""),"DAD_PS.part_grip_05c_ted_jav")</f>
        <v>DAD_PS.part_grip_05c_ted_jav</v>
      </c>
      <c r="F117" s="102"/>
      <c r="G117" s="102" t="str">
        <f>IFERROR(__xludf.DUMMYFUNCTION("""COMPUTED_VALUE"""),"Tediore reload modifier: Javelin, no stat changes")</f>
        <v>Tediore reload modifier: Javelin, no stat changes</v>
      </c>
      <c r="H117" s="102"/>
      <c r="I117" s="102"/>
      <c r="J117" s="102"/>
      <c r="K117" s="102"/>
      <c r="L117" s="102"/>
    </row>
    <row r="118">
      <c r="A118" s="102" t="str">
        <f>IFERROR(__xludf.DUMMYFUNCTION("""COMPUTED_VALUE"""),"Daedalus")</f>
        <v>Daedalus</v>
      </c>
      <c r="B118" s="102" t="str">
        <f>IFERROR(__xludf.DUMMYFUNCTION("""COMPUTED_VALUE"""),"Pistol")</f>
        <v>Pistol</v>
      </c>
      <c r="C118" s="103">
        <f>IFERROR(__xludf.DUMMYFUNCTION("""COMPUTED_VALUE"""),39.0)</f>
        <v>39</v>
      </c>
      <c r="D118" s="102" t="str">
        <f>IFERROR(__xludf.DUMMYFUNCTION("""COMPUTED_VALUE"""),"Grip")</f>
        <v>Grip</v>
      </c>
      <c r="E118" s="102" t="str">
        <f>IFERROR(__xludf.DUMMYFUNCTION("""COMPUTED_VALUE"""),"DAD_PS.part_grip_05a_ted_legs")</f>
        <v>DAD_PS.part_grip_05a_ted_legs</v>
      </c>
      <c r="F118" s="102"/>
      <c r="G118" s="102" t="str">
        <f>IFERROR(__xludf.DUMMYFUNCTION("""COMPUTED_VALUE"""),"Tediore reload modifier: Legs, no stat changes")</f>
        <v>Tediore reload modifier: Legs, no stat changes</v>
      </c>
      <c r="H118" s="102"/>
      <c r="I118" s="102"/>
      <c r="J118" s="102"/>
      <c r="K118" s="102"/>
      <c r="L118" s="102"/>
    </row>
    <row r="119">
      <c r="A119" s="102" t="str">
        <f>IFERROR(__xludf.DUMMYFUNCTION("""COMPUTED_VALUE"""),"Daedalus")</f>
        <v>Daedalus</v>
      </c>
      <c r="B119" s="102" t="str">
        <f>IFERROR(__xludf.DUMMYFUNCTION("""COMPUTED_VALUE"""),"Pistol")</f>
        <v>Pistol</v>
      </c>
      <c r="C119" s="103">
        <f>IFERROR(__xludf.DUMMYFUNCTION("""COMPUTED_VALUE"""),40.0)</f>
        <v>40</v>
      </c>
      <c r="D119" s="102" t="str">
        <f>IFERROR(__xludf.DUMMYFUNCTION("""COMPUTED_VALUE"""),"Grip")</f>
        <v>Grip</v>
      </c>
      <c r="E119" s="102" t="str">
        <f>IFERROR(__xludf.DUMMYFUNCTION("""COMPUTED_VALUE"""),"DAD_PS.part_grip_05b_ted_homing")</f>
        <v>DAD_PS.part_grip_05b_ted_homing</v>
      </c>
      <c r="F119" s="102"/>
      <c r="G119" s="102" t="str">
        <f>IFERROR(__xludf.DUMMYFUNCTION("""COMPUTED_VALUE"""),"Tediore reload modifier: Homing, no stat changes")</f>
        <v>Tediore reload modifier: Homing, no stat changes</v>
      </c>
      <c r="H119" s="102"/>
      <c r="I119" s="102"/>
      <c r="J119" s="102"/>
      <c r="K119" s="102"/>
      <c r="L119" s="102"/>
    </row>
    <row r="120">
      <c r="A120" s="102" t="str">
        <f>IFERROR(__xludf.DUMMYFUNCTION("""COMPUTED_VALUE"""),"Daedalus")</f>
        <v>Daedalus</v>
      </c>
      <c r="B120" s="102" t="str">
        <f>IFERROR(__xludf.DUMMYFUNCTION("""COMPUTED_VALUE"""),"Pistol")</f>
        <v>Pistol</v>
      </c>
      <c r="C120" s="103">
        <f>IFERROR(__xludf.DUMMYFUNCTION("""COMPUTED_VALUE"""),41.0)</f>
        <v>41</v>
      </c>
      <c r="D120" s="102" t="str">
        <f>IFERROR(__xludf.DUMMYFUNCTION("""COMPUTED_VALUE"""),"Grip")</f>
        <v>Grip</v>
      </c>
      <c r="E120" s="102" t="str">
        <f>IFERROR(__xludf.DUMMYFUNCTION("""COMPUTED_VALUE"""),"DAD_PS.part_grip_04_hyp")</f>
        <v>DAD_PS.part_grip_04_hyp</v>
      </c>
      <c r="F120" s="102"/>
      <c r="G120" s="102" t="str">
        <f>IFERROR(__xludf.DUMMYFUNCTION("""COMPUTED_VALUE"""),"Hyperion Grip, -Acc, Acc increases with continuous fire")</f>
        <v>Hyperion Grip, -Acc, Acc increases with continuous fire</v>
      </c>
      <c r="H120" s="102"/>
      <c r="I120" s="102"/>
      <c r="J120" s="102"/>
      <c r="K120" s="102"/>
      <c r="L120" s="102"/>
    </row>
    <row r="121">
      <c r="A121" s="102" t="str">
        <f>IFERROR(__xludf.DUMMYFUNCTION("""COMPUTED_VALUE"""),"Daedalus")</f>
        <v>Daedalus</v>
      </c>
      <c r="B121" s="102" t="str">
        <f>IFERROR(__xludf.DUMMYFUNCTION("""COMPUTED_VALUE"""),"Pistol")</f>
        <v>Pistol</v>
      </c>
      <c r="C121" s="103">
        <f>IFERROR(__xludf.DUMMYFUNCTION("""COMPUTED_VALUE"""),42.0)</f>
        <v>42</v>
      </c>
      <c r="D121" s="102" t="str">
        <f>IFERROR(__xludf.DUMMYFUNCTION("""COMPUTED_VALUE"""),"Grip")</f>
        <v>Grip</v>
      </c>
      <c r="E121" s="102" t="str">
        <f>IFERROR(__xludf.DUMMYFUNCTION("""COMPUTED_VALUE"""),"DAD_PS.part_grip_01")</f>
        <v>DAD_PS.part_grip_01</v>
      </c>
      <c r="F121" s="102"/>
      <c r="G121" s="102" t="str">
        <f>IFERROR(__xludf.DUMMYFUNCTION("""COMPUTED_VALUE"""),"+Damage")</f>
        <v>+Damage</v>
      </c>
      <c r="H121" s="102"/>
      <c r="I121" s="102"/>
      <c r="J121" s="102"/>
      <c r="K121" s="102"/>
      <c r="L121" s="102"/>
    </row>
    <row r="122">
      <c r="A122" s="102" t="str">
        <f>IFERROR(__xludf.DUMMYFUNCTION("""COMPUTED_VALUE"""),"Daedalus")</f>
        <v>Daedalus</v>
      </c>
      <c r="B122" s="102" t="str">
        <f>IFERROR(__xludf.DUMMYFUNCTION("""COMPUTED_VALUE"""),"Pistol")</f>
        <v>Pistol</v>
      </c>
      <c r="C122" s="103">
        <f>IFERROR(__xludf.DUMMYFUNCTION("""COMPUTED_VALUE"""),43.0)</f>
        <v>43</v>
      </c>
      <c r="D122" s="102" t="str">
        <f>IFERROR(__xludf.DUMMYFUNCTION("""COMPUTED_VALUE"""),"Grip")</f>
        <v>Grip</v>
      </c>
      <c r="E122" s="102" t="str">
        <f>IFERROR(__xludf.DUMMYFUNCTION("""COMPUTED_VALUE"""),"DAD_PS.part_grip_02")</f>
        <v>DAD_PS.part_grip_02</v>
      </c>
      <c r="F122" s="102"/>
      <c r="G122" s="102" t="str">
        <f>IFERROR(__xludf.DUMMYFUNCTION("""COMPUTED_VALUE"""),"+Fire Rate")</f>
        <v>+Fire Rate</v>
      </c>
      <c r="H122" s="102"/>
      <c r="I122" s="102"/>
      <c r="J122" s="102"/>
      <c r="K122" s="102"/>
      <c r="L122" s="102"/>
    </row>
    <row r="123">
      <c r="A123" s="102" t="str">
        <f>IFERROR(__xludf.DUMMYFUNCTION("""COMPUTED_VALUE"""),"Daedalus")</f>
        <v>Daedalus</v>
      </c>
      <c r="B123" s="102" t="str">
        <f>IFERROR(__xludf.DUMMYFUNCTION("""COMPUTED_VALUE"""),"Pistol")</f>
        <v>Pistol</v>
      </c>
      <c r="C123" s="103">
        <f>IFERROR(__xludf.DUMMYFUNCTION("""COMPUTED_VALUE"""),44.0)</f>
        <v>44</v>
      </c>
      <c r="D123" s="102" t="str">
        <f>IFERROR(__xludf.DUMMYFUNCTION("""COMPUTED_VALUE"""),"Grip")</f>
        <v>Grip</v>
      </c>
      <c r="E123" s="102" t="str">
        <f>IFERROR(__xludf.DUMMYFUNCTION("""COMPUTED_VALUE"""),"DAD_PS.part_grip_03")</f>
        <v>DAD_PS.part_grip_03</v>
      </c>
      <c r="F123" s="102"/>
      <c r="G123" s="102" t="str">
        <f>IFERROR(__xludf.DUMMYFUNCTION("""COMPUTED_VALUE"""),"-Reload Speed")</f>
        <v>-Reload Speed</v>
      </c>
      <c r="H123" s="102"/>
      <c r="I123" s="102"/>
      <c r="J123" s="102"/>
      <c r="K123" s="102"/>
      <c r="L123" s="102"/>
    </row>
    <row r="124">
      <c r="A124" s="102" t="str">
        <f>IFERROR(__xludf.DUMMYFUNCTION("""COMPUTED_VALUE"""),"Daedalus")</f>
        <v>Daedalus</v>
      </c>
      <c r="B124" s="102" t="str">
        <f>IFERROR(__xludf.DUMMYFUNCTION("""COMPUTED_VALUE"""),"Pistol")</f>
        <v>Pistol</v>
      </c>
      <c r="C124" s="103">
        <f>IFERROR(__xludf.DUMMYFUNCTION("""COMPUTED_VALUE"""),45.0)</f>
        <v>45</v>
      </c>
      <c r="D124" s="102" t="str">
        <f>IFERROR(__xludf.DUMMYFUNCTION("""COMPUTED_VALUE"""),"Underbarrel")</f>
        <v>Underbarrel</v>
      </c>
      <c r="E124" s="102" t="str">
        <f>IFERROR(__xludf.DUMMYFUNCTION("""COMPUTED_VALUE"""),"DAD_PS.part_underbarrel_06_malswitch")</f>
        <v>DAD_PS.part_underbarrel_06_malswitch</v>
      </c>
      <c r="F124" s="102"/>
      <c r="G124" s="102" t="str">
        <f>IFERROR(__xludf.DUMMYFUNCTION("""COMPUTED_VALUE"""),"Maliwan Element Switch")</f>
        <v>Maliwan Element Switch</v>
      </c>
      <c r="H124" s="102" t="str">
        <f>IFERROR(__xludf.DUMMYFUNCTION("""COMPUTED_VALUE"""),"Used for Maliwan elemental switch")</f>
        <v>Used for Maliwan elemental switch</v>
      </c>
      <c r="I124" s="102"/>
      <c r="J124" s="102"/>
      <c r="K124" s="102"/>
      <c r="L124" s="102"/>
    </row>
    <row r="125">
      <c r="A125" s="102" t="str">
        <f>IFERROR(__xludf.DUMMYFUNCTION("""COMPUTED_VALUE"""),"Daedalus")</f>
        <v>Daedalus</v>
      </c>
      <c r="B125" s="102" t="str">
        <f>IFERROR(__xludf.DUMMYFUNCTION("""COMPUTED_VALUE"""),"Pistol")</f>
        <v>Pistol</v>
      </c>
      <c r="C125" s="103">
        <f>IFERROR(__xludf.DUMMYFUNCTION("""COMPUTED_VALUE"""),46.0)</f>
        <v>46</v>
      </c>
      <c r="D125" s="102" t="str">
        <f>IFERROR(__xludf.DUMMYFUNCTION("""COMPUTED_VALUE"""),"Underbarrel")</f>
        <v>Underbarrel</v>
      </c>
      <c r="E125" s="102" t="str">
        <f>IFERROR(__xludf.DUMMYFUNCTION("""COMPUTED_VALUE"""),"DAD_PS.part_underbarrel_04_atlas_ball")</f>
        <v>DAD_PS.part_underbarrel_04_atlas_ball</v>
      </c>
      <c r="F125" s="102"/>
      <c r="G125" s="102" t="str">
        <f>IFERROR(__xludf.DUMMYFUNCTION("""COMPUTED_VALUE"""),"Atlas Tracker Grenades")</f>
        <v>Atlas Tracker Grenades</v>
      </c>
      <c r="H125" s="102"/>
      <c r="I125" s="102"/>
      <c r="J125" s="102"/>
      <c r="K125" s="102"/>
      <c r="L125" s="102"/>
    </row>
    <row r="126">
      <c r="A126" s="102" t="str">
        <f>IFERROR(__xludf.DUMMYFUNCTION("""COMPUTED_VALUE"""),"Daedalus")</f>
        <v>Daedalus</v>
      </c>
      <c r="B126" s="102" t="str">
        <f>IFERROR(__xludf.DUMMYFUNCTION("""COMPUTED_VALUE"""),"Pistol")</f>
        <v>Pistol</v>
      </c>
      <c r="C126" s="103">
        <f>IFERROR(__xludf.DUMMYFUNCTION("""COMPUTED_VALUE"""),47.0)</f>
        <v>47</v>
      </c>
      <c r="D126" s="102" t="str">
        <f>IFERROR(__xludf.DUMMYFUNCTION("""COMPUTED_VALUE"""),"Underbarrel")</f>
        <v>Underbarrel</v>
      </c>
      <c r="E126" s="102" t="str">
        <f>IFERROR(__xludf.DUMMYFUNCTION("""COMPUTED_VALUE"""),"DAD_PS.part_underbarrel_02_knifelauncher")</f>
        <v>DAD_PS.part_underbarrel_02_knifelauncher</v>
      </c>
      <c r="F126" s="102"/>
      <c r="G126" s="102" t="str">
        <f>IFERROR(__xludf.DUMMYFUNCTION("""COMPUTED_VALUE"""),"Alt Fire - Tactical Knife Launcher")</f>
        <v>Alt Fire - Tactical Knife Launcher</v>
      </c>
      <c r="H126" s="102" t="str">
        <f>IFERROR(__xludf.DUMMYFUNCTION("""COMPUTED_VALUE"""),"Fires a Knife that deals XXX Damage per shot")</f>
        <v>Fires a Knife that deals XXX Damage per shot</v>
      </c>
      <c r="I126" s="102"/>
      <c r="J126" s="102"/>
      <c r="K126" s="102"/>
      <c r="L126" s="102"/>
    </row>
    <row r="127">
      <c r="A127" s="102" t="str">
        <f>IFERROR(__xludf.DUMMYFUNCTION("""COMPUTED_VALUE"""),"Daedalus")</f>
        <v>Daedalus</v>
      </c>
      <c r="B127" s="102" t="str">
        <f>IFERROR(__xludf.DUMMYFUNCTION("""COMPUTED_VALUE"""),"Pistol")</f>
        <v>Pistol</v>
      </c>
      <c r="C127" s="103">
        <f>IFERROR(__xludf.DUMMYFUNCTION("""COMPUTED_VALUE"""),48.0)</f>
        <v>48</v>
      </c>
      <c r="D127" s="102" t="str">
        <f>IFERROR(__xludf.DUMMYFUNCTION("""COMPUTED_VALUE"""),"Underbarrel")</f>
        <v>Underbarrel</v>
      </c>
      <c r="E127" s="102" t="str">
        <f>IFERROR(__xludf.DUMMYFUNCTION("""COMPUTED_VALUE"""),"DAD_PS.part_underbarrel_01_taser")</f>
        <v>DAD_PS.part_underbarrel_01_taser</v>
      </c>
      <c r="F127" s="102"/>
      <c r="G127" s="102" t="str">
        <f>IFERROR(__xludf.DUMMYFUNCTION("""COMPUTED_VALUE"""),"Alt Fire - Taser")</f>
        <v>Alt Fire - Taser</v>
      </c>
      <c r="H127" s="102"/>
      <c r="I127" s="102"/>
      <c r="J127" s="102"/>
      <c r="K127" s="102"/>
      <c r="L127" s="102"/>
    </row>
    <row r="128">
      <c r="A128" s="102" t="str">
        <f>IFERROR(__xludf.DUMMYFUNCTION("""COMPUTED_VALUE"""),"Daedalus")</f>
        <v>Daedalus</v>
      </c>
      <c r="B128" s="102" t="str">
        <f>IFERROR(__xludf.DUMMYFUNCTION("""COMPUTED_VALUE"""),"Pistol")</f>
        <v>Pistol</v>
      </c>
      <c r="C128" s="103">
        <f>IFERROR(__xludf.DUMMYFUNCTION("""COMPUTED_VALUE"""),49.0)</f>
        <v>49</v>
      </c>
      <c r="D128" s="102" t="str">
        <f>IFERROR(__xludf.DUMMYFUNCTION("""COMPUTED_VALUE"""),"Foregrip")</f>
        <v>Foregrip</v>
      </c>
      <c r="E128" s="102" t="str">
        <f>IFERROR(__xludf.DUMMYFUNCTION("""COMPUTED_VALUE"""),"DAD_PS.part_foregrip_02")</f>
        <v>DAD_PS.part_foregrip_02</v>
      </c>
      <c r="F128" s="102"/>
      <c r="G128" s="102" t="str">
        <f>IFERROR(__xludf.DUMMYFUNCTION("""COMPUTED_VALUE"""),"+Fire Rate")</f>
        <v>+Fire Rate</v>
      </c>
      <c r="H128" s="102"/>
      <c r="I128" s="102"/>
      <c r="J128" s="102"/>
      <c r="K128" s="102"/>
      <c r="L128" s="102"/>
    </row>
    <row r="129">
      <c r="A129" s="102" t="str">
        <f>IFERROR(__xludf.DUMMYFUNCTION("""COMPUTED_VALUE"""),"Daedalus")</f>
        <v>Daedalus</v>
      </c>
      <c r="B129" s="102" t="str">
        <f>IFERROR(__xludf.DUMMYFUNCTION("""COMPUTED_VALUE"""),"Pistol")</f>
        <v>Pistol</v>
      </c>
      <c r="C129" s="103">
        <f>IFERROR(__xludf.DUMMYFUNCTION("""COMPUTED_VALUE"""),50.0)</f>
        <v>50</v>
      </c>
      <c r="D129" s="102" t="str">
        <f>IFERROR(__xludf.DUMMYFUNCTION("""COMPUTED_VALUE"""),"Foregrip")</f>
        <v>Foregrip</v>
      </c>
      <c r="E129" s="102" t="str">
        <f>IFERROR(__xludf.DUMMYFUNCTION("""COMPUTED_VALUE"""),"DAD_PS.part_foregrip_03")</f>
        <v>DAD_PS.part_foregrip_03</v>
      </c>
      <c r="F129" s="102"/>
      <c r="G129" s="102" t="str">
        <f>IFERROR(__xludf.DUMMYFUNCTION("""COMPUTED_VALUE"""),"+Accuracy")</f>
        <v>+Accuracy</v>
      </c>
      <c r="H129" s="102"/>
      <c r="I129" s="102"/>
      <c r="J129" s="102"/>
      <c r="K129" s="102"/>
      <c r="L129" s="102"/>
    </row>
    <row r="130">
      <c r="A130" s="102" t="str">
        <f>IFERROR(__xludf.DUMMYFUNCTION("""COMPUTED_VALUE"""),"Daedalus")</f>
        <v>Daedalus</v>
      </c>
      <c r="B130" s="102" t="str">
        <f>IFERROR(__xludf.DUMMYFUNCTION("""COMPUTED_VALUE"""),"Pistol")</f>
        <v>Pistol</v>
      </c>
      <c r="C130" s="103">
        <f>IFERROR(__xludf.DUMMYFUNCTION("""COMPUTED_VALUE"""),51.0)</f>
        <v>51</v>
      </c>
      <c r="D130" s="102" t="str">
        <f>IFERROR(__xludf.DUMMYFUNCTION("""COMPUTED_VALUE"""),"Manufacturer Part")</f>
        <v>Manufacturer Part</v>
      </c>
      <c r="E130" s="102" t="str">
        <f>IFERROR(__xludf.DUMMYFUNCTION("""COMPUTED_VALUE"""),"DAD_PS.part_body_mag_smg")</f>
        <v>DAD_PS.part_body_mag_smg</v>
      </c>
      <c r="F130" s="102"/>
      <c r="G130" s="102" t="str">
        <f>IFERROR(__xludf.DUMMYFUNCTION("""COMPUTED_VALUE"""),"Daedalus SMG Ammo")</f>
        <v>Daedalus SMG Ammo</v>
      </c>
      <c r="H130" s="102"/>
      <c r="I130" s="102"/>
      <c r="J130" s="102"/>
      <c r="K130" s="102"/>
      <c r="L130" s="102"/>
    </row>
    <row r="131">
      <c r="A131" s="102" t="str">
        <f>IFERROR(__xludf.DUMMYFUNCTION("""COMPUTED_VALUE"""),"Daedalus")</f>
        <v>Daedalus</v>
      </c>
      <c r="B131" s="102" t="str">
        <f>IFERROR(__xludf.DUMMYFUNCTION("""COMPUTED_VALUE"""),"Pistol")</f>
        <v>Pistol</v>
      </c>
      <c r="C131" s="103">
        <f>IFERROR(__xludf.DUMMYFUNCTION("""COMPUTED_VALUE"""),52.0)</f>
        <v>52</v>
      </c>
      <c r="D131" s="102" t="str">
        <f>IFERROR(__xludf.DUMMYFUNCTION("""COMPUTED_VALUE"""),"Manufacturer Part")</f>
        <v>Manufacturer Part</v>
      </c>
      <c r="E131" s="102" t="str">
        <f>IFERROR(__xludf.DUMMYFUNCTION("""COMPUTED_VALUE"""),"DAD_PS.part_body_mag_ar")</f>
        <v>DAD_PS.part_body_mag_ar</v>
      </c>
      <c r="F131" s="102"/>
      <c r="G131" s="102" t="str">
        <f>IFERROR(__xludf.DUMMYFUNCTION("""COMPUTED_VALUE"""),"Daedalus AR Ammo")</f>
        <v>Daedalus AR Ammo</v>
      </c>
      <c r="H131" s="102"/>
      <c r="I131" s="102"/>
      <c r="J131" s="102"/>
      <c r="K131" s="102"/>
      <c r="L131" s="102"/>
    </row>
    <row r="132">
      <c r="A132" s="102" t="str">
        <f>IFERROR(__xludf.DUMMYFUNCTION("""COMPUTED_VALUE"""),"Daedalus")</f>
        <v>Daedalus</v>
      </c>
      <c r="B132" s="102" t="str">
        <f>IFERROR(__xludf.DUMMYFUNCTION("""COMPUTED_VALUE"""),"Pistol")</f>
        <v>Pistol</v>
      </c>
      <c r="C132" s="103">
        <f>IFERROR(__xludf.DUMMYFUNCTION("""COMPUTED_VALUE"""),53.0)</f>
        <v>53</v>
      </c>
      <c r="D132" s="102" t="str">
        <f>IFERROR(__xludf.DUMMYFUNCTION("""COMPUTED_VALUE"""),"Manufacturer Part")</f>
        <v>Manufacturer Part</v>
      </c>
      <c r="E132" s="102" t="str">
        <f>IFERROR(__xludf.DUMMYFUNCTION("""COMPUTED_VALUE"""),"DAD_PS.part_body_mag_sr")</f>
        <v>DAD_PS.part_body_mag_sr</v>
      </c>
      <c r="F132" s="102"/>
      <c r="G132" s="102" t="str">
        <f>IFERROR(__xludf.DUMMYFUNCTION("""COMPUTED_VALUE"""),"Daedalus SR Ammo")</f>
        <v>Daedalus SR Ammo</v>
      </c>
      <c r="H132" s="102"/>
      <c r="I132" s="102"/>
      <c r="J132" s="102"/>
      <c r="K132" s="102"/>
      <c r="L132" s="102"/>
    </row>
    <row r="133">
      <c r="A133" s="102" t="str">
        <f>IFERROR(__xludf.DUMMYFUNCTION("""COMPUTED_VALUE"""),"Daedalus")</f>
        <v>Daedalus</v>
      </c>
      <c r="B133" s="102" t="str">
        <f>IFERROR(__xludf.DUMMYFUNCTION("""COMPUTED_VALUE"""),"Pistol")</f>
        <v>Pistol</v>
      </c>
      <c r="C133" s="103">
        <f>IFERROR(__xludf.DUMMYFUNCTION("""COMPUTED_VALUE"""),57.0)</f>
        <v>57</v>
      </c>
      <c r="D133" s="102" t="str">
        <f>IFERROR(__xludf.DUMMYFUNCTION("""COMPUTED_VALUE"""),"Stat Modifier")</f>
        <v>Stat Modifier</v>
      </c>
      <c r="E133" s="102" t="str">
        <f>IFERROR(__xludf.DUMMYFUNCTION("""COMPUTED_VALUE"""),"DAD_PS.part_mag_05_borg_barrel_02")</f>
        <v>DAD_PS.part_mag_05_borg_barrel_02</v>
      </c>
      <c r="F133" s="102"/>
      <c r="G133" s="102" t="str">
        <f>IFERROR(__xludf.DUMMYFUNCTION("""COMPUTED_VALUE"""),"1.8s Reload, -Damage, -Fire Rate")</f>
        <v>1.8s Reload, -Damage, -Fire Rate</v>
      </c>
      <c r="H133" s="102" t="str">
        <f>IFERROR(__xludf.DUMMYFUNCTION("""COMPUTED_VALUE"""),"Use with RIpper Mag (17) and Barrel 02 (8)")</f>
        <v>Use with RIpper Mag (17) and Barrel 02 (8)</v>
      </c>
      <c r="I133" s="102"/>
      <c r="J133" s="102"/>
      <c r="K133" s="102"/>
      <c r="L133" s="102"/>
    </row>
    <row r="134">
      <c r="A134" s="102" t="str">
        <f>IFERROR(__xludf.DUMMYFUNCTION("""COMPUTED_VALUE"""),"Daedalus")</f>
        <v>Daedalus</v>
      </c>
      <c r="B134" s="102" t="str">
        <f>IFERROR(__xludf.DUMMYFUNCTION("""COMPUTED_VALUE"""),"Pistol")</f>
        <v>Pistol</v>
      </c>
      <c r="C134" s="103">
        <f>IFERROR(__xludf.DUMMYFUNCTION("""COMPUTED_VALUE"""),58.0)</f>
        <v>58</v>
      </c>
      <c r="D134" s="102" t="str">
        <f>IFERROR(__xludf.DUMMYFUNCTION("""COMPUTED_VALUE"""),"Stat Modifier")</f>
        <v>Stat Modifier</v>
      </c>
      <c r="E134" s="102" t="str">
        <f>IFERROR(__xludf.DUMMYFUNCTION("""COMPUTED_VALUE"""),"DAD_PS.part_mag_05_borg_barrel_01")</f>
        <v>DAD_PS.part_mag_05_borg_barrel_01</v>
      </c>
      <c r="F134" s="102"/>
      <c r="G134" s="102" t="str">
        <f>IFERROR(__xludf.DUMMYFUNCTION("""COMPUTED_VALUE"""),"1.8s Reload, -Damage, -Fire Rate")</f>
        <v>1.8s Reload, -Damage, -Fire Rate</v>
      </c>
      <c r="H134" s="102" t="str">
        <f>IFERROR(__xludf.DUMMYFUNCTION("""COMPUTED_VALUE"""),"Use with RIpper Mag (17) and Barrel 01 (7)")</f>
        <v>Use with RIpper Mag (17) and Barrel 01 (7)</v>
      </c>
      <c r="I134" s="102"/>
      <c r="J134" s="102"/>
      <c r="K134" s="102"/>
      <c r="L134" s="102"/>
    </row>
    <row r="135">
      <c r="A135" s="102" t="str">
        <f>IFERROR(__xludf.DUMMYFUNCTION("""COMPUTED_VALUE"""),"Daedalus")</f>
        <v>Daedalus</v>
      </c>
      <c r="B135" s="102" t="str">
        <f>IFERROR(__xludf.DUMMYFUNCTION("""COMPUTED_VALUE"""),"Pistol")</f>
        <v>Pistol</v>
      </c>
      <c r="C135" s="103">
        <f>IFERROR(__xludf.DUMMYFUNCTION("""COMPUTED_VALUE"""),60.0)</f>
        <v>60</v>
      </c>
      <c r="D135" s="102" t="str">
        <f>IFERROR(__xludf.DUMMYFUNCTION("""COMPUTED_VALUE"""),"Barrel Accessory")</f>
        <v>Barrel Accessory</v>
      </c>
      <c r="E135" s="102" t="str">
        <f>IFERROR(__xludf.DUMMYFUNCTION("""COMPUTED_VALUE"""),"DAD_PS.part_barrel_01_a")</f>
        <v>DAD_PS.part_barrel_01_a</v>
      </c>
      <c r="F135" s="102"/>
      <c r="G135" s="102" t="str">
        <f>IFERROR(__xludf.DUMMYFUNCTION("""COMPUTED_VALUE"""),"+Damage")</f>
        <v>+Damage</v>
      </c>
      <c r="H135" s="102"/>
      <c r="I135" s="102"/>
      <c r="J135" s="102"/>
      <c r="K135" s="102"/>
      <c r="L135" s="102"/>
    </row>
    <row r="136">
      <c r="A136" s="102" t="str">
        <f>IFERROR(__xludf.DUMMYFUNCTION("""COMPUTED_VALUE"""),"Daedalus")</f>
        <v>Daedalus</v>
      </c>
      <c r="B136" s="102" t="str">
        <f>IFERROR(__xludf.DUMMYFUNCTION("""COMPUTED_VALUE"""),"Pistol")</f>
        <v>Pistol</v>
      </c>
      <c r="C136" s="103">
        <f>IFERROR(__xludf.DUMMYFUNCTION("""COMPUTED_VALUE"""),61.0)</f>
        <v>61</v>
      </c>
      <c r="D136" s="102" t="str">
        <f>IFERROR(__xludf.DUMMYFUNCTION("""COMPUTED_VALUE"""),"Barrel Accessory")</f>
        <v>Barrel Accessory</v>
      </c>
      <c r="E136" s="102" t="str">
        <f>IFERROR(__xludf.DUMMYFUNCTION("""COMPUTED_VALUE"""),"DAD_PS.part_barrel_01_b")</f>
        <v>DAD_PS.part_barrel_01_b</v>
      </c>
      <c r="F136" s="102"/>
      <c r="G136" s="102" t="str">
        <f>IFERROR(__xludf.DUMMYFUNCTION("""COMPUTED_VALUE"""),"+Accuracy")</f>
        <v>+Accuracy</v>
      </c>
      <c r="H136" s="102"/>
      <c r="I136" s="102"/>
      <c r="J136" s="102"/>
      <c r="K136" s="102"/>
      <c r="L136" s="102"/>
    </row>
    <row r="137">
      <c r="A137" s="102" t="str">
        <f>IFERROR(__xludf.DUMMYFUNCTION("""COMPUTED_VALUE"""),"Daedalus")</f>
        <v>Daedalus</v>
      </c>
      <c r="B137" s="102" t="str">
        <f>IFERROR(__xludf.DUMMYFUNCTION("""COMPUTED_VALUE"""),"Pistol")</f>
        <v>Pistol</v>
      </c>
      <c r="C137" s="103">
        <f>IFERROR(__xludf.DUMMYFUNCTION("""COMPUTED_VALUE"""),62.0)</f>
        <v>62</v>
      </c>
      <c r="D137" s="102" t="str">
        <f>IFERROR(__xludf.DUMMYFUNCTION("""COMPUTED_VALUE"""),"Barrel Accessory")</f>
        <v>Barrel Accessory</v>
      </c>
      <c r="E137" s="102" t="str">
        <f>IFERROR(__xludf.DUMMYFUNCTION("""COMPUTED_VALUE"""),"DAD_PS.part_barrel_01_c")</f>
        <v>DAD_PS.part_barrel_01_c</v>
      </c>
      <c r="F137" s="102"/>
      <c r="G137" s="102" t="str">
        <f>IFERROR(__xludf.DUMMYFUNCTION("""COMPUTED_VALUE"""),"+Fire Rate")</f>
        <v>+Fire Rate</v>
      </c>
      <c r="H137" s="102"/>
      <c r="I137" s="102"/>
      <c r="J137" s="102"/>
      <c r="K137" s="102"/>
      <c r="L137" s="102"/>
    </row>
    <row r="138">
      <c r="A138" s="102" t="str">
        <f>IFERROR(__xludf.DUMMYFUNCTION("""COMPUTED_VALUE"""),"Daedalus")</f>
        <v>Daedalus</v>
      </c>
      <c r="B138" s="102" t="str">
        <f>IFERROR(__xludf.DUMMYFUNCTION("""COMPUTED_VALUE"""),"Pistol")</f>
        <v>Pistol</v>
      </c>
      <c r="C138" s="103">
        <f>IFERROR(__xludf.DUMMYFUNCTION("""COMPUTED_VALUE"""),63.0)</f>
        <v>63</v>
      </c>
      <c r="D138" s="102" t="str">
        <f>IFERROR(__xludf.DUMMYFUNCTION("""COMPUTED_VALUE"""),"Barrel Accessory")</f>
        <v>Barrel Accessory</v>
      </c>
      <c r="E138" s="102" t="str">
        <f>IFERROR(__xludf.DUMMYFUNCTION("""COMPUTED_VALUE"""),"DAD_PS.part_barrel_01_d")</f>
        <v>DAD_PS.part_barrel_01_d</v>
      </c>
      <c r="F138" s="102"/>
      <c r="G138" s="102" t="str">
        <f>IFERROR(__xludf.DUMMYFUNCTION("""COMPUTED_VALUE"""),"+Fire Rate")</f>
        <v>+Fire Rate</v>
      </c>
      <c r="H138" s="102"/>
      <c r="I138" s="102"/>
      <c r="J138" s="102"/>
      <c r="K138" s="102"/>
      <c r="L138" s="102"/>
    </row>
    <row r="139">
      <c r="A139" s="102" t="str">
        <f>IFERROR(__xludf.DUMMYFUNCTION("""COMPUTED_VALUE"""),"Daedalus")</f>
        <v>Daedalus</v>
      </c>
      <c r="B139" s="102" t="str">
        <f>IFERROR(__xludf.DUMMYFUNCTION("""COMPUTED_VALUE"""),"Pistol")</f>
        <v>Pistol</v>
      </c>
      <c r="C139" s="103">
        <f>IFERROR(__xludf.DUMMYFUNCTION("""COMPUTED_VALUE"""),64.0)</f>
        <v>64</v>
      </c>
      <c r="D139" s="102" t="str">
        <f>IFERROR(__xludf.DUMMYFUNCTION("""COMPUTED_VALUE"""),"Barrel Accessory")</f>
        <v>Barrel Accessory</v>
      </c>
      <c r="E139" s="102" t="str">
        <f>IFERROR(__xludf.DUMMYFUNCTION("""COMPUTED_VALUE"""),"DAD_PS.part_barrel_02_a")</f>
        <v>DAD_PS.part_barrel_02_a</v>
      </c>
      <c r="F139" s="102"/>
      <c r="G139" s="102" t="str">
        <f>IFERROR(__xludf.DUMMYFUNCTION("""COMPUTED_VALUE"""),"+Damage")</f>
        <v>+Damage</v>
      </c>
      <c r="H139" s="102"/>
      <c r="I139" s="102"/>
      <c r="J139" s="102"/>
      <c r="K139" s="102"/>
      <c r="L139" s="102"/>
    </row>
    <row r="140">
      <c r="A140" s="102" t="str">
        <f>IFERROR(__xludf.DUMMYFUNCTION("""COMPUTED_VALUE"""),"Daedalus")</f>
        <v>Daedalus</v>
      </c>
      <c r="B140" s="102" t="str">
        <f>IFERROR(__xludf.DUMMYFUNCTION("""COMPUTED_VALUE"""),"Pistol")</f>
        <v>Pistol</v>
      </c>
      <c r="C140" s="103">
        <f>IFERROR(__xludf.DUMMYFUNCTION("""COMPUTED_VALUE"""),65.0)</f>
        <v>65</v>
      </c>
      <c r="D140" s="102" t="str">
        <f>IFERROR(__xludf.DUMMYFUNCTION("""COMPUTED_VALUE"""),"Barrel Accessory")</f>
        <v>Barrel Accessory</v>
      </c>
      <c r="E140" s="102" t="str">
        <f>IFERROR(__xludf.DUMMYFUNCTION("""COMPUTED_VALUE"""),"DAD_PS.part_barrel_02_b")</f>
        <v>DAD_PS.part_barrel_02_b</v>
      </c>
      <c r="F140" s="102"/>
      <c r="G140" s="102" t="str">
        <f>IFERROR(__xludf.DUMMYFUNCTION("""COMPUTED_VALUE"""),"+Crit Damage")</f>
        <v>+Crit Damage</v>
      </c>
      <c r="H140" s="102"/>
      <c r="I140" s="102"/>
      <c r="J140" s="102"/>
      <c r="K140" s="102"/>
      <c r="L140" s="102"/>
    </row>
    <row r="141">
      <c r="A141" s="102" t="str">
        <f>IFERROR(__xludf.DUMMYFUNCTION("""COMPUTED_VALUE"""),"Daedalus")</f>
        <v>Daedalus</v>
      </c>
      <c r="B141" s="102" t="str">
        <f>IFERROR(__xludf.DUMMYFUNCTION("""COMPUTED_VALUE"""),"Pistol")</f>
        <v>Pistol</v>
      </c>
      <c r="C141" s="103">
        <f>IFERROR(__xludf.DUMMYFUNCTION("""COMPUTED_VALUE"""),66.0)</f>
        <v>66</v>
      </c>
      <c r="D141" s="102" t="str">
        <f>IFERROR(__xludf.DUMMYFUNCTION("""COMPUTED_VALUE"""),"Barrel Accessory")</f>
        <v>Barrel Accessory</v>
      </c>
      <c r="E141" s="102" t="str">
        <f>IFERROR(__xludf.DUMMYFUNCTION("""COMPUTED_VALUE"""),"DAD_PS.part_barrel_02_c")</f>
        <v>DAD_PS.part_barrel_02_c</v>
      </c>
      <c r="F141" s="102"/>
      <c r="G141" s="102" t="str">
        <f>IFERROR(__xludf.DUMMYFUNCTION("""COMPUTED_VALUE"""),"+Accuracy")</f>
        <v>+Accuracy</v>
      </c>
      <c r="H141" s="102"/>
      <c r="I141" s="102"/>
      <c r="J141" s="102"/>
      <c r="K141" s="102"/>
      <c r="L141" s="102"/>
    </row>
    <row r="142">
      <c r="A142" s="102" t="str">
        <f>IFERROR(__xludf.DUMMYFUNCTION("""COMPUTED_VALUE"""),"Daedalus")</f>
        <v>Daedalus</v>
      </c>
      <c r="B142" s="102" t="str">
        <f>IFERROR(__xludf.DUMMYFUNCTION("""COMPUTED_VALUE"""),"Pistol")</f>
        <v>Pistol</v>
      </c>
      <c r="C142" s="103">
        <f>IFERROR(__xludf.DUMMYFUNCTION("""COMPUTED_VALUE"""),67.0)</f>
        <v>67</v>
      </c>
      <c r="D142" s="102" t="str">
        <f>IFERROR(__xludf.DUMMYFUNCTION("""COMPUTED_VALUE"""),"Barrel Accessory")</f>
        <v>Barrel Accessory</v>
      </c>
      <c r="E142" s="102" t="str">
        <f>IFERROR(__xludf.DUMMYFUNCTION("""COMPUTED_VALUE"""),"DAD_PS.part_barrel_02_d")</f>
        <v>DAD_PS.part_barrel_02_d</v>
      </c>
      <c r="F142" s="102"/>
      <c r="G142" s="102" t="str">
        <f>IFERROR(__xludf.DUMMYFUNCTION("""COMPUTED_VALUE"""),"+Accuracy")</f>
        <v>+Accuracy</v>
      </c>
      <c r="H142" s="102"/>
      <c r="I142" s="102"/>
      <c r="J142" s="102"/>
      <c r="K142" s="102"/>
      <c r="L142" s="102"/>
    </row>
    <row r="143">
      <c r="A143" s="102" t="str">
        <f>IFERROR(__xludf.DUMMYFUNCTION("""COMPUTED_VALUE"""),"Daedalus")</f>
        <v>Daedalus</v>
      </c>
      <c r="B143" s="102" t="str">
        <f>IFERROR(__xludf.DUMMYFUNCTION("""COMPUTED_VALUE"""),"Pistol")</f>
        <v>Pistol</v>
      </c>
      <c r="C143" s="103">
        <f>IFERROR(__xludf.DUMMYFUNCTION("""COMPUTED_VALUE"""),68.0)</f>
        <v>68</v>
      </c>
      <c r="D143" s="102" t="str">
        <f>IFERROR(__xludf.DUMMYFUNCTION("""COMPUTED_VALUE"""),"Manufacturer Part")</f>
        <v>Manufacturer Part</v>
      </c>
      <c r="E143" s="102" t="str">
        <f>IFERROR(__xludf.DUMMYFUNCTION("""COMPUTED_VALUE"""),"DAD_PS.part_barrel_licensed_jak")</f>
        <v>DAD_PS.part_barrel_licensed_jak</v>
      </c>
      <c r="F143" s="102"/>
      <c r="G143" s="102" t="str">
        <f>IFERROR(__xludf.DUMMYFUNCTION("""COMPUTED_VALUE"""),"Jakobs Ricochet")</f>
        <v>Jakobs Ricochet</v>
      </c>
      <c r="H143" s="102"/>
      <c r="I143" s="102"/>
      <c r="J143" s="102"/>
      <c r="K143" s="102"/>
      <c r="L143" s="102"/>
    </row>
    <row r="144">
      <c r="A144" s="102" t="str">
        <f>IFERROR(__xludf.DUMMYFUNCTION("""COMPUTED_VALUE"""),"Daedalus")</f>
        <v>Daedalus</v>
      </c>
      <c r="B144" s="102" t="str">
        <f>IFERROR(__xludf.DUMMYFUNCTION("""COMPUTED_VALUE"""),"Pistol")</f>
        <v>Pistol</v>
      </c>
      <c r="C144" s="103">
        <f>IFERROR(__xludf.DUMMYFUNCTION("""COMPUTED_VALUE"""),69.0)</f>
        <v>69</v>
      </c>
      <c r="D144" s="102" t="str">
        <f>IFERROR(__xludf.DUMMYFUNCTION("""COMPUTED_VALUE"""),"Manufacturer Part")</f>
        <v>Manufacturer Part</v>
      </c>
      <c r="E144" s="102" t="str">
        <f>IFERROR(__xludf.DUMMYFUNCTION("""COMPUTED_VALUE"""),"DAD_PS.part_barrel_licensed_ted")</f>
        <v>DAD_PS.part_barrel_licensed_ted</v>
      </c>
      <c r="F144" s="102"/>
      <c r="G144" s="102" t="str">
        <f>IFERROR(__xludf.DUMMYFUNCTION("""COMPUTED_VALUE"""),"Tediore Reload, no stat changes")</f>
        <v>Tediore Reload, no stat changes</v>
      </c>
      <c r="H144" s="102"/>
      <c r="I144" s="102"/>
      <c r="J144" s="102"/>
      <c r="K144" s="102"/>
      <c r="L144" s="102"/>
    </row>
    <row r="145">
      <c r="A145" s="102" t="str">
        <f>IFERROR(__xludf.DUMMYFUNCTION("""COMPUTED_VALUE"""),"Daedalus")</f>
        <v>Daedalus</v>
      </c>
      <c r="B145" s="102" t="str">
        <f>IFERROR(__xludf.DUMMYFUNCTION("""COMPUTED_VALUE"""),"Pistol")</f>
        <v>Pistol</v>
      </c>
      <c r="C145" s="103">
        <f>IFERROR(__xludf.DUMMYFUNCTION("""COMPUTED_VALUE"""),70.0)</f>
        <v>70</v>
      </c>
      <c r="D145" s="102" t="str">
        <f>IFERROR(__xludf.DUMMYFUNCTION("""COMPUTED_VALUE"""),"Manufacturer Part")</f>
        <v>Manufacturer Part</v>
      </c>
      <c r="E145" s="102" t="str">
        <f>IFERROR(__xludf.DUMMYFUNCTION("""COMPUTED_VALUE"""),"DAD_PS.part_barrel_licensed_ted_shooting")</f>
        <v>DAD_PS.part_barrel_licensed_ted_shooting</v>
      </c>
      <c r="F145" s="102"/>
      <c r="G145" s="102" t="str">
        <f>IFERROR(__xludf.DUMMYFUNCTION("""COMPUTED_VALUE"""),"Tediore Shooting, no stat changes")</f>
        <v>Tediore Shooting, no stat changes</v>
      </c>
      <c r="H145" s="102"/>
      <c r="I145" s="102"/>
      <c r="J145" s="102"/>
      <c r="K145" s="102"/>
      <c r="L145" s="102"/>
    </row>
    <row r="146">
      <c r="A146" s="102" t="str">
        <f>IFERROR(__xludf.DUMMYFUNCTION("""COMPUTED_VALUE"""),"Daedalus")</f>
        <v>Daedalus</v>
      </c>
      <c r="B146" s="102" t="str">
        <f>IFERROR(__xludf.DUMMYFUNCTION("""COMPUTED_VALUE"""),"Pistol")</f>
        <v>Pistol</v>
      </c>
      <c r="C146" s="103">
        <f>IFERROR(__xludf.DUMMYFUNCTION("""COMPUTED_VALUE"""),71.0)</f>
        <v>71</v>
      </c>
      <c r="D146" s="102" t="str">
        <f>IFERROR(__xludf.DUMMYFUNCTION("""COMPUTED_VALUE"""),"Manufacturer Part")</f>
        <v>Manufacturer Part</v>
      </c>
      <c r="E146" s="102" t="str">
        <f>IFERROR(__xludf.DUMMYFUNCTION("""COMPUTED_VALUE"""),"DAD_PS.part_barrel_licensed_ted_mirv")</f>
        <v>DAD_PS.part_barrel_licensed_ted_mirv</v>
      </c>
      <c r="F146" s="102"/>
      <c r="G146" s="102" t="str">
        <f>IFERROR(__xludf.DUMMYFUNCTION("""COMPUTED_VALUE"""),"Tediore MIRV, no stat changes")</f>
        <v>Tediore MIRV, no stat changes</v>
      </c>
      <c r="H146" s="102"/>
      <c r="I146" s="102"/>
      <c r="J146" s="102"/>
      <c r="K146" s="102"/>
      <c r="L146" s="102"/>
    </row>
    <row r="147">
      <c r="A147" s="102" t="str">
        <f>IFERROR(__xludf.DUMMYFUNCTION("""COMPUTED_VALUE"""),"Daedalus")</f>
        <v>Daedalus</v>
      </c>
      <c r="B147" s="102" t="str">
        <f>IFERROR(__xludf.DUMMYFUNCTION("""COMPUTED_VALUE"""),"Pistol")</f>
        <v>Pistol</v>
      </c>
      <c r="C147" s="103">
        <f>IFERROR(__xludf.DUMMYFUNCTION("""COMPUTED_VALUE"""),72.0)</f>
        <v>72</v>
      </c>
      <c r="D147" s="102" t="str">
        <f>IFERROR(__xludf.DUMMYFUNCTION("""COMPUTED_VALUE"""),"Manufacturer Part")</f>
        <v>Manufacturer Part</v>
      </c>
      <c r="E147" s="102" t="str">
        <f>IFERROR(__xludf.DUMMYFUNCTION("""COMPUTED_VALUE"""),"DAD_PS.part_barrel_licensed_ted_combo")</f>
        <v>DAD_PS.part_barrel_licensed_ted_combo</v>
      </c>
      <c r="F147" s="102"/>
      <c r="G147" s="102" t="str">
        <f>IFERROR(__xludf.DUMMYFUNCTION("""COMPUTED_VALUE"""),"Tediore Combo, no stat changes")</f>
        <v>Tediore Combo, no stat changes</v>
      </c>
      <c r="H147" s="102"/>
      <c r="I147" s="102"/>
      <c r="J147" s="102"/>
      <c r="K147" s="102"/>
      <c r="L147" s="102"/>
    </row>
    <row r="148">
      <c r="A148" s="102" t="str">
        <f>IFERROR(__xludf.DUMMYFUNCTION("""COMPUTED_VALUE"""),"Daedalus")</f>
        <v>Daedalus</v>
      </c>
      <c r="B148" s="102" t="str">
        <f>IFERROR(__xludf.DUMMYFUNCTION("""COMPUTED_VALUE"""),"Pistol")</f>
        <v>Pistol</v>
      </c>
      <c r="C148" s="103">
        <f>IFERROR(__xludf.DUMMYFUNCTION("""COMPUTED_VALUE"""),73.0)</f>
        <v>73</v>
      </c>
      <c r="D148" s="102" t="str">
        <f>IFERROR(__xludf.DUMMYFUNCTION("""COMPUTED_VALUE"""),"Manufacturer Part")</f>
        <v>Manufacturer Part</v>
      </c>
      <c r="E148" s="102" t="str">
        <f>IFERROR(__xludf.DUMMYFUNCTION("""COMPUTED_VALUE"""),"DAD_PS.part_barrel_licensed_hyp")</f>
        <v>DAD_PS.part_barrel_licensed_hyp</v>
      </c>
      <c r="F148" s="102"/>
      <c r="G148" s="102" t="str">
        <f>IFERROR(__xludf.DUMMYFUNCTION("""COMPUTED_VALUE"""),"Hyperion Shield visual accessory, no stat changes")</f>
        <v>Hyperion Shield visual accessory, no stat changes</v>
      </c>
      <c r="H148" s="102"/>
      <c r="I148" s="102"/>
      <c r="J148" s="102"/>
      <c r="K148" s="102"/>
      <c r="L148" s="102"/>
    </row>
    <row r="149">
      <c r="A149" s="102" t="str">
        <f>IFERROR(__xludf.DUMMYFUNCTION("""COMPUTED_VALUE"""),"Daedalus")</f>
        <v>Daedalus</v>
      </c>
      <c r="B149" s="102" t="str">
        <f>IFERROR(__xludf.DUMMYFUNCTION("""COMPUTED_VALUE"""),"Pistol")</f>
        <v>Pistol</v>
      </c>
      <c r="C149" s="103">
        <f>IFERROR(__xludf.DUMMYFUNCTION("""COMPUTED_VALUE"""),74.0)</f>
        <v>74</v>
      </c>
      <c r="D149" s="102" t="str">
        <f>IFERROR(__xludf.DUMMYFUNCTION("""COMPUTED_VALUE"""),"Underbarrel")</f>
        <v>Underbarrel</v>
      </c>
      <c r="E149" s="102" t="str">
        <f>IFERROR(__xludf.DUMMYFUNCTION("""COMPUTED_VALUE"""),"DAD_PS.part_underbarrel_04_atlas")</f>
        <v>DAD_PS.part_underbarrel_04_atlas</v>
      </c>
      <c r="F149" s="102"/>
      <c r="G149" s="102" t="str">
        <f>IFERROR(__xludf.DUMMYFUNCTION("""COMPUTED_VALUE"""),"Atlas Tracker Darts")</f>
        <v>Atlas Tracker Darts</v>
      </c>
      <c r="H149" s="102"/>
      <c r="I149" s="102"/>
      <c r="J149" s="102"/>
      <c r="K149" s="102"/>
      <c r="L149" s="102"/>
    </row>
    <row r="150">
      <c r="A150" s="102" t="str">
        <f>IFERROR(__xludf.DUMMYFUNCTION("""COMPUTED_VALUE"""),"Daedalus")</f>
        <v>Daedalus</v>
      </c>
      <c r="B150" s="102" t="str">
        <f>IFERROR(__xludf.DUMMYFUNCTION("""COMPUTED_VALUE"""),"Pistol")</f>
        <v>Pistol</v>
      </c>
      <c r="C150" s="103">
        <f>IFERROR(__xludf.DUMMYFUNCTION("""COMPUTED_VALUE"""),75.0)</f>
        <v>75</v>
      </c>
      <c r="D150" s="102" t="str">
        <f>IFERROR(__xludf.DUMMYFUNCTION("""COMPUTED_VALUE"""),"Underbarrel")</f>
        <v>Underbarrel</v>
      </c>
      <c r="E150" s="102" t="str">
        <f>IFERROR(__xludf.DUMMYFUNCTION("""COMPUTED_VALUE"""),"DAD_PS.part_underbarrel_03_semtex")</f>
        <v>DAD_PS.part_underbarrel_03_semtex</v>
      </c>
      <c r="F150" s="102"/>
      <c r="G150" s="102" t="str">
        <f>IFERROR(__xludf.DUMMYFUNCTION("""COMPUTED_VALUE"""),"Alt Fire - Demolition Charge")</f>
        <v>Alt Fire - Demolition Charge</v>
      </c>
      <c r="H150" s="102" t="str">
        <f>IFERROR(__xludf.DUMMYFUNCTION("""COMPUTED_VALUE"""),"Fires timed explosives, each dealing XXX x 3 Damage")</f>
        <v>Fires timed explosives, each dealing XXX x 3 Damage</v>
      </c>
      <c r="I150" s="102"/>
      <c r="J150" s="102"/>
      <c r="K150" s="102"/>
      <c r="L150" s="102"/>
    </row>
    <row r="151">
      <c r="A151" s="102" t="str">
        <f>IFERROR(__xludf.DUMMYFUNCTION("""COMPUTED_VALUE"""),"Daedalus")</f>
        <v>Daedalus</v>
      </c>
      <c r="B151" s="102" t="str">
        <f>IFERROR(__xludf.DUMMYFUNCTION("""COMPUTED_VALUE"""),"Pistol")</f>
        <v>Pistol</v>
      </c>
      <c r="C151" s="103">
        <f>IFERROR(__xludf.DUMMYFUNCTION("""COMPUTED_VALUE"""),76.0)</f>
        <v>76</v>
      </c>
      <c r="D151" s="102" t="str">
        <f>IFERROR(__xludf.DUMMYFUNCTION("""COMPUTED_VALUE"""),"Foregrip")</f>
        <v>Foregrip</v>
      </c>
      <c r="E151" s="102" t="str">
        <f>IFERROR(__xludf.DUMMYFUNCTION("""COMPUTED_VALUE"""),"DAD_PS.part_foregrip_01")</f>
        <v>DAD_PS.part_foregrip_01</v>
      </c>
      <c r="F151" s="102"/>
      <c r="G151" s="102" t="str">
        <f>IFERROR(__xludf.DUMMYFUNCTION("""COMPUTED_VALUE"""),"+Damage")</f>
        <v>+Damage</v>
      </c>
      <c r="H151" s="102"/>
      <c r="I151" s="102"/>
      <c r="J151" s="102"/>
      <c r="K151" s="102"/>
      <c r="L151" s="102"/>
    </row>
    <row r="152">
      <c r="A152" s="102" t="str">
        <f>IFERROR(__xludf.DUMMYFUNCTION("""COMPUTED_VALUE"""),"Daedalus")</f>
        <v>Daedalus</v>
      </c>
      <c r="B152" s="102" t="str">
        <f>IFERROR(__xludf.DUMMYFUNCTION("""COMPUTED_VALUE"""),"Pistol")</f>
        <v>Pistol</v>
      </c>
      <c r="C152" s="103">
        <f>IFERROR(__xludf.DUMMYFUNCTION("""COMPUTED_VALUE"""),77.0)</f>
        <v>77</v>
      </c>
      <c r="D152" s="102" t="str">
        <f>IFERROR(__xludf.DUMMYFUNCTION("""COMPUTED_VALUE"""),"Manufacturer Part")</f>
        <v>Manufacturer Part</v>
      </c>
      <c r="E152" s="102" t="str">
        <f>IFERROR(__xludf.DUMMYFUNCTION("""COMPUTED_VALUE"""),"DAD_PS.part_body_mag_sg")</f>
        <v>DAD_PS.part_body_mag_sg</v>
      </c>
      <c r="F152" s="102"/>
      <c r="G152" s="102" t="str">
        <f>IFERROR(__xludf.DUMMYFUNCTION("""COMPUTED_VALUE"""),"Daedalus Shotgun Ammo")</f>
        <v>Daedalus Shotgun Ammo</v>
      </c>
      <c r="H152" s="102"/>
      <c r="I152" s="102"/>
      <c r="J152" s="102"/>
      <c r="K152" s="102"/>
      <c r="L152" s="102"/>
    </row>
    <row r="153">
      <c r="A153" s="102" t="str">
        <f>IFERROR(__xludf.DUMMYFUNCTION("""COMPUTED_VALUE"""),"Daedalus")</f>
        <v>Daedalus</v>
      </c>
      <c r="B153" s="102" t="str">
        <f>IFERROR(__xludf.DUMMYFUNCTION("""COMPUTED_VALUE"""),"Pistol")</f>
        <v>Pistol</v>
      </c>
      <c r="C153" s="103">
        <f>IFERROR(__xludf.DUMMYFUNCTION("""COMPUTED_VALUE"""),78.0)</f>
        <v>78</v>
      </c>
      <c r="D153" s="102" t="str">
        <f>IFERROR(__xludf.DUMMYFUNCTION("""COMPUTED_VALUE"""),"Barrel")</f>
        <v>Barrel</v>
      </c>
      <c r="E153" s="102" t="str">
        <f>IFERROR(__xludf.DUMMYFUNCTION("""COMPUTED_VALUE"""),"DAD_PS.part_barrel_02_rangefinder")</f>
        <v>DAD_PS.part_barrel_02_rangefinder</v>
      </c>
      <c r="F153" s="102"/>
      <c r="G153" s="102" t="str">
        <f>IFERROR(__xludf.DUMMYFUNCTION("""COMPUTED_VALUE"""),"Rangefinder, 812 Damage, 85% Acc, 5.5/s FR")</f>
        <v>Rangefinder, 812 Damage, 85% Acc, 5.5/s FR</v>
      </c>
      <c r="H153" s="102" t="str">
        <f>IFERROR(__xludf.DUMMYFUNCTION("""COMPUTED_VALUE"""),"Precision")</f>
        <v>Precision</v>
      </c>
      <c r="I153" s="102"/>
      <c r="J153" s="102"/>
      <c r="K153" s="102"/>
      <c r="L153" s="102"/>
    </row>
    <row r="154">
      <c r="A154" s="102" t="str">
        <f>IFERROR(__xludf.DUMMYFUNCTION("""COMPUTED_VALUE"""),"Daedalus")</f>
        <v>Daedalus</v>
      </c>
      <c r="B154" s="102" t="str">
        <f>IFERROR(__xludf.DUMMYFUNCTION("""COMPUTED_VALUE"""),"Shotgun")</f>
        <v>Shotgun</v>
      </c>
      <c r="C154" s="103">
        <f>IFERROR(__xludf.DUMMYFUNCTION("""COMPUTED_VALUE"""),2.0)</f>
        <v>2</v>
      </c>
      <c r="D154" s="102" t="str">
        <f>IFERROR(__xludf.DUMMYFUNCTION("""COMPUTED_VALUE"""),"Body")</f>
        <v>Body</v>
      </c>
      <c r="E154" s="102" t="str">
        <f>IFERROR(__xludf.DUMMYFUNCTION("""COMPUTED_VALUE"""),"DAD_SG.part_body")</f>
        <v>DAD_SG.part_body</v>
      </c>
      <c r="F154" s="102"/>
      <c r="G154" s="102" t="str">
        <f>IFERROR(__xludf.DUMMYFUNCTION("""COMPUTED_VALUE"""),"No Stat Changes, always present")</f>
        <v>No Stat Changes, always present</v>
      </c>
      <c r="H154" s="102"/>
      <c r="I154" s="102"/>
      <c r="J154" s="102"/>
      <c r="K154" s="102"/>
      <c r="L154" s="102"/>
    </row>
    <row r="155">
      <c r="A155" s="102" t="str">
        <f>IFERROR(__xludf.DUMMYFUNCTION("""COMPUTED_VALUE"""),"Daedalus")</f>
        <v>Daedalus</v>
      </c>
      <c r="B155" s="102" t="str">
        <f>IFERROR(__xludf.DUMMYFUNCTION("""COMPUTED_VALUE"""),"Shotgun")</f>
        <v>Shotgun</v>
      </c>
      <c r="C155" s="103">
        <f>IFERROR(__xludf.DUMMYFUNCTION("""COMPUTED_VALUE"""),3.0)</f>
        <v>3</v>
      </c>
      <c r="D155" s="102" t="str">
        <f>IFERROR(__xludf.DUMMYFUNCTION("""COMPUTED_VALUE"""),"Body Accessory")</f>
        <v>Body Accessory</v>
      </c>
      <c r="E155" s="102" t="str">
        <f>IFERROR(__xludf.DUMMYFUNCTION("""COMPUTED_VALUE"""),"DAD_SG.part_body_a")</f>
        <v>DAD_SG.part_body_a</v>
      </c>
      <c r="F155" s="102"/>
      <c r="G155" s="102" t="str">
        <f>IFERROR(__xludf.DUMMYFUNCTION("""COMPUTED_VALUE"""),"-Reload Speed")</f>
        <v>-Reload Speed</v>
      </c>
      <c r="H155" s="102"/>
      <c r="I155" s="102"/>
      <c r="J155" s="102"/>
      <c r="K155" s="102"/>
      <c r="L155" s="102"/>
    </row>
    <row r="156">
      <c r="A156" s="102" t="str">
        <f>IFERROR(__xludf.DUMMYFUNCTION("""COMPUTED_VALUE"""),"Daedalus")</f>
        <v>Daedalus</v>
      </c>
      <c r="B156" s="102" t="str">
        <f>IFERROR(__xludf.DUMMYFUNCTION("""COMPUTED_VALUE"""),"Shotgun")</f>
        <v>Shotgun</v>
      </c>
      <c r="C156" s="103">
        <f>IFERROR(__xludf.DUMMYFUNCTION("""COMPUTED_VALUE"""),4.0)</f>
        <v>4</v>
      </c>
      <c r="D156" s="102" t="str">
        <f>IFERROR(__xludf.DUMMYFUNCTION("""COMPUTED_VALUE"""),"Body Accessory")</f>
        <v>Body Accessory</v>
      </c>
      <c r="E156" s="102" t="str">
        <f>IFERROR(__xludf.DUMMYFUNCTION("""COMPUTED_VALUE"""),"DAD_SG.part_body_b")</f>
        <v>DAD_SG.part_body_b</v>
      </c>
      <c r="F156" s="102"/>
      <c r="G156" s="102" t="str">
        <f>IFERROR(__xludf.DUMMYFUNCTION("""COMPUTED_VALUE"""),"-Reload Speed")</f>
        <v>-Reload Speed</v>
      </c>
      <c r="H156" s="102"/>
      <c r="I156" s="102"/>
      <c r="J156" s="102"/>
      <c r="K156" s="102"/>
      <c r="L156" s="102"/>
    </row>
    <row r="157">
      <c r="A157" s="102" t="str">
        <f>IFERROR(__xludf.DUMMYFUNCTION("""COMPUTED_VALUE"""),"Daedalus")</f>
        <v>Daedalus</v>
      </c>
      <c r="B157" s="102" t="str">
        <f>IFERROR(__xludf.DUMMYFUNCTION("""COMPUTED_VALUE"""),"Shotgun")</f>
        <v>Shotgun</v>
      </c>
      <c r="C157" s="103">
        <f>IFERROR(__xludf.DUMMYFUNCTION("""COMPUTED_VALUE"""),5.0)</f>
        <v>5</v>
      </c>
      <c r="D157" s="102" t="str">
        <f>IFERROR(__xludf.DUMMYFUNCTION("""COMPUTED_VALUE"""),"Body Accessory")</f>
        <v>Body Accessory</v>
      </c>
      <c r="E157" s="102" t="str">
        <f>IFERROR(__xludf.DUMMYFUNCTION("""COMPUTED_VALUE"""),"DAD_SG.part_body_c")</f>
        <v>DAD_SG.part_body_c</v>
      </c>
      <c r="F157" s="102"/>
      <c r="G157" s="102" t="str">
        <f>IFERROR(__xludf.DUMMYFUNCTION("""COMPUTED_VALUE"""),"+Accuracy")</f>
        <v>+Accuracy</v>
      </c>
      <c r="H157" s="102"/>
      <c r="I157" s="102"/>
      <c r="J157" s="102"/>
      <c r="K157" s="102"/>
      <c r="L157" s="102"/>
    </row>
    <row r="158">
      <c r="A158" s="102" t="str">
        <f>IFERROR(__xludf.DUMMYFUNCTION("""COMPUTED_VALUE"""),"Daedalus")</f>
        <v>Daedalus</v>
      </c>
      <c r="B158" s="102" t="str">
        <f>IFERROR(__xludf.DUMMYFUNCTION("""COMPUTED_VALUE"""),"Shotgun")</f>
        <v>Shotgun</v>
      </c>
      <c r="C158" s="103">
        <f>IFERROR(__xludf.DUMMYFUNCTION("""COMPUTED_VALUE"""),6.0)</f>
        <v>6</v>
      </c>
      <c r="D158" s="102" t="str">
        <f>IFERROR(__xludf.DUMMYFUNCTION("""COMPUTED_VALUE"""),"Body Accessory")</f>
        <v>Body Accessory</v>
      </c>
      <c r="E158" s="102" t="str">
        <f>IFERROR(__xludf.DUMMYFUNCTION("""COMPUTED_VALUE"""),"DAD_SG.part_body_d")</f>
        <v>DAD_SG.part_body_d</v>
      </c>
      <c r="F158" s="102"/>
      <c r="G158" s="102" t="str">
        <f>IFERROR(__xludf.DUMMYFUNCTION("""COMPUTED_VALUE"""),"No Stat Changes")</f>
        <v>No Stat Changes</v>
      </c>
      <c r="H158" s="102"/>
      <c r="I158" s="102"/>
      <c r="J158" s="102"/>
      <c r="K158" s="102"/>
      <c r="L158" s="102"/>
    </row>
    <row r="159">
      <c r="A159" s="102" t="str">
        <f>IFERROR(__xludf.DUMMYFUNCTION("""COMPUTED_VALUE"""),"Daedalus")</f>
        <v>Daedalus</v>
      </c>
      <c r="B159" s="102" t="str">
        <f>IFERROR(__xludf.DUMMYFUNCTION("""COMPUTED_VALUE"""),"Shotgun")</f>
        <v>Shotgun</v>
      </c>
      <c r="C159" s="103">
        <f>IFERROR(__xludf.DUMMYFUNCTION("""COMPUTED_VALUE"""),7.0)</f>
        <v>7</v>
      </c>
      <c r="D159" s="102" t="str">
        <f>IFERROR(__xludf.DUMMYFUNCTION("""COMPUTED_VALUE"""),"Barrel")</f>
        <v>Barrel</v>
      </c>
      <c r="E159" s="102" t="str">
        <f>IFERROR(__xludf.DUMMYFUNCTION("""COMPUTED_VALUE"""),"DAD_SG.part_barrel_01")</f>
        <v>DAD_SG.part_barrel_01</v>
      </c>
      <c r="F159" s="102"/>
      <c r="G159" s="102" t="str">
        <f>IFERROR(__xludf.DUMMYFUNCTION("""COMPUTED_VALUE"""),"Caliburn, 265 x 6 Damage, 55% Acc, 4.2/s FR")</f>
        <v>Caliburn, 265 x 6 Damage, 55% Acc, 4.2/s FR</v>
      </c>
      <c r="H159" s="102"/>
      <c r="I159" s="102"/>
      <c r="J159" s="102"/>
      <c r="K159" s="102"/>
      <c r="L159" s="102"/>
    </row>
    <row r="160">
      <c r="A160" s="102" t="str">
        <f>IFERROR(__xludf.DUMMYFUNCTION("""COMPUTED_VALUE"""),"Daedalus")</f>
        <v>Daedalus</v>
      </c>
      <c r="B160" s="102" t="str">
        <f>IFERROR(__xludf.DUMMYFUNCTION("""COMPUTED_VALUE"""),"Shotgun")</f>
        <v>Shotgun</v>
      </c>
      <c r="C160" s="103">
        <f>IFERROR(__xludf.DUMMYFUNCTION("""COMPUTED_VALUE"""),8.0)</f>
        <v>8</v>
      </c>
      <c r="D160" s="102" t="str">
        <f>IFERROR(__xludf.DUMMYFUNCTION("""COMPUTED_VALUE"""),"Barrel")</f>
        <v>Barrel</v>
      </c>
      <c r="E160" s="102" t="str">
        <f>IFERROR(__xludf.DUMMYFUNCTION("""COMPUTED_VALUE"""),"DAD_SG.part_barrel_02")</f>
        <v>DAD_SG.part_barrel_02</v>
      </c>
      <c r="F160" s="102"/>
      <c r="G160" s="102" t="str">
        <f>IFERROR(__xludf.DUMMYFUNCTION("""COMPUTED_VALUE"""),"Durendal, 432 x 4 Damage, 65% Acc, 3.5/s FR")</f>
        <v>Durendal, 432 x 4 Damage, 65% Acc, 3.5/s FR</v>
      </c>
      <c r="H160" s="102"/>
      <c r="I160" s="102"/>
      <c r="J160" s="102"/>
      <c r="K160" s="102"/>
      <c r="L160" s="102"/>
    </row>
    <row r="161">
      <c r="A161" s="102" t="str">
        <f>IFERROR(__xludf.DUMMYFUNCTION("""COMPUTED_VALUE"""),"Daedalus")</f>
        <v>Daedalus</v>
      </c>
      <c r="B161" s="102" t="str">
        <f>IFERROR(__xludf.DUMMYFUNCTION("""COMPUTED_VALUE"""),"Shotgun")</f>
        <v>Shotgun</v>
      </c>
      <c r="C161" s="103">
        <f>IFERROR(__xludf.DUMMYFUNCTION("""COMPUTED_VALUE"""),9.0)</f>
        <v>9</v>
      </c>
      <c r="D161" s="102" t="str">
        <f>IFERROR(__xludf.DUMMYFUNCTION("""COMPUTED_VALUE"""),"Manufacturer Part")</f>
        <v>Manufacturer Part</v>
      </c>
      <c r="E161" s="102" t="str">
        <f>IFERROR(__xludf.DUMMYFUNCTION("""COMPUTED_VALUE"""),"DAD_SG.part_shield_default")</f>
        <v>DAD_SG.part_shield_default</v>
      </c>
      <c r="F161" s="102"/>
      <c r="G161" s="102" t="str">
        <f>IFERROR(__xludf.DUMMYFUNCTION("""COMPUTED_VALUE"""),"Hyperion Shield")</f>
        <v>Hyperion Shield</v>
      </c>
      <c r="H161" s="102"/>
      <c r="I161" s="102"/>
      <c r="J161" s="102"/>
      <c r="K161" s="102"/>
      <c r="L161" s="102"/>
    </row>
    <row r="162">
      <c r="A162" s="102" t="str">
        <f>IFERROR(__xludf.DUMMYFUNCTION("""COMPUTED_VALUE"""),"Daedalus")</f>
        <v>Daedalus</v>
      </c>
      <c r="B162" s="102" t="str">
        <f>IFERROR(__xludf.DUMMYFUNCTION("""COMPUTED_VALUE"""),"Shotgun")</f>
        <v>Shotgun</v>
      </c>
      <c r="C162" s="103">
        <f>IFERROR(__xludf.DUMMYFUNCTION("""COMPUTED_VALUE"""),10.0)</f>
        <v>10</v>
      </c>
      <c r="D162" s="102" t="str">
        <f>IFERROR(__xludf.DUMMYFUNCTION("""COMPUTED_VALUE"""),"Manufacturer Part")</f>
        <v>Manufacturer Part</v>
      </c>
      <c r="E162" s="102" t="str">
        <f>IFERROR(__xludf.DUMMYFUNCTION("""COMPUTED_VALUE"""),"DAD_SG.part_shield_ricochet")</f>
        <v>DAD_SG.part_shield_ricochet</v>
      </c>
      <c r="F162" s="102"/>
      <c r="G162" s="102" t="str">
        <f>IFERROR(__xludf.DUMMYFUNCTION("""COMPUTED_VALUE"""),"Hyperion Ricochet Shield")</f>
        <v>Hyperion Ricochet Shield</v>
      </c>
      <c r="H162" s="102"/>
      <c r="I162" s="102"/>
      <c r="J162" s="102"/>
      <c r="K162" s="102"/>
      <c r="L162" s="102"/>
    </row>
    <row r="163">
      <c r="A163" s="102" t="str">
        <f>IFERROR(__xludf.DUMMYFUNCTION("""COMPUTED_VALUE"""),"Daedalus")</f>
        <v>Daedalus</v>
      </c>
      <c r="B163" s="102" t="str">
        <f>IFERROR(__xludf.DUMMYFUNCTION("""COMPUTED_VALUE"""),"Shotgun")</f>
        <v>Shotgun</v>
      </c>
      <c r="C163" s="103">
        <f>IFERROR(__xludf.DUMMYFUNCTION("""COMPUTED_VALUE"""),11.0)</f>
        <v>11</v>
      </c>
      <c r="D163" s="102" t="str">
        <f>IFERROR(__xludf.DUMMYFUNCTION("""COMPUTED_VALUE"""),"Manufacturer Part")</f>
        <v>Manufacturer Part</v>
      </c>
      <c r="E163" s="102" t="str">
        <f>IFERROR(__xludf.DUMMYFUNCTION("""COMPUTED_VALUE"""),"DAD_SG.part_shield_ammo")</f>
        <v>DAD_SG.part_shield_ammo</v>
      </c>
      <c r="F163" s="102"/>
      <c r="G163" s="102" t="str">
        <f>IFERROR(__xludf.DUMMYFUNCTION("""COMPUTED_VALUE"""),"Hyperion Absorb Shield")</f>
        <v>Hyperion Absorb Shield</v>
      </c>
      <c r="H163" s="102"/>
      <c r="I163" s="102"/>
      <c r="J163" s="102"/>
      <c r="K163" s="102"/>
      <c r="L163" s="102"/>
    </row>
    <row r="164">
      <c r="A164" s="102" t="str">
        <f>IFERROR(__xludf.DUMMYFUNCTION("""COMPUTED_VALUE"""),"Daedalus")</f>
        <v>Daedalus</v>
      </c>
      <c r="B164" s="102" t="str">
        <f>IFERROR(__xludf.DUMMYFUNCTION("""COMPUTED_VALUE"""),"Shotgun")</f>
        <v>Shotgun</v>
      </c>
      <c r="C164" s="103">
        <f>IFERROR(__xludf.DUMMYFUNCTION("""COMPUTED_VALUE"""),12.0)</f>
        <v>12</v>
      </c>
      <c r="D164" s="102" t="str">
        <f>IFERROR(__xludf.DUMMYFUNCTION("""COMPUTED_VALUE"""),"Manufacturer Part")</f>
        <v>Manufacturer Part</v>
      </c>
      <c r="E164" s="102" t="str">
        <f>IFERROR(__xludf.DUMMYFUNCTION("""COMPUTED_VALUE"""),"DAD_SG.part_shield_amp")</f>
        <v>DAD_SG.part_shield_amp</v>
      </c>
      <c r="F164" s="102"/>
      <c r="G164" s="102" t="str">
        <f>IFERROR(__xludf.DUMMYFUNCTION("""COMPUTED_VALUE"""),"Hyperion Amp Shield")</f>
        <v>Hyperion Amp Shield</v>
      </c>
      <c r="H164" s="102"/>
      <c r="I164" s="102"/>
      <c r="J164" s="102"/>
      <c r="K164" s="102"/>
      <c r="L164" s="102"/>
    </row>
    <row r="165">
      <c r="A165" s="102" t="str">
        <f>IFERROR(__xludf.DUMMYFUNCTION("""COMPUTED_VALUE"""),"Daedalus")</f>
        <v>Daedalus</v>
      </c>
      <c r="B165" s="102" t="str">
        <f>IFERROR(__xludf.DUMMYFUNCTION("""COMPUTED_VALUE"""),"Shotgun")</f>
        <v>Shotgun</v>
      </c>
      <c r="C165" s="103">
        <f>IFERROR(__xludf.DUMMYFUNCTION("""COMPUTED_VALUE"""),13.0)</f>
        <v>13</v>
      </c>
      <c r="D165" s="102" t="str">
        <f>IFERROR(__xludf.DUMMYFUNCTION("""COMPUTED_VALUE"""),"Magazine")</f>
        <v>Magazine</v>
      </c>
      <c r="E165" s="102" t="str">
        <f>IFERROR(__xludf.DUMMYFUNCTION("""COMPUTED_VALUE"""),"DAD_SG.part_mag_05_borg")</f>
        <v>DAD_SG.part_mag_05_borg</v>
      </c>
      <c r="F165" s="102"/>
      <c r="G165" s="102" t="str">
        <f>IFERROR(__xludf.DUMMYFUNCTION("""COMPUTED_VALUE"""),"2.1s Reload, -Damage, +Fire Rate, 12 Shots, Ripper Mag")</f>
        <v>2.1s Reload, -Damage, +Fire Rate, 12 Shots, Ripper Mag</v>
      </c>
      <c r="H165" s="102"/>
      <c r="I165" s="102"/>
      <c r="J165" s="102"/>
      <c r="K165" s="102"/>
      <c r="L165" s="102"/>
    </row>
    <row r="166">
      <c r="A166" s="102" t="str">
        <f>IFERROR(__xludf.DUMMYFUNCTION("""COMPUTED_VALUE"""),"Daedalus")</f>
        <v>Daedalus</v>
      </c>
      <c r="B166" s="102" t="str">
        <f>IFERROR(__xludf.DUMMYFUNCTION("""COMPUTED_VALUE"""),"Shotgun")</f>
        <v>Shotgun</v>
      </c>
      <c r="C166" s="103">
        <f>IFERROR(__xludf.DUMMYFUNCTION("""COMPUTED_VALUE"""),14.0)</f>
        <v>14</v>
      </c>
      <c r="D166" s="102" t="str">
        <f>IFERROR(__xludf.DUMMYFUNCTION("""COMPUTED_VALUE"""),"Magazine")</f>
        <v>Magazine</v>
      </c>
      <c r="E166" s="102" t="str">
        <f>IFERROR(__xludf.DUMMYFUNCTION("""COMPUTED_VALUE"""),"DAD_SG.part_mag_04_cov")</f>
        <v>DAD_SG.part_mag_04_cov</v>
      </c>
      <c r="F166" s="102"/>
      <c r="G166" s="102" t="str">
        <f>IFERROR(__xludf.DUMMYFUNCTION("""COMPUTED_VALUE"""),"3.5s Reload, +Damage, -Acc, -Reload, 10 Shots, CoV Mag")</f>
        <v>3.5s Reload, +Damage, -Acc, -Reload, 10 Shots, CoV Mag</v>
      </c>
      <c r="H166" s="102"/>
      <c r="I166" s="102"/>
      <c r="J166" s="102"/>
      <c r="K166" s="102"/>
      <c r="L166" s="102"/>
    </row>
    <row r="167">
      <c r="A167" s="102" t="str">
        <f>IFERROR(__xludf.DUMMYFUNCTION("""COMPUTED_VALUE"""),"Daedalus")</f>
        <v>Daedalus</v>
      </c>
      <c r="B167" s="102" t="str">
        <f>IFERROR(__xludf.DUMMYFUNCTION("""COMPUTED_VALUE"""),"Shotgun")</f>
        <v>Shotgun</v>
      </c>
      <c r="C167" s="103">
        <f>IFERROR(__xludf.DUMMYFUNCTION("""COMPUTED_VALUE"""),15.0)</f>
        <v>15</v>
      </c>
      <c r="D167" s="102" t="str">
        <f>IFERROR(__xludf.DUMMYFUNCTION("""COMPUTED_VALUE"""),"Magazine")</f>
        <v>Magazine</v>
      </c>
      <c r="E167" s="102" t="str">
        <f>IFERROR(__xludf.DUMMYFUNCTION("""COMPUTED_VALUE"""),"DAD_SG.part_mag_03_tor")</f>
        <v>DAD_SG.part_mag_03_tor</v>
      </c>
      <c r="F167" s="102"/>
      <c r="G167" s="102" t="str">
        <f>IFERROR(__xludf.DUMMYFUNCTION("""COMPUTED_VALUE"""),"2.2s Reload, +Damage, -Reload, -Fire Rate, 6 Shots, Torgue")</f>
        <v>2.2s Reload, +Damage, -Reload, -Fire Rate, 6 Shots, Torgue</v>
      </c>
      <c r="H167" s="102"/>
      <c r="I167" s="102"/>
      <c r="J167" s="102"/>
      <c r="K167" s="102"/>
      <c r="L167" s="102"/>
    </row>
    <row r="168">
      <c r="A168" s="102" t="str">
        <f>IFERROR(__xludf.DUMMYFUNCTION("""COMPUTED_VALUE"""),"Daedalus")</f>
        <v>Daedalus</v>
      </c>
      <c r="B168" s="102" t="str">
        <f>IFERROR(__xludf.DUMMYFUNCTION("""COMPUTED_VALUE"""),"Shotgun")</f>
        <v>Shotgun</v>
      </c>
      <c r="C168" s="103">
        <f>IFERROR(__xludf.DUMMYFUNCTION("""COMPUTED_VALUE"""),16.0)</f>
        <v>16</v>
      </c>
      <c r="D168" s="102" t="str">
        <f>IFERROR(__xludf.DUMMYFUNCTION("""COMPUTED_VALUE"""),"Magazine")</f>
        <v>Magazine</v>
      </c>
      <c r="E168" s="102" t="str">
        <f>IFERROR(__xludf.DUMMYFUNCTION("""COMPUTED_VALUE"""),"DAD_SG.part_mag_01")</f>
        <v>DAD_SG.part_mag_01</v>
      </c>
      <c r="F168" s="102"/>
      <c r="G168" s="102" t="str">
        <f>IFERROR(__xludf.DUMMYFUNCTION("""COMPUTED_VALUE"""),"2.0s Reload, -Reload, 8 Shots")</f>
        <v>2.0s Reload, -Reload, 8 Shots</v>
      </c>
      <c r="H168" s="102"/>
      <c r="I168" s="102"/>
      <c r="J168" s="102"/>
      <c r="K168" s="102"/>
      <c r="L168" s="102"/>
    </row>
    <row r="169">
      <c r="A169" s="102" t="str">
        <f>IFERROR(__xludf.DUMMYFUNCTION("""COMPUTED_VALUE"""),"Daedalus")</f>
        <v>Daedalus</v>
      </c>
      <c r="B169" s="102" t="str">
        <f>IFERROR(__xludf.DUMMYFUNCTION("""COMPUTED_VALUE"""),"Shotgun")</f>
        <v>Shotgun</v>
      </c>
      <c r="C169" s="103">
        <f>IFERROR(__xludf.DUMMYFUNCTION("""COMPUTED_VALUE"""),17.0)</f>
        <v>17</v>
      </c>
      <c r="D169" s="102" t="str">
        <f>IFERROR(__xludf.DUMMYFUNCTION("""COMPUTED_VALUE"""),"Magazine")</f>
        <v>Magazine</v>
      </c>
      <c r="E169" s="102" t="str">
        <f>IFERROR(__xludf.DUMMYFUNCTION("""COMPUTED_VALUE"""),"DAD_SG.part_mag_02")</f>
        <v>DAD_SG.part_mag_02</v>
      </c>
      <c r="F169" s="102"/>
      <c r="G169" s="102" t="str">
        <f>IFERROR(__xludf.DUMMYFUNCTION("""COMPUTED_VALUE"""),"2.4s Reload, -Damage, +Reload, 10 Shots")</f>
        <v>2.4s Reload, -Damage, +Reload, 10 Shots</v>
      </c>
      <c r="H169" s="102"/>
      <c r="I169" s="102"/>
      <c r="J169" s="102"/>
      <c r="K169" s="102"/>
      <c r="L169" s="102"/>
    </row>
    <row r="170">
      <c r="A170" s="102" t="str">
        <f>IFERROR(__xludf.DUMMYFUNCTION("""COMPUTED_VALUE"""),"Daedalus")</f>
        <v>Daedalus</v>
      </c>
      <c r="B170" s="102" t="str">
        <f>IFERROR(__xludf.DUMMYFUNCTION("""COMPUTED_VALUE"""),"Shotgun")</f>
        <v>Shotgun</v>
      </c>
      <c r="C170" s="103">
        <f>IFERROR(__xludf.DUMMYFUNCTION("""COMPUTED_VALUE"""),18.0)</f>
        <v>18</v>
      </c>
      <c r="D170" s="102" t="str">
        <f>IFERROR(__xludf.DUMMYFUNCTION("""COMPUTED_VALUE"""),"Stat Modifier")</f>
        <v>Stat Modifier</v>
      </c>
      <c r="E170" s="102" t="str">
        <f>IFERROR(__xludf.DUMMYFUNCTION("""COMPUTED_VALUE"""),"DAD_SG.part_mag_ted_thrown_01")</f>
        <v>DAD_SG.part_mag_ted_thrown_01</v>
      </c>
      <c r="F170" s="102"/>
      <c r="G170" s="102" t="str">
        <f>IFERROR(__xludf.DUMMYFUNCTION("""COMPUTED_VALUE"""),"2.0s Reload")</f>
        <v>2.0s Reload</v>
      </c>
      <c r="H170" s="102"/>
      <c r="I170" s="102"/>
      <c r="J170" s="102"/>
      <c r="K170" s="102"/>
      <c r="L170" s="102"/>
    </row>
    <row r="171">
      <c r="A171" s="102" t="str">
        <f>IFERROR(__xludf.DUMMYFUNCTION("""COMPUTED_VALUE"""),"Daedalus")</f>
        <v>Daedalus</v>
      </c>
      <c r="B171" s="102" t="str">
        <f>IFERROR(__xludf.DUMMYFUNCTION("""COMPUTED_VALUE"""),"Shotgun")</f>
        <v>Shotgun</v>
      </c>
      <c r="C171" s="103">
        <f>IFERROR(__xludf.DUMMYFUNCTION("""COMPUTED_VALUE"""),19.0)</f>
        <v>19</v>
      </c>
      <c r="D171" s="102" t="str">
        <f>IFERROR(__xludf.DUMMYFUNCTION("""COMPUTED_VALUE"""),"Stat Modifier")</f>
        <v>Stat Modifier</v>
      </c>
      <c r="E171" s="102" t="str">
        <f>IFERROR(__xludf.DUMMYFUNCTION("""COMPUTED_VALUE"""),"DAD_SG.part_mag_ted_thrown_02")</f>
        <v>DAD_SG.part_mag_ted_thrown_02</v>
      </c>
      <c r="F171" s="102"/>
      <c r="G171" s="102" t="str">
        <f>IFERROR(__xludf.DUMMYFUNCTION("""COMPUTED_VALUE"""),"2.0s Reload")</f>
        <v>2.0s Reload</v>
      </c>
      <c r="H171" s="102"/>
      <c r="I171" s="102"/>
      <c r="J171" s="102"/>
      <c r="K171" s="102"/>
      <c r="L171" s="102"/>
    </row>
    <row r="172">
      <c r="A172" s="102" t="str">
        <f>IFERROR(__xludf.DUMMYFUNCTION("""COMPUTED_VALUE"""),"Daedalus")</f>
        <v>Daedalus</v>
      </c>
      <c r="B172" s="102" t="str">
        <f>IFERROR(__xludf.DUMMYFUNCTION("""COMPUTED_VALUE"""),"Shotgun")</f>
        <v>Shotgun</v>
      </c>
      <c r="C172" s="103">
        <f>IFERROR(__xludf.DUMMYFUNCTION("""COMPUTED_VALUE"""),20.0)</f>
        <v>20</v>
      </c>
      <c r="D172" s="102" t="str">
        <f>IFERROR(__xludf.DUMMYFUNCTION("""COMPUTED_VALUE"""),"Stat Modifier")</f>
        <v>Stat Modifier</v>
      </c>
      <c r="E172" s="102" t="str">
        <f>IFERROR(__xludf.DUMMYFUNCTION("""COMPUTED_VALUE"""),"DAD_SG.part_mag_ted_thrown_03_tor")</f>
        <v>DAD_SG.part_mag_ted_thrown_03_tor</v>
      </c>
      <c r="F172" s="102"/>
      <c r="G172" s="102" t="str">
        <f>IFERROR(__xludf.DUMMYFUNCTION("""COMPUTED_VALUE"""),"2.0s Reload")</f>
        <v>2.0s Reload</v>
      </c>
      <c r="H172" s="102"/>
      <c r="I172" s="102"/>
      <c r="J172" s="102"/>
      <c r="K172" s="102"/>
      <c r="L172" s="102"/>
    </row>
    <row r="173">
      <c r="A173" s="102" t="str">
        <f>IFERROR(__xludf.DUMMYFUNCTION("""COMPUTED_VALUE"""),"Daedalus")</f>
        <v>Daedalus</v>
      </c>
      <c r="B173" s="102" t="str">
        <f>IFERROR(__xludf.DUMMYFUNCTION("""COMPUTED_VALUE"""),"Shotgun")</f>
        <v>Shotgun</v>
      </c>
      <c r="C173" s="103">
        <f>IFERROR(__xludf.DUMMYFUNCTION("""COMPUTED_VALUE"""),21.0)</f>
        <v>21</v>
      </c>
      <c r="D173" s="102" t="str">
        <f>IFERROR(__xludf.DUMMYFUNCTION("""COMPUTED_VALUE"""),"Stat Modifier")</f>
        <v>Stat Modifier</v>
      </c>
      <c r="E173" s="102" t="str">
        <f>IFERROR(__xludf.DUMMYFUNCTION("""COMPUTED_VALUE"""),"DAD_SG.part_mag_ted_thrown_04_cov")</f>
        <v>DAD_SG.part_mag_ted_thrown_04_cov</v>
      </c>
      <c r="F173" s="102"/>
      <c r="G173" s="102" t="str">
        <f>IFERROR(__xludf.DUMMYFUNCTION("""COMPUTED_VALUE"""),"3.0s Reload")</f>
        <v>3.0s Reload</v>
      </c>
      <c r="H173" s="102"/>
      <c r="I173" s="102"/>
      <c r="J173" s="102"/>
      <c r="K173" s="102"/>
      <c r="L173" s="102"/>
    </row>
    <row r="174">
      <c r="A174" s="102" t="str">
        <f>IFERROR(__xludf.DUMMYFUNCTION("""COMPUTED_VALUE"""),"Daedalus")</f>
        <v>Daedalus</v>
      </c>
      <c r="B174" s="102" t="str">
        <f>IFERROR(__xludf.DUMMYFUNCTION("""COMPUTED_VALUE"""),"Shotgun")</f>
        <v>Shotgun</v>
      </c>
      <c r="C174" s="103">
        <f>IFERROR(__xludf.DUMMYFUNCTION("""COMPUTED_VALUE"""),22.0)</f>
        <v>22</v>
      </c>
      <c r="D174" s="102" t="str">
        <f>IFERROR(__xludf.DUMMYFUNCTION("""COMPUTED_VALUE"""),"Stat Modifier")</f>
        <v>Stat Modifier</v>
      </c>
      <c r="E174" s="102" t="str">
        <f>IFERROR(__xludf.DUMMYFUNCTION("""COMPUTED_VALUE"""),"DAD_SG.part_mag_ted_thrown_05_bor")</f>
        <v>DAD_SG.part_mag_ted_thrown_05_bor</v>
      </c>
      <c r="F174" s="102"/>
      <c r="G174" s="102" t="str">
        <f>IFERROR(__xludf.DUMMYFUNCTION("""COMPUTED_VALUE"""),"3.0s Reload")</f>
        <v>3.0s Reload</v>
      </c>
      <c r="H174" s="102"/>
      <c r="I174" s="102"/>
      <c r="J174" s="102"/>
      <c r="K174" s="102"/>
      <c r="L174" s="102"/>
    </row>
    <row r="175">
      <c r="A175" s="102" t="str">
        <f>IFERROR(__xludf.DUMMYFUNCTION("""COMPUTED_VALUE"""),"Daedalus")</f>
        <v>Daedalus</v>
      </c>
      <c r="B175" s="102" t="str">
        <f>IFERROR(__xludf.DUMMYFUNCTION("""COMPUTED_VALUE"""),"Shotgun")</f>
        <v>Shotgun</v>
      </c>
      <c r="C175" s="103">
        <f>IFERROR(__xludf.DUMMYFUNCTION("""COMPUTED_VALUE"""),23.0)</f>
        <v>23</v>
      </c>
      <c r="D175" s="102" t="str">
        <f>IFERROR(__xludf.DUMMYFUNCTION("""COMPUTED_VALUE"""),"Scope")</f>
        <v>Scope</v>
      </c>
      <c r="E175" s="102" t="str">
        <f>IFERROR(__xludf.DUMMYFUNCTION("""COMPUTED_VALUE"""),"DAD_SG.part_scope_ironsight")</f>
        <v>DAD_SG.part_scope_ironsight</v>
      </c>
      <c r="F175" s="102"/>
      <c r="G175" s="102" t="str">
        <f>IFERROR(__xludf.DUMMYFUNCTION("""COMPUTED_VALUE"""),"ADS")</f>
        <v>ADS</v>
      </c>
      <c r="H175" s="102"/>
      <c r="I175" s="102"/>
      <c r="J175" s="102"/>
      <c r="K175" s="102"/>
      <c r="L175" s="102"/>
    </row>
    <row r="176">
      <c r="A176" s="102" t="str">
        <f>IFERROR(__xludf.DUMMYFUNCTION("""COMPUTED_VALUE"""),"Daedalus")</f>
        <v>Daedalus</v>
      </c>
      <c r="B176" s="102" t="str">
        <f>IFERROR(__xludf.DUMMYFUNCTION("""COMPUTED_VALUE"""),"Shotgun")</f>
        <v>Shotgun</v>
      </c>
      <c r="C176" s="103">
        <f>IFERROR(__xludf.DUMMYFUNCTION("""COMPUTED_VALUE"""),24.0)</f>
        <v>24</v>
      </c>
      <c r="D176" s="102" t="str">
        <f>IFERROR(__xludf.DUMMYFUNCTION("""COMPUTED_VALUE"""),"Scope")</f>
        <v>Scope</v>
      </c>
      <c r="E176" s="102" t="str">
        <f>IFERROR(__xludf.DUMMYFUNCTION("""COMPUTED_VALUE"""),"DAD_SG.part_scope_01_lens_01")</f>
        <v>DAD_SG.part_scope_01_lens_01</v>
      </c>
      <c r="F176" s="102"/>
      <c r="G176" s="102" t="str">
        <f>IFERROR(__xludf.DUMMYFUNCTION("""COMPUTED_VALUE"""),"ADS +Zoom")</f>
        <v>ADS +Zoom</v>
      </c>
      <c r="H176" s="102"/>
      <c r="I176" s="102"/>
      <c r="J176" s="102"/>
      <c r="K176" s="102"/>
      <c r="L176" s="102"/>
    </row>
    <row r="177">
      <c r="A177" s="102" t="str">
        <f>IFERROR(__xludf.DUMMYFUNCTION("""COMPUTED_VALUE"""),"Daedalus")</f>
        <v>Daedalus</v>
      </c>
      <c r="B177" s="102" t="str">
        <f>IFERROR(__xludf.DUMMYFUNCTION("""COMPUTED_VALUE"""),"Shotgun")</f>
        <v>Shotgun</v>
      </c>
      <c r="C177" s="103">
        <f>IFERROR(__xludf.DUMMYFUNCTION("""COMPUTED_VALUE"""),25.0)</f>
        <v>25</v>
      </c>
      <c r="D177" s="102" t="str">
        <f>IFERROR(__xludf.DUMMYFUNCTION("""COMPUTED_VALUE"""),"Scope")</f>
        <v>Scope</v>
      </c>
      <c r="E177" s="102" t="str">
        <f>IFERROR(__xludf.DUMMYFUNCTION("""COMPUTED_VALUE"""),"DAD_SG.part_scope_01_lens_02")</f>
        <v>DAD_SG.part_scope_01_lens_02</v>
      </c>
      <c r="F177" s="102"/>
      <c r="G177" s="102" t="str">
        <f>IFERROR(__xludf.DUMMYFUNCTION("""COMPUTED_VALUE"""),"ADS +Zoom")</f>
        <v>ADS +Zoom</v>
      </c>
      <c r="H177" s="102"/>
      <c r="I177" s="102"/>
      <c r="J177" s="102"/>
      <c r="K177" s="102"/>
      <c r="L177" s="102"/>
    </row>
    <row r="178">
      <c r="A178" s="102" t="str">
        <f>IFERROR(__xludf.DUMMYFUNCTION("""COMPUTED_VALUE"""),"Daedalus")</f>
        <v>Daedalus</v>
      </c>
      <c r="B178" s="102" t="str">
        <f>IFERROR(__xludf.DUMMYFUNCTION("""COMPUTED_VALUE"""),"Shotgun")</f>
        <v>Shotgun</v>
      </c>
      <c r="C178" s="103">
        <f>IFERROR(__xludf.DUMMYFUNCTION("""COMPUTED_VALUE"""),26.0)</f>
        <v>26</v>
      </c>
      <c r="D178" s="102" t="str">
        <f>IFERROR(__xludf.DUMMYFUNCTION("""COMPUTED_VALUE"""),"Scope")</f>
        <v>Scope</v>
      </c>
      <c r="E178" s="102" t="str">
        <f>IFERROR(__xludf.DUMMYFUNCTION("""COMPUTED_VALUE"""),"DAD_SG.part_scope_02_lens_01")</f>
        <v>DAD_SG.part_scope_02_lens_01</v>
      </c>
      <c r="F178" s="102"/>
      <c r="G178" s="102" t="str">
        <f>IFERROR(__xludf.DUMMYFUNCTION("""COMPUTED_VALUE"""),"ADS ++Zoom")</f>
        <v>ADS ++Zoom</v>
      </c>
      <c r="H178" s="102"/>
      <c r="I178" s="102"/>
      <c r="J178" s="102"/>
      <c r="K178" s="102"/>
      <c r="L178" s="102"/>
    </row>
    <row r="179">
      <c r="A179" s="102" t="str">
        <f>IFERROR(__xludf.DUMMYFUNCTION("""COMPUTED_VALUE"""),"Daedalus")</f>
        <v>Daedalus</v>
      </c>
      <c r="B179" s="102" t="str">
        <f>IFERROR(__xludf.DUMMYFUNCTION("""COMPUTED_VALUE"""),"Shotgun")</f>
        <v>Shotgun</v>
      </c>
      <c r="C179" s="103">
        <f>IFERROR(__xludf.DUMMYFUNCTION("""COMPUTED_VALUE"""),27.0)</f>
        <v>27</v>
      </c>
      <c r="D179" s="102" t="str">
        <f>IFERROR(__xludf.DUMMYFUNCTION("""COMPUTED_VALUE"""),"Scope")</f>
        <v>Scope</v>
      </c>
      <c r="E179" s="102" t="str">
        <f>IFERROR(__xludf.DUMMYFUNCTION("""COMPUTED_VALUE"""),"DAD_SG.part_scope_02_lens_02")</f>
        <v>DAD_SG.part_scope_02_lens_02</v>
      </c>
      <c r="F179" s="102"/>
      <c r="G179" s="102" t="str">
        <f>IFERROR(__xludf.DUMMYFUNCTION("""COMPUTED_VALUE"""),"ADS +++Zoom")</f>
        <v>ADS +++Zoom</v>
      </c>
      <c r="H179" s="102"/>
      <c r="I179" s="102"/>
      <c r="J179" s="102"/>
      <c r="K179" s="102"/>
      <c r="L179" s="102"/>
    </row>
    <row r="180">
      <c r="A180" s="102" t="str">
        <f>IFERROR(__xludf.DUMMYFUNCTION("""COMPUTED_VALUE"""),"Daedalus")</f>
        <v>Daedalus</v>
      </c>
      <c r="B180" s="102" t="str">
        <f>IFERROR(__xludf.DUMMYFUNCTION("""COMPUTED_VALUE"""),"Shotgun")</f>
        <v>Shotgun</v>
      </c>
      <c r="C180" s="103">
        <f>IFERROR(__xludf.DUMMYFUNCTION("""COMPUTED_VALUE"""),28.0)</f>
        <v>28</v>
      </c>
      <c r="D180" s="102" t="str">
        <f>IFERROR(__xludf.DUMMYFUNCTION("""COMPUTED_VALUE"""),"Scope Accessory")</f>
        <v>Scope Accessory</v>
      </c>
      <c r="E180" s="102" t="str">
        <f>IFERROR(__xludf.DUMMYFUNCTION("""COMPUTED_VALUE"""),"DAD_SG.part_scope_acc_s01_l01_a")</f>
        <v>DAD_SG.part_scope_acc_s01_l01_a</v>
      </c>
      <c r="F180" s="102"/>
      <c r="G180" s="102" t="str">
        <f>IFERROR(__xludf.DUMMYFUNCTION("""COMPUTED_VALUE"""),"+Damage")</f>
        <v>+Damage</v>
      </c>
      <c r="H180" s="102" t="str">
        <f>IFERROR(__xludf.DUMMYFUNCTION("""COMPUTED_VALUE"""),"HUD Elements")</f>
        <v>HUD Elements</v>
      </c>
      <c r="I180" s="102"/>
      <c r="J180" s="102"/>
      <c r="K180" s="102"/>
      <c r="L180" s="102"/>
    </row>
    <row r="181">
      <c r="A181" s="102" t="str">
        <f>IFERROR(__xludf.DUMMYFUNCTION("""COMPUTED_VALUE"""),"Daedalus")</f>
        <v>Daedalus</v>
      </c>
      <c r="B181" s="102" t="str">
        <f>IFERROR(__xludf.DUMMYFUNCTION("""COMPUTED_VALUE"""),"Shotgun")</f>
        <v>Shotgun</v>
      </c>
      <c r="C181" s="103">
        <f>IFERROR(__xludf.DUMMYFUNCTION("""COMPUTED_VALUE"""),29.0)</f>
        <v>29</v>
      </c>
      <c r="D181" s="102" t="str">
        <f>IFERROR(__xludf.DUMMYFUNCTION("""COMPUTED_VALUE"""),"Scope Accessory")</f>
        <v>Scope Accessory</v>
      </c>
      <c r="E181" s="102" t="str">
        <f>IFERROR(__xludf.DUMMYFUNCTION("""COMPUTED_VALUE"""),"DAD_SG.part_scope_acc_s01_l01_b")</f>
        <v>DAD_SG.part_scope_acc_s01_l01_b</v>
      </c>
      <c r="F181" s="102"/>
      <c r="G181" s="102" t="str">
        <f>IFERROR(__xludf.DUMMYFUNCTION("""COMPUTED_VALUE"""),"-Reload Speed")</f>
        <v>-Reload Speed</v>
      </c>
      <c r="H181" s="102" t="str">
        <f>IFERROR(__xludf.DUMMYFUNCTION("""COMPUTED_VALUE"""),"Distance")</f>
        <v>Distance</v>
      </c>
      <c r="I181" s="102"/>
      <c r="J181" s="102"/>
      <c r="K181" s="102"/>
      <c r="L181" s="102"/>
    </row>
    <row r="182">
      <c r="A182" s="102" t="str">
        <f>IFERROR(__xludf.DUMMYFUNCTION("""COMPUTED_VALUE"""),"Daedalus")</f>
        <v>Daedalus</v>
      </c>
      <c r="B182" s="102" t="str">
        <f>IFERROR(__xludf.DUMMYFUNCTION("""COMPUTED_VALUE"""),"Shotgun")</f>
        <v>Shotgun</v>
      </c>
      <c r="C182" s="103">
        <f>IFERROR(__xludf.DUMMYFUNCTION("""COMPUTED_VALUE"""),30.0)</f>
        <v>30</v>
      </c>
      <c r="D182" s="102" t="str">
        <f>IFERROR(__xludf.DUMMYFUNCTION("""COMPUTED_VALUE"""),"Scope Accessory")</f>
        <v>Scope Accessory</v>
      </c>
      <c r="E182" s="102" t="str">
        <f>IFERROR(__xludf.DUMMYFUNCTION("""COMPUTED_VALUE"""),"DAD_SG.part_scope_acc_s02_l01_a")</f>
        <v>DAD_SG.part_scope_acc_s02_l01_a</v>
      </c>
      <c r="F182" s="102"/>
      <c r="G182" s="102" t="str">
        <f>IFERROR(__xludf.DUMMYFUNCTION("""COMPUTED_VALUE"""),"No Stat Changes")</f>
        <v>No Stat Changes</v>
      </c>
      <c r="H182" s="102" t="str">
        <f>IFERROR(__xludf.DUMMYFUNCTION("""COMPUTED_VALUE"""),"HUD Elements")</f>
        <v>HUD Elements</v>
      </c>
      <c r="I182" s="102"/>
      <c r="J182" s="102"/>
      <c r="K182" s="102"/>
      <c r="L182" s="102"/>
    </row>
    <row r="183">
      <c r="A183" s="102" t="str">
        <f>IFERROR(__xludf.DUMMYFUNCTION("""COMPUTED_VALUE"""),"Daedalus")</f>
        <v>Daedalus</v>
      </c>
      <c r="B183" s="102" t="str">
        <f>IFERROR(__xludf.DUMMYFUNCTION("""COMPUTED_VALUE"""),"Shotgun")</f>
        <v>Shotgun</v>
      </c>
      <c r="C183" s="103">
        <f>IFERROR(__xludf.DUMMYFUNCTION("""COMPUTED_VALUE"""),31.0)</f>
        <v>31</v>
      </c>
      <c r="D183" s="102" t="str">
        <f>IFERROR(__xludf.DUMMYFUNCTION("""COMPUTED_VALUE"""),"Scope Accessory")</f>
        <v>Scope Accessory</v>
      </c>
      <c r="E183" s="102" t="str">
        <f>IFERROR(__xludf.DUMMYFUNCTION("""COMPUTED_VALUE"""),"DAD_SG.part_scope_acc_s02_l01_b")</f>
        <v>DAD_SG.part_scope_acc_s02_l01_b</v>
      </c>
      <c r="F183" s="102"/>
      <c r="G183" s="102" t="str">
        <f>IFERROR(__xludf.DUMMYFUNCTION("""COMPUTED_VALUE"""),"+Crit Damage")</f>
        <v>+Crit Damage</v>
      </c>
      <c r="H183" s="102" t="str">
        <f>IFERROR(__xludf.DUMMYFUNCTION("""COMPUTED_VALUE"""),"Zoom Scale")</f>
        <v>Zoom Scale</v>
      </c>
      <c r="I183" s="102"/>
      <c r="J183" s="102"/>
      <c r="K183" s="102"/>
      <c r="L183" s="102"/>
    </row>
    <row r="184">
      <c r="A184" s="102" t="str">
        <f>IFERROR(__xludf.DUMMYFUNCTION("""COMPUTED_VALUE"""),"Daedalus")</f>
        <v>Daedalus</v>
      </c>
      <c r="B184" s="102" t="str">
        <f>IFERROR(__xludf.DUMMYFUNCTION("""COMPUTED_VALUE"""),"Shotgun")</f>
        <v>Shotgun</v>
      </c>
      <c r="C184" s="103">
        <f>IFERROR(__xludf.DUMMYFUNCTION("""COMPUTED_VALUE"""),32.0)</f>
        <v>32</v>
      </c>
      <c r="D184" s="102" t="str">
        <f>IFERROR(__xludf.DUMMYFUNCTION("""COMPUTED_VALUE"""),"Scope Accessory")</f>
        <v>Scope Accessory</v>
      </c>
      <c r="E184" s="102" t="str">
        <f>IFERROR(__xludf.DUMMYFUNCTION("""COMPUTED_VALUE"""),"DAD_SG.part_scope_acc_s01_l02_a")</f>
        <v>DAD_SG.part_scope_acc_s01_l02_a</v>
      </c>
      <c r="F184" s="102"/>
      <c r="G184" s="102" t="str">
        <f>IFERROR(__xludf.DUMMYFUNCTION("""COMPUTED_VALUE"""),"+Damage")</f>
        <v>+Damage</v>
      </c>
      <c r="H184" s="102" t="str">
        <f>IFERROR(__xludf.DUMMYFUNCTION("""COMPUTED_VALUE"""),"Mag Counter")</f>
        <v>Mag Counter</v>
      </c>
      <c r="I184" s="102"/>
      <c r="J184" s="102"/>
      <c r="K184" s="102"/>
      <c r="L184" s="102"/>
    </row>
    <row r="185">
      <c r="A185" s="102" t="str">
        <f>IFERROR(__xludf.DUMMYFUNCTION("""COMPUTED_VALUE"""),"Daedalus")</f>
        <v>Daedalus</v>
      </c>
      <c r="B185" s="102" t="str">
        <f>IFERROR(__xludf.DUMMYFUNCTION("""COMPUTED_VALUE"""),"Shotgun")</f>
        <v>Shotgun</v>
      </c>
      <c r="C185" s="103">
        <f>IFERROR(__xludf.DUMMYFUNCTION("""COMPUTED_VALUE"""),33.0)</f>
        <v>33</v>
      </c>
      <c r="D185" s="102" t="str">
        <f>IFERROR(__xludf.DUMMYFUNCTION("""COMPUTED_VALUE"""),"Scope Accessory")</f>
        <v>Scope Accessory</v>
      </c>
      <c r="E185" s="102" t="str">
        <f>IFERROR(__xludf.DUMMYFUNCTION("""COMPUTED_VALUE"""),"DAD_SG.part_scope_acc_s01_l02_b")</f>
        <v>DAD_SG.part_scope_acc_s01_l02_b</v>
      </c>
      <c r="F185" s="102"/>
      <c r="G185" s="102" t="str">
        <f>IFERROR(__xludf.DUMMYFUNCTION("""COMPUTED_VALUE"""),"-Reload Speed")</f>
        <v>-Reload Speed</v>
      </c>
      <c r="H185" s="102" t="str">
        <f>IFERROR(__xludf.DUMMYFUNCTION("""COMPUTED_VALUE"""),"Ammo Type, Compass")</f>
        <v>Ammo Type, Compass</v>
      </c>
      <c r="I185" s="102"/>
      <c r="J185" s="102"/>
      <c r="K185" s="102"/>
      <c r="L185" s="102"/>
    </row>
    <row r="186">
      <c r="A186" s="102" t="str">
        <f>IFERROR(__xludf.DUMMYFUNCTION("""COMPUTED_VALUE"""),"Daedalus")</f>
        <v>Daedalus</v>
      </c>
      <c r="B186" s="102" t="str">
        <f>IFERROR(__xludf.DUMMYFUNCTION("""COMPUTED_VALUE"""),"Shotgun")</f>
        <v>Shotgun</v>
      </c>
      <c r="C186" s="103">
        <f>IFERROR(__xludf.DUMMYFUNCTION("""COMPUTED_VALUE"""),34.0)</f>
        <v>34</v>
      </c>
      <c r="D186" s="102" t="str">
        <f>IFERROR(__xludf.DUMMYFUNCTION("""COMPUTED_VALUE"""),"Scope Accessory")</f>
        <v>Scope Accessory</v>
      </c>
      <c r="E186" s="102" t="str">
        <f>IFERROR(__xludf.DUMMYFUNCTION("""COMPUTED_VALUE"""),"DAD_SG.part_scope_acc_s02_l02_a")</f>
        <v>DAD_SG.part_scope_acc_s02_l02_a</v>
      </c>
      <c r="F186" s="102"/>
      <c r="G186" s="102" t="str">
        <f>IFERROR(__xludf.DUMMYFUNCTION("""COMPUTED_VALUE"""),"No Stat Changes")</f>
        <v>No Stat Changes</v>
      </c>
      <c r="H186" s="102" t="str">
        <f>IFERROR(__xludf.DUMMYFUNCTION("""COMPUTED_VALUE"""),"HUD Elements")</f>
        <v>HUD Elements</v>
      </c>
      <c r="I186" s="102"/>
      <c r="J186" s="102"/>
      <c r="K186" s="102"/>
      <c r="L186" s="102"/>
    </row>
    <row r="187">
      <c r="A187" s="102" t="str">
        <f>IFERROR(__xludf.DUMMYFUNCTION("""COMPUTED_VALUE"""),"Daedalus")</f>
        <v>Daedalus</v>
      </c>
      <c r="B187" s="102" t="str">
        <f>IFERROR(__xludf.DUMMYFUNCTION("""COMPUTED_VALUE"""),"Shotgun")</f>
        <v>Shotgun</v>
      </c>
      <c r="C187" s="103">
        <f>IFERROR(__xludf.DUMMYFUNCTION("""COMPUTED_VALUE"""),35.0)</f>
        <v>35</v>
      </c>
      <c r="D187" s="102" t="str">
        <f>IFERROR(__xludf.DUMMYFUNCTION("""COMPUTED_VALUE"""),"Scope Accessory")</f>
        <v>Scope Accessory</v>
      </c>
      <c r="E187" s="102" t="str">
        <f>IFERROR(__xludf.DUMMYFUNCTION("""COMPUTED_VALUE"""),"DAD_SG.part_scope_acc_s02_l02_b")</f>
        <v>DAD_SG.part_scope_acc_s02_l02_b</v>
      </c>
      <c r="F187" s="102"/>
      <c r="G187" s="102" t="str">
        <f>IFERROR(__xludf.DUMMYFUNCTION("""COMPUTED_VALUE"""),"+Crit Damage")</f>
        <v>+Crit Damage</v>
      </c>
      <c r="H187" s="102" t="str">
        <f>IFERROR(__xludf.DUMMYFUNCTION("""COMPUTED_VALUE"""),"Mag Counter, Distance")</f>
        <v>Mag Counter, Distance</v>
      </c>
      <c r="I187" s="102"/>
      <c r="J187" s="102"/>
      <c r="K187" s="102"/>
      <c r="L187" s="102"/>
    </row>
    <row r="188">
      <c r="A188" s="102" t="str">
        <f>IFERROR(__xludf.DUMMYFUNCTION("""COMPUTED_VALUE"""),"Daedalus")</f>
        <v>Daedalus</v>
      </c>
      <c r="B188" s="102" t="str">
        <f>IFERROR(__xludf.DUMMYFUNCTION("""COMPUTED_VALUE"""),"Shotgun")</f>
        <v>Shotgun</v>
      </c>
      <c r="C188" s="103">
        <f>IFERROR(__xludf.DUMMYFUNCTION("""COMPUTED_VALUE"""),36.0)</f>
        <v>36</v>
      </c>
      <c r="D188" s="102" t="str">
        <f>IFERROR(__xludf.DUMMYFUNCTION("""COMPUTED_VALUE"""),"Grip")</f>
        <v>Grip</v>
      </c>
      <c r="E188" s="102" t="str">
        <f>IFERROR(__xludf.DUMMYFUNCTION("""COMPUTED_VALUE"""),"DAD_SG.part_grip_05a_ted_legs")</f>
        <v>DAD_SG.part_grip_05a_ted_legs</v>
      </c>
      <c r="F188" s="102"/>
      <c r="G188" s="102" t="str">
        <f>IFERROR(__xludf.DUMMYFUNCTION("""COMPUTED_VALUE"""),"Tediore reload modifier: Legs, no stat changes")</f>
        <v>Tediore reload modifier: Legs, no stat changes</v>
      </c>
      <c r="H188" s="102"/>
      <c r="I188" s="102"/>
      <c r="J188" s="102"/>
      <c r="K188" s="102"/>
      <c r="L188" s="102"/>
    </row>
    <row r="189">
      <c r="A189" s="102" t="str">
        <f>IFERROR(__xludf.DUMMYFUNCTION("""COMPUTED_VALUE"""),"Daedalus")</f>
        <v>Daedalus</v>
      </c>
      <c r="B189" s="102" t="str">
        <f>IFERROR(__xludf.DUMMYFUNCTION("""COMPUTED_VALUE"""),"Shotgun")</f>
        <v>Shotgun</v>
      </c>
      <c r="C189" s="103">
        <f>IFERROR(__xludf.DUMMYFUNCTION("""COMPUTED_VALUE"""),37.0)</f>
        <v>37</v>
      </c>
      <c r="D189" s="102" t="str">
        <f>IFERROR(__xludf.DUMMYFUNCTION("""COMPUTED_VALUE"""),"Grip")</f>
        <v>Grip</v>
      </c>
      <c r="E189" s="102" t="str">
        <f>IFERROR(__xludf.DUMMYFUNCTION("""COMPUTED_VALUE"""),"DAD_SG.part_grip_05c_ted_jav")</f>
        <v>DAD_SG.part_grip_05c_ted_jav</v>
      </c>
      <c r="F189" s="102"/>
      <c r="G189" s="102" t="str">
        <f>IFERROR(__xludf.DUMMYFUNCTION("""COMPUTED_VALUE"""),"Tediore reload modifier: Javelin, no stat changes")</f>
        <v>Tediore reload modifier: Javelin, no stat changes</v>
      </c>
      <c r="H189" s="102"/>
      <c r="I189" s="102"/>
      <c r="J189" s="102"/>
      <c r="K189" s="102"/>
      <c r="L189" s="102"/>
    </row>
    <row r="190">
      <c r="A190" s="102" t="str">
        <f>IFERROR(__xludf.DUMMYFUNCTION("""COMPUTED_VALUE"""),"Daedalus")</f>
        <v>Daedalus</v>
      </c>
      <c r="B190" s="102" t="str">
        <f>IFERROR(__xludf.DUMMYFUNCTION("""COMPUTED_VALUE"""),"Shotgun")</f>
        <v>Shotgun</v>
      </c>
      <c r="C190" s="103">
        <f>IFERROR(__xludf.DUMMYFUNCTION("""COMPUTED_VALUE"""),38.0)</f>
        <v>38</v>
      </c>
      <c r="D190" s="102" t="str">
        <f>IFERROR(__xludf.DUMMYFUNCTION("""COMPUTED_VALUE"""),"Grip")</f>
        <v>Grip</v>
      </c>
      <c r="E190" s="102" t="str">
        <f>IFERROR(__xludf.DUMMYFUNCTION("""COMPUTED_VALUE"""),"DAD_SG.part_grip_05b_ted_homing")</f>
        <v>DAD_SG.part_grip_05b_ted_homing</v>
      </c>
      <c r="F190" s="102"/>
      <c r="G190" s="102" t="str">
        <f>IFERROR(__xludf.DUMMYFUNCTION("""COMPUTED_VALUE"""),"Tediore reload modifier: Homing, no stat changes")</f>
        <v>Tediore reload modifier: Homing, no stat changes</v>
      </c>
      <c r="H190" s="102"/>
      <c r="I190" s="102"/>
      <c r="J190" s="102"/>
      <c r="K190" s="102"/>
      <c r="L190" s="102"/>
    </row>
    <row r="191">
      <c r="A191" s="102" t="str">
        <f>IFERROR(__xludf.DUMMYFUNCTION("""COMPUTED_VALUE"""),"Daedalus")</f>
        <v>Daedalus</v>
      </c>
      <c r="B191" s="102" t="str">
        <f>IFERROR(__xludf.DUMMYFUNCTION("""COMPUTED_VALUE"""),"Shotgun")</f>
        <v>Shotgun</v>
      </c>
      <c r="C191" s="103">
        <f>IFERROR(__xludf.DUMMYFUNCTION("""COMPUTED_VALUE"""),39.0)</f>
        <v>39</v>
      </c>
      <c r="D191" s="102" t="str">
        <f>IFERROR(__xludf.DUMMYFUNCTION("""COMPUTED_VALUE"""),"Grip")</f>
        <v>Grip</v>
      </c>
      <c r="E191" s="102" t="str">
        <f>IFERROR(__xludf.DUMMYFUNCTION("""COMPUTED_VALUE"""),"DAD_SG.part_grip_01")</f>
        <v>DAD_SG.part_grip_01</v>
      </c>
      <c r="F191" s="102"/>
      <c r="G191" s="102" t="str">
        <f>IFERROR(__xludf.DUMMYFUNCTION("""COMPUTED_VALUE"""),"+Damage")</f>
        <v>+Damage</v>
      </c>
      <c r="H191" s="102"/>
      <c r="I191" s="102"/>
      <c r="J191" s="102"/>
      <c r="K191" s="102"/>
      <c r="L191" s="102"/>
    </row>
    <row r="192">
      <c r="A192" s="102" t="str">
        <f>IFERROR(__xludf.DUMMYFUNCTION("""COMPUTED_VALUE"""),"Daedalus")</f>
        <v>Daedalus</v>
      </c>
      <c r="B192" s="102" t="str">
        <f>IFERROR(__xludf.DUMMYFUNCTION("""COMPUTED_VALUE"""),"Shotgun")</f>
        <v>Shotgun</v>
      </c>
      <c r="C192" s="103">
        <f>IFERROR(__xludf.DUMMYFUNCTION("""COMPUTED_VALUE"""),40.0)</f>
        <v>40</v>
      </c>
      <c r="D192" s="102" t="str">
        <f>IFERROR(__xludf.DUMMYFUNCTION("""COMPUTED_VALUE"""),"Grip")</f>
        <v>Grip</v>
      </c>
      <c r="E192" s="102" t="str">
        <f>IFERROR(__xludf.DUMMYFUNCTION("""COMPUTED_VALUE"""),"DAD_SG.part_grip_02")</f>
        <v>DAD_SG.part_grip_02</v>
      </c>
      <c r="F192" s="102"/>
      <c r="G192" s="102" t="str">
        <f>IFERROR(__xludf.DUMMYFUNCTION("""COMPUTED_VALUE"""),"+Fire Rate")</f>
        <v>+Fire Rate</v>
      </c>
      <c r="H192" s="102"/>
      <c r="I192" s="102"/>
      <c r="J192" s="102"/>
      <c r="K192" s="102"/>
      <c r="L192" s="102"/>
    </row>
    <row r="193">
      <c r="A193" s="102" t="str">
        <f>IFERROR(__xludf.DUMMYFUNCTION("""COMPUTED_VALUE"""),"Daedalus")</f>
        <v>Daedalus</v>
      </c>
      <c r="B193" s="102" t="str">
        <f>IFERROR(__xludf.DUMMYFUNCTION("""COMPUTED_VALUE"""),"Shotgun")</f>
        <v>Shotgun</v>
      </c>
      <c r="C193" s="103">
        <f>IFERROR(__xludf.DUMMYFUNCTION("""COMPUTED_VALUE"""),41.0)</f>
        <v>41</v>
      </c>
      <c r="D193" s="102" t="str">
        <f>IFERROR(__xludf.DUMMYFUNCTION("""COMPUTED_VALUE"""),"Grip")</f>
        <v>Grip</v>
      </c>
      <c r="E193" s="102" t="str">
        <f>IFERROR(__xludf.DUMMYFUNCTION("""COMPUTED_VALUE"""),"DAD_SG.part_grip_03")</f>
        <v>DAD_SG.part_grip_03</v>
      </c>
      <c r="F193" s="102"/>
      <c r="G193" s="102" t="str">
        <f>IFERROR(__xludf.DUMMYFUNCTION("""COMPUTED_VALUE"""),"-Reload Speed")</f>
        <v>-Reload Speed</v>
      </c>
      <c r="H193" s="102"/>
      <c r="I193" s="102"/>
      <c r="J193" s="102"/>
      <c r="K193" s="102"/>
      <c r="L193" s="102"/>
    </row>
    <row r="194">
      <c r="A194" s="102" t="str">
        <f>IFERROR(__xludf.DUMMYFUNCTION("""COMPUTED_VALUE"""),"Daedalus")</f>
        <v>Daedalus</v>
      </c>
      <c r="B194" s="102" t="str">
        <f>IFERROR(__xludf.DUMMYFUNCTION("""COMPUTED_VALUE"""),"Shotgun")</f>
        <v>Shotgun</v>
      </c>
      <c r="C194" s="103">
        <f>IFERROR(__xludf.DUMMYFUNCTION("""COMPUTED_VALUE"""),42.0)</f>
        <v>42</v>
      </c>
      <c r="D194" s="102" t="str">
        <f>IFERROR(__xludf.DUMMYFUNCTION("""COMPUTED_VALUE"""),"Grip")</f>
        <v>Grip</v>
      </c>
      <c r="E194" s="102" t="str">
        <f>IFERROR(__xludf.DUMMYFUNCTION("""COMPUTED_VALUE"""),"DAD_SG.part_grip_04_hyp")</f>
        <v>DAD_SG.part_grip_04_hyp</v>
      </c>
      <c r="F194" s="102"/>
      <c r="G194" s="102" t="str">
        <f>IFERROR(__xludf.DUMMYFUNCTION("""COMPUTED_VALUE"""),"Hyperion Grip, -Acc, Acc increases with continuous fire")</f>
        <v>Hyperion Grip, -Acc, Acc increases with continuous fire</v>
      </c>
      <c r="H194" s="102"/>
      <c r="I194" s="102"/>
      <c r="J194" s="102"/>
      <c r="K194" s="102"/>
      <c r="L194" s="102"/>
    </row>
    <row r="195">
      <c r="A195" s="102" t="str">
        <f>IFERROR(__xludf.DUMMYFUNCTION("""COMPUTED_VALUE"""),"Daedalus")</f>
        <v>Daedalus</v>
      </c>
      <c r="B195" s="102" t="str">
        <f>IFERROR(__xludf.DUMMYFUNCTION("""COMPUTED_VALUE"""),"Shotgun")</f>
        <v>Shotgun</v>
      </c>
      <c r="C195" s="103">
        <f>IFERROR(__xludf.DUMMYFUNCTION("""COMPUTED_VALUE"""),43.0)</f>
        <v>43</v>
      </c>
      <c r="D195" s="102" t="str">
        <f>IFERROR(__xludf.DUMMYFUNCTION("""COMPUTED_VALUE"""),"Underbarrel")</f>
        <v>Underbarrel</v>
      </c>
      <c r="E195" s="102" t="str">
        <f>IFERROR(__xludf.DUMMYFUNCTION("""COMPUTED_VALUE"""),"DAD_SG.part_underbarrel_02_singularity")</f>
        <v>DAD_SG.part_underbarrel_02_singularity</v>
      </c>
      <c r="F195" s="102"/>
      <c r="G195" s="102" t="str">
        <f>IFERROR(__xludf.DUMMYFUNCTION("""COMPUTED_VALUE"""),"Alt Fire - Gravity Harpoon")</f>
        <v>Alt Fire - Gravity Harpoon</v>
      </c>
      <c r="H195" s="102" t="str">
        <f>IFERROR(__xludf.DUMMYFUNCTION("""COMPUTED_VALUE"""),"Fires a Harpoon that deals XXX Damage")</f>
        <v>Fires a Harpoon that deals XXX Damage</v>
      </c>
      <c r="I195" s="102"/>
      <c r="J195" s="102"/>
      <c r="K195" s="102"/>
      <c r="L195" s="102"/>
    </row>
    <row r="196">
      <c r="A196" s="102" t="str">
        <f>IFERROR(__xludf.DUMMYFUNCTION("""COMPUTED_VALUE"""),"Daedalus")</f>
        <v>Daedalus</v>
      </c>
      <c r="B196" s="102" t="str">
        <f>IFERROR(__xludf.DUMMYFUNCTION("""COMPUTED_VALUE"""),"Shotgun")</f>
        <v>Shotgun</v>
      </c>
      <c r="C196" s="103">
        <f>IFERROR(__xludf.DUMMYFUNCTION("""COMPUTED_VALUE"""),44.0)</f>
        <v>44</v>
      </c>
      <c r="D196" s="102" t="str">
        <f>IFERROR(__xludf.DUMMYFUNCTION("""COMPUTED_VALUE"""),"Underbarrel")</f>
        <v>Underbarrel</v>
      </c>
      <c r="E196" s="102" t="str">
        <f>IFERROR(__xludf.DUMMYFUNCTION("""COMPUTED_VALUE"""),"DAD_SG.part_underbarrel_06_malswitch")</f>
        <v>DAD_SG.part_underbarrel_06_malswitch</v>
      </c>
      <c r="F196" s="102"/>
      <c r="G196" s="102" t="str">
        <f>IFERROR(__xludf.DUMMYFUNCTION("""COMPUTED_VALUE"""),"Maliwan Element Switch")</f>
        <v>Maliwan Element Switch</v>
      </c>
      <c r="H196" s="102" t="str">
        <f>IFERROR(__xludf.DUMMYFUNCTION("""COMPUTED_VALUE"""),"Used for Maliwan elemental switch")</f>
        <v>Used for Maliwan elemental switch</v>
      </c>
      <c r="I196" s="102"/>
      <c r="J196" s="102"/>
      <c r="K196" s="102"/>
      <c r="L196" s="102"/>
    </row>
    <row r="197">
      <c r="A197" s="102" t="str">
        <f>IFERROR(__xludf.DUMMYFUNCTION("""COMPUTED_VALUE"""),"Daedalus")</f>
        <v>Daedalus</v>
      </c>
      <c r="B197" s="102" t="str">
        <f>IFERROR(__xludf.DUMMYFUNCTION("""COMPUTED_VALUE"""),"Shotgun")</f>
        <v>Shotgun</v>
      </c>
      <c r="C197" s="103">
        <f>IFERROR(__xludf.DUMMYFUNCTION("""COMPUTED_VALUE"""),45.0)</f>
        <v>45</v>
      </c>
      <c r="D197" s="102" t="str">
        <f>IFERROR(__xludf.DUMMYFUNCTION("""COMPUTED_VALUE"""),"Underbarrel")</f>
        <v>Underbarrel</v>
      </c>
      <c r="E197" s="102" t="str">
        <f>IFERROR(__xludf.DUMMYFUNCTION("""COMPUTED_VALUE"""),"DAD_SG.part_underbarrel_01_microrocket")</f>
        <v>DAD_SG.part_underbarrel_01_microrocket</v>
      </c>
      <c r="F197" s="102"/>
      <c r="G197" s="102" t="str">
        <f>IFERROR(__xludf.DUMMYFUNCTION("""COMPUTED_VALUE"""),"Alt Fire - Micro-Rocket POD")</f>
        <v>Alt Fire - Micro-Rocket POD</v>
      </c>
      <c r="H197" s="102"/>
      <c r="I197" s="102"/>
      <c r="J197" s="102"/>
      <c r="K197" s="102"/>
      <c r="L197" s="102"/>
    </row>
    <row r="198">
      <c r="A198" s="102" t="str">
        <f>IFERROR(__xludf.DUMMYFUNCTION("""COMPUTED_VALUE"""),"Daedalus")</f>
        <v>Daedalus</v>
      </c>
      <c r="B198" s="102" t="str">
        <f>IFERROR(__xludf.DUMMYFUNCTION("""COMPUTED_VALUE"""),"Shotgun")</f>
        <v>Shotgun</v>
      </c>
      <c r="C198" s="103">
        <f>IFERROR(__xludf.DUMMYFUNCTION("""COMPUTED_VALUE"""),46.0)</f>
        <v>46</v>
      </c>
      <c r="D198" s="102" t="str">
        <f>IFERROR(__xludf.DUMMYFUNCTION("""COMPUTED_VALUE"""),"Underbarrel")</f>
        <v>Underbarrel</v>
      </c>
      <c r="E198" s="102" t="str">
        <f>IFERROR(__xludf.DUMMYFUNCTION("""COMPUTED_VALUE"""),"DAD_SG.part_underbarrel_04_atlas")</f>
        <v>DAD_SG.part_underbarrel_04_atlas</v>
      </c>
      <c r="F198" s="102"/>
      <c r="G198" s="102" t="str">
        <f>IFERROR(__xludf.DUMMYFUNCTION("""COMPUTED_VALUE"""),"Atlas Tracker Darts")</f>
        <v>Atlas Tracker Darts</v>
      </c>
      <c r="H198" s="102"/>
      <c r="I198" s="102"/>
      <c r="J198" s="102"/>
      <c r="K198" s="102"/>
      <c r="L198" s="102"/>
    </row>
    <row r="199">
      <c r="A199" s="102" t="str">
        <f>IFERROR(__xludf.DUMMYFUNCTION("""COMPUTED_VALUE"""),"Daedalus")</f>
        <v>Daedalus</v>
      </c>
      <c r="B199" s="102" t="str">
        <f>IFERROR(__xludf.DUMMYFUNCTION("""COMPUTED_VALUE"""),"Shotgun")</f>
        <v>Shotgun</v>
      </c>
      <c r="C199" s="103">
        <f>IFERROR(__xludf.DUMMYFUNCTION("""COMPUTED_VALUE"""),47.0)</f>
        <v>47</v>
      </c>
      <c r="D199" s="102" t="str">
        <f>IFERROR(__xludf.DUMMYFUNCTION("""COMPUTED_VALUE"""),"Foregrip")</f>
        <v>Foregrip</v>
      </c>
      <c r="E199" s="102" t="str">
        <f>IFERROR(__xludf.DUMMYFUNCTION("""COMPUTED_VALUE"""),"DAD_SG.part_foregrip_01")</f>
        <v>DAD_SG.part_foregrip_01</v>
      </c>
      <c r="F199" s="102"/>
      <c r="G199" s="102" t="str">
        <f>IFERROR(__xludf.DUMMYFUNCTION("""COMPUTED_VALUE"""),"+Damage")</f>
        <v>+Damage</v>
      </c>
      <c r="H199" s="102"/>
      <c r="I199" s="102"/>
      <c r="J199" s="102"/>
      <c r="K199" s="102"/>
      <c r="L199" s="102"/>
    </row>
    <row r="200">
      <c r="A200" s="102" t="str">
        <f>IFERROR(__xludf.DUMMYFUNCTION("""COMPUTED_VALUE"""),"Daedalus")</f>
        <v>Daedalus</v>
      </c>
      <c r="B200" s="102" t="str">
        <f>IFERROR(__xludf.DUMMYFUNCTION("""COMPUTED_VALUE"""),"Shotgun")</f>
        <v>Shotgun</v>
      </c>
      <c r="C200" s="103">
        <f>IFERROR(__xludf.DUMMYFUNCTION("""COMPUTED_VALUE"""),48.0)</f>
        <v>48</v>
      </c>
      <c r="D200" s="102" t="str">
        <f>IFERROR(__xludf.DUMMYFUNCTION("""COMPUTED_VALUE"""),"Foregrip")</f>
        <v>Foregrip</v>
      </c>
      <c r="E200" s="102" t="str">
        <f>IFERROR(__xludf.DUMMYFUNCTION("""COMPUTED_VALUE"""),"DAD_SG.part_foregrip_03")</f>
        <v>DAD_SG.part_foregrip_03</v>
      </c>
      <c r="F200" s="102"/>
      <c r="G200" s="102" t="str">
        <f>IFERROR(__xludf.DUMMYFUNCTION("""COMPUTED_VALUE"""),"+Accuracy")</f>
        <v>+Accuracy</v>
      </c>
      <c r="H200" s="102"/>
      <c r="I200" s="102"/>
      <c r="J200" s="102"/>
      <c r="K200" s="102"/>
      <c r="L200" s="102"/>
    </row>
    <row r="201">
      <c r="A201" s="102" t="str">
        <f>IFERROR(__xludf.DUMMYFUNCTION("""COMPUTED_VALUE"""),"Daedalus")</f>
        <v>Daedalus</v>
      </c>
      <c r="B201" s="102" t="str">
        <f>IFERROR(__xludf.DUMMYFUNCTION("""COMPUTED_VALUE"""),"Shotgun")</f>
        <v>Shotgun</v>
      </c>
      <c r="C201" s="103">
        <f>IFERROR(__xludf.DUMMYFUNCTION("""COMPUTED_VALUE"""),49.0)</f>
        <v>49</v>
      </c>
      <c r="D201" s="102" t="str">
        <f>IFERROR(__xludf.DUMMYFUNCTION("""COMPUTED_VALUE"""),"Foregrip")</f>
        <v>Foregrip</v>
      </c>
      <c r="E201" s="102" t="str">
        <f>IFERROR(__xludf.DUMMYFUNCTION("""COMPUTED_VALUE"""),"DAD_SG.part_foregrip_02")</f>
        <v>DAD_SG.part_foregrip_02</v>
      </c>
      <c r="F201" s="102"/>
      <c r="G201" s="102" t="str">
        <f>IFERROR(__xludf.DUMMYFUNCTION("""COMPUTED_VALUE"""),"+Fire Rate")</f>
        <v>+Fire Rate</v>
      </c>
      <c r="H201" s="102"/>
      <c r="I201" s="102"/>
      <c r="J201" s="102"/>
      <c r="K201" s="102"/>
      <c r="L201" s="102"/>
    </row>
    <row r="202">
      <c r="A202" s="102" t="str">
        <f>IFERROR(__xludf.DUMMYFUNCTION("""COMPUTED_VALUE"""),"Daedalus")</f>
        <v>Daedalus</v>
      </c>
      <c r="B202" s="102" t="str">
        <f>IFERROR(__xludf.DUMMYFUNCTION("""COMPUTED_VALUE"""),"Shotgun")</f>
        <v>Shotgun</v>
      </c>
      <c r="C202" s="103">
        <f>IFERROR(__xludf.DUMMYFUNCTION("""COMPUTED_VALUE"""),50.0)</f>
        <v>50</v>
      </c>
      <c r="D202" s="102" t="str">
        <f>IFERROR(__xludf.DUMMYFUNCTION("""COMPUTED_VALUE"""),"Underbarrel")</f>
        <v>Underbarrel</v>
      </c>
      <c r="E202" s="102" t="str">
        <f>IFERROR(__xludf.DUMMYFUNCTION("""COMPUTED_VALUE"""),"DAD_SG.part_underbarrel_03_mine")</f>
        <v>DAD_SG.part_underbarrel_03_mine</v>
      </c>
      <c r="F202" s="102"/>
      <c r="G202" s="102" t="str">
        <f>IFERROR(__xludf.DUMMYFUNCTION("""COMPUTED_VALUE"""),"Alt Fire - Proxy Mine Launcher")</f>
        <v>Alt Fire - Proxy Mine Launcher</v>
      </c>
      <c r="H202" s="102" t="str">
        <f>IFERROR(__xludf.DUMMYFUNCTION("""COMPUTED_VALUE"""),"Launches a Mine that deals XXX Damage")</f>
        <v>Launches a Mine that deals XXX Damage</v>
      </c>
      <c r="I202" s="102"/>
      <c r="J202" s="102"/>
      <c r="K202" s="102"/>
      <c r="L202" s="102"/>
    </row>
    <row r="203">
      <c r="A203" s="102" t="str">
        <f>IFERROR(__xludf.DUMMYFUNCTION("""COMPUTED_VALUE"""),"Daedalus")</f>
        <v>Daedalus</v>
      </c>
      <c r="B203" s="102" t="str">
        <f>IFERROR(__xludf.DUMMYFUNCTION("""COMPUTED_VALUE"""),"Shotgun")</f>
        <v>Shotgun</v>
      </c>
      <c r="C203" s="103">
        <f>IFERROR(__xludf.DUMMYFUNCTION("""COMPUTED_VALUE"""),51.0)</f>
        <v>51</v>
      </c>
      <c r="D203" s="102" t="str">
        <f>IFERROR(__xludf.DUMMYFUNCTION("""COMPUTED_VALUE"""),"Underbarrel")</f>
        <v>Underbarrel</v>
      </c>
      <c r="E203" s="102" t="str">
        <f>IFERROR(__xludf.DUMMYFUNCTION("""COMPUTED_VALUE"""),"DAD_SG.part_underbarrel_04_atlas_ball")</f>
        <v>DAD_SG.part_underbarrel_04_atlas_ball</v>
      </c>
      <c r="F203" s="102"/>
      <c r="G203" s="102" t="str">
        <f>IFERROR(__xludf.DUMMYFUNCTION("""COMPUTED_VALUE"""),"Atlas Tracker Grenades")</f>
        <v>Atlas Tracker Grenades</v>
      </c>
      <c r="H203" s="102"/>
      <c r="I203" s="102"/>
      <c r="J203" s="102"/>
      <c r="K203" s="102"/>
      <c r="L203" s="102"/>
    </row>
    <row r="204">
      <c r="A204" s="102" t="str">
        <f>IFERROR(__xludf.DUMMYFUNCTION("""COMPUTED_VALUE"""),"Daedalus")</f>
        <v>Daedalus</v>
      </c>
      <c r="B204" s="102" t="str">
        <f>IFERROR(__xludf.DUMMYFUNCTION("""COMPUTED_VALUE"""),"Shotgun")</f>
        <v>Shotgun</v>
      </c>
      <c r="C204" s="103">
        <f>IFERROR(__xludf.DUMMYFUNCTION("""COMPUTED_VALUE"""),52.0)</f>
        <v>52</v>
      </c>
      <c r="D204" s="102" t="str">
        <f>IFERROR(__xludf.DUMMYFUNCTION("""COMPUTED_VALUE"""),"Barrel")</f>
        <v>Barrel</v>
      </c>
      <c r="E204" s="102" t="str">
        <f>IFERROR(__xludf.DUMMYFUNCTION("""COMPUTED_VALUE"""),"DAD_SG.part_barrel_01_bod")</f>
        <v>DAD_SG.part_barrel_01_bod</v>
      </c>
      <c r="F204" s="102"/>
      <c r="G204" s="102" t="str">
        <f>IFERROR(__xludf.DUMMYFUNCTION("""COMPUTED_VALUE"""),"Bod, 265 x 5 Damage, 67% Acc, 4.2/s FR")</f>
        <v>Bod, 265 x 5 Damage, 67% Acc, 4.2/s FR</v>
      </c>
      <c r="H204" s="102" t="str">
        <f>IFERROR(__xludf.DUMMYFUNCTION("""COMPUTED_VALUE"""),"All-Arounder - Counts as a SHotgun, an Assault Rifle, a Sniper Rifle, a Pistol, and an SMG")</f>
        <v>All-Arounder - Counts as a SHotgun, an Assault Rifle, a Sniper Rifle, a Pistol, and an SMG</v>
      </c>
      <c r="I204" s="102"/>
      <c r="J204" s="102"/>
      <c r="K204" s="102"/>
      <c r="L204" s="102"/>
    </row>
    <row r="205">
      <c r="A205" s="102" t="str">
        <f>IFERROR(__xludf.DUMMYFUNCTION("""COMPUTED_VALUE"""),"Daedalus")</f>
        <v>Daedalus</v>
      </c>
      <c r="B205" s="102" t="str">
        <f>IFERROR(__xludf.DUMMYFUNCTION("""COMPUTED_VALUE"""),"Shotgun")</f>
        <v>Shotgun</v>
      </c>
      <c r="C205" s="103">
        <f>IFERROR(__xludf.DUMMYFUNCTION("""COMPUTED_VALUE"""),54.0)</f>
        <v>54</v>
      </c>
      <c r="D205" s="102" t="str">
        <f>IFERROR(__xludf.DUMMYFUNCTION("""COMPUTED_VALUE"""),"Barrel")</f>
        <v>Barrel</v>
      </c>
      <c r="E205" s="102" t="str">
        <f>IFERROR(__xludf.DUMMYFUNCTION("""COMPUTED_VALUE"""),"DAD_SG.part_barrel_heartgun")</f>
        <v>DAD_SG.part_barrel_heartgun</v>
      </c>
      <c r="F205" s="102"/>
      <c r="G205" s="102" t="str">
        <f>IFERROR(__xludf.DUMMYFUNCTION("""COMPUTED_VALUE"""),"Acey May, 279 x 14 Damage, 65% Acc, 2.0/s FR")</f>
        <v>Acey May, 279 x 14 Damage, 65% Acc, 2.0/s FR</v>
      </c>
      <c r="H205" s="102" t="str">
        <f>IFERROR(__xludf.DUMMYFUNCTION("""COMPUTED_VALUE"""),"LUV")</f>
        <v>LUV</v>
      </c>
      <c r="I205" s="102"/>
      <c r="J205" s="102"/>
      <c r="K205" s="102"/>
      <c r="L205" s="102"/>
    </row>
    <row r="206">
      <c r="A206" s="102" t="str">
        <f>IFERROR(__xludf.DUMMYFUNCTION("""COMPUTED_VALUE"""),"Daedalus")</f>
        <v>Daedalus</v>
      </c>
      <c r="B206" s="102" t="str">
        <f>IFERROR(__xludf.DUMMYFUNCTION("""COMPUTED_VALUE"""),"Shotgun")</f>
        <v>Shotgun</v>
      </c>
      <c r="C206" s="103">
        <f>IFERROR(__xludf.DUMMYFUNCTION("""COMPUTED_VALUE"""),56.0)</f>
        <v>56</v>
      </c>
      <c r="D206" s="102" t="str">
        <f>IFERROR(__xludf.DUMMYFUNCTION("""COMPUTED_VALUE"""),"Underbarrel")</f>
        <v>Underbarrel</v>
      </c>
      <c r="E206" s="102" t="str">
        <f>IFERROR(__xludf.DUMMYFUNCTION("""COMPUTED_VALUE"""),"DAD_SG.part_underbarrel_01_misslaser")</f>
        <v>DAD_SG.part_underbarrel_01_misslaser</v>
      </c>
      <c r="F206" s="102"/>
      <c r="G206" s="102" t="str">
        <f>IFERROR(__xludf.DUMMYFUNCTION("""COMPUTED_VALUE"""),"Switch for Missilaser Underbarrel")</f>
        <v>Switch for Missilaser Underbarrel</v>
      </c>
      <c r="H206" s="102"/>
      <c r="I206" s="102"/>
      <c r="J206" s="102"/>
      <c r="K206" s="102"/>
      <c r="L206" s="102"/>
    </row>
    <row r="207">
      <c r="A207" s="102" t="str">
        <f>IFERROR(__xludf.DUMMYFUNCTION("""COMPUTED_VALUE"""),"Daedalus")</f>
        <v>Daedalus</v>
      </c>
      <c r="B207" s="102" t="str">
        <f>IFERROR(__xludf.DUMMYFUNCTION("""COMPUTED_VALUE"""),"Shotgun")</f>
        <v>Shotgun</v>
      </c>
      <c r="C207" s="103">
        <f>IFERROR(__xludf.DUMMYFUNCTION("""COMPUTED_VALUE"""),57.0)</f>
        <v>57</v>
      </c>
      <c r="D207" s="102" t="str">
        <f>IFERROR(__xludf.DUMMYFUNCTION("""COMPUTED_VALUE"""),"Barrel")</f>
        <v>Barrel</v>
      </c>
      <c r="E207" s="102" t="str">
        <f>IFERROR(__xludf.DUMMYFUNCTION("""COMPUTED_VALUE"""),"DAD_SG.part_barrel_misslaser")</f>
        <v>DAD_SG.part_barrel_misslaser</v>
      </c>
      <c r="F207" s="102"/>
      <c r="G207" s="102" t="str">
        <f>IFERROR(__xludf.DUMMYFUNCTION("""COMPUTED_VALUE"""),"Missilaser, 1673 Damage, 100% Acc, 3.0/s FR")</f>
        <v>Missilaser, 1673 Damage, 100% Acc, 3.0/s FR</v>
      </c>
      <c r="H207" s="102" t="str">
        <f>IFERROR(__xludf.DUMMYFUNCTION("""COMPUTED_VALUE"""),"Misstical - Underbarrel fires sticky rockets. Main barrel fires a laser that detonates attached rockets each dealing XXX damage.")</f>
        <v>Misstical - Underbarrel fires sticky rockets. Main barrel fires a laser that detonates attached rockets each dealing XXX damage.</v>
      </c>
      <c r="I207" s="102"/>
      <c r="J207" s="102"/>
      <c r="K207" s="102"/>
      <c r="L207" s="102"/>
    </row>
    <row r="208">
      <c r="A208" s="102" t="str">
        <f>IFERROR(__xludf.DUMMYFUNCTION("""COMPUTED_VALUE"""),"Daedalus")</f>
        <v>Daedalus</v>
      </c>
      <c r="B208" s="102" t="str">
        <f>IFERROR(__xludf.DUMMYFUNCTION("""COMPUTED_VALUE"""),"Shotgun")</f>
        <v>Shotgun</v>
      </c>
      <c r="C208" s="103">
        <f>IFERROR(__xludf.DUMMYFUNCTION("""COMPUTED_VALUE"""),61.0)</f>
        <v>61</v>
      </c>
      <c r="D208" s="102" t="str">
        <f>IFERROR(__xludf.DUMMYFUNCTION("""COMPUTED_VALUE"""),"Barrel Accessory")</f>
        <v>Barrel Accessory</v>
      </c>
      <c r="E208" s="102" t="str">
        <f>IFERROR(__xludf.DUMMYFUNCTION("""COMPUTED_VALUE"""),"DAD_SG.part_barrel_01_a")</f>
        <v>DAD_SG.part_barrel_01_a</v>
      </c>
      <c r="F208" s="102"/>
      <c r="G208" s="102" t="str">
        <f>IFERROR(__xludf.DUMMYFUNCTION("""COMPUTED_VALUE"""),"+Damage")</f>
        <v>+Damage</v>
      </c>
      <c r="H208" s="102"/>
      <c r="I208" s="102"/>
      <c r="J208" s="102"/>
      <c r="K208" s="102"/>
      <c r="L208" s="102"/>
    </row>
    <row r="209">
      <c r="A209" s="102" t="str">
        <f>IFERROR(__xludf.DUMMYFUNCTION("""COMPUTED_VALUE"""),"Daedalus")</f>
        <v>Daedalus</v>
      </c>
      <c r="B209" s="102" t="str">
        <f>IFERROR(__xludf.DUMMYFUNCTION("""COMPUTED_VALUE"""),"Shotgun")</f>
        <v>Shotgun</v>
      </c>
      <c r="C209" s="103">
        <f>IFERROR(__xludf.DUMMYFUNCTION("""COMPUTED_VALUE"""),62.0)</f>
        <v>62</v>
      </c>
      <c r="D209" s="102" t="str">
        <f>IFERROR(__xludf.DUMMYFUNCTION("""COMPUTED_VALUE"""),"Barrel Accessory")</f>
        <v>Barrel Accessory</v>
      </c>
      <c r="E209" s="102" t="str">
        <f>IFERROR(__xludf.DUMMYFUNCTION("""COMPUTED_VALUE"""),"DAD_SG.part_barrel_01_b")</f>
        <v>DAD_SG.part_barrel_01_b</v>
      </c>
      <c r="F209" s="102"/>
      <c r="G209" s="102" t="str">
        <f>IFERROR(__xludf.DUMMYFUNCTION("""COMPUTED_VALUE"""),"+Accuracy")</f>
        <v>+Accuracy</v>
      </c>
      <c r="H209" s="102"/>
      <c r="I209" s="102"/>
      <c r="J209" s="102"/>
      <c r="K209" s="102"/>
      <c r="L209" s="102"/>
    </row>
    <row r="210">
      <c r="A210" s="102" t="str">
        <f>IFERROR(__xludf.DUMMYFUNCTION("""COMPUTED_VALUE"""),"Daedalus")</f>
        <v>Daedalus</v>
      </c>
      <c r="B210" s="102" t="str">
        <f>IFERROR(__xludf.DUMMYFUNCTION("""COMPUTED_VALUE"""),"Shotgun")</f>
        <v>Shotgun</v>
      </c>
      <c r="C210" s="103">
        <f>IFERROR(__xludf.DUMMYFUNCTION("""COMPUTED_VALUE"""),63.0)</f>
        <v>63</v>
      </c>
      <c r="D210" s="102" t="str">
        <f>IFERROR(__xludf.DUMMYFUNCTION("""COMPUTED_VALUE"""),"Barrel Accessory")</f>
        <v>Barrel Accessory</v>
      </c>
      <c r="E210" s="102" t="str">
        <f>IFERROR(__xludf.DUMMYFUNCTION("""COMPUTED_VALUE"""),"DAD_SG.part_barrel_01_c")</f>
        <v>DAD_SG.part_barrel_01_c</v>
      </c>
      <c r="F210" s="102"/>
      <c r="G210" s="102" t="str">
        <f>IFERROR(__xludf.DUMMYFUNCTION("""COMPUTED_VALUE"""),"+Fire Rate")</f>
        <v>+Fire Rate</v>
      </c>
      <c r="H210" s="102"/>
      <c r="I210" s="102"/>
      <c r="J210" s="102"/>
      <c r="K210" s="102"/>
      <c r="L210" s="102"/>
    </row>
    <row r="211">
      <c r="A211" s="102" t="str">
        <f>IFERROR(__xludf.DUMMYFUNCTION("""COMPUTED_VALUE"""),"Daedalus")</f>
        <v>Daedalus</v>
      </c>
      <c r="B211" s="102" t="str">
        <f>IFERROR(__xludf.DUMMYFUNCTION("""COMPUTED_VALUE"""),"Shotgun")</f>
        <v>Shotgun</v>
      </c>
      <c r="C211" s="103">
        <f>IFERROR(__xludf.DUMMYFUNCTION("""COMPUTED_VALUE"""),64.0)</f>
        <v>64</v>
      </c>
      <c r="D211" s="102" t="str">
        <f>IFERROR(__xludf.DUMMYFUNCTION("""COMPUTED_VALUE"""),"Barrel Accessory")</f>
        <v>Barrel Accessory</v>
      </c>
      <c r="E211" s="102" t="str">
        <f>IFERROR(__xludf.DUMMYFUNCTION("""COMPUTED_VALUE"""),"DAD_SG.part_barrel_01_d")</f>
        <v>DAD_SG.part_barrel_01_d</v>
      </c>
      <c r="F211" s="102"/>
      <c r="G211" s="102" t="str">
        <f>IFERROR(__xludf.DUMMYFUNCTION("""COMPUTED_VALUE"""),"+Fire Rate")</f>
        <v>+Fire Rate</v>
      </c>
      <c r="H211" s="102"/>
      <c r="I211" s="102"/>
      <c r="J211" s="102"/>
      <c r="K211" s="102"/>
      <c r="L211" s="102"/>
    </row>
    <row r="212">
      <c r="A212" s="102" t="str">
        <f>IFERROR(__xludf.DUMMYFUNCTION("""COMPUTED_VALUE"""),"Daedalus")</f>
        <v>Daedalus</v>
      </c>
      <c r="B212" s="102" t="str">
        <f>IFERROR(__xludf.DUMMYFUNCTION("""COMPUTED_VALUE"""),"Shotgun")</f>
        <v>Shotgun</v>
      </c>
      <c r="C212" s="103">
        <f>IFERROR(__xludf.DUMMYFUNCTION("""COMPUTED_VALUE"""),65.0)</f>
        <v>65</v>
      </c>
      <c r="D212" s="102" t="str">
        <f>IFERROR(__xludf.DUMMYFUNCTION("""COMPUTED_VALUE"""),"Barrel Accessory")</f>
        <v>Barrel Accessory</v>
      </c>
      <c r="E212" s="102" t="str">
        <f>IFERROR(__xludf.DUMMYFUNCTION("""COMPUTED_VALUE"""),"DAD_SG.part_barrel_02_a")</f>
        <v>DAD_SG.part_barrel_02_a</v>
      </c>
      <c r="F212" s="102"/>
      <c r="G212" s="102" t="str">
        <f>IFERROR(__xludf.DUMMYFUNCTION("""COMPUTED_VALUE"""),"+Damage")</f>
        <v>+Damage</v>
      </c>
      <c r="H212" s="102"/>
      <c r="I212" s="102"/>
      <c r="J212" s="102"/>
      <c r="K212" s="102"/>
      <c r="L212" s="102"/>
    </row>
    <row r="213">
      <c r="A213" s="102" t="str">
        <f>IFERROR(__xludf.DUMMYFUNCTION("""COMPUTED_VALUE"""),"Daedalus")</f>
        <v>Daedalus</v>
      </c>
      <c r="B213" s="102" t="str">
        <f>IFERROR(__xludf.DUMMYFUNCTION("""COMPUTED_VALUE"""),"Shotgun")</f>
        <v>Shotgun</v>
      </c>
      <c r="C213" s="103">
        <f>IFERROR(__xludf.DUMMYFUNCTION("""COMPUTED_VALUE"""),66.0)</f>
        <v>66</v>
      </c>
      <c r="D213" s="102" t="str">
        <f>IFERROR(__xludf.DUMMYFUNCTION("""COMPUTED_VALUE"""),"Barrel Accessory")</f>
        <v>Barrel Accessory</v>
      </c>
      <c r="E213" s="102" t="str">
        <f>IFERROR(__xludf.DUMMYFUNCTION("""COMPUTED_VALUE"""),"DAD_SG.part_barrel_02_b")</f>
        <v>DAD_SG.part_barrel_02_b</v>
      </c>
      <c r="F213" s="102"/>
      <c r="G213" s="102" t="str">
        <f>IFERROR(__xludf.DUMMYFUNCTION("""COMPUTED_VALUE"""),"-Reload Speed")</f>
        <v>-Reload Speed</v>
      </c>
      <c r="H213" s="102"/>
      <c r="I213" s="102"/>
      <c r="J213" s="102"/>
      <c r="K213" s="102"/>
      <c r="L213" s="102"/>
    </row>
    <row r="214">
      <c r="A214" s="102" t="str">
        <f>IFERROR(__xludf.DUMMYFUNCTION("""COMPUTED_VALUE"""),"Daedalus")</f>
        <v>Daedalus</v>
      </c>
      <c r="B214" s="102" t="str">
        <f>IFERROR(__xludf.DUMMYFUNCTION("""COMPUTED_VALUE"""),"Shotgun")</f>
        <v>Shotgun</v>
      </c>
      <c r="C214" s="103">
        <f>IFERROR(__xludf.DUMMYFUNCTION("""COMPUTED_VALUE"""),67.0)</f>
        <v>67</v>
      </c>
      <c r="D214" s="102" t="str">
        <f>IFERROR(__xludf.DUMMYFUNCTION("""COMPUTED_VALUE"""),"Barrel Accessory")</f>
        <v>Barrel Accessory</v>
      </c>
      <c r="E214" s="102" t="str">
        <f>IFERROR(__xludf.DUMMYFUNCTION("""COMPUTED_VALUE"""),"DAD_SG.part_barrel_02_c")</f>
        <v>DAD_SG.part_barrel_02_c</v>
      </c>
      <c r="F214" s="102"/>
      <c r="G214" s="102" t="str">
        <f>IFERROR(__xludf.DUMMYFUNCTION("""COMPUTED_VALUE"""),"+Accuracy")</f>
        <v>+Accuracy</v>
      </c>
      <c r="H214" s="102"/>
      <c r="I214" s="102"/>
      <c r="J214" s="102"/>
      <c r="K214" s="102"/>
      <c r="L214" s="102"/>
    </row>
    <row r="215">
      <c r="A215" s="102" t="str">
        <f>IFERROR(__xludf.DUMMYFUNCTION("""COMPUTED_VALUE"""),"Daedalus")</f>
        <v>Daedalus</v>
      </c>
      <c r="B215" s="102" t="str">
        <f>IFERROR(__xludf.DUMMYFUNCTION("""COMPUTED_VALUE"""),"Shotgun")</f>
        <v>Shotgun</v>
      </c>
      <c r="C215" s="103">
        <f>IFERROR(__xludf.DUMMYFUNCTION("""COMPUTED_VALUE"""),68.0)</f>
        <v>68</v>
      </c>
      <c r="D215" s="102" t="str">
        <f>IFERROR(__xludf.DUMMYFUNCTION("""COMPUTED_VALUE"""),"Barrel Accessory")</f>
        <v>Barrel Accessory</v>
      </c>
      <c r="E215" s="102" t="str">
        <f>IFERROR(__xludf.DUMMYFUNCTION("""COMPUTED_VALUE"""),"DAD_SG.part_barrel_02_d")</f>
        <v>DAD_SG.part_barrel_02_d</v>
      </c>
      <c r="F215" s="102"/>
      <c r="G215" s="102" t="str">
        <f>IFERROR(__xludf.DUMMYFUNCTION("""COMPUTED_VALUE"""),"+Accuracy")</f>
        <v>+Accuracy</v>
      </c>
      <c r="H215" s="102"/>
      <c r="I215" s="102"/>
      <c r="J215" s="102"/>
      <c r="K215" s="102"/>
      <c r="L215" s="102"/>
    </row>
    <row r="216">
      <c r="A216" s="102" t="str">
        <f>IFERROR(__xludf.DUMMYFUNCTION("""COMPUTED_VALUE"""),"Daedalus")</f>
        <v>Daedalus</v>
      </c>
      <c r="B216" s="102" t="str">
        <f>IFERROR(__xludf.DUMMYFUNCTION("""COMPUTED_VALUE"""),"Shotgun")</f>
        <v>Shotgun</v>
      </c>
      <c r="C216" s="103">
        <f>IFERROR(__xludf.DUMMYFUNCTION("""COMPUTED_VALUE"""),69.0)</f>
        <v>69</v>
      </c>
      <c r="D216" s="102" t="str">
        <f>IFERROR(__xludf.DUMMYFUNCTION("""COMPUTED_VALUE"""),"Manufacturer Part")</f>
        <v>Manufacturer Part</v>
      </c>
      <c r="E216" s="102" t="str">
        <f>IFERROR(__xludf.DUMMYFUNCTION("""COMPUTED_VALUE"""),"DAD_SG.part_barrel_licensed_jak")</f>
        <v>DAD_SG.part_barrel_licensed_jak</v>
      </c>
      <c r="F216" s="102"/>
      <c r="G216" s="102" t="str">
        <f>IFERROR(__xludf.DUMMYFUNCTION("""COMPUTED_VALUE"""),"Jakobs Ricochet")</f>
        <v>Jakobs Ricochet</v>
      </c>
      <c r="H216" s="102"/>
      <c r="I216" s="102"/>
      <c r="J216" s="102"/>
      <c r="K216" s="102"/>
      <c r="L216" s="102"/>
    </row>
    <row r="217">
      <c r="A217" s="102" t="str">
        <f>IFERROR(__xludf.DUMMYFUNCTION("""COMPUTED_VALUE"""),"Daedalus")</f>
        <v>Daedalus</v>
      </c>
      <c r="B217" s="102" t="str">
        <f>IFERROR(__xludf.DUMMYFUNCTION("""COMPUTED_VALUE"""),"Shotgun")</f>
        <v>Shotgun</v>
      </c>
      <c r="C217" s="103">
        <f>IFERROR(__xludf.DUMMYFUNCTION("""COMPUTED_VALUE"""),70.0)</f>
        <v>70</v>
      </c>
      <c r="D217" s="102" t="str">
        <f>IFERROR(__xludf.DUMMYFUNCTION("""COMPUTED_VALUE"""),"Manufacturer Part")</f>
        <v>Manufacturer Part</v>
      </c>
      <c r="E217" s="102" t="str">
        <f>IFERROR(__xludf.DUMMYFUNCTION("""COMPUTED_VALUE"""),"DAD_SG.part_barrel_licensed_ted")</f>
        <v>DAD_SG.part_barrel_licensed_ted</v>
      </c>
      <c r="F217" s="102"/>
      <c r="G217" s="102" t="str">
        <f>IFERROR(__xludf.DUMMYFUNCTION("""COMPUTED_VALUE"""),"Tediore Reload, no stat changes")</f>
        <v>Tediore Reload, no stat changes</v>
      </c>
      <c r="H217" s="102"/>
      <c r="I217" s="102"/>
      <c r="J217" s="102"/>
      <c r="K217" s="102"/>
      <c r="L217" s="102"/>
    </row>
    <row r="218">
      <c r="A218" s="102" t="str">
        <f>IFERROR(__xludf.DUMMYFUNCTION("""COMPUTED_VALUE"""),"Daedalus")</f>
        <v>Daedalus</v>
      </c>
      <c r="B218" s="102" t="str">
        <f>IFERROR(__xludf.DUMMYFUNCTION("""COMPUTED_VALUE"""),"Shotgun")</f>
        <v>Shotgun</v>
      </c>
      <c r="C218" s="103">
        <f>IFERROR(__xludf.DUMMYFUNCTION("""COMPUTED_VALUE"""),71.0)</f>
        <v>71</v>
      </c>
      <c r="D218" s="102" t="str">
        <f>IFERROR(__xludf.DUMMYFUNCTION("""COMPUTED_VALUE"""),"Manufacturer Part")</f>
        <v>Manufacturer Part</v>
      </c>
      <c r="E218" s="102" t="str">
        <f>IFERROR(__xludf.DUMMYFUNCTION("""COMPUTED_VALUE"""),"DAD_SG.part_barrel_licensed_ted_shooting")</f>
        <v>DAD_SG.part_barrel_licensed_ted_shooting</v>
      </c>
      <c r="F218" s="102"/>
      <c r="G218" s="102" t="str">
        <f>IFERROR(__xludf.DUMMYFUNCTION("""COMPUTED_VALUE"""),"Tediore Shooting, no stat changes")</f>
        <v>Tediore Shooting, no stat changes</v>
      </c>
      <c r="H218" s="102"/>
      <c r="I218" s="102"/>
      <c r="J218" s="102"/>
      <c r="K218" s="102"/>
      <c r="L218" s="102"/>
    </row>
    <row r="219">
      <c r="A219" s="102" t="str">
        <f>IFERROR(__xludf.DUMMYFUNCTION("""COMPUTED_VALUE"""),"Daedalus")</f>
        <v>Daedalus</v>
      </c>
      <c r="B219" s="102" t="str">
        <f>IFERROR(__xludf.DUMMYFUNCTION("""COMPUTED_VALUE"""),"Shotgun")</f>
        <v>Shotgun</v>
      </c>
      <c r="C219" s="103">
        <f>IFERROR(__xludf.DUMMYFUNCTION("""COMPUTED_VALUE"""),72.0)</f>
        <v>72</v>
      </c>
      <c r="D219" s="102" t="str">
        <f>IFERROR(__xludf.DUMMYFUNCTION("""COMPUTED_VALUE"""),"Manufacturer Part")</f>
        <v>Manufacturer Part</v>
      </c>
      <c r="E219" s="102" t="str">
        <f>IFERROR(__xludf.DUMMYFUNCTION("""COMPUTED_VALUE"""),"DAD_SG.part_barrel_licensed_ted_mirv")</f>
        <v>DAD_SG.part_barrel_licensed_ted_mirv</v>
      </c>
      <c r="F219" s="102"/>
      <c r="G219" s="102" t="str">
        <f>IFERROR(__xludf.DUMMYFUNCTION("""COMPUTED_VALUE"""),"Tediore MIRV, no stat changes")</f>
        <v>Tediore MIRV, no stat changes</v>
      </c>
      <c r="H219" s="102"/>
      <c r="I219" s="102"/>
      <c r="J219" s="102"/>
      <c r="K219" s="102"/>
      <c r="L219" s="102"/>
    </row>
    <row r="220">
      <c r="A220" s="102" t="str">
        <f>IFERROR(__xludf.DUMMYFUNCTION("""COMPUTED_VALUE"""),"Daedalus")</f>
        <v>Daedalus</v>
      </c>
      <c r="B220" s="102" t="str">
        <f>IFERROR(__xludf.DUMMYFUNCTION("""COMPUTED_VALUE"""),"Shotgun")</f>
        <v>Shotgun</v>
      </c>
      <c r="C220" s="103">
        <f>IFERROR(__xludf.DUMMYFUNCTION("""COMPUTED_VALUE"""),73.0)</f>
        <v>73</v>
      </c>
      <c r="D220" s="102" t="str">
        <f>IFERROR(__xludf.DUMMYFUNCTION("""COMPUTED_VALUE"""),"Manufacturer Part")</f>
        <v>Manufacturer Part</v>
      </c>
      <c r="E220" s="102" t="str">
        <f>IFERROR(__xludf.DUMMYFUNCTION("""COMPUTED_VALUE"""),"DAD_SG.part_barrel_licensed_ted_combo")</f>
        <v>DAD_SG.part_barrel_licensed_ted_combo</v>
      </c>
      <c r="F220" s="102"/>
      <c r="G220" s="102" t="str">
        <f>IFERROR(__xludf.DUMMYFUNCTION("""COMPUTED_VALUE"""),"Tediore Combo, no stat changes")</f>
        <v>Tediore Combo, no stat changes</v>
      </c>
      <c r="H220" s="102"/>
      <c r="I220" s="102"/>
      <c r="J220" s="102"/>
      <c r="K220" s="102"/>
      <c r="L220" s="102"/>
    </row>
    <row r="221">
      <c r="A221" s="102" t="str">
        <f>IFERROR(__xludf.DUMMYFUNCTION("""COMPUTED_VALUE"""),"Daedalus")</f>
        <v>Daedalus</v>
      </c>
      <c r="B221" s="102" t="str">
        <f>IFERROR(__xludf.DUMMYFUNCTION("""COMPUTED_VALUE"""),"Shotgun")</f>
        <v>Shotgun</v>
      </c>
      <c r="C221" s="103">
        <f>IFERROR(__xludf.DUMMYFUNCTION("""COMPUTED_VALUE"""),74.0)</f>
        <v>74</v>
      </c>
      <c r="D221" s="102" t="str">
        <f>IFERROR(__xludf.DUMMYFUNCTION("""COMPUTED_VALUE"""),"Manufacturer Part")</f>
        <v>Manufacturer Part</v>
      </c>
      <c r="E221" s="102" t="str">
        <f>IFERROR(__xludf.DUMMYFUNCTION("""COMPUTED_VALUE"""),"DAD_SG.part_barrel_licensed_hyp")</f>
        <v>DAD_SG.part_barrel_licensed_hyp</v>
      </c>
      <c r="F221" s="102"/>
      <c r="G221" s="102" t="str">
        <f>IFERROR(__xludf.DUMMYFUNCTION("""COMPUTED_VALUE"""),"Hyperion Shield visual accessory, no stat changes")</f>
        <v>Hyperion Shield visual accessory, no stat changes</v>
      </c>
      <c r="H221" s="102"/>
      <c r="I221" s="102"/>
      <c r="J221" s="102"/>
      <c r="K221" s="102"/>
      <c r="L221" s="102"/>
    </row>
    <row r="222">
      <c r="A222" s="102" t="str">
        <f>IFERROR(__xludf.DUMMYFUNCTION("""COMPUTED_VALUE"""),"Daedalus")</f>
        <v>Daedalus</v>
      </c>
      <c r="B222" s="102" t="str">
        <f>IFERROR(__xludf.DUMMYFUNCTION("""COMPUTED_VALUE"""),"Shotgun")</f>
        <v>Shotgun</v>
      </c>
      <c r="C222" s="103">
        <f>IFERROR(__xludf.DUMMYFUNCTION("""COMPUTED_VALUE"""),75.0)</f>
        <v>75</v>
      </c>
      <c r="D222" s="102" t="str">
        <f>IFERROR(__xludf.DUMMYFUNCTION("""COMPUTED_VALUE"""),"Manufacturer Part")</f>
        <v>Manufacturer Part</v>
      </c>
      <c r="E222" s="102" t="str">
        <f>IFERROR(__xludf.DUMMYFUNCTION("""COMPUTED_VALUE"""),"DAD_SG.part_mag_torgue_normal")</f>
        <v>DAD_SG.part_mag_torgue_normal</v>
      </c>
      <c r="F222" s="102"/>
      <c r="G222" s="102" t="str">
        <f>IFERROR(__xludf.DUMMYFUNCTION("""COMPUTED_VALUE"""),"Torgue Impact Gyrojets")</f>
        <v>Torgue Impact Gyrojets</v>
      </c>
      <c r="H222" s="102"/>
      <c r="I222" s="102"/>
      <c r="J222" s="102"/>
      <c r="K222" s="102"/>
      <c r="L222" s="102"/>
    </row>
    <row r="223">
      <c r="A223" s="102" t="str">
        <f>IFERROR(__xludf.DUMMYFUNCTION("""COMPUTED_VALUE"""),"Daedalus")</f>
        <v>Daedalus</v>
      </c>
      <c r="B223" s="102" t="str">
        <f>IFERROR(__xludf.DUMMYFUNCTION("""COMPUTED_VALUE"""),"Shotgun")</f>
        <v>Shotgun</v>
      </c>
      <c r="C223" s="103">
        <f>IFERROR(__xludf.DUMMYFUNCTION("""COMPUTED_VALUE"""),76.0)</f>
        <v>76</v>
      </c>
      <c r="D223" s="102" t="str">
        <f>IFERROR(__xludf.DUMMYFUNCTION("""COMPUTED_VALUE"""),"Manufacturer Part")</f>
        <v>Manufacturer Part</v>
      </c>
      <c r="E223" s="102" t="str">
        <f>IFERROR(__xludf.DUMMYFUNCTION("""COMPUTED_VALUE"""),"DAD_SG.part_mag_torgue_sticky")</f>
        <v>DAD_SG.part_mag_torgue_sticky</v>
      </c>
      <c r="F223" s="102"/>
      <c r="G223" s="102" t="str">
        <f>IFERROR(__xludf.DUMMYFUNCTION("""COMPUTED_VALUE"""),"Torgue Sticky Gyrojets")</f>
        <v>Torgue Sticky Gyrojets</v>
      </c>
      <c r="H223" s="102"/>
      <c r="I223" s="102"/>
      <c r="J223" s="102"/>
      <c r="K223" s="102"/>
      <c r="L223" s="102"/>
    </row>
    <row r="224">
      <c r="A224" s="102" t="str">
        <f>IFERROR(__xludf.DUMMYFUNCTION("""COMPUTED_VALUE"""),"Daedalus")</f>
        <v>Daedalus</v>
      </c>
      <c r="B224" s="102" t="str">
        <f>IFERROR(__xludf.DUMMYFUNCTION("""COMPUTED_VALUE"""),"Shotgun")</f>
        <v>Shotgun</v>
      </c>
      <c r="C224" s="103">
        <f>IFERROR(__xludf.DUMMYFUNCTION("""COMPUTED_VALUE"""),77.0)</f>
        <v>77</v>
      </c>
      <c r="D224" s="102" t="str">
        <f>IFERROR(__xludf.DUMMYFUNCTION("""COMPUTED_VALUE"""),"Manufacturer Part")</f>
        <v>Manufacturer Part</v>
      </c>
      <c r="E224" s="102" t="str">
        <f>IFERROR(__xludf.DUMMYFUNCTION("""COMPUTED_VALUE"""),"DAD_SG.part_body_mag_ps")</f>
        <v>DAD_SG.part_body_mag_ps</v>
      </c>
      <c r="F224" s="102"/>
      <c r="G224" s="102" t="str">
        <f>IFERROR(__xludf.DUMMYFUNCTION("""COMPUTED_VALUE"""),"Daedalus Pistol Ammo")</f>
        <v>Daedalus Pistol Ammo</v>
      </c>
      <c r="H224" s="102"/>
      <c r="I224" s="102"/>
      <c r="J224" s="102"/>
      <c r="K224" s="102"/>
      <c r="L224" s="102"/>
    </row>
    <row r="225">
      <c r="A225" s="102" t="str">
        <f>IFERROR(__xludf.DUMMYFUNCTION("""COMPUTED_VALUE"""),"Daedalus")</f>
        <v>Daedalus</v>
      </c>
      <c r="B225" s="102" t="str">
        <f>IFERROR(__xludf.DUMMYFUNCTION("""COMPUTED_VALUE"""),"Shotgun")</f>
        <v>Shotgun</v>
      </c>
      <c r="C225" s="103">
        <f>IFERROR(__xludf.DUMMYFUNCTION("""COMPUTED_VALUE"""),78.0)</f>
        <v>78</v>
      </c>
      <c r="D225" s="102" t="str">
        <f>IFERROR(__xludf.DUMMYFUNCTION("""COMPUTED_VALUE"""),"Manufacturer Part")</f>
        <v>Manufacturer Part</v>
      </c>
      <c r="E225" s="102" t="str">
        <f>IFERROR(__xludf.DUMMYFUNCTION("""COMPUTED_VALUE"""),"DAD_SG.part_body_mag_smg")</f>
        <v>DAD_SG.part_body_mag_smg</v>
      </c>
      <c r="F225" s="102"/>
      <c r="G225" s="102" t="str">
        <f>IFERROR(__xludf.DUMMYFUNCTION("""COMPUTED_VALUE"""),"Daedalus SMG Ammo")</f>
        <v>Daedalus SMG Ammo</v>
      </c>
      <c r="H225" s="102"/>
      <c r="I225" s="102"/>
      <c r="J225" s="102"/>
      <c r="K225" s="102"/>
      <c r="L225" s="102"/>
    </row>
    <row r="226">
      <c r="A226" s="102" t="str">
        <f>IFERROR(__xludf.DUMMYFUNCTION("""COMPUTED_VALUE"""),"Daedalus")</f>
        <v>Daedalus</v>
      </c>
      <c r="B226" s="102" t="str">
        <f>IFERROR(__xludf.DUMMYFUNCTION("""COMPUTED_VALUE"""),"Shotgun")</f>
        <v>Shotgun</v>
      </c>
      <c r="C226" s="103">
        <f>IFERROR(__xludf.DUMMYFUNCTION("""COMPUTED_VALUE"""),79.0)</f>
        <v>79</v>
      </c>
      <c r="D226" s="102" t="str">
        <f>IFERROR(__xludf.DUMMYFUNCTION("""COMPUTED_VALUE"""),"Manufacturer Part")</f>
        <v>Manufacturer Part</v>
      </c>
      <c r="E226" s="102" t="str">
        <f>IFERROR(__xludf.DUMMYFUNCTION("""COMPUTED_VALUE"""),"DAD_SG.part_body_mag_ar")</f>
        <v>DAD_SG.part_body_mag_ar</v>
      </c>
      <c r="F226" s="102"/>
      <c r="G226" s="102" t="str">
        <f>IFERROR(__xludf.DUMMYFUNCTION("""COMPUTED_VALUE"""),"Daedalus AR Ammo")</f>
        <v>Daedalus AR Ammo</v>
      </c>
      <c r="H226" s="102"/>
      <c r="I226" s="102"/>
      <c r="J226" s="102"/>
      <c r="K226" s="102"/>
      <c r="L226" s="102"/>
    </row>
    <row r="227">
      <c r="A227" s="102" t="str">
        <f>IFERROR(__xludf.DUMMYFUNCTION("""COMPUTED_VALUE"""),"Daedalus")</f>
        <v>Daedalus</v>
      </c>
      <c r="B227" s="102" t="str">
        <f>IFERROR(__xludf.DUMMYFUNCTION("""COMPUTED_VALUE"""),"Shotgun")</f>
        <v>Shotgun</v>
      </c>
      <c r="C227" s="103">
        <f>IFERROR(__xludf.DUMMYFUNCTION("""COMPUTED_VALUE"""),80.0)</f>
        <v>80</v>
      </c>
      <c r="D227" s="102" t="str">
        <f>IFERROR(__xludf.DUMMYFUNCTION("""COMPUTED_VALUE"""),"Manufacturer Part")</f>
        <v>Manufacturer Part</v>
      </c>
      <c r="E227" s="102" t="str">
        <f>IFERROR(__xludf.DUMMYFUNCTION("""COMPUTED_VALUE"""),"DAD_SG.part_body_mag_sr")</f>
        <v>DAD_SG.part_body_mag_sr</v>
      </c>
      <c r="F227" s="102"/>
      <c r="G227" s="102" t="str">
        <f>IFERROR(__xludf.DUMMYFUNCTION("""COMPUTED_VALUE"""),"Daedalus SR Ammo")</f>
        <v>Daedalus SR Ammo</v>
      </c>
      <c r="H227" s="102"/>
      <c r="I227" s="102"/>
      <c r="J227" s="102"/>
      <c r="K227" s="102"/>
      <c r="L227" s="102"/>
    </row>
    <row r="228">
      <c r="A228" s="102" t="str">
        <f>IFERROR(__xludf.DUMMYFUNCTION("""COMPUTED_VALUE"""),"Daedalus")</f>
        <v>Daedalus</v>
      </c>
      <c r="B228" s="102" t="str">
        <f>IFERROR(__xludf.DUMMYFUNCTION("""COMPUTED_VALUE"""),"SMG")</f>
        <v>SMG</v>
      </c>
      <c r="C228" s="103">
        <f>IFERROR(__xludf.DUMMYFUNCTION("""COMPUTED_VALUE"""),3.0)</f>
        <v>3</v>
      </c>
      <c r="D228" s="102" t="str">
        <f>IFERROR(__xludf.DUMMYFUNCTION("""COMPUTED_VALUE"""),"Body Accessory")</f>
        <v>Body Accessory</v>
      </c>
      <c r="E228" s="102" t="str">
        <f>IFERROR(__xludf.DUMMYFUNCTION("""COMPUTED_VALUE"""),"DAD_SM.part_body_a")</f>
        <v>DAD_SM.part_body_a</v>
      </c>
      <c r="F228" s="102"/>
      <c r="G228" s="102" t="str">
        <f>IFERROR(__xludf.DUMMYFUNCTION("""COMPUTED_VALUE"""),"-Reload Speed")</f>
        <v>-Reload Speed</v>
      </c>
      <c r="H228" s="102"/>
      <c r="I228" s="102"/>
      <c r="J228" s="102"/>
      <c r="K228" s="102"/>
      <c r="L228" s="102"/>
    </row>
    <row r="229">
      <c r="A229" s="102" t="str">
        <f>IFERROR(__xludf.DUMMYFUNCTION("""COMPUTED_VALUE"""),"Daedalus")</f>
        <v>Daedalus</v>
      </c>
      <c r="B229" s="102" t="str">
        <f>IFERROR(__xludf.DUMMYFUNCTION("""COMPUTED_VALUE"""),"SMG")</f>
        <v>SMG</v>
      </c>
      <c r="C229" s="103">
        <f>IFERROR(__xludf.DUMMYFUNCTION("""COMPUTED_VALUE"""),4.0)</f>
        <v>4</v>
      </c>
      <c r="D229" s="102" t="str">
        <f>IFERROR(__xludf.DUMMYFUNCTION("""COMPUTED_VALUE"""),"Body Accessory")</f>
        <v>Body Accessory</v>
      </c>
      <c r="E229" s="102" t="str">
        <f>IFERROR(__xludf.DUMMYFUNCTION("""COMPUTED_VALUE"""),"DAD_SM.part_body_b")</f>
        <v>DAD_SM.part_body_b</v>
      </c>
      <c r="F229" s="102"/>
      <c r="G229" s="102" t="str">
        <f>IFERROR(__xludf.DUMMYFUNCTION("""COMPUTED_VALUE"""),"-Reload Speed")</f>
        <v>-Reload Speed</v>
      </c>
      <c r="H229" s="102"/>
      <c r="I229" s="102"/>
      <c r="J229" s="102"/>
      <c r="K229" s="102"/>
      <c r="L229" s="102"/>
    </row>
    <row r="230">
      <c r="A230" s="102" t="str">
        <f>IFERROR(__xludf.DUMMYFUNCTION("""COMPUTED_VALUE"""),"Daedalus")</f>
        <v>Daedalus</v>
      </c>
      <c r="B230" s="102" t="str">
        <f>IFERROR(__xludf.DUMMYFUNCTION("""COMPUTED_VALUE"""),"SMG")</f>
        <v>SMG</v>
      </c>
      <c r="C230" s="103">
        <f>IFERROR(__xludf.DUMMYFUNCTION("""COMPUTED_VALUE"""),5.0)</f>
        <v>5</v>
      </c>
      <c r="D230" s="102" t="str">
        <f>IFERROR(__xludf.DUMMYFUNCTION("""COMPUTED_VALUE"""),"Body Accessory")</f>
        <v>Body Accessory</v>
      </c>
      <c r="E230" s="102" t="str">
        <f>IFERROR(__xludf.DUMMYFUNCTION("""COMPUTED_VALUE"""),"DAD_SM.part_body_c")</f>
        <v>DAD_SM.part_body_c</v>
      </c>
      <c r="F230" s="102"/>
      <c r="G230" s="102" t="str">
        <f>IFERROR(__xludf.DUMMYFUNCTION("""COMPUTED_VALUE"""),"+Accuracy")</f>
        <v>+Accuracy</v>
      </c>
      <c r="H230" s="102"/>
      <c r="I230" s="102"/>
      <c r="J230" s="102"/>
      <c r="K230" s="102"/>
      <c r="L230" s="102"/>
    </row>
    <row r="231">
      <c r="A231" s="102" t="str">
        <f>IFERROR(__xludf.DUMMYFUNCTION("""COMPUTED_VALUE"""),"Daedalus")</f>
        <v>Daedalus</v>
      </c>
      <c r="B231" s="102" t="str">
        <f>IFERROR(__xludf.DUMMYFUNCTION("""COMPUTED_VALUE"""),"SMG")</f>
        <v>SMG</v>
      </c>
      <c r="C231" s="103">
        <f>IFERROR(__xludf.DUMMYFUNCTION("""COMPUTED_VALUE"""),6.0)</f>
        <v>6</v>
      </c>
      <c r="D231" s="102" t="str">
        <f>IFERROR(__xludf.DUMMYFUNCTION("""COMPUTED_VALUE"""),"Body Accessory")</f>
        <v>Body Accessory</v>
      </c>
      <c r="E231" s="102" t="str">
        <f>IFERROR(__xludf.DUMMYFUNCTION("""COMPUTED_VALUE"""),"DAD_SM.part_body_d")</f>
        <v>DAD_SM.part_body_d</v>
      </c>
      <c r="F231" s="102"/>
      <c r="G231" s="102" t="str">
        <f>IFERROR(__xludf.DUMMYFUNCTION("""COMPUTED_VALUE"""),"No Stat Changes")</f>
        <v>No Stat Changes</v>
      </c>
      <c r="H231" s="102"/>
      <c r="I231" s="102"/>
      <c r="J231" s="102"/>
      <c r="K231" s="102"/>
      <c r="L231" s="102"/>
    </row>
    <row r="232">
      <c r="A232" s="102" t="str">
        <f>IFERROR(__xludf.DUMMYFUNCTION("""COMPUTED_VALUE"""),"Daedalus")</f>
        <v>Daedalus</v>
      </c>
      <c r="B232" s="102" t="str">
        <f>IFERROR(__xludf.DUMMYFUNCTION("""COMPUTED_VALUE"""),"SMG")</f>
        <v>SMG</v>
      </c>
      <c r="C232" s="103">
        <f>IFERROR(__xludf.DUMMYFUNCTION("""COMPUTED_VALUE"""),7.0)</f>
        <v>7</v>
      </c>
      <c r="D232" s="102" t="str">
        <f>IFERROR(__xludf.DUMMYFUNCTION("""COMPUTED_VALUE"""),"Barrel")</f>
        <v>Barrel</v>
      </c>
      <c r="E232" s="102" t="str">
        <f>IFERROR(__xludf.DUMMYFUNCTION("""COMPUTED_VALUE"""),"DAD_SM.part_barrel_01")</f>
        <v>DAD_SM.part_barrel_01</v>
      </c>
      <c r="F232" s="102"/>
      <c r="G232" s="102" t="str">
        <f>IFERROR(__xludf.DUMMYFUNCTION("""COMPUTED_VALUE"""),"GCX, 658 Damage, 73% Acc, 6.7/s FR")</f>
        <v>GCX, 658 Damage, 73% Acc, 6.7/s FR</v>
      </c>
      <c r="H232" s="102"/>
      <c r="I232" s="102"/>
      <c r="J232" s="102"/>
      <c r="K232" s="102"/>
      <c r="L232" s="102"/>
    </row>
    <row r="233">
      <c r="A233" s="102" t="str">
        <f>IFERROR(__xludf.DUMMYFUNCTION("""COMPUTED_VALUE"""),"Daedalus")</f>
        <v>Daedalus</v>
      </c>
      <c r="B233" s="102" t="str">
        <f>IFERROR(__xludf.DUMMYFUNCTION("""COMPUTED_VALUE"""),"SMG")</f>
        <v>SMG</v>
      </c>
      <c r="C233" s="103">
        <f>IFERROR(__xludf.DUMMYFUNCTION("""COMPUTED_VALUE"""),8.0)</f>
        <v>8</v>
      </c>
      <c r="D233" s="102" t="str">
        <f>IFERROR(__xludf.DUMMYFUNCTION("""COMPUTED_VALUE"""),"Barrel")</f>
        <v>Barrel</v>
      </c>
      <c r="E233" s="102" t="str">
        <f>IFERROR(__xludf.DUMMYFUNCTION("""COMPUTED_VALUE"""),"DAD_SM.part_barrel_02")</f>
        <v>DAD_SM.part_barrel_02</v>
      </c>
      <c r="F233" s="102"/>
      <c r="G233" s="102" t="str">
        <f>IFERROR(__xludf.DUMMYFUNCTION("""COMPUTED_VALUE"""),"Painter, 714 Damage, 74% Acc, 6.0/s FR")</f>
        <v>Painter, 714 Damage, 74% Acc, 6.0/s FR</v>
      </c>
      <c r="H233" s="102"/>
      <c r="I233" s="102"/>
      <c r="J233" s="102"/>
      <c r="K233" s="102"/>
      <c r="L233" s="102"/>
    </row>
    <row r="234">
      <c r="A234" s="102" t="str">
        <f>IFERROR(__xludf.DUMMYFUNCTION("""COMPUTED_VALUE"""),"Daedalus")</f>
        <v>Daedalus</v>
      </c>
      <c r="B234" s="102" t="str">
        <f>IFERROR(__xludf.DUMMYFUNCTION("""COMPUTED_VALUE"""),"SMG")</f>
        <v>SMG</v>
      </c>
      <c r="C234" s="103">
        <f>IFERROR(__xludf.DUMMYFUNCTION("""COMPUTED_VALUE"""),9.0)</f>
        <v>9</v>
      </c>
      <c r="D234" s="102" t="str">
        <f>IFERROR(__xludf.DUMMYFUNCTION("""COMPUTED_VALUE"""),"Manufacturer Part")</f>
        <v>Manufacturer Part</v>
      </c>
      <c r="E234" s="102" t="str">
        <f>IFERROR(__xludf.DUMMYFUNCTION("""COMPUTED_VALUE"""),"DAD_SM.part_shield_default")</f>
        <v>DAD_SM.part_shield_default</v>
      </c>
      <c r="F234" s="102"/>
      <c r="G234" s="102" t="str">
        <f>IFERROR(__xludf.DUMMYFUNCTION("""COMPUTED_VALUE"""),"Hyperion Shield")</f>
        <v>Hyperion Shield</v>
      </c>
      <c r="H234" s="102"/>
      <c r="I234" s="102"/>
      <c r="J234" s="102"/>
      <c r="K234" s="102"/>
      <c r="L234" s="102"/>
    </row>
    <row r="235">
      <c r="A235" s="102" t="str">
        <f>IFERROR(__xludf.DUMMYFUNCTION("""COMPUTED_VALUE"""),"Daedalus")</f>
        <v>Daedalus</v>
      </c>
      <c r="B235" s="102" t="str">
        <f>IFERROR(__xludf.DUMMYFUNCTION("""COMPUTED_VALUE"""),"SMG")</f>
        <v>SMG</v>
      </c>
      <c r="C235" s="103">
        <f>IFERROR(__xludf.DUMMYFUNCTION("""COMPUTED_VALUE"""),10.0)</f>
        <v>10</v>
      </c>
      <c r="D235" s="102" t="str">
        <f>IFERROR(__xludf.DUMMYFUNCTION("""COMPUTED_VALUE"""),"Manufacturer Part")</f>
        <v>Manufacturer Part</v>
      </c>
      <c r="E235" s="102" t="str">
        <f>IFERROR(__xludf.DUMMYFUNCTION("""COMPUTED_VALUE"""),"DAD_SM.part_shield_ricochet")</f>
        <v>DAD_SM.part_shield_ricochet</v>
      </c>
      <c r="F235" s="102"/>
      <c r="G235" s="102" t="str">
        <f>IFERROR(__xludf.DUMMYFUNCTION("""COMPUTED_VALUE"""),"Hyperion Ricochet Shield")</f>
        <v>Hyperion Ricochet Shield</v>
      </c>
      <c r="H235" s="102"/>
      <c r="I235" s="102"/>
      <c r="J235" s="102"/>
      <c r="K235" s="102"/>
      <c r="L235" s="102"/>
    </row>
    <row r="236">
      <c r="A236" s="102" t="str">
        <f>IFERROR(__xludf.DUMMYFUNCTION("""COMPUTED_VALUE"""),"Daedalus")</f>
        <v>Daedalus</v>
      </c>
      <c r="B236" s="102" t="str">
        <f>IFERROR(__xludf.DUMMYFUNCTION("""COMPUTED_VALUE"""),"SMG")</f>
        <v>SMG</v>
      </c>
      <c r="C236" s="103">
        <f>IFERROR(__xludf.DUMMYFUNCTION("""COMPUTED_VALUE"""),11.0)</f>
        <v>11</v>
      </c>
      <c r="D236" s="102" t="str">
        <f>IFERROR(__xludf.DUMMYFUNCTION("""COMPUTED_VALUE"""),"Manufacturer Part")</f>
        <v>Manufacturer Part</v>
      </c>
      <c r="E236" s="102" t="str">
        <f>IFERROR(__xludf.DUMMYFUNCTION("""COMPUTED_VALUE"""),"DAD_SM.part_shield_ammo")</f>
        <v>DAD_SM.part_shield_ammo</v>
      </c>
      <c r="F236" s="102"/>
      <c r="G236" s="102" t="str">
        <f>IFERROR(__xludf.DUMMYFUNCTION("""COMPUTED_VALUE"""),"Hyperion Absorb Shield")</f>
        <v>Hyperion Absorb Shield</v>
      </c>
      <c r="H236" s="102"/>
      <c r="I236" s="102"/>
      <c r="J236" s="102"/>
      <c r="K236" s="102"/>
      <c r="L236" s="102"/>
    </row>
    <row r="237">
      <c r="A237" s="102" t="str">
        <f>IFERROR(__xludf.DUMMYFUNCTION("""COMPUTED_VALUE"""),"Daedalus")</f>
        <v>Daedalus</v>
      </c>
      <c r="B237" s="102" t="str">
        <f>IFERROR(__xludf.DUMMYFUNCTION("""COMPUTED_VALUE"""),"SMG")</f>
        <v>SMG</v>
      </c>
      <c r="C237" s="103">
        <f>IFERROR(__xludf.DUMMYFUNCTION("""COMPUTED_VALUE"""),12.0)</f>
        <v>12</v>
      </c>
      <c r="D237" s="102" t="str">
        <f>IFERROR(__xludf.DUMMYFUNCTION("""COMPUTED_VALUE"""),"Manufacturer Part")</f>
        <v>Manufacturer Part</v>
      </c>
      <c r="E237" s="102" t="str">
        <f>IFERROR(__xludf.DUMMYFUNCTION("""COMPUTED_VALUE"""),"DAD_SM.part_shield_amp")</f>
        <v>DAD_SM.part_shield_amp</v>
      </c>
      <c r="F237" s="102"/>
      <c r="G237" s="102" t="str">
        <f>IFERROR(__xludf.DUMMYFUNCTION("""COMPUTED_VALUE"""),"Hyperion Amp Shield")</f>
        <v>Hyperion Amp Shield</v>
      </c>
      <c r="H237" s="102"/>
      <c r="I237" s="102"/>
      <c r="J237" s="102"/>
      <c r="K237" s="102"/>
      <c r="L237" s="102"/>
    </row>
    <row r="238">
      <c r="A238" s="102" t="str">
        <f>IFERROR(__xludf.DUMMYFUNCTION("""COMPUTED_VALUE"""),"Daedalus")</f>
        <v>Daedalus</v>
      </c>
      <c r="B238" s="102" t="str">
        <f>IFERROR(__xludf.DUMMYFUNCTION("""COMPUTED_VALUE"""),"SMG")</f>
        <v>SMG</v>
      </c>
      <c r="C238" s="103">
        <f>IFERROR(__xludf.DUMMYFUNCTION("""COMPUTED_VALUE"""),13.0)</f>
        <v>13</v>
      </c>
      <c r="D238" s="102" t="str">
        <f>IFERROR(__xludf.DUMMYFUNCTION("""COMPUTED_VALUE"""),"Magazine")</f>
        <v>Magazine</v>
      </c>
      <c r="E238" s="102" t="str">
        <f>IFERROR(__xludf.DUMMYFUNCTION("""COMPUTED_VALUE"""),"DAD_SM.part_mag_01")</f>
        <v>DAD_SM.part_mag_01</v>
      </c>
      <c r="F238" s="102"/>
      <c r="G238" s="102" t="str">
        <f>IFERROR(__xludf.DUMMYFUNCTION("""COMPUTED_VALUE"""),"2.3s Reload, 22 Shots")</f>
        <v>2.3s Reload, 22 Shots</v>
      </c>
      <c r="H238" s="102"/>
      <c r="I238" s="102"/>
      <c r="J238" s="102"/>
      <c r="K238" s="102"/>
      <c r="L238" s="102"/>
    </row>
    <row r="239">
      <c r="A239" s="102" t="str">
        <f>IFERROR(__xludf.DUMMYFUNCTION("""COMPUTED_VALUE"""),"Daedalus")</f>
        <v>Daedalus</v>
      </c>
      <c r="B239" s="102" t="str">
        <f>IFERROR(__xludf.DUMMYFUNCTION("""COMPUTED_VALUE"""),"SMG")</f>
        <v>SMG</v>
      </c>
      <c r="C239" s="103">
        <f>IFERROR(__xludf.DUMMYFUNCTION("""COMPUTED_VALUE"""),14.0)</f>
        <v>14</v>
      </c>
      <c r="D239" s="102" t="str">
        <f>IFERROR(__xludf.DUMMYFUNCTION("""COMPUTED_VALUE"""),"Magazine")</f>
        <v>Magazine</v>
      </c>
      <c r="E239" s="102" t="str">
        <f>IFERROR(__xludf.DUMMYFUNCTION("""COMPUTED_VALUE"""),"DAD_SM.part_mag_02")</f>
        <v>DAD_SM.part_mag_02</v>
      </c>
      <c r="F239" s="102"/>
      <c r="G239" s="102" t="str">
        <f>IFERROR(__xludf.DUMMYFUNCTION("""COMPUTED_VALUE"""),"2.6s Reload, -Damage, 28 Shots")</f>
        <v>2.6s Reload, -Damage, 28 Shots</v>
      </c>
      <c r="H239" s="102"/>
      <c r="I239" s="102"/>
      <c r="J239" s="102"/>
      <c r="K239" s="102"/>
      <c r="L239" s="102"/>
    </row>
    <row r="240">
      <c r="A240" s="102" t="str">
        <f>IFERROR(__xludf.DUMMYFUNCTION("""COMPUTED_VALUE"""),"Daedalus")</f>
        <v>Daedalus</v>
      </c>
      <c r="B240" s="102" t="str">
        <f>IFERROR(__xludf.DUMMYFUNCTION("""COMPUTED_VALUE"""),"SMG")</f>
        <v>SMG</v>
      </c>
      <c r="C240" s="103">
        <f>IFERROR(__xludf.DUMMYFUNCTION("""COMPUTED_VALUE"""),15.0)</f>
        <v>15</v>
      </c>
      <c r="D240" s="102" t="str">
        <f>IFERROR(__xludf.DUMMYFUNCTION("""COMPUTED_VALUE"""),"Magazine")</f>
        <v>Magazine</v>
      </c>
      <c r="E240" s="102" t="str">
        <f>IFERROR(__xludf.DUMMYFUNCTION("""COMPUTED_VALUE"""),"DAD_SM.part_mag_03_tor")</f>
        <v>DAD_SM.part_mag_03_tor</v>
      </c>
      <c r="F240" s="102"/>
      <c r="G240" s="102" t="str">
        <f>IFERROR(__xludf.DUMMYFUNCTION("""COMPUTED_VALUE"""),"2.8s Reload, +Damage, -Fire Rate, 18 Shots, Torgue")</f>
        <v>2.8s Reload, +Damage, -Fire Rate, 18 Shots, Torgue</v>
      </c>
      <c r="H240" s="102"/>
      <c r="I240" s="102"/>
      <c r="J240" s="102"/>
      <c r="K240" s="102"/>
      <c r="L240" s="102"/>
    </row>
    <row r="241">
      <c r="A241" s="102" t="str">
        <f>IFERROR(__xludf.DUMMYFUNCTION("""COMPUTED_VALUE"""),"Daedalus")</f>
        <v>Daedalus</v>
      </c>
      <c r="B241" s="102" t="str">
        <f>IFERROR(__xludf.DUMMYFUNCTION("""COMPUTED_VALUE"""),"SMG")</f>
        <v>SMG</v>
      </c>
      <c r="C241" s="103">
        <f>IFERROR(__xludf.DUMMYFUNCTION("""COMPUTED_VALUE"""),16.0)</f>
        <v>16</v>
      </c>
      <c r="D241" s="102" t="str">
        <f>IFERROR(__xludf.DUMMYFUNCTION("""COMPUTED_VALUE"""),"Magazine")</f>
        <v>Magazine</v>
      </c>
      <c r="E241" s="102" t="str">
        <f>IFERROR(__xludf.DUMMYFUNCTION("""COMPUTED_VALUE"""),"DAD_SM.part_mag_04_cov")</f>
        <v>DAD_SM.part_mag_04_cov</v>
      </c>
      <c r="F241" s="102"/>
      <c r="G241" s="102" t="str">
        <f>IFERROR(__xludf.DUMMYFUNCTION("""COMPUTED_VALUE"""),"4.0s Reload, +Damage, -Acc, 34 Shots, CoV Mag")</f>
        <v>4.0s Reload, +Damage, -Acc, 34 Shots, CoV Mag</v>
      </c>
      <c r="H241" s="102"/>
      <c r="I241" s="102"/>
      <c r="J241" s="102"/>
      <c r="K241" s="102"/>
      <c r="L241" s="102"/>
    </row>
    <row r="242">
      <c r="A242" s="102" t="str">
        <f>IFERROR(__xludf.DUMMYFUNCTION("""COMPUTED_VALUE"""),"Daedalus")</f>
        <v>Daedalus</v>
      </c>
      <c r="B242" s="102" t="str">
        <f>IFERROR(__xludf.DUMMYFUNCTION("""COMPUTED_VALUE"""),"SMG")</f>
        <v>SMG</v>
      </c>
      <c r="C242" s="103">
        <f>IFERROR(__xludf.DUMMYFUNCTION("""COMPUTED_VALUE"""),17.0)</f>
        <v>17</v>
      </c>
      <c r="D242" s="102" t="str">
        <f>IFERROR(__xludf.DUMMYFUNCTION("""COMPUTED_VALUE"""),"Magazine")</f>
        <v>Magazine</v>
      </c>
      <c r="E242" s="102" t="str">
        <f>IFERROR(__xludf.DUMMYFUNCTION("""COMPUTED_VALUE"""),"DAD_SM.part_mag_05_borg")</f>
        <v>DAD_SM.part_mag_05_borg</v>
      </c>
      <c r="F242" s="102"/>
      <c r="G242" s="102" t="str">
        <f>IFERROR(__xludf.DUMMYFUNCTION("""COMPUTED_VALUE"""),"2.1s Reload, +Fire Rate, 32 Shots, Ripper Mag")</f>
        <v>2.1s Reload, +Fire Rate, 32 Shots, Ripper Mag</v>
      </c>
      <c r="H242" s="102"/>
      <c r="I242" s="102"/>
      <c r="J242" s="102"/>
      <c r="K242" s="102"/>
      <c r="L242" s="102"/>
    </row>
    <row r="243">
      <c r="A243" s="102" t="str">
        <f>IFERROR(__xludf.DUMMYFUNCTION("""COMPUTED_VALUE"""),"Daedalus")</f>
        <v>Daedalus</v>
      </c>
      <c r="B243" s="102" t="str">
        <f>IFERROR(__xludf.DUMMYFUNCTION("""COMPUTED_VALUE"""),"SMG")</f>
        <v>SMG</v>
      </c>
      <c r="C243" s="103">
        <f>IFERROR(__xludf.DUMMYFUNCTION("""COMPUTED_VALUE"""),18.0)</f>
        <v>18</v>
      </c>
      <c r="D243" s="102" t="str">
        <f>IFERROR(__xludf.DUMMYFUNCTION("""COMPUTED_VALUE"""),"Manufacturer Part")</f>
        <v>Manufacturer Part</v>
      </c>
      <c r="E243" s="102" t="str">
        <f>IFERROR(__xludf.DUMMYFUNCTION("""COMPUTED_VALUE"""),"DAD_SM.part_mag_torgue_normal")</f>
        <v>DAD_SM.part_mag_torgue_normal</v>
      </c>
      <c r="F243" s="102"/>
      <c r="G243" s="102" t="str">
        <f>IFERROR(__xludf.DUMMYFUNCTION("""COMPUTED_VALUE"""),"Torgue Impact Gyrojets")</f>
        <v>Torgue Impact Gyrojets</v>
      </c>
      <c r="H243" s="102"/>
      <c r="I243" s="102"/>
      <c r="J243" s="102"/>
      <c r="K243" s="102"/>
      <c r="L243" s="102"/>
    </row>
    <row r="244">
      <c r="A244" s="102" t="str">
        <f>IFERROR(__xludf.DUMMYFUNCTION("""COMPUTED_VALUE"""),"Daedalus")</f>
        <v>Daedalus</v>
      </c>
      <c r="B244" s="102" t="str">
        <f>IFERROR(__xludf.DUMMYFUNCTION("""COMPUTED_VALUE"""),"SMG")</f>
        <v>SMG</v>
      </c>
      <c r="C244" s="103">
        <f>IFERROR(__xludf.DUMMYFUNCTION("""COMPUTED_VALUE"""),19.0)</f>
        <v>19</v>
      </c>
      <c r="D244" s="102" t="str">
        <f>IFERROR(__xludf.DUMMYFUNCTION("""COMPUTED_VALUE"""),"Manufacturer Part")</f>
        <v>Manufacturer Part</v>
      </c>
      <c r="E244" s="102" t="str">
        <f>IFERROR(__xludf.DUMMYFUNCTION("""COMPUTED_VALUE"""),"DAD_SM.part_mag_torgue_sticky")</f>
        <v>DAD_SM.part_mag_torgue_sticky</v>
      </c>
      <c r="F244" s="102"/>
      <c r="G244" s="102" t="str">
        <f>IFERROR(__xludf.DUMMYFUNCTION("""COMPUTED_VALUE"""),"Torgue Sticky Gyrojets")</f>
        <v>Torgue Sticky Gyrojets</v>
      </c>
      <c r="H244" s="102"/>
      <c r="I244" s="102"/>
      <c r="J244" s="102"/>
      <c r="K244" s="102"/>
      <c r="L244" s="102"/>
    </row>
    <row r="245">
      <c r="A245" s="102" t="str">
        <f>IFERROR(__xludf.DUMMYFUNCTION("""COMPUTED_VALUE"""),"Daedalus")</f>
        <v>Daedalus</v>
      </c>
      <c r="B245" s="102" t="str">
        <f>IFERROR(__xludf.DUMMYFUNCTION("""COMPUTED_VALUE"""),"SMG")</f>
        <v>SMG</v>
      </c>
      <c r="C245" s="103">
        <f>IFERROR(__xludf.DUMMYFUNCTION("""COMPUTED_VALUE"""),20.0)</f>
        <v>20</v>
      </c>
      <c r="D245" s="102" t="str">
        <f>IFERROR(__xludf.DUMMYFUNCTION("""COMPUTED_VALUE"""),"Stat Modifier")</f>
        <v>Stat Modifier</v>
      </c>
      <c r="E245" s="102" t="str">
        <f>IFERROR(__xludf.DUMMYFUNCTION("""COMPUTED_VALUE"""),"DAD_SM.part_mag_ted_thrown_01")</f>
        <v>DAD_SM.part_mag_ted_thrown_01</v>
      </c>
      <c r="F245" s="102"/>
      <c r="G245" s="102" t="str">
        <f>IFERROR(__xludf.DUMMYFUNCTION("""COMPUTED_VALUE"""),"1.6s Reload")</f>
        <v>1.6s Reload</v>
      </c>
      <c r="H245" s="102"/>
      <c r="I245" s="102"/>
      <c r="J245" s="102"/>
      <c r="K245" s="102"/>
      <c r="L245" s="102"/>
    </row>
    <row r="246">
      <c r="A246" s="102" t="str">
        <f>IFERROR(__xludf.DUMMYFUNCTION("""COMPUTED_VALUE"""),"Daedalus")</f>
        <v>Daedalus</v>
      </c>
      <c r="B246" s="102" t="str">
        <f>IFERROR(__xludf.DUMMYFUNCTION("""COMPUTED_VALUE"""),"SMG")</f>
        <v>SMG</v>
      </c>
      <c r="C246" s="103">
        <f>IFERROR(__xludf.DUMMYFUNCTION("""COMPUTED_VALUE"""),21.0)</f>
        <v>21</v>
      </c>
      <c r="D246" s="102" t="str">
        <f>IFERROR(__xludf.DUMMYFUNCTION("""COMPUTED_VALUE"""),"Stat Modifier")</f>
        <v>Stat Modifier</v>
      </c>
      <c r="E246" s="102" t="str">
        <f>IFERROR(__xludf.DUMMYFUNCTION("""COMPUTED_VALUE"""),"DAD_SM.part_mag_ted_thrown_02")</f>
        <v>DAD_SM.part_mag_ted_thrown_02</v>
      </c>
      <c r="F246" s="102"/>
      <c r="G246" s="102" t="str">
        <f>IFERROR(__xludf.DUMMYFUNCTION("""COMPUTED_VALUE"""),"1.6s Reload")</f>
        <v>1.6s Reload</v>
      </c>
      <c r="H246" s="102"/>
      <c r="I246" s="102"/>
      <c r="J246" s="102"/>
      <c r="K246" s="102"/>
      <c r="L246" s="102"/>
    </row>
    <row r="247">
      <c r="A247" s="102" t="str">
        <f>IFERROR(__xludf.DUMMYFUNCTION("""COMPUTED_VALUE"""),"Daedalus")</f>
        <v>Daedalus</v>
      </c>
      <c r="B247" s="102" t="str">
        <f>IFERROR(__xludf.DUMMYFUNCTION("""COMPUTED_VALUE"""),"SMG")</f>
        <v>SMG</v>
      </c>
      <c r="C247" s="103">
        <f>IFERROR(__xludf.DUMMYFUNCTION("""COMPUTED_VALUE"""),22.0)</f>
        <v>22</v>
      </c>
      <c r="D247" s="102" t="str">
        <f>IFERROR(__xludf.DUMMYFUNCTION("""COMPUTED_VALUE"""),"Stat Modifier")</f>
        <v>Stat Modifier</v>
      </c>
      <c r="E247" s="102" t="str">
        <f>IFERROR(__xludf.DUMMYFUNCTION("""COMPUTED_VALUE"""),"DAD_SM.part_mag_ted_thrown_03_tor")</f>
        <v>DAD_SM.part_mag_ted_thrown_03_tor</v>
      </c>
      <c r="F247" s="102"/>
      <c r="G247" s="102" t="str">
        <f>IFERROR(__xludf.DUMMYFUNCTION("""COMPUTED_VALUE"""),"1.6s Reload")</f>
        <v>1.6s Reload</v>
      </c>
      <c r="H247" s="102"/>
      <c r="I247" s="102"/>
      <c r="J247" s="102"/>
      <c r="K247" s="102"/>
      <c r="L247" s="102"/>
    </row>
    <row r="248">
      <c r="A248" s="102" t="str">
        <f>IFERROR(__xludf.DUMMYFUNCTION("""COMPUTED_VALUE"""),"Daedalus")</f>
        <v>Daedalus</v>
      </c>
      <c r="B248" s="102" t="str">
        <f>IFERROR(__xludf.DUMMYFUNCTION("""COMPUTED_VALUE"""),"SMG")</f>
        <v>SMG</v>
      </c>
      <c r="C248" s="103">
        <f>IFERROR(__xludf.DUMMYFUNCTION("""COMPUTED_VALUE"""),23.0)</f>
        <v>23</v>
      </c>
      <c r="D248" s="102" t="str">
        <f>IFERROR(__xludf.DUMMYFUNCTION("""COMPUTED_VALUE"""),"Stat Modifier")</f>
        <v>Stat Modifier</v>
      </c>
      <c r="E248" s="102" t="str">
        <f>IFERROR(__xludf.DUMMYFUNCTION("""COMPUTED_VALUE"""),"DAD_SM.part_mag_ted_thrown_04_cov")</f>
        <v>DAD_SM.part_mag_ted_thrown_04_cov</v>
      </c>
      <c r="F248" s="102"/>
      <c r="G248" s="102" t="str">
        <f>IFERROR(__xludf.DUMMYFUNCTION("""COMPUTED_VALUE"""),"3.0s Reload")</f>
        <v>3.0s Reload</v>
      </c>
      <c r="H248" s="102"/>
      <c r="I248" s="102"/>
      <c r="J248" s="102"/>
      <c r="K248" s="102"/>
      <c r="L248" s="102"/>
    </row>
    <row r="249">
      <c r="A249" s="102" t="str">
        <f>IFERROR(__xludf.DUMMYFUNCTION("""COMPUTED_VALUE"""),"Daedalus")</f>
        <v>Daedalus</v>
      </c>
      <c r="B249" s="102" t="str">
        <f>IFERROR(__xludf.DUMMYFUNCTION("""COMPUTED_VALUE"""),"SMG")</f>
        <v>SMG</v>
      </c>
      <c r="C249" s="103">
        <f>IFERROR(__xludf.DUMMYFUNCTION("""COMPUTED_VALUE"""),24.0)</f>
        <v>24</v>
      </c>
      <c r="D249" s="102" t="str">
        <f>IFERROR(__xludf.DUMMYFUNCTION("""COMPUTED_VALUE"""),"Stat Modifier")</f>
        <v>Stat Modifier</v>
      </c>
      <c r="E249" s="102" t="str">
        <f>IFERROR(__xludf.DUMMYFUNCTION("""COMPUTED_VALUE"""),"DAD_SM.part_mag_ted_thrown_05_bor")</f>
        <v>DAD_SM.part_mag_ted_thrown_05_bor</v>
      </c>
      <c r="F249" s="102"/>
      <c r="G249" s="102" t="str">
        <f>IFERROR(__xludf.DUMMYFUNCTION("""COMPUTED_VALUE"""),"3.0s Reload")</f>
        <v>3.0s Reload</v>
      </c>
      <c r="H249" s="102"/>
      <c r="I249" s="102"/>
      <c r="J249" s="102"/>
      <c r="K249" s="102"/>
      <c r="L249" s="102"/>
    </row>
    <row r="250">
      <c r="A250" s="102" t="str">
        <f>IFERROR(__xludf.DUMMYFUNCTION("""COMPUTED_VALUE"""),"Daedalus")</f>
        <v>Daedalus</v>
      </c>
      <c r="B250" s="102" t="str">
        <f>IFERROR(__xludf.DUMMYFUNCTION("""COMPUTED_VALUE"""),"SMG")</f>
        <v>SMG</v>
      </c>
      <c r="C250" s="103">
        <f>IFERROR(__xludf.DUMMYFUNCTION("""COMPUTED_VALUE"""),25.0)</f>
        <v>25</v>
      </c>
      <c r="D250" s="102" t="str">
        <f>IFERROR(__xludf.DUMMYFUNCTION("""COMPUTED_VALUE"""),"Scope")</f>
        <v>Scope</v>
      </c>
      <c r="E250" s="102" t="str">
        <f>IFERROR(__xludf.DUMMYFUNCTION("""COMPUTED_VALUE"""),"DAD_SM.part_scope_02_lens_02")</f>
        <v>DAD_SM.part_scope_02_lens_02</v>
      </c>
      <c r="F250" s="102"/>
      <c r="G250" s="102" t="str">
        <f>IFERROR(__xludf.DUMMYFUNCTION("""COMPUTED_VALUE"""),"ADS ++Zoom")</f>
        <v>ADS ++Zoom</v>
      </c>
      <c r="H250" s="102" t="str">
        <f>IFERROR(__xludf.DUMMYFUNCTION("""COMPUTED_VALUE"""),"Mag Gauge")</f>
        <v>Mag Gauge</v>
      </c>
      <c r="I250" s="102"/>
      <c r="J250" s="102"/>
      <c r="K250" s="102"/>
      <c r="L250" s="102"/>
    </row>
    <row r="251">
      <c r="A251" s="102" t="str">
        <f>IFERROR(__xludf.DUMMYFUNCTION("""COMPUTED_VALUE"""),"Daedalus")</f>
        <v>Daedalus</v>
      </c>
      <c r="B251" s="102" t="str">
        <f>IFERROR(__xludf.DUMMYFUNCTION("""COMPUTED_VALUE"""),"SMG")</f>
        <v>SMG</v>
      </c>
      <c r="C251" s="103">
        <f>IFERROR(__xludf.DUMMYFUNCTION("""COMPUTED_VALUE"""),26.0)</f>
        <v>26</v>
      </c>
      <c r="D251" s="102" t="str">
        <f>IFERROR(__xludf.DUMMYFUNCTION("""COMPUTED_VALUE"""),"Scope")</f>
        <v>Scope</v>
      </c>
      <c r="E251" s="102" t="str">
        <f>IFERROR(__xludf.DUMMYFUNCTION("""COMPUTED_VALUE"""),"DAD_SM.part_scope_02_lens_01")</f>
        <v>DAD_SM.part_scope_02_lens_01</v>
      </c>
      <c r="F251" s="102"/>
      <c r="G251" s="102" t="str">
        <f>IFERROR(__xludf.DUMMYFUNCTION("""COMPUTED_VALUE"""),"ADS ++Zoom")</f>
        <v>ADS ++Zoom</v>
      </c>
      <c r="H251" s="102"/>
      <c r="I251" s="102"/>
      <c r="J251" s="102"/>
      <c r="K251" s="102"/>
      <c r="L251" s="102"/>
    </row>
    <row r="252">
      <c r="A252" s="102" t="str">
        <f>IFERROR(__xludf.DUMMYFUNCTION("""COMPUTED_VALUE"""),"Daedalus")</f>
        <v>Daedalus</v>
      </c>
      <c r="B252" s="102" t="str">
        <f>IFERROR(__xludf.DUMMYFUNCTION("""COMPUTED_VALUE"""),"SMG")</f>
        <v>SMG</v>
      </c>
      <c r="C252" s="103">
        <f>IFERROR(__xludf.DUMMYFUNCTION("""COMPUTED_VALUE"""),27.0)</f>
        <v>27</v>
      </c>
      <c r="D252" s="102" t="str">
        <f>IFERROR(__xludf.DUMMYFUNCTION("""COMPUTED_VALUE"""),"Scope")</f>
        <v>Scope</v>
      </c>
      <c r="E252" s="102" t="str">
        <f>IFERROR(__xludf.DUMMYFUNCTION("""COMPUTED_VALUE"""),"DAD_SM.part_scope_01_lens_02")</f>
        <v>DAD_SM.part_scope_01_lens_02</v>
      </c>
      <c r="F252" s="102"/>
      <c r="G252" s="102" t="str">
        <f>IFERROR(__xludf.DUMMYFUNCTION("""COMPUTED_VALUE"""),"ADS +Zoom")</f>
        <v>ADS +Zoom</v>
      </c>
      <c r="H252" s="102"/>
      <c r="I252" s="102"/>
      <c r="J252" s="102"/>
      <c r="K252" s="102"/>
      <c r="L252" s="102"/>
    </row>
    <row r="253">
      <c r="A253" s="102" t="str">
        <f>IFERROR(__xludf.DUMMYFUNCTION("""COMPUTED_VALUE"""),"Daedalus")</f>
        <v>Daedalus</v>
      </c>
      <c r="B253" s="102" t="str">
        <f>IFERROR(__xludf.DUMMYFUNCTION("""COMPUTED_VALUE"""),"SMG")</f>
        <v>SMG</v>
      </c>
      <c r="C253" s="103">
        <f>IFERROR(__xludf.DUMMYFUNCTION("""COMPUTED_VALUE"""),28.0)</f>
        <v>28</v>
      </c>
      <c r="D253" s="102" t="str">
        <f>IFERROR(__xludf.DUMMYFUNCTION("""COMPUTED_VALUE"""),"Scope")</f>
        <v>Scope</v>
      </c>
      <c r="E253" s="102" t="str">
        <f>IFERROR(__xludf.DUMMYFUNCTION("""COMPUTED_VALUE"""),"DAD_SM.part_scope_01_lens_01")</f>
        <v>DAD_SM.part_scope_01_lens_01</v>
      </c>
      <c r="F253" s="102"/>
      <c r="G253" s="102" t="str">
        <f>IFERROR(__xludf.DUMMYFUNCTION("""COMPUTED_VALUE"""),"ADS +Zoom")</f>
        <v>ADS +Zoom</v>
      </c>
      <c r="H253" s="102"/>
      <c r="I253" s="102"/>
      <c r="J253" s="102"/>
      <c r="K253" s="102"/>
      <c r="L253" s="102"/>
    </row>
    <row r="254">
      <c r="A254" s="102" t="str">
        <f>IFERROR(__xludf.DUMMYFUNCTION("""COMPUTED_VALUE"""),"Daedalus")</f>
        <v>Daedalus</v>
      </c>
      <c r="B254" s="102" t="str">
        <f>IFERROR(__xludf.DUMMYFUNCTION("""COMPUTED_VALUE"""),"SMG")</f>
        <v>SMG</v>
      </c>
      <c r="C254" s="103">
        <f>IFERROR(__xludf.DUMMYFUNCTION("""COMPUTED_VALUE"""),29.0)</f>
        <v>29</v>
      </c>
      <c r="D254" s="102" t="str">
        <f>IFERROR(__xludf.DUMMYFUNCTION("""COMPUTED_VALUE"""),"Scope")</f>
        <v>Scope</v>
      </c>
      <c r="E254" s="102" t="str">
        <f>IFERROR(__xludf.DUMMYFUNCTION("""COMPUTED_VALUE"""),"DAD_SM.part_scope_ironsight")</f>
        <v>DAD_SM.part_scope_ironsight</v>
      </c>
      <c r="F254" s="102"/>
      <c r="G254" s="102" t="str">
        <f>IFERROR(__xludf.DUMMYFUNCTION("""COMPUTED_VALUE"""),"ADS")</f>
        <v>ADS</v>
      </c>
      <c r="H254" s="102"/>
      <c r="I254" s="102"/>
      <c r="J254" s="102"/>
      <c r="K254" s="102"/>
      <c r="L254" s="102"/>
    </row>
    <row r="255">
      <c r="A255" s="102" t="str">
        <f>IFERROR(__xludf.DUMMYFUNCTION("""COMPUTED_VALUE"""),"Daedalus")</f>
        <v>Daedalus</v>
      </c>
      <c r="B255" s="102" t="str">
        <f>IFERROR(__xludf.DUMMYFUNCTION("""COMPUTED_VALUE"""),"SMG")</f>
        <v>SMG</v>
      </c>
      <c r="C255" s="103">
        <f>IFERROR(__xludf.DUMMYFUNCTION("""COMPUTED_VALUE"""),30.0)</f>
        <v>30</v>
      </c>
      <c r="D255" s="102" t="str">
        <f>IFERROR(__xludf.DUMMYFUNCTION("""COMPUTED_VALUE"""),"Scope Accessory")</f>
        <v>Scope Accessory</v>
      </c>
      <c r="E255" s="102" t="str">
        <f>IFERROR(__xludf.DUMMYFUNCTION("""COMPUTED_VALUE"""),"DAD_SM.part_scope_acc_s02_lb_b")</f>
        <v>DAD_SM.part_scope_acc_s02_lb_b</v>
      </c>
      <c r="F255" s="102"/>
      <c r="G255" s="102" t="str">
        <f>IFERROR(__xludf.DUMMYFUNCTION("""COMPUTED_VALUE"""),"+Damage")</f>
        <v>+Damage</v>
      </c>
      <c r="H255" s="102"/>
      <c r="I255" s="102"/>
      <c r="J255" s="102"/>
      <c r="K255" s="102"/>
      <c r="L255" s="102"/>
    </row>
    <row r="256">
      <c r="A256" s="102" t="str">
        <f>IFERROR(__xludf.DUMMYFUNCTION("""COMPUTED_VALUE"""),"Daedalus")</f>
        <v>Daedalus</v>
      </c>
      <c r="B256" s="102" t="str">
        <f>IFERROR(__xludf.DUMMYFUNCTION("""COMPUTED_VALUE"""),"SMG")</f>
        <v>SMG</v>
      </c>
      <c r="C256" s="103">
        <f>IFERROR(__xludf.DUMMYFUNCTION("""COMPUTED_VALUE"""),31.0)</f>
        <v>31</v>
      </c>
      <c r="D256" s="102" t="str">
        <f>IFERROR(__xludf.DUMMYFUNCTION("""COMPUTED_VALUE"""),"Scope Accessory")</f>
        <v>Scope Accessory</v>
      </c>
      <c r="E256" s="102" t="str">
        <f>IFERROR(__xludf.DUMMYFUNCTION("""COMPUTED_VALUE"""),"DAD_SM.part_scope_acc_s02_lb_a")</f>
        <v>DAD_SM.part_scope_acc_s02_lb_a</v>
      </c>
      <c r="F256" s="102"/>
      <c r="G256" s="102" t="str">
        <f>IFERROR(__xludf.DUMMYFUNCTION("""COMPUTED_VALUE"""),"+Damage")</f>
        <v>+Damage</v>
      </c>
      <c r="H256" s="102" t="str">
        <f>IFERROR(__xludf.DUMMYFUNCTION("""COMPUTED_VALUE"""),"Makes the lens black, can't see through it")</f>
        <v>Makes the lens black, can't see through it</v>
      </c>
      <c r="I256" s="102"/>
      <c r="J256" s="102"/>
      <c r="K256" s="102"/>
      <c r="L256" s="102"/>
    </row>
    <row r="257">
      <c r="A257" s="102" t="str">
        <f>IFERROR(__xludf.DUMMYFUNCTION("""COMPUTED_VALUE"""),"Daedalus")</f>
        <v>Daedalus</v>
      </c>
      <c r="B257" s="102" t="str">
        <f>IFERROR(__xludf.DUMMYFUNCTION("""COMPUTED_VALUE"""),"SMG")</f>
        <v>SMG</v>
      </c>
      <c r="C257" s="103">
        <f>IFERROR(__xludf.DUMMYFUNCTION("""COMPUTED_VALUE"""),32.0)</f>
        <v>32</v>
      </c>
      <c r="D257" s="102" t="str">
        <f>IFERROR(__xludf.DUMMYFUNCTION("""COMPUTED_VALUE"""),"Scope Accessory")</f>
        <v>Scope Accessory</v>
      </c>
      <c r="E257" s="102" t="str">
        <f>IFERROR(__xludf.DUMMYFUNCTION("""COMPUTED_VALUE"""),"DAD_SM.part_scope_acc_s01_l01_a")</f>
        <v>DAD_SM.part_scope_acc_s01_l01_a</v>
      </c>
      <c r="F257" s="102"/>
      <c r="G257" s="102" t="str">
        <f>IFERROR(__xludf.DUMMYFUNCTION("""COMPUTED_VALUE"""),"+Damage")</f>
        <v>+Damage</v>
      </c>
      <c r="H257" s="102"/>
      <c r="I257" s="102"/>
      <c r="J257" s="102"/>
      <c r="K257" s="102"/>
      <c r="L257" s="102"/>
    </row>
    <row r="258">
      <c r="A258" s="102" t="str">
        <f>IFERROR(__xludf.DUMMYFUNCTION("""COMPUTED_VALUE"""),"Daedalus")</f>
        <v>Daedalus</v>
      </c>
      <c r="B258" s="102" t="str">
        <f>IFERROR(__xludf.DUMMYFUNCTION("""COMPUTED_VALUE"""),"SMG")</f>
        <v>SMG</v>
      </c>
      <c r="C258" s="103">
        <f>IFERROR(__xludf.DUMMYFUNCTION("""COMPUTED_VALUE"""),33.0)</f>
        <v>33</v>
      </c>
      <c r="D258" s="102" t="str">
        <f>IFERROR(__xludf.DUMMYFUNCTION("""COMPUTED_VALUE"""),"Scope Accessory")</f>
        <v>Scope Accessory</v>
      </c>
      <c r="E258" s="102" t="str">
        <f>IFERROR(__xludf.DUMMYFUNCTION("""COMPUTED_VALUE"""),"DAD_SM.part_scope_acc_s01_l01_b")</f>
        <v>DAD_SM.part_scope_acc_s01_l01_b</v>
      </c>
      <c r="F258" s="102"/>
      <c r="G258" s="102" t="str">
        <f>IFERROR(__xludf.DUMMYFUNCTION("""COMPUTED_VALUE"""),"-Reload Speed")</f>
        <v>-Reload Speed</v>
      </c>
      <c r="H258" s="102"/>
      <c r="I258" s="102"/>
      <c r="J258" s="102"/>
      <c r="K258" s="102"/>
      <c r="L258" s="102"/>
    </row>
    <row r="259">
      <c r="A259" s="102" t="str">
        <f>IFERROR(__xludf.DUMMYFUNCTION("""COMPUTED_VALUE"""),"Daedalus")</f>
        <v>Daedalus</v>
      </c>
      <c r="B259" s="102" t="str">
        <f>IFERROR(__xludf.DUMMYFUNCTION("""COMPUTED_VALUE"""),"SMG")</f>
        <v>SMG</v>
      </c>
      <c r="C259" s="103">
        <f>IFERROR(__xludf.DUMMYFUNCTION("""COMPUTED_VALUE"""),34.0)</f>
        <v>34</v>
      </c>
      <c r="D259" s="102" t="str">
        <f>IFERROR(__xludf.DUMMYFUNCTION("""COMPUTED_VALUE"""),"Scope Accessory")</f>
        <v>Scope Accessory</v>
      </c>
      <c r="E259" s="102" t="str">
        <f>IFERROR(__xludf.DUMMYFUNCTION("""COMPUTED_VALUE"""),"DAD_SM.part_scope_acc_s01_l02_a")</f>
        <v>DAD_SM.part_scope_acc_s01_l02_a</v>
      </c>
      <c r="F259" s="102"/>
      <c r="G259" s="102" t="str">
        <f>IFERROR(__xludf.DUMMYFUNCTION("""COMPUTED_VALUE"""),"+Damage")</f>
        <v>+Damage</v>
      </c>
      <c r="H259" s="102"/>
      <c r="I259" s="102"/>
      <c r="J259" s="102"/>
      <c r="K259" s="102"/>
      <c r="L259" s="102"/>
    </row>
    <row r="260">
      <c r="A260" s="102" t="str">
        <f>IFERROR(__xludf.DUMMYFUNCTION("""COMPUTED_VALUE"""),"Daedalus")</f>
        <v>Daedalus</v>
      </c>
      <c r="B260" s="102" t="str">
        <f>IFERROR(__xludf.DUMMYFUNCTION("""COMPUTED_VALUE"""),"SMG")</f>
        <v>SMG</v>
      </c>
      <c r="C260" s="103">
        <f>IFERROR(__xludf.DUMMYFUNCTION("""COMPUTED_VALUE"""),35.0)</f>
        <v>35</v>
      </c>
      <c r="D260" s="102" t="str">
        <f>IFERROR(__xludf.DUMMYFUNCTION("""COMPUTED_VALUE"""),"Scope Accessory")</f>
        <v>Scope Accessory</v>
      </c>
      <c r="E260" s="102" t="str">
        <f>IFERROR(__xludf.DUMMYFUNCTION("""COMPUTED_VALUE"""),"DAD_SM.part_scope_acc_s01_l02_b")</f>
        <v>DAD_SM.part_scope_acc_s01_l02_b</v>
      </c>
      <c r="F260" s="102"/>
      <c r="G260" s="102" t="str">
        <f>IFERROR(__xludf.DUMMYFUNCTION("""COMPUTED_VALUE"""),"-Reload Speed")</f>
        <v>-Reload Speed</v>
      </c>
      <c r="H260" s="102"/>
      <c r="I260" s="102"/>
      <c r="J260" s="102"/>
      <c r="K260" s="102"/>
      <c r="L260" s="102"/>
    </row>
    <row r="261">
      <c r="A261" s="102" t="str">
        <f>IFERROR(__xludf.DUMMYFUNCTION("""COMPUTED_VALUE"""),"Daedalus")</f>
        <v>Daedalus</v>
      </c>
      <c r="B261" s="102" t="str">
        <f>IFERROR(__xludf.DUMMYFUNCTION("""COMPUTED_VALUE"""),"SMG")</f>
        <v>SMG</v>
      </c>
      <c r="C261" s="103">
        <f>IFERROR(__xludf.DUMMYFUNCTION("""COMPUTED_VALUE"""),36.0)</f>
        <v>36</v>
      </c>
      <c r="D261" s="102" t="str">
        <f>IFERROR(__xludf.DUMMYFUNCTION("""COMPUTED_VALUE"""),"Scope Accessory")</f>
        <v>Scope Accessory</v>
      </c>
      <c r="E261" s="102" t="str">
        <f>IFERROR(__xludf.DUMMYFUNCTION("""COMPUTED_VALUE"""),"DAD_SM.part_scope_acc_s02_l01_a")</f>
        <v>DAD_SM.part_scope_acc_s02_l01_a</v>
      </c>
      <c r="F261" s="102"/>
      <c r="G261" s="102" t="str">
        <f>IFERROR(__xludf.DUMMYFUNCTION("""COMPUTED_VALUE"""),"No Stat Changes")</f>
        <v>No Stat Changes</v>
      </c>
      <c r="H261" s="102" t="str">
        <f>IFERROR(__xludf.DUMMYFUNCTION("""COMPUTED_VALUE"""),"Mag Gauge")</f>
        <v>Mag Gauge</v>
      </c>
      <c r="I261" s="102"/>
      <c r="J261" s="102"/>
      <c r="K261" s="102"/>
      <c r="L261" s="102"/>
    </row>
    <row r="262">
      <c r="A262" s="102" t="str">
        <f>IFERROR(__xludf.DUMMYFUNCTION("""COMPUTED_VALUE"""),"Daedalus")</f>
        <v>Daedalus</v>
      </c>
      <c r="B262" s="102" t="str">
        <f>IFERROR(__xludf.DUMMYFUNCTION("""COMPUTED_VALUE"""),"SMG")</f>
        <v>SMG</v>
      </c>
      <c r="C262" s="103">
        <f>IFERROR(__xludf.DUMMYFUNCTION("""COMPUTED_VALUE"""),37.0)</f>
        <v>37</v>
      </c>
      <c r="D262" s="102" t="str">
        <f>IFERROR(__xludf.DUMMYFUNCTION("""COMPUTED_VALUE"""),"Scope Accessory")</f>
        <v>Scope Accessory</v>
      </c>
      <c r="E262" s="102" t="str">
        <f>IFERROR(__xludf.DUMMYFUNCTION("""COMPUTED_VALUE"""),"DAD_SM.part_scope_acc_s02_l01_b")</f>
        <v>DAD_SM.part_scope_acc_s02_l01_b</v>
      </c>
      <c r="F262" s="102"/>
      <c r="G262" s="102" t="str">
        <f>IFERROR(__xludf.DUMMYFUNCTION("""COMPUTED_VALUE"""),"+Crit Damage")</f>
        <v>+Crit Damage</v>
      </c>
      <c r="H262" s="102" t="str">
        <f>IFERROR(__xludf.DUMMYFUNCTION("""COMPUTED_VALUE"""),"Mag Gauge")</f>
        <v>Mag Gauge</v>
      </c>
      <c r="I262" s="102"/>
      <c r="J262" s="102"/>
      <c r="K262" s="102"/>
      <c r="L262" s="102"/>
    </row>
    <row r="263">
      <c r="A263" s="102" t="str">
        <f>IFERROR(__xludf.DUMMYFUNCTION("""COMPUTED_VALUE"""),"Daedalus")</f>
        <v>Daedalus</v>
      </c>
      <c r="B263" s="102" t="str">
        <f>IFERROR(__xludf.DUMMYFUNCTION("""COMPUTED_VALUE"""),"SMG")</f>
        <v>SMG</v>
      </c>
      <c r="C263" s="103">
        <f>IFERROR(__xludf.DUMMYFUNCTION("""COMPUTED_VALUE"""),38.0)</f>
        <v>38</v>
      </c>
      <c r="D263" s="102" t="str">
        <f>IFERROR(__xludf.DUMMYFUNCTION("""COMPUTED_VALUE"""),"Scope Accessory")</f>
        <v>Scope Accessory</v>
      </c>
      <c r="E263" s="102" t="str">
        <f>IFERROR(__xludf.DUMMYFUNCTION("""COMPUTED_VALUE"""),"DAD_SM.part_scope_acc_s02_l02_a")</f>
        <v>DAD_SM.part_scope_acc_s02_l02_a</v>
      </c>
      <c r="F263" s="102"/>
      <c r="G263" s="102" t="str">
        <f>IFERROR(__xludf.DUMMYFUNCTION("""COMPUTED_VALUE"""),"No Stat Changes")</f>
        <v>No Stat Changes</v>
      </c>
      <c r="H263" s="102"/>
      <c r="I263" s="102"/>
      <c r="J263" s="102"/>
      <c r="K263" s="102"/>
      <c r="L263" s="102"/>
    </row>
    <row r="264">
      <c r="A264" s="102" t="str">
        <f>IFERROR(__xludf.DUMMYFUNCTION("""COMPUTED_VALUE"""),"Daedalus")</f>
        <v>Daedalus</v>
      </c>
      <c r="B264" s="102" t="str">
        <f>IFERROR(__xludf.DUMMYFUNCTION("""COMPUTED_VALUE"""),"SMG")</f>
        <v>SMG</v>
      </c>
      <c r="C264" s="103">
        <f>IFERROR(__xludf.DUMMYFUNCTION("""COMPUTED_VALUE"""),39.0)</f>
        <v>39</v>
      </c>
      <c r="D264" s="102" t="str">
        <f>IFERROR(__xludf.DUMMYFUNCTION("""COMPUTED_VALUE"""),"Scope Accessory")</f>
        <v>Scope Accessory</v>
      </c>
      <c r="E264" s="102" t="str">
        <f>IFERROR(__xludf.DUMMYFUNCTION("""COMPUTED_VALUE"""),"DAD_SM.part_scope_acc_s02_l02_b")</f>
        <v>DAD_SM.part_scope_acc_s02_l02_b</v>
      </c>
      <c r="F264" s="102"/>
      <c r="G264" s="102" t="str">
        <f>IFERROR(__xludf.DUMMYFUNCTION("""COMPUTED_VALUE"""),"+Crit Damage")</f>
        <v>+Crit Damage</v>
      </c>
      <c r="H264" s="102"/>
      <c r="I264" s="102"/>
      <c r="J264" s="102"/>
      <c r="K264" s="102"/>
      <c r="L264" s="102"/>
    </row>
    <row r="265">
      <c r="A265" s="102" t="str">
        <f>IFERROR(__xludf.DUMMYFUNCTION("""COMPUTED_VALUE"""),"Daedalus")</f>
        <v>Daedalus</v>
      </c>
      <c r="B265" s="102" t="str">
        <f>IFERROR(__xludf.DUMMYFUNCTION("""COMPUTED_VALUE"""),"SMG")</f>
        <v>SMG</v>
      </c>
      <c r="C265" s="103">
        <f>IFERROR(__xludf.DUMMYFUNCTION("""COMPUTED_VALUE"""),40.0)</f>
        <v>40</v>
      </c>
      <c r="D265" s="102" t="str">
        <f>IFERROR(__xludf.DUMMYFUNCTION("""COMPUTED_VALUE"""),"Grip")</f>
        <v>Grip</v>
      </c>
      <c r="E265" s="102" t="str">
        <f>IFERROR(__xludf.DUMMYFUNCTION("""COMPUTED_VALUE"""),"DAD_SM.part_grip_05a_ted_legs")</f>
        <v>DAD_SM.part_grip_05a_ted_legs</v>
      </c>
      <c r="F265" s="102"/>
      <c r="G265" s="102" t="str">
        <f>IFERROR(__xludf.DUMMYFUNCTION("""COMPUTED_VALUE"""),"Tediore reload modifier: Legs, no stat changes")</f>
        <v>Tediore reload modifier: Legs, no stat changes</v>
      </c>
      <c r="H265" s="102"/>
      <c r="I265" s="102"/>
      <c r="J265" s="102"/>
      <c r="K265" s="102"/>
      <c r="L265" s="102"/>
    </row>
    <row r="266">
      <c r="A266" s="102" t="str">
        <f>IFERROR(__xludf.DUMMYFUNCTION("""COMPUTED_VALUE"""),"Daedalus")</f>
        <v>Daedalus</v>
      </c>
      <c r="B266" s="102" t="str">
        <f>IFERROR(__xludf.DUMMYFUNCTION("""COMPUTED_VALUE"""),"SMG")</f>
        <v>SMG</v>
      </c>
      <c r="C266" s="103">
        <f>IFERROR(__xludf.DUMMYFUNCTION("""COMPUTED_VALUE"""),41.0)</f>
        <v>41</v>
      </c>
      <c r="D266" s="102" t="str">
        <f>IFERROR(__xludf.DUMMYFUNCTION("""COMPUTED_VALUE"""),"Grip")</f>
        <v>Grip</v>
      </c>
      <c r="E266" s="102" t="str">
        <f>IFERROR(__xludf.DUMMYFUNCTION("""COMPUTED_VALUE"""),"DAD_SM.part_grip_05c_ted_jav")</f>
        <v>DAD_SM.part_grip_05c_ted_jav</v>
      </c>
      <c r="F266" s="102"/>
      <c r="G266" s="102" t="str">
        <f>IFERROR(__xludf.DUMMYFUNCTION("""COMPUTED_VALUE"""),"Tediore reload modifier: Javelin, no stat changes")</f>
        <v>Tediore reload modifier: Javelin, no stat changes</v>
      </c>
      <c r="H266" s="102"/>
      <c r="I266" s="102"/>
      <c r="J266" s="102"/>
      <c r="K266" s="102"/>
      <c r="L266" s="102"/>
    </row>
    <row r="267">
      <c r="A267" s="102" t="str">
        <f>IFERROR(__xludf.DUMMYFUNCTION("""COMPUTED_VALUE"""),"Daedalus")</f>
        <v>Daedalus</v>
      </c>
      <c r="B267" s="102" t="str">
        <f>IFERROR(__xludf.DUMMYFUNCTION("""COMPUTED_VALUE"""),"SMG")</f>
        <v>SMG</v>
      </c>
      <c r="C267" s="103">
        <f>IFERROR(__xludf.DUMMYFUNCTION("""COMPUTED_VALUE"""),42.0)</f>
        <v>42</v>
      </c>
      <c r="D267" s="102" t="str">
        <f>IFERROR(__xludf.DUMMYFUNCTION("""COMPUTED_VALUE"""),"Grip")</f>
        <v>Grip</v>
      </c>
      <c r="E267" s="102" t="str">
        <f>IFERROR(__xludf.DUMMYFUNCTION("""COMPUTED_VALUE"""),"DAD_SM.part_grip_05b_ted_homing")</f>
        <v>DAD_SM.part_grip_05b_ted_homing</v>
      </c>
      <c r="F267" s="102"/>
      <c r="G267" s="102" t="str">
        <f>IFERROR(__xludf.DUMMYFUNCTION("""COMPUTED_VALUE"""),"Tediore reload modifier: Homing, no stat changes")</f>
        <v>Tediore reload modifier: Homing, no stat changes</v>
      </c>
      <c r="H267" s="102"/>
      <c r="I267" s="102"/>
      <c r="J267" s="102"/>
      <c r="K267" s="102"/>
      <c r="L267" s="102"/>
    </row>
    <row r="268">
      <c r="A268" s="102" t="str">
        <f>IFERROR(__xludf.DUMMYFUNCTION("""COMPUTED_VALUE"""),"Daedalus")</f>
        <v>Daedalus</v>
      </c>
      <c r="B268" s="102" t="str">
        <f>IFERROR(__xludf.DUMMYFUNCTION("""COMPUTED_VALUE"""),"SMG")</f>
        <v>SMG</v>
      </c>
      <c r="C268" s="103">
        <f>IFERROR(__xludf.DUMMYFUNCTION("""COMPUTED_VALUE"""),43.0)</f>
        <v>43</v>
      </c>
      <c r="D268" s="102" t="str">
        <f>IFERROR(__xludf.DUMMYFUNCTION("""COMPUTED_VALUE"""),"Grip")</f>
        <v>Grip</v>
      </c>
      <c r="E268" s="102" t="str">
        <f>IFERROR(__xludf.DUMMYFUNCTION("""COMPUTED_VALUE"""),"DAD_SM.part_grip_04_hyp")</f>
        <v>DAD_SM.part_grip_04_hyp</v>
      </c>
      <c r="F268" s="102"/>
      <c r="G268" s="102" t="str">
        <f>IFERROR(__xludf.DUMMYFUNCTION("""COMPUTED_VALUE"""),"Hyperion Grip, -Acc, Acc increases with continuous fire")</f>
        <v>Hyperion Grip, -Acc, Acc increases with continuous fire</v>
      </c>
      <c r="H268" s="102"/>
      <c r="I268" s="102"/>
      <c r="J268" s="102"/>
      <c r="K268" s="102"/>
      <c r="L268" s="102"/>
    </row>
    <row r="269">
      <c r="A269" s="102" t="str">
        <f>IFERROR(__xludf.DUMMYFUNCTION("""COMPUTED_VALUE"""),"Daedalus")</f>
        <v>Daedalus</v>
      </c>
      <c r="B269" s="102" t="str">
        <f>IFERROR(__xludf.DUMMYFUNCTION("""COMPUTED_VALUE"""),"SMG")</f>
        <v>SMG</v>
      </c>
      <c r="C269" s="103">
        <f>IFERROR(__xludf.DUMMYFUNCTION("""COMPUTED_VALUE"""),44.0)</f>
        <v>44</v>
      </c>
      <c r="D269" s="102" t="str">
        <f>IFERROR(__xludf.DUMMYFUNCTION("""COMPUTED_VALUE"""),"Grip")</f>
        <v>Grip</v>
      </c>
      <c r="E269" s="102" t="str">
        <f>IFERROR(__xludf.DUMMYFUNCTION("""COMPUTED_VALUE"""),"DAD_SM.part_grip_01")</f>
        <v>DAD_SM.part_grip_01</v>
      </c>
      <c r="F269" s="102"/>
      <c r="G269" s="102" t="str">
        <f>IFERROR(__xludf.DUMMYFUNCTION("""COMPUTED_VALUE"""),"+Damage")</f>
        <v>+Damage</v>
      </c>
      <c r="H269" s="102"/>
      <c r="I269" s="102"/>
      <c r="J269" s="102"/>
      <c r="K269" s="102"/>
      <c r="L269" s="102"/>
    </row>
    <row r="270">
      <c r="A270" s="102" t="str">
        <f>IFERROR(__xludf.DUMMYFUNCTION("""COMPUTED_VALUE"""),"Daedalus")</f>
        <v>Daedalus</v>
      </c>
      <c r="B270" s="102" t="str">
        <f>IFERROR(__xludf.DUMMYFUNCTION("""COMPUTED_VALUE"""),"SMG")</f>
        <v>SMG</v>
      </c>
      <c r="C270" s="103">
        <f>IFERROR(__xludf.DUMMYFUNCTION("""COMPUTED_VALUE"""),45.0)</f>
        <v>45</v>
      </c>
      <c r="D270" s="102" t="str">
        <f>IFERROR(__xludf.DUMMYFUNCTION("""COMPUTED_VALUE"""),"Grip")</f>
        <v>Grip</v>
      </c>
      <c r="E270" s="102" t="str">
        <f>IFERROR(__xludf.DUMMYFUNCTION("""COMPUTED_VALUE"""),"DAD_SM.part_grip_02")</f>
        <v>DAD_SM.part_grip_02</v>
      </c>
      <c r="F270" s="102"/>
      <c r="G270" s="102" t="str">
        <f>IFERROR(__xludf.DUMMYFUNCTION("""COMPUTED_VALUE"""),"+Fire Rate")</f>
        <v>+Fire Rate</v>
      </c>
      <c r="H270" s="102"/>
      <c r="I270" s="102"/>
      <c r="J270" s="102"/>
      <c r="K270" s="102"/>
      <c r="L270" s="102"/>
    </row>
    <row r="271">
      <c r="A271" s="102" t="str">
        <f>IFERROR(__xludf.DUMMYFUNCTION("""COMPUTED_VALUE"""),"Daedalus")</f>
        <v>Daedalus</v>
      </c>
      <c r="B271" s="102" t="str">
        <f>IFERROR(__xludf.DUMMYFUNCTION("""COMPUTED_VALUE"""),"SMG")</f>
        <v>SMG</v>
      </c>
      <c r="C271" s="103">
        <f>IFERROR(__xludf.DUMMYFUNCTION("""COMPUTED_VALUE"""),46.0)</f>
        <v>46</v>
      </c>
      <c r="D271" s="102" t="str">
        <f>IFERROR(__xludf.DUMMYFUNCTION("""COMPUTED_VALUE"""),"Grip")</f>
        <v>Grip</v>
      </c>
      <c r="E271" s="102" t="str">
        <f>IFERROR(__xludf.DUMMYFUNCTION("""COMPUTED_VALUE"""),"DAD_SM.part_grip_03")</f>
        <v>DAD_SM.part_grip_03</v>
      </c>
      <c r="F271" s="102"/>
      <c r="G271" s="102" t="str">
        <f>IFERROR(__xludf.DUMMYFUNCTION("""COMPUTED_VALUE"""),"-Reload Speed")</f>
        <v>-Reload Speed</v>
      </c>
      <c r="H271" s="102"/>
      <c r="I271" s="102"/>
      <c r="J271" s="102"/>
      <c r="K271" s="102"/>
      <c r="L271" s="102"/>
    </row>
    <row r="272">
      <c r="A272" s="102" t="str">
        <f>IFERROR(__xludf.DUMMYFUNCTION("""COMPUTED_VALUE"""),"Daedalus")</f>
        <v>Daedalus</v>
      </c>
      <c r="B272" s="102" t="str">
        <f>IFERROR(__xludf.DUMMYFUNCTION("""COMPUTED_VALUE"""),"SMG")</f>
        <v>SMG</v>
      </c>
      <c r="C272" s="103">
        <f>IFERROR(__xludf.DUMMYFUNCTION("""COMPUTED_VALUE"""),47.0)</f>
        <v>47</v>
      </c>
      <c r="D272" s="102" t="str">
        <f>IFERROR(__xludf.DUMMYFUNCTION("""COMPUTED_VALUE"""),"Underbarrel")</f>
        <v>Underbarrel</v>
      </c>
      <c r="E272" s="102" t="str">
        <f>IFERROR(__xludf.DUMMYFUNCTION("""COMPUTED_VALUE"""),"DAD_SM.part_underbarrel_06_malswitch")</f>
        <v>DAD_SM.part_underbarrel_06_malswitch</v>
      </c>
      <c r="F272" s="102"/>
      <c r="G272" s="102" t="str">
        <f>IFERROR(__xludf.DUMMYFUNCTION("""COMPUTED_VALUE"""),"Maliwan Element Switch")</f>
        <v>Maliwan Element Switch</v>
      </c>
      <c r="H272" s="102" t="str">
        <f>IFERROR(__xludf.DUMMYFUNCTION("""COMPUTED_VALUE"""),"Used for Maliwan elemental switch")</f>
        <v>Used for Maliwan elemental switch</v>
      </c>
      <c r="I272" s="102"/>
      <c r="J272" s="102"/>
      <c r="K272" s="102"/>
      <c r="L272" s="102"/>
    </row>
    <row r="273">
      <c r="A273" s="102" t="str">
        <f>IFERROR(__xludf.DUMMYFUNCTION("""COMPUTED_VALUE"""),"Daedalus")</f>
        <v>Daedalus</v>
      </c>
      <c r="B273" s="102" t="str">
        <f>IFERROR(__xludf.DUMMYFUNCTION("""COMPUTED_VALUE"""),"SMG")</f>
        <v>SMG</v>
      </c>
      <c r="C273" s="103">
        <f>IFERROR(__xludf.DUMMYFUNCTION("""COMPUTED_VALUE"""),48.0)</f>
        <v>48</v>
      </c>
      <c r="D273" s="102" t="str">
        <f>IFERROR(__xludf.DUMMYFUNCTION("""COMPUTED_VALUE"""),"Underbarrel")</f>
        <v>Underbarrel</v>
      </c>
      <c r="E273" s="102" t="str">
        <f>IFERROR(__xludf.DUMMYFUNCTION("""COMPUTED_VALUE"""),"DAD_SM.part_underbarrel_02_shotgun")</f>
        <v>DAD_SM.part_underbarrel_02_shotgun</v>
      </c>
      <c r="F273" s="102"/>
      <c r="G273" s="102" t="str">
        <f>IFERROR(__xludf.DUMMYFUNCTION("""COMPUTED_VALUE"""),"Alt Fire - Shotgun")</f>
        <v>Alt Fire - Shotgun</v>
      </c>
      <c r="H273" s="102"/>
      <c r="I273" s="102"/>
      <c r="J273" s="102"/>
      <c r="K273" s="102"/>
      <c r="L273" s="102"/>
    </row>
    <row r="274">
      <c r="A274" s="102" t="str">
        <f>IFERROR(__xludf.DUMMYFUNCTION("""COMPUTED_VALUE"""),"Daedalus")</f>
        <v>Daedalus</v>
      </c>
      <c r="B274" s="102" t="str">
        <f>IFERROR(__xludf.DUMMYFUNCTION("""COMPUTED_VALUE"""),"SMG")</f>
        <v>SMG</v>
      </c>
      <c r="C274" s="103">
        <f>IFERROR(__xludf.DUMMYFUNCTION("""COMPUTED_VALUE"""),49.0)</f>
        <v>49</v>
      </c>
      <c r="D274" s="102" t="str">
        <f>IFERROR(__xludf.DUMMYFUNCTION("""COMPUTED_VALUE"""),"Underbarrel")</f>
        <v>Underbarrel</v>
      </c>
      <c r="E274" s="102" t="str">
        <f>IFERROR(__xludf.DUMMYFUNCTION("""COMPUTED_VALUE"""),"DAD_SM.part_underbarrel_03_overcharge")</f>
        <v>DAD_SM.part_underbarrel_03_overcharge</v>
      </c>
      <c r="F274" s="102"/>
      <c r="G274" s="102" t="str">
        <f>IFERROR(__xludf.DUMMYFUNCTION("""COMPUTED_VALUE"""),"Alt Fire - Overcharge")</f>
        <v>Alt Fire - Overcharge</v>
      </c>
      <c r="H274" s="102" t="str">
        <f>IFERROR(__xludf.DUMMYFUNCTION("""COMPUTED_VALUE"""),"Increases Burst Count to 6 and Fire Rate to 11")</f>
        <v>Increases Burst Count to 6 and Fire Rate to 11</v>
      </c>
      <c r="I274" s="102"/>
      <c r="J274" s="102"/>
      <c r="K274" s="102"/>
      <c r="L274" s="102"/>
    </row>
    <row r="275">
      <c r="A275" s="102" t="str">
        <f>IFERROR(__xludf.DUMMYFUNCTION("""COMPUTED_VALUE"""),"Daedalus")</f>
        <v>Daedalus</v>
      </c>
      <c r="B275" s="102" t="str">
        <f>IFERROR(__xludf.DUMMYFUNCTION("""COMPUTED_VALUE"""),"SMG")</f>
        <v>SMG</v>
      </c>
      <c r="C275" s="103">
        <f>IFERROR(__xludf.DUMMYFUNCTION("""COMPUTED_VALUE"""),50.0)</f>
        <v>50</v>
      </c>
      <c r="D275" s="102" t="str">
        <f>IFERROR(__xludf.DUMMYFUNCTION("""COMPUTED_VALUE"""),"Underbarrel")</f>
        <v>Underbarrel</v>
      </c>
      <c r="E275" s="102" t="str">
        <f>IFERROR(__xludf.DUMMYFUNCTION("""COMPUTED_VALUE"""),"DAD_SM.part_underbarrel_04_atlas")</f>
        <v>DAD_SM.part_underbarrel_04_atlas</v>
      </c>
      <c r="F275" s="102"/>
      <c r="G275" s="102" t="str">
        <f>IFERROR(__xludf.DUMMYFUNCTION("""COMPUTED_VALUE"""),"Atlas Tracker Darts")</f>
        <v>Atlas Tracker Darts</v>
      </c>
      <c r="H275" s="102"/>
      <c r="I275" s="102"/>
      <c r="J275" s="102"/>
      <c r="K275" s="102"/>
      <c r="L275" s="102"/>
    </row>
    <row r="276">
      <c r="A276" s="102" t="str">
        <f>IFERROR(__xludf.DUMMYFUNCTION("""COMPUTED_VALUE"""),"Daedalus")</f>
        <v>Daedalus</v>
      </c>
      <c r="B276" s="102" t="str">
        <f>IFERROR(__xludf.DUMMYFUNCTION("""COMPUTED_VALUE"""),"SMG")</f>
        <v>SMG</v>
      </c>
      <c r="C276" s="103">
        <f>IFERROR(__xludf.DUMMYFUNCTION("""COMPUTED_VALUE"""),51.0)</f>
        <v>51</v>
      </c>
      <c r="D276" s="102" t="str">
        <f>IFERROR(__xludf.DUMMYFUNCTION("""COMPUTED_VALUE"""),"Foregrip")</f>
        <v>Foregrip</v>
      </c>
      <c r="E276" s="102" t="str">
        <f>IFERROR(__xludf.DUMMYFUNCTION("""COMPUTED_VALUE"""),"DAD_SM.part_foregrip_02")</f>
        <v>DAD_SM.part_foregrip_02</v>
      </c>
      <c r="F276" s="102"/>
      <c r="G276" s="102" t="str">
        <f>IFERROR(__xludf.DUMMYFUNCTION("""COMPUTED_VALUE"""),"+Fire Rate")</f>
        <v>+Fire Rate</v>
      </c>
      <c r="H276" s="102"/>
      <c r="I276" s="102"/>
      <c r="J276" s="102"/>
      <c r="K276" s="102"/>
      <c r="L276" s="102"/>
    </row>
    <row r="277">
      <c r="A277" s="102" t="str">
        <f>IFERROR(__xludf.DUMMYFUNCTION("""COMPUTED_VALUE"""),"Daedalus")</f>
        <v>Daedalus</v>
      </c>
      <c r="B277" s="102" t="str">
        <f>IFERROR(__xludf.DUMMYFUNCTION("""COMPUTED_VALUE"""),"SMG")</f>
        <v>SMG</v>
      </c>
      <c r="C277" s="103">
        <f>IFERROR(__xludf.DUMMYFUNCTION("""COMPUTED_VALUE"""),52.0)</f>
        <v>52</v>
      </c>
      <c r="D277" s="102" t="str">
        <f>IFERROR(__xludf.DUMMYFUNCTION("""COMPUTED_VALUE"""),"Foregrip")</f>
        <v>Foregrip</v>
      </c>
      <c r="E277" s="102" t="str">
        <f>IFERROR(__xludf.DUMMYFUNCTION("""COMPUTED_VALUE"""),"DAD_SM.part_foregrip_01")</f>
        <v>DAD_SM.part_foregrip_01</v>
      </c>
      <c r="F277" s="102"/>
      <c r="G277" s="102" t="str">
        <f>IFERROR(__xludf.DUMMYFUNCTION("""COMPUTED_VALUE"""),"+Damage")</f>
        <v>+Damage</v>
      </c>
      <c r="H277" s="102"/>
      <c r="I277" s="102"/>
      <c r="J277" s="102"/>
      <c r="K277" s="102"/>
      <c r="L277" s="102"/>
    </row>
    <row r="278">
      <c r="A278" s="102" t="str">
        <f>IFERROR(__xludf.DUMMYFUNCTION("""COMPUTED_VALUE"""),"Daedalus")</f>
        <v>Daedalus</v>
      </c>
      <c r="B278" s="102" t="str">
        <f>IFERROR(__xludf.DUMMYFUNCTION("""COMPUTED_VALUE"""),"SMG")</f>
        <v>SMG</v>
      </c>
      <c r="C278" s="103">
        <f>IFERROR(__xludf.DUMMYFUNCTION("""COMPUTED_VALUE"""),53.0)</f>
        <v>53</v>
      </c>
      <c r="D278" s="102" t="str">
        <f>IFERROR(__xludf.DUMMYFUNCTION("""COMPUTED_VALUE"""),"Foregrip")</f>
        <v>Foregrip</v>
      </c>
      <c r="E278" s="102" t="str">
        <f>IFERROR(__xludf.DUMMYFUNCTION("""COMPUTED_VALUE"""),"DAD_SM.part_foregrip_03")</f>
        <v>DAD_SM.part_foregrip_03</v>
      </c>
      <c r="F278" s="102"/>
      <c r="G278" s="102" t="str">
        <f>IFERROR(__xludf.DUMMYFUNCTION("""COMPUTED_VALUE"""),"+Accuracy")</f>
        <v>+Accuracy</v>
      </c>
      <c r="H278" s="102"/>
      <c r="I278" s="102"/>
      <c r="J278" s="102"/>
      <c r="K278" s="102"/>
      <c r="L278" s="102"/>
    </row>
    <row r="279">
      <c r="A279" s="102" t="str">
        <f>IFERROR(__xludf.DUMMYFUNCTION("""COMPUTED_VALUE"""),"Daedalus")</f>
        <v>Daedalus</v>
      </c>
      <c r="B279" s="102" t="str">
        <f>IFERROR(__xludf.DUMMYFUNCTION("""COMPUTED_VALUE"""),"SMG")</f>
        <v>SMG</v>
      </c>
      <c r="C279" s="103">
        <f>IFERROR(__xludf.DUMMYFUNCTION("""COMPUTED_VALUE"""),54.0)</f>
        <v>54</v>
      </c>
      <c r="D279" s="102" t="str">
        <f>IFERROR(__xludf.DUMMYFUNCTION("""COMPUTED_VALUE"""),"Underbarrel")</f>
        <v>Underbarrel</v>
      </c>
      <c r="E279" s="102" t="str">
        <f>IFERROR(__xludf.DUMMYFUNCTION("""COMPUTED_VALUE"""),"DAD_SM.part_underbarrel_04_atlas_ball")</f>
        <v>DAD_SM.part_underbarrel_04_atlas_ball</v>
      </c>
      <c r="F279" s="102"/>
      <c r="G279" s="102" t="str">
        <f>IFERROR(__xludf.DUMMYFUNCTION("""COMPUTED_VALUE"""),"Atlas Tracker Grenades")</f>
        <v>Atlas Tracker Grenades</v>
      </c>
      <c r="H279" s="102"/>
      <c r="I279" s="102"/>
      <c r="J279" s="102"/>
      <c r="K279" s="102"/>
      <c r="L279" s="102"/>
    </row>
    <row r="280">
      <c r="A280" s="102" t="str">
        <f>IFERROR(__xludf.DUMMYFUNCTION("""COMPUTED_VALUE"""),"Daedalus")</f>
        <v>Daedalus</v>
      </c>
      <c r="B280" s="102" t="str">
        <f>IFERROR(__xludf.DUMMYFUNCTION("""COMPUTED_VALUE"""),"SMG")</f>
        <v>SMG</v>
      </c>
      <c r="C280" s="103">
        <f>IFERROR(__xludf.DUMMYFUNCTION("""COMPUTED_VALUE"""),55.0)</f>
        <v>55</v>
      </c>
      <c r="D280" s="102" t="str">
        <f>IFERROR(__xludf.DUMMYFUNCTION("""COMPUTED_VALUE"""),"Manufacturer Part")</f>
        <v>Manufacturer Part</v>
      </c>
      <c r="E280" s="102" t="str">
        <f>IFERROR(__xludf.DUMMYFUNCTION("""COMPUTED_VALUE"""),"DAD_SM.part_body_mag_ps")</f>
        <v>DAD_SM.part_body_mag_ps</v>
      </c>
      <c r="F280" s="102"/>
      <c r="G280" s="102" t="str">
        <f>IFERROR(__xludf.DUMMYFUNCTION("""COMPUTED_VALUE"""),"Daedalus Pistol Ammo")</f>
        <v>Daedalus Pistol Ammo</v>
      </c>
      <c r="H280" s="102"/>
      <c r="I280" s="102"/>
      <c r="J280" s="102"/>
      <c r="K280" s="102"/>
      <c r="L280" s="102"/>
    </row>
    <row r="281">
      <c r="A281" s="102" t="str">
        <f>IFERROR(__xludf.DUMMYFUNCTION("""COMPUTED_VALUE"""),"Daedalus")</f>
        <v>Daedalus</v>
      </c>
      <c r="B281" s="102" t="str">
        <f>IFERROR(__xludf.DUMMYFUNCTION("""COMPUTED_VALUE"""),"SMG")</f>
        <v>SMG</v>
      </c>
      <c r="C281" s="103">
        <f>IFERROR(__xludf.DUMMYFUNCTION("""COMPUTED_VALUE"""),56.0)</f>
        <v>56</v>
      </c>
      <c r="D281" s="102" t="str">
        <f>IFERROR(__xludf.DUMMYFUNCTION("""COMPUTED_VALUE"""),"Manufacturer Part")</f>
        <v>Manufacturer Part</v>
      </c>
      <c r="E281" s="102" t="str">
        <f>IFERROR(__xludf.DUMMYFUNCTION("""COMPUTED_VALUE"""),"DAD_SM.part_body_mag_ar")</f>
        <v>DAD_SM.part_body_mag_ar</v>
      </c>
      <c r="F281" s="102"/>
      <c r="G281" s="102" t="str">
        <f>IFERROR(__xludf.DUMMYFUNCTION("""COMPUTED_VALUE"""),"Daedalus AR Ammo")</f>
        <v>Daedalus AR Ammo</v>
      </c>
      <c r="H281" s="102"/>
      <c r="I281" s="102"/>
      <c r="J281" s="102"/>
      <c r="K281" s="102"/>
      <c r="L281" s="102"/>
    </row>
    <row r="282">
      <c r="A282" s="102" t="str">
        <f>IFERROR(__xludf.DUMMYFUNCTION("""COMPUTED_VALUE"""),"Daedalus")</f>
        <v>Daedalus</v>
      </c>
      <c r="B282" s="102" t="str">
        <f>IFERROR(__xludf.DUMMYFUNCTION("""COMPUTED_VALUE"""),"SMG")</f>
        <v>SMG</v>
      </c>
      <c r="C282" s="103">
        <f>IFERROR(__xludf.DUMMYFUNCTION("""COMPUTED_VALUE"""),57.0)</f>
        <v>57</v>
      </c>
      <c r="D282" s="102" t="str">
        <f>IFERROR(__xludf.DUMMYFUNCTION("""COMPUTED_VALUE"""),"Manufacturer Part")</f>
        <v>Manufacturer Part</v>
      </c>
      <c r="E282" s="102" t="str">
        <f>IFERROR(__xludf.DUMMYFUNCTION("""COMPUTED_VALUE"""),"DAD_SM.part_body_mag_sr")</f>
        <v>DAD_SM.part_body_mag_sr</v>
      </c>
      <c r="F282" s="102"/>
      <c r="G282" s="102" t="str">
        <f>IFERROR(__xludf.DUMMYFUNCTION("""COMPUTED_VALUE"""),"Daedalus SR Ammo")</f>
        <v>Daedalus SR Ammo</v>
      </c>
      <c r="H282" s="102"/>
      <c r="I282" s="102"/>
      <c r="J282" s="102"/>
      <c r="K282" s="102"/>
      <c r="L282" s="102"/>
    </row>
    <row r="283">
      <c r="A283" s="102" t="str">
        <f>IFERROR(__xludf.DUMMYFUNCTION("""COMPUTED_VALUE"""),"Daedalus")</f>
        <v>Daedalus</v>
      </c>
      <c r="B283" s="102" t="str">
        <f>IFERROR(__xludf.DUMMYFUNCTION("""COMPUTED_VALUE"""),"SMG")</f>
        <v>SMG</v>
      </c>
      <c r="C283" s="103">
        <f>IFERROR(__xludf.DUMMYFUNCTION("""COMPUTED_VALUE"""),58.0)</f>
        <v>58</v>
      </c>
      <c r="D283" s="102" t="str">
        <f>IFERROR(__xludf.DUMMYFUNCTION("""COMPUTED_VALUE"""),"Manufacturer Part")</f>
        <v>Manufacturer Part</v>
      </c>
      <c r="E283" s="102" t="str">
        <f>IFERROR(__xludf.DUMMYFUNCTION("""COMPUTED_VALUE"""),"DAD_SM.part_body_mag_sg")</f>
        <v>DAD_SM.part_body_mag_sg</v>
      </c>
      <c r="F283" s="102"/>
      <c r="G283" s="102" t="str">
        <f>IFERROR(__xludf.DUMMYFUNCTION("""COMPUTED_VALUE"""),"Daedalus Shotgun Ammo")</f>
        <v>Daedalus Shotgun Ammo</v>
      </c>
      <c r="H283" s="102"/>
      <c r="I283" s="102"/>
      <c r="J283" s="102"/>
      <c r="K283" s="102"/>
      <c r="L283" s="102"/>
    </row>
    <row r="284">
      <c r="A284" s="102" t="str">
        <f>IFERROR(__xludf.DUMMYFUNCTION("""COMPUTED_VALUE"""),"Daedalus")</f>
        <v>Daedalus</v>
      </c>
      <c r="B284" s="102" t="str">
        <f>IFERROR(__xludf.DUMMYFUNCTION("""COMPUTED_VALUE"""),"SMG")</f>
        <v>SMG</v>
      </c>
      <c r="C284" s="103">
        <f>IFERROR(__xludf.DUMMYFUNCTION("""COMPUTED_VALUE"""),60.0)</f>
        <v>60</v>
      </c>
      <c r="D284" s="102" t="str">
        <f>IFERROR(__xludf.DUMMYFUNCTION("""COMPUTED_VALUE"""),"Barrel")</f>
        <v>Barrel</v>
      </c>
      <c r="E284" s="102" t="str">
        <f>IFERROR(__xludf.DUMMYFUNCTION("""COMPUTED_VALUE"""),"DAD_SM.part_barrel_01_luty")</f>
        <v>DAD_SM.part_barrel_01_luty</v>
      </c>
      <c r="F284" s="102"/>
      <c r="G284" s="102" t="str">
        <f>IFERROR(__xludf.DUMMYFUNCTION("""COMPUTED_VALUE"""),"Luty Madlad, 446 Damage, 78% Acc, 22.0/s FR")</f>
        <v>Luty Madlad, 446 Damage, 78% Acc, 22.0/s FR</v>
      </c>
      <c r="H284" s="102" t="str">
        <f>IFERROR(__xludf.DUMMYFUNCTION("""COMPUTED_VALUE"""),"Homemade Ingenuity - Overheats quickly, but also Cools down quickly")</f>
        <v>Homemade Ingenuity - Overheats quickly, but also Cools down quickly</v>
      </c>
      <c r="I284" s="102"/>
      <c r="J284" s="102"/>
      <c r="K284" s="102"/>
      <c r="L284" s="102"/>
    </row>
    <row r="285">
      <c r="A285" s="102" t="str">
        <f>IFERROR(__xludf.DUMMYFUNCTION("""COMPUTED_VALUE"""),"Daedalus")</f>
        <v>Daedalus</v>
      </c>
      <c r="B285" s="102" t="str">
        <f>IFERROR(__xludf.DUMMYFUNCTION("""COMPUTED_VALUE"""),"SMG")</f>
        <v>SMG</v>
      </c>
      <c r="C285" s="103">
        <f>IFERROR(__xludf.DUMMYFUNCTION("""COMPUTED_VALUE"""),62.0)</f>
        <v>62</v>
      </c>
      <c r="D285" s="102" t="str">
        <f>IFERROR(__xludf.DUMMYFUNCTION("""COMPUTED_VALUE"""),"Body")</f>
        <v>Body</v>
      </c>
      <c r="E285" s="102" t="str">
        <f>IFERROR(__xludf.DUMMYFUNCTION("""COMPUTED_VALUE"""),"DAD_SM.part_body")</f>
        <v>DAD_SM.part_body</v>
      </c>
      <c r="F285" s="102"/>
      <c r="G285" s="102" t="str">
        <f>IFERROR(__xludf.DUMMYFUNCTION("""COMPUTED_VALUE"""),"No Stat Changes, always present")</f>
        <v>No Stat Changes, always present</v>
      </c>
      <c r="H285" s="102"/>
      <c r="I285" s="102"/>
      <c r="J285" s="102"/>
      <c r="K285" s="102"/>
      <c r="L285" s="102"/>
    </row>
    <row r="286">
      <c r="A286" s="102" t="str">
        <f>IFERROR(__xludf.DUMMYFUNCTION("""COMPUTED_VALUE"""),"Daedalus")</f>
        <v>Daedalus</v>
      </c>
      <c r="B286" s="102" t="str">
        <f>IFERROR(__xludf.DUMMYFUNCTION("""COMPUTED_VALUE"""),"SMG")</f>
        <v>SMG</v>
      </c>
      <c r="C286" s="103">
        <f>IFERROR(__xludf.DUMMYFUNCTION("""COMPUTED_VALUE"""),64.0)</f>
        <v>64</v>
      </c>
      <c r="D286" s="102" t="str">
        <f>IFERROR(__xludf.DUMMYFUNCTION("""COMPUTED_VALUE"""),"Barrel")</f>
        <v>Barrel</v>
      </c>
      <c r="E286" s="102" t="str">
        <f>IFERROR(__xludf.DUMMYFUNCTION("""COMPUTED_VALUE"""),"DAD_SM.part_barrel_01_bloodstarved")</f>
        <v>DAD_SM.part_barrel_01_bloodstarved</v>
      </c>
      <c r="F286" s="102"/>
      <c r="G286" s="102" t="str">
        <f>IFERROR(__xludf.DUMMYFUNCTION("""COMPUTED_VALUE"""),"Darkbeast, 658 x 2 Damage, 71% Acc, 6.7/s FR, 2 Shot")</f>
        <v>Darkbeast, 658 x 2 Damage, 71% Acc, 6.7/s FR, 2 Shot</v>
      </c>
      <c r="H286" s="102" t="str">
        <f>IFERROR(__xludf.DUMMYFUNCTION("""COMPUTED_VALUE"""),"Parley - Bullets pierce enemies, and have a 5% Chance when hitting an enemy to cause an explosion that deals XXX Damage")</f>
        <v>Parley - Bullets pierce enemies, and have a 5% Chance when hitting an enemy to cause an explosion that deals XXX Damage</v>
      </c>
      <c r="I286" s="102"/>
      <c r="J286" s="102"/>
      <c r="K286" s="102"/>
      <c r="L286" s="102"/>
    </row>
    <row r="287">
      <c r="A287" s="102" t="str">
        <f>IFERROR(__xludf.DUMMYFUNCTION("""COMPUTED_VALUE"""),"Daedalus")</f>
        <v>Daedalus</v>
      </c>
      <c r="B287" s="102" t="str">
        <f>IFERROR(__xludf.DUMMYFUNCTION("""COMPUTED_VALUE"""),"SMG")</f>
        <v>SMG</v>
      </c>
      <c r="C287" s="103">
        <f>IFERROR(__xludf.DUMMYFUNCTION("""COMPUTED_VALUE"""),66.0)</f>
        <v>66</v>
      </c>
      <c r="D287" s="102" t="str">
        <f>IFERROR(__xludf.DUMMYFUNCTION("""COMPUTED_VALUE"""),"Stat Modifier")</f>
        <v>Stat Modifier</v>
      </c>
      <c r="E287" s="102" t="str">
        <f>IFERROR(__xludf.DUMMYFUNCTION("""COMPUTED_VALUE"""),"DAD_SM.part_mag_borg_barrel_02")</f>
        <v>DAD_SM.part_mag_borg_barrel_02</v>
      </c>
      <c r="F287" s="102"/>
      <c r="G287" s="102" t="str">
        <f>IFERROR(__xludf.DUMMYFUNCTION("""COMPUTED_VALUE"""),"3.3s Reload")</f>
        <v>3.3s Reload</v>
      </c>
      <c r="H287" s="102"/>
      <c r="I287" s="102"/>
      <c r="J287" s="102"/>
      <c r="K287" s="102"/>
      <c r="L287" s="102"/>
    </row>
    <row r="288">
      <c r="A288" s="102" t="str">
        <f>IFERROR(__xludf.DUMMYFUNCTION("""COMPUTED_VALUE"""),"Daedalus")</f>
        <v>Daedalus</v>
      </c>
      <c r="B288" s="102" t="str">
        <f>IFERROR(__xludf.DUMMYFUNCTION("""COMPUTED_VALUE"""),"SMG")</f>
        <v>SMG</v>
      </c>
      <c r="C288" s="103">
        <f>IFERROR(__xludf.DUMMYFUNCTION("""COMPUTED_VALUE"""),67.0)</f>
        <v>67</v>
      </c>
      <c r="D288" s="102" t="str">
        <f>IFERROR(__xludf.DUMMYFUNCTION("""COMPUTED_VALUE"""),"Stat Modifier")</f>
        <v>Stat Modifier</v>
      </c>
      <c r="E288" s="102" t="str">
        <f>IFERROR(__xludf.DUMMYFUNCTION("""COMPUTED_VALUE"""),"DAD_SM.part_mag_borg_barrel_01")</f>
        <v>DAD_SM.part_mag_borg_barrel_01</v>
      </c>
      <c r="F288" s="102"/>
      <c r="G288" s="102" t="str">
        <f>IFERROR(__xludf.DUMMYFUNCTION("""COMPUTED_VALUE"""),"3.3s Reload")</f>
        <v>3.3s Reload</v>
      </c>
      <c r="H288" s="102"/>
      <c r="I288" s="102"/>
      <c r="J288" s="102"/>
      <c r="K288" s="102"/>
      <c r="L288" s="102"/>
    </row>
    <row r="289">
      <c r="A289" s="102" t="str">
        <f>IFERROR(__xludf.DUMMYFUNCTION("""COMPUTED_VALUE"""),"Daedalus")</f>
        <v>Daedalus</v>
      </c>
      <c r="B289" s="102" t="str">
        <f>IFERROR(__xludf.DUMMYFUNCTION("""COMPUTED_VALUE"""),"SMG")</f>
        <v>SMG</v>
      </c>
      <c r="C289" s="103">
        <f>IFERROR(__xludf.DUMMYFUNCTION("""COMPUTED_VALUE"""),69.0)</f>
        <v>69</v>
      </c>
      <c r="D289" s="102" t="str">
        <f>IFERROR(__xludf.DUMMYFUNCTION("""COMPUTED_VALUE"""),"Barrel")</f>
        <v>Barrel</v>
      </c>
      <c r="E289" s="102" t="str">
        <f>IFERROR(__xludf.DUMMYFUNCTION("""COMPUTED_VALUE"""),"DAD_SM.part_barrel_01_loarmaster")</f>
        <v>DAD_SM.part_barrel_01_loarmaster</v>
      </c>
      <c r="F289" s="102"/>
      <c r="G289" s="102" t="str">
        <f>IFERROR(__xludf.DUMMYFUNCTION("""COMPUTED_VALUE"""),"Daedalus SMG, 658x6 Damage, 71% Acc, 6.7/s FR, 2 Shot")</f>
        <v>Daedalus SMG, 658x6 Damage, 71% Acc, 6.7/s FR, 2 Shot</v>
      </c>
      <c r="H289" s="102"/>
      <c r="I289" s="102"/>
      <c r="J289" s="102"/>
      <c r="K289" s="102"/>
      <c r="L289" s="102"/>
    </row>
    <row r="290">
      <c r="A290" s="102" t="str">
        <f>IFERROR(__xludf.DUMMYFUNCTION("""COMPUTED_VALUE"""),"Daedalus")</f>
        <v>Daedalus</v>
      </c>
      <c r="B290" s="102" t="str">
        <f>IFERROR(__xludf.DUMMYFUNCTION("""COMPUTED_VALUE"""),"SMG")</f>
        <v>SMG</v>
      </c>
      <c r="C290" s="103">
        <f>IFERROR(__xludf.DUMMYFUNCTION("""COMPUTED_VALUE"""),79.0)</f>
        <v>79</v>
      </c>
      <c r="D290" s="102" t="str">
        <f>IFERROR(__xludf.DUMMYFUNCTION("""COMPUTED_VALUE"""),"Underbarrel")</f>
        <v>Underbarrel</v>
      </c>
      <c r="E290" s="102" t="str">
        <f>IFERROR(__xludf.DUMMYFUNCTION("""COMPUTED_VALUE"""),"DAD_SM.part_underbarrel_01_stungrenade")</f>
        <v>DAD_SM.part_underbarrel_01_stungrenade</v>
      </c>
      <c r="F290" s="102"/>
      <c r="G290" s="102" t="str">
        <f>IFERROR(__xludf.DUMMYFUNCTION("""COMPUTED_VALUE"""),"Alt Fire - Grenade Launcher")</f>
        <v>Alt Fire - Grenade Launcher</v>
      </c>
      <c r="H290" s="102"/>
      <c r="I290" s="102"/>
      <c r="J290" s="102"/>
      <c r="K290" s="102"/>
      <c r="L290" s="102"/>
    </row>
    <row r="291">
      <c r="A291" s="102" t="str">
        <f>IFERROR(__xludf.DUMMYFUNCTION("""COMPUTED_VALUE"""),"Daedalus")</f>
        <v>Daedalus</v>
      </c>
      <c r="B291" s="102" t="str">
        <f>IFERROR(__xludf.DUMMYFUNCTION("""COMPUTED_VALUE"""),"SMG")</f>
        <v>SMG</v>
      </c>
      <c r="C291" s="103">
        <f>IFERROR(__xludf.DUMMYFUNCTION("""COMPUTED_VALUE"""),80.0)</f>
        <v>80</v>
      </c>
      <c r="D291" s="102" t="str">
        <f>IFERROR(__xludf.DUMMYFUNCTION("""COMPUTED_VALUE"""),"Barrel Accessory")</f>
        <v>Barrel Accessory</v>
      </c>
      <c r="E291" s="102" t="str">
        <f>IFERROR(__xludf.DUMMYFUNCTION("""COMPUTED_VALUE"""),"DAD_SM.part_barrel_01_a")</f>
        <v>DAD_SM.part_barrel_01_a</v>
      </c>
      <c r="F291" s="102"/>
      <c r="G291" s="102" t="str">
        <f>IFERROR(__xludf.DUMMYFUNCTION("""COMPUTED_VALUE"""),"+Damage")</f>
        <v>+Damage</v>
      </c>
      <c r="H291" s="102"/>
      <c r="I291" s="102"/>
      <c r="J291" s="102"/>
      <c r="K291" s="102"/>
      <c r="L291" s="102"/>
    </row>
    <row r="292">
      <c r="A292" s="102" t="str">
        <f>IFERROR(__xludf.DUMMYFUNCTION("""COMPUTED_VALUE"""),"Daedalus")</f>
        <v>Daedalus</v>
      </c>
      <c r="B292" s="102" t="str">
        <f>IFERROR(__xludf.DUMMYFUNCTION("""COMPUTED_VALUE"""),"SMG")</f>
        <v>SMG</v>
      </c>
      <c r="C292" s="103">
        <f>IFERROR(__xludf.DUMMYFUNCTION("""COMPUTED_VALUE"""),81.0)</f>
        <v>81</v>
      </c>
      <c r="D292" s="102" t="str">
        <f>IFERROR(__xludf.DUMMYFUNCTION("""COMPUTED_VALUE"""),"Barrel Accessory")</f>
        <v>Barrel Accessory</v>
      </c>
      <c r="E292" s="102" t="str">
        <f>IFERROR(__xludf.DUMMYFUNCTION("""COMPUTED_VALUE"""),"DAD_SM.part_barrel_01_b")</f>
        <v>DAD_SM.part_barrel_01_b</v>
      </c>
      <c r="F292" s="102"/>
      <c r="G292" s="102" t="str">
        <f>IFERROR(__xludf.DUMMYFUNCTION("""COMPUTED_VALUE"""),"+Crit Damage")</f>
        <v>+Crit Damage</v>
      </c>
      <c r="H292" s="102"/>
      <c r="I292" s="102"/>
      <c r="J292" s="102"/>
      <c r="K292" s="102"/>
      <c r="L292" s="102"/>
    </row>
    <row r="293">
      <c r="A293" s="102" t="str">
        <f>IFERROR(__xludf.DUMMYFUNCTION("""COMPUTED_VALUE"""),"Daedalus")</f>
        <v>Daedalus</v>
      </c>
      <c r="B293" s="102" t="str">
        <f>IFERROR(__xludf.DUMMYFUNCTION("""COMPUTED_VALUE"""),"SMG")</f>
        <v>SMG</v>
      </c>
      <c r="C293" s="103">
        <f>IFERROR(__xludf.DUMMYFUNCTION("""COMPUTED_VALUE"""),82.0)</f>
        <v>82</v>
      </c>
      <c r="D293" s="102" t="str">
        <f>IFERROR(__xludf.DUMMYFUNCTION("""COMPUTED_VALUE"""),"Barrel Accessory")</f>
        <v>Barrel Accessory</v>
      </c>
      <c r="E293" s="102" t="str">
        <f>IFERROR(__xludf.DUMMYFUNCTION("""COMPUTED_VALUE"""),"DAD_SM.part_barrel_01_c")</f>
        <v>DAD_SM.part_barrel_01_c</v>
      </c>
      <c r="F293" s="102"/>
      <c r="G293" s="102" t="str">
        <f>IFERROR(__xludf.DUMMYFUNCTION("""COMPUTED_VALUE"""),"+Accuracy")</f>
        <v>+Accuracy</v>
      </c>
      <c r="H293" s="102"/>
      <c r="I293" s="102"/>
      <c r="J293" s="102"/>
      <c r="K293" s="102"/>
      <c r="L293" s="102"/>
    </row>
    <row r="294">
      <c r="A294" s="102" t="str">
        <f>IFERROR(__xludf.DUMMYFUNCTION("""COMPUTED_VALUE"""),"Daedalus")</f>
        <v>Daedalus</v>
      </c>
      <c r="B294" s="102" t="str">
        <f>IFERROR(__xludf.DUMMYFUNCTION("""COMPUTED_VALUE"""),"SMG")</f>
        <v>SMG</v>
      </c>
      <c r="C294" s="103">
        <f>IFERROR(__xludf.DUMMYFUNCTION("""COMPUTED_VALUE"""),83.0)</f>
        <v>83</v>
      </c>
      <c r="D294" s="102" t="str">
        <f>IFERROR(__xludf.DUMMYFUNCTION("""COMPUTED_VALUE"""),"Barrel Accessory")</f>
        <v>Barrel Accessory</v>
      </c>
      <c r="E294" s="102" t="str">
        <f>IFERROR(__xludf.DUMMYFUNCTION("""COMPUTED_VALUE"""),"DAD_SM.part_barrel_01_d")</f>
        <v>DAD_SM.part_barrel_01_d</v>
      </c>
      <c r="F294" s="102"/>
      <c r="G294" s="102" t="str">
        <f>IFERROR(__xludf.DUMMYFUNCTION("""COMPUTED_VALUE"""),"+Accuracy")</f>
        <v>+Accuracy</v>
      </c>
      <c r="H294" s="102"/>
      <c r="I294" s="102"/>
      <c r="J294" s="102"/>
      <c r="K294" s="102"/>
      <c r="L294" s="102"/>
    </row>
    <row r="295">
      <c r="A295" s="102" t="str">
        <f>IFERROR(__xludf.DUMMYFUNCTION("""COMPUTED_VALUE"""),"Daedalus")</f>
        <v>Daedalus</v>
      </c>
      <c r="B295" s="102" t="str">
        <f>IFERROR(__xludf.DUMMYFUNCTION("""COMPUTED_VALUE"""),"SMG")</f>
        <v>SMG</v>
      </c>
      <c r="C295" s="103">
        <f>IFERROR(__xludf.DUMMYFUNCTION("""COMPUTED_VALUE"""),84.0)</f>
        <v>84</v>
      </c>
      <c r="D295" s="102" t="str">
        <f>IFERROR(__xludf.DUMMYFUNCTION("""COMPUTED_VALUE"""),"Barrel Accessory")</f>
        <v>Barrel Accessory</v>
      </c>
      <c r="E295" s="102" t="str">
        <f>IFERROR(__xludf.DUMMYFUNCTION("""COMPUTED_VALUE"""),"DAD_SM.part_barrel_02_a")</f>
        <v>DAD_SM.part_barrel_02_a</v>
      </c>
      <c r="F295" s="102"/>
      <c r="G295" s="102" t="str">
        <f>IFERROR(__xludf.DUMMYFUNCTION("""COMPUTED_VALUE"""),"+Damage")</f>
        <v>+Damage</v>
      </c>
      <c r="H295" s="102"/>
      <c r="I295" s="102"/>
      <c r="J295" s="102"/>
      <c r="K295" s="102"/>
      <c r="L295" s="102"/>
    </row>
    <row r="296">
      <c r="A296" s="102" t="str">
        <f>IFERROR(__xludf.DUMMYFUNCTION("""COMPUTED_VALUE"""),"Daedalus")</f>
        <v>Daedalus</v>
      </c>
      <c r="B296" s="102" t="str">
        <f>IFERROR(__xludf.DUMMYFUNCTION("""COMPUTED_VALUE"""),"SMG")</f>
        <v>SMG</v>
      </c>
      <c r="C296" s="103">
        <f>IFERROR(__xludf.DUMMYFUNCTION("""COMPUTED_VALUE"""),85.0)</f>
        <v>85</v>
      </c>
      <c r="D296" s="102" t="str">
        <f>IFERROR(__xludf.DUMMYFUNCTION("""COMPUTED_VALUE"""),"Barrel Accessory")</f>
        <v>Barrel Accessory</v>
      </c>
      <c r="E296" s="102" t="str">
        <f>IFERROR(__xludf.DUMMYFUNCTION("""COMPUTED_VALUE"""),"DAD_SM.part_barrel_02_b")</f>
        <v>DAD_SM.part_barrel_02_b</v>
      </c>
      <c r="F296" s="102"/>
      <c r="G296" s="102" t="str">
        <f>IFERROR(__xludf.DUMMYFUNCTION("""COMPUTED_VALUE"""),"+Accuracy")</f>
        <v>+Accuracy</v>
      </c>
      <c r="H296" s="102"/>
      <c r="I296" s="102"/>
      <c r="J296" s="102"/>
      <c r="K296" s="102"/>
      <c r="L296" s="102"/>
    </row>
    <row r="297">
      <c r="A297" s="102" t="str">
        <f>IFERROR(__xludf.DUMMYFUNCTION("""COMPUTED_VALUE"""),"Daedalus")</f>
        <v>Daedalus</v>
      </c>
      <c r="B297" s="102" t="str">
        <f>IFERROR(__xludf.DUMMYFUNCTION("""COMPUTED_VALUE"""),"SMG")</f>
        <v>SMG</v>
      </c>
      <c r="C297" s="103">
        <f>IFERROR(__xludf.DUMMYFUNCTION("""COMPUTED_VALUE"""),86.0)</f>
        <v>86</v>
      </c>
      <c r="D297" s="102" t="str">
        <f>IFERROR(__xludf.DUMMYFUNCTION("""COMPUTED_VALUE"""),"Barrel Accessory")</f>
        <v>Barrel Accessory</v>
      </c>
      <c r="E297" s="102" t="str">
        <f>IFERROR(__xludf.DUMMYFUNCTION("""COMPUTED_VALUE"""),"DAD_SM.part_barrel_02_c")</f>
        <v>DAD_SM.part_barrel_02_c</v>
      </c>
      <c r="F297" s="102"/>
      <c r="G297" s="102" t="str">
        <f>IFERROR(__xludf.DUMMYFUNCTION("""COMPUTED_VALUE"""),"+Fire Rate")</f>
        <v>+Fire Rate</v>
      </c>
      <c r="H297" s="102"/>
      <c r="I297" s="102"/>
      <c r="J297" s="102"/>
      <c r="K297" s="102"/>
      <c r="L297" s="102"/>
    </row>
    <row r="298">
      <c r="A298" s="102" t="str">
        <f>IFERROR(__xludf.DUMMYFUNCTION("""COMPUTED_VALUE"""),"Daedalus")</f>
        <v>Daedalus</v>
      </c>
      <c r="B298" s="102" t="str">
        <f>IFERROR(__xludf.DUMMYFUNCTION("""COMPUTED_VALUE"""),"SMG")</f>
        <v>SMG</v>
      </c>
      <c r="C298" s="103">
        <f>IFERROR(__xludf.DUMMYFUNCTION("""COMPUTED_VALUE"""),87.0)</f>
        <v>87</v>
      </c>
      <c r="D298" s="102" t="str">
        <f>IFERROR(__xludf.DUMMYFUNCTION("""COMPUTED_VALUE"""),"Barrel Accessory")</f>
        <v>Barrel Accessory</v>
      </c>
      <c r="E298" s="102" t="str">
        <f>IFERROR(__xludf.DUMMYFUNCTION("""COMPUTED_VALUE"""),"DAD_SM.part_barrel_02_d")</f>
        <v>DAD_SM.part_barrel_02_d</v>
      </c>
      <c r="F298" s="102"/>
      <c r="G298" s="102" t="str">
        <f>IFERROR(__xludf.DUMMYFUNCTION("""COMPUTED_VALUE"""),"+Fire Rate")</f>
        <v>+Fire Rate</v>
      </c>
      <c r="H298" s="102"/>
      <c r="I298" s="102"/>
      <c r="J298" s="102"/>
      <c r="K298" s="102"/>
      <c r="L298" s="102"/>
    </row>
    <row r="299">
      <c r="A299" s="102" t="str">
        <f>IFERROR(__xludf.DUMMYFUNCTION("""COMPUTED_VALUE"""),"Daedalus")</f>
        <v>Daedalus</v>
      </c>
      <c r="B299" s="102" t="str">
        <f>IFERROR(__xludf.DUMMYFUNCTION("""COMPUTED_VALUE"""),"SMG")</f>
        <v>SMG</v>
      </c>
      <c r="C299" s="103">
        <f>IFERROR(__xludf.DUMMYFUNCTION("""COMPUTED_VALUE"""),88.0)</f>
        <v>88</v>
      </c>
      <c r="D299" s="102" t="str">
        <f>IFERROR(__xludf.DUMMYFUNCTION("""COMPUTED_VALUE"""),"Manufacturer Part")</f>
        <v>Manufacturer Part</v>
      </c>
      <c r="E299" s="102" t="str">
        <f>IFERROR(__xludf.DUMMYFUNCTION("""COMPUTED_VALUE"""),"DAD_SM.part_barrel_licensed_jak")</f>
        <v>DAD_SM.part_barrel_licensed_jak</v>
      </c>
      <c r="F299" s="102"/>
      <c r="G299" s="102" t="str">
        <f>IFERROR(__xludf.DUMMYFUNCTION("""COMPUTED_VALUE"""),"Jakobs Ricochet")</f>
        <v>Jakobs Ricochet</v>
      </c>
      <c r="H299" s="102"/>
      <c r="I299" s="102"/>
      <c r="J299" s="102"/>
      <c r="K299" s="102"/>
      <c r="L299" s="102"/>
    </row>
    <row r="300">
      <c r="A300" s="102" t="str">
        <f>IFERROR(__xludf.DUMMYFUNCTION("""COMPUTED_VALUE"""),"Daedalus")</f>
        <v>Daedalus</v>
      </c>
      <c r="B300" s="102" t="str">
        <f>IFERROR(__xludf.DUMMYFUNCTION("""COMPUTED_VALUE"""),"SMG")</f>
        <v>SMG</v>
      </c>
      <c r="C300" s="103">
        <f>IFERROR(__xludf.DUMMYFUNCTION("""COMPUTED_VALUE"""),89.0)</f>
        <v>89</v>
      </c>
      <c r="D300" s="102" t="str">
        <f>IFERROR(__xludf.DUMMYFUNCTION("""COMPUTED_VALUE"""),"Manufacturer Part")</f>
        <v>Manufacturer Part</v>
      </c>
      <c r="E300" s="102" t="str">
        <f>IFERROR(__xludf.DUMMYFUNCTION("""COMPUTED_VALUE"""),"DAD_SM.part_barrel_licensed_ted")</f>
        <v>DAD_SM.part_barrel_licensed_ted</v>
      </c>
      <c r="F300" s="102"/>
      <c r="G300" s="102" t="str">
        <f>IFERROR(__xludf.DUMMYFUNCTION("""COMPUTED_VALUE"""),"Tediore Reload, no stat changes")</f>
        <v>Tediore Reload, no stat changes</v>
      </c>
      <c r="H300" s="102"/>
      <c r="I300" s="102"/>
      <c r="J300" s="102"/>
      <c r="K300" s="102"/>
      <c r="L300" s="102"/>
    </row>
    <row r="301">
      <c r="A301" s="102" t="str">
        <f>IFERROR(__xludf.DUMMYFUNCTION("""COMPUTED_VALUE"""),"Daedalus")</f>
        <v>Daedalus</v>
      </c>
      <c r="B301" s="102" t="str">
        <f>IFERROR(__xludf.DUMMYFUNCTION("""COMPUTED_VALUE"""),"SMG")</f>
        <v>SMG</v>
      </c>
      <c r="C301" s="103">
        <f>IFERROR(__xludf.DUMMYFUNCTION("""COMPUTED_VALUE"""),90.0)</f>
        <v>90</v>
      </c>
      <c r="D301" s="102" t="str">
        <f>IFERROR(__xludf.DUMMYFUNCTION("""COMPUTED_VALUE"""),"Manufacturer Part")</f>
        <v>Manufacturer Part</v>
      </c>
      <c r="E301" s="102" t="str">
        <f>IFERROR(__xludf.DUMMYFUNCTION("""COMPUTED_VALUE"""),"DAD_SM.part_barrel_licensed_ted_shooting")</f>
        <v>DAD_SM.part_barrel_licensed_ted_shooting</v>
      </c>
      <c r="F301" s="102"/>
      <c r="G301" s="102" t="str">
        <f>IFERROR(__xludf.DUMMYFUNCTION("""COMPUTED_VALUE"""),"Tediore Shooting, no stat changes")</f>
        <v>Tediore Shooting, no stat changes</v>
      </c>
      <c r="H301" s="102"/>
      <c r="I301" s="102"/>
      <c r="J301" s="102"/>
      <c r="K301" s="102"/>
      <c r="L301" s="102"/>
    </row>
    <row r="302">
      <c r="A302" s="102" t="str">
        <f>IFERROR(__xludf.DUMMYFUNCTION("""COMPUTED_VALUE"""),"Daedalus")</f>
        <v>Daedalus</v>
      </c>
      <c r="B302" s="102" t="str">
        <f>IFERROR(__xludf.DUMMYFUNCTION("""COMPUTED_VALUE"""),"SMG")</f>
        <v>SMG</v>
      </c>
      <c r="C302" s="103">
        <f>IFERROR(__xludf.DUMMYFUNCTION("""COMPUTED_VALUE"""),91.0)</f>
        <v>91</v>
      </c>
      <c r="D302" s="102" t="str">
        <f>IFERROR(__xludf.DUMMYFUNCTION("""COMPUTED_VALUE"""),"Manufacturer Part")</f>
        <v>Manufacturer Part</v>
      </c>
      <c r="E302" s="102" t="str">
        <f>IFERROR(__xludf.DUMMYFUNCTION("""COMPUTED_VALUE"""),"DAD_SM.part_barrel_licensed_ted_mirv")</f>
        <v>DAD_SM.part_barrel_licensed_ted_mirv</v>
      </c>
      <c r="F302" s="102"/>
      <c r="G302" s="102" t="str">
        <f>IFERROR(__xludf.DUMMYFUNCTION("""COMPUTED_VALUE"""),"Tediore MIRV, no stat changes")</f>
        <v>Tediore MIRV, no stat changes</v>
      </c>
      <c r="H302" s="102"/>
      <c r="I302" s="102"/>
      <c r="J302" s="102"/>
      <c r="K302" s="102"/>
      <c r="L302" s="102"/>
    </row>
    <row r="303">
      <c r="A303" s="102" t="str">
        <f>IFERROR(__xludf.DUMMYFUNCTION("""COMPUTED_VALUE"""),"Daedalus")</f>
        <v>Daedalus</v>
      </c>
      <c r="B303" s="102" t="str">
        <f>IFERROR(__xludf.DUMMYFUNCTION("""COMPUTED_VALUE"""),"SMG")</f>
        <v>SMG</v>
      </c>
      <c r="C303" s="103">
        <f>IFERROR(__xludf.DUMMYFUNCTION("""COMPUTED_VALUE"""),92.0)</f>
        <v>92</v>
      </c>
      <c r="D303" s="102" t="str">
        <f>IFERROR(__xludf.DUMMYFUNCTION("""COMPUTED_VALUE"""),"Manufacturer Part")</f>
        <v>Manufacturer Part</v>
      </c>
      <c r="E303" s="102" t="str">
        <f>IFERROR(__xludf.DUMMYFUNCTION("""COMPUTED_VALUE"""),"DAD_SM.part_barrel_licensed_ted_combo")</f>
        <v>DAD_SM.part_barrel_licensed_ted_combo</v>
      </c>
      <c r="F303" s="102"/>
      <c r="G303" s="102" t="str">
        <f>IFERROR(__xludf.DUMMYFUNCTION("""COMPUTED_VALUE"""),"Tediore Combo, no stat changes")</f>
        <v>Tediore Combo, no stat changes</v>
      </c>
      <c r="H303" s="102"/>
      <c r="I303" s="102"/>
      <c r="J303" s="102"/>
      <c r="K303" s="102"/>
      <c r="L303" s="102"/>
    </row>
    <row r="304">
      <c r="A304" s="102" t="str">
        <f>IFERROR(__xludf.DUMMYFUNCTION("""COMPUTED_VALUE"""),"Daedalus")</f>
        <v>Daedalus</v>
      </c>
      <c r="B304" s="102" t="str">
        <f>IFERROR(__xludf.DUMMYFUNCTION("""COMPUTED_VALUE"""),"SMG")</f>
        <v>SMG</v>
      </c>
      <c r="C304" s="103">
        <f>IFERROR(__xludf.DUMMYFUNCTION("""COMPUTED_VALUE"""),93.0)</f>
        <v>93</v>
      </c>
      <c r="D304" s="102" t="str">
        <f>IFERROR(__xludf.DUMMYFUNCTION("""COMPUTED_VALUE"""),"Manufacturer Part")</f>
        <v>Manufacturer Part</v>
      </c>
      <c r="E304" s="102" t="str">
        <f>IFERROR(__xludf.DUMMYFUNCTION("""COMPUTED_VALUE"""),"DAD_SM.part_barrel_licensed_hyp")</f>
        <v>DAD_SM.part_barrel_licensed_hyp</v>
      </c>
      <c r="F304" s="102"/>
      <c r="G304" s="102" t="str">
        <f>IFERROR(__xludf.DUMMYFUNCTION("""COMPUTED_VALUE"""),"Hyperion Shield visual accessory, no stat changes")</f>
        <v>Hyperion Shield visual accessory, no stat changes</v>
      </c>
      <c r="H304" s="102"/>
      <c r="I304" s="102"/>
      <c r="J304" s="102"/>
      <c r="K304" s="102"/>
      <c r="L304" s="102"/>
    </row>
    <row r="305">
      <c r="A305" s="102" t="str">
        <f>IFERROR(__xludf.DUMMYFUNCTION("""COMPUTED_VALUE"""),"Jakobs")</f>
        <v>Jakobs</v>
      </c>
      <c r="B305" s="102" t="str">
        <f>IFERROR(__xludf.DUMMYFUNCTION("""COMPUTED_VALUE"""),"Assault Rifle")</f>
        <v>Assault Rifle</v>
      </c>
      <c r="C305" s="103">
        <f>IFERROR(__xludf.DUMMYFUNCTION("""COMPUTED_VALUE"""),2.0)</f>
        <v>2</v>
      </c>
      <c r="D305" s="102" t="str">
        <f>IFERROR(__xludf.DUMMYFUNCTION("""COMPUTED_VALUE"""),"Body")</f>
        <v>Body</v>
      </c>
      <c r="E305" s="102" t="str">
        <f>IFERROR(__xludf.DUMMYFUNCTION("""COMPUTED_VALUE"""),"JAK_AR.part_body")</f>
        <v>JAK_AR.part_body</v>
      </c>
      <c r="F305" s="102"/>
      <c r="G305" s="102" t="str">
        <f>IFERROR(__xludf.DUMMYFUNCTION("""COMPUTED_VALUE"""),"No Stat Changes, always present")</f>
        <v>No Stat Changes, always present</v>
      </c>
      <c r="H305" s="102"/>
      <c r="I305" s="102"/>
      <c r="J305" s="102"/>
      <c r="K305" s="102"/>
      <c r="L305" s="102"/>
    </row>
    <row r="306">
      <c r="A306" s="102" t="str">
        <f>IFERROR(__xludf.DUMMYFUNCTION("""COMPUTED_VALUE"""),"Jakobs")</f>
        <v>Jakobs</v>
      </c>
      <c r="B306" s="102" t="str">
        <f>IFERROR(__xludf.DUMMYFUNCTION("""COMPUTED_VALUE"""),"Assault Rifle")</f>
        <v>Assault Rifle</v>
      </c>
      <c r="C306" s="103">
        <f>IFERROR(__xludf.DUMMYFUNCTION("""COMPUTED_VALUE"""),3.0)</f>
        <v>3</v>
      </c>
      <c r="D306" s="102" t="str">
        <f>IFERROR(__xludf.DUMMYFUNCTION("""COMPUTED_VALUE"""),"Body Accessory")</f>
        <v>Body Accessory</v>
      </c>
      <c r="E306" s="102" t="str">
        <f>IFERROR(__xludf.DUMMYFUNCTION("""COMPUTED_VALUE"""),"JAK_AR.part_body_a")</f>
        <v>JAK_AR.part_body_a</v>
      </c>
      <c r="F306" s="102"/>
      <c r="G306" s="102" t="str">
        <f>IFERROR(__xludf.DUMMYFUNCTION("""COMPUTED_VALUE"""),"-Reload Speed")</f>
        <v>-Reload Speed</v>
      </c>
      <c r="H306" s="102"/>
      <c r="I306" s="102"/>
      <c r="J306" s="102"/>
      <c r="K306" s="102"/>
      <c r="L306" s="102"/>
    </row>
    <row r="307">
      <c r="A307" s="102" t="str">
        <f>IFERROR(__xludf.DUMMYFUNCTION("""COMPUTED_VALUE"""),"Jakobs")</f>
        <v>Jakobs</v>
      </c>
      <c r="B307" s="102" t="str">
        <f>IFERROR(__xludf.DUMMYFUNCTION("""COMPUTED_VALUE"""),"Assault Rifle")</f>
        <v>Assault Rifle</v>
      </c>
      <c r="C307" s="103">
        <f>IFERROR(__xludf.DUMMYFUNCTION("""COMPUTED_VALUE"""),4.0)</f>
        <v>4</v>
      </c>
      <c r="D307" s="102" t="str">
        <f>IFERROR(__xludf.DUMMYFUNCTION("""COMPUTED_VALUE"""),"Body Accessory")</f>
        <v>Body Accessory</v>
      </c>
      <c r="E307" s="102" t="str">
        <f>IFERROR(__xludf.DUMMYFUNCTION("""COMPUTED_VALUE"""),"JAK_AR.part_body_b")</f>
        <v>JAK_AR.part_body_b</v>
      </c>
      <c r="F307" s="102"/>
      <c r="G307" s="102" t="str">
        <f>IFERROR(__xludf.DUMMYFUNCTION("""COMPUTED_VALUE"""),"+Fire Rate")</f>
        <v>+Fire Rate</v>
      </c>
      <c r="H307" s="102"/>
      <c r="I307" s="102"/>
      <c r="J307" s="102"/>
      <c r="K307" s="102"/>
      <c r="L307" s="102"/>
    </row>
    <row r="308">
      <c r="A308" s="102" t="str">
        <f>IFERROR(__xludf.DUMMYFUNCTION("""COMPUTED_VALUE"""),"Jakobs")</f>
        <v>Jakobs</v>
      </c>
      <c r="B308" s="102" t="str">
        <f>IFERROR(__xludf.DUMMYFUNCTION("""COMPUTED_VALUE"""),"Assault Rifle")</f>
        <v>Assault Rifle</v>
      </c>
      <c r="C308" s="103">
        <f>IFERROR(__xludf.DUMMYFUNCTION("""COMPUTED_VALUE"""),5.0)</f>
        <v>5</v>
      </c>
      <c r="D308" s="102" t="str">
        <f>IFERROR(__xludf.DUMMYFUNCTION("""COMPUTED_VALUE"""),"Body Accessory")</f>
        <v>Body Accessory</v>
      </c>
      <c r="E308" s="102" t="str">
        <f>IFERROR(__xludf.DUMMYFUNCTION("""COMPUTED_VALUE"""),"JAK_AR.part_body_c")</f>
        <v>JAK_AR.part_body_c</v>
      </c>
      <c r="F308" s="102"/>
      <c r="G308" s="102" t="str">
        <f>IFERROR(__xludf.DUMMYFUNCTION("""COMPUTED_VALUE"""),"+Accuracy")</f>
        <v>+Accuracy</v>
      </c>
      <c r="H308" s="102"/>
      <c r="I308" s="102"/>
      <c r="J308" s="102"/>
      <c r="K308" s="102"/>
      <c r="L308" s="102"/>
    </row>
    <row r="309">
      <c r="A309" s="102" t="str">
        <f>IFERROR(__xludf.DUMMYFUNCTION("""COMPUTED_VALUE"""),"Jakobs")</f>
        <v>Jakobs</v>
      </c>
      <c r="B309" s="102" t="str">
        <f>IFERROR(__xludf.DUMMYFUNCTION("""COMPUTED_VALUE"""),"Assault Rifle")</f>
        <v>Assault Rifle</v>
      </c>
      <c r="C309" s="103">
        <f>IFERROR(__xludf.DUMMYFUNCTION("""COMPUTED_VALUE"""),6.0)</f>
        <v>6</v>
      </c>
      <c r="D309" s="102" t="str">
        <f>IFERROR(__xludf.DUMMYFUNCTION("""COMPUTED_VALUE"""),"Body Accessory")</f>
        <v>Body Accessory</v>
      </c>
      <c r="E309" s="102" t="str">
        <f>IFERROR(__xludf.DUMMYFUNCTION("""COMPUTED_VALUE"""),"JAK_AR.part_body_d")</f>
        <v>JAK_AR.part_body_d</v>
      </c>
      <c r="F309" s="102"/>
      <c r="G309" s="102" t="str">
        <f>IFERROR(__xludf.DUMMYFUNCTION("""COMPUTED_VALUE"""),"+Crit Damage")</f>
        <v>+Crit Damage</v>
      </c>
      <c r="H309" s="102"/>
      <c r="I309" s="102"/>
      <c r="J309" s="102"/>
      <c r="K309" s="102"/>
      <c r="L309" s="102"/>
    </row>
    <row r="310">
      <c r="A310" s="102" t="str">
        <f>IFERROR(__xludf.DUMMYFUNCTION("""COMPUTED_VALUE"""),"Jakobs")</f>
        <v>Jakobs</v>
      </c>
      <c r="B310" s="102" t="str">
        <f>IFERROR(__xludf.DUMMYFUNCTION("""COMPUTED_VALUE"""),"Assault Rifle")</f>
        <v>Assault Rifle</v>
      </c>
      <c r="C310" s="103">
        <f>IFERROR(__xludf.DUMMYFUNCTION("""COMPUTED_VALUE"""),7.0)</f>
        <v>7</v>
      </c>
      <c r="D310" s="102" t="str">
        <f>IFERROR(__xludf.DUMMYFUNCTION("""COMPUTED_VALUE"""),"Barrel")</f>
        <v>Barrel</v>
      </c>
      <c r="E310" s="102" t="str">
        <f>IFERROR(__xludf.DUMMYFUNCTION("""COMPUTED_VALUE"""),"JAK_AR.part_barrel_01")</f>
        <v>JAK_AR.part_barrel_01</v>
      </c>
      <c r="F310" s="102"/>
      <c r="G310" s="102" t="str">
        <f>IFERROR(__xludf.DUMMYFUNCTION("""COMPUTED_VALUE"""),"Karkadann, 1294 Damage, 77% Acc, 6.5/s FR")</f>
        <v>Karkadann, 1294 Damage, 77% Acc, 6.5/s FR</v>
      </c>
      <c r="H310" s="102"/>
      <c r="I310" s="102"/>
      <c r="J310" s="102"/>
      <c r="K310" s="102"/>
      <c r="L310" s="102"/>
    </row>
    <row r="311">
      <c r="A311" s="102" t="str">
        <f>IFERROR(__xludf.DUMMYFUNCTION("""COMPUTED_VALUE"""),"Jakobs")</f>
        <v>Jakobs</v>
      </c>
      <c r="B311" s="102" t="str">
        <f>IFERROR(__xludf.DUMMYFUNCTION("""COMPUTED_VALUE"""),"Assault Rifle")</f>
        <v>Assault Rifle</v>
      </c>
      <c r="C311" s="103">
        <f>IFERROR(__xludf.DUMMYFUNCTION("""COMPUTED_VALUE"""),8.0)</f>
        <v>8</v>
      </c>
      <c r="D311" s="102" t="str">
        <f>IFERROR(__xludf.DUMMYFUNCTION("""COMPUTED_VALUE"""),"Barrel")</f>
        <v>Barrel</v>
      </c>
      <c r="E311" s="102" t="str">
        <f>IFERROR(__xludf.DUMMYFUNCTION("""COMPUTED_VALUE"""),"JAK_AR.part_barrel_02")</f>
        <v>JAK_AR.part_barrel_02</v>
      </c>
      <c r="F311" s="102"/>
      <c r="G311" s="102" t="str">
        <f>IFERROR(__xludf.DUMMYFUNCTION("""COMPUTED_VALUE"""),"Rougarou, 1517 Damage, 76% Acc, 4.8/s FR")</f>
        <v>Rougarou, 1517 Damage, 76% Acc, 4.8/s FR</v>
      </c>
      <c r="H311" s="102"/>
      <c r="I311" s="102"/>
      <c r="J311" s="102"/>
      <c r="K311" s="102"/>
      <c r="L311" s="102"/>
    </row>
    <row r="312">
      <c r="A312" s="102" t="str">
        <f>IFERROR(__xludf.DUMMYFUNCTION("""COMPUTED_VALUE"""),"Jakobs")</f>
        <v>Jakobs</v>
      </c>
      <c r="B312" s="102" t="str">
        <f>IFERROR(__xludf.DUMMYFUNCTION("""COMPUTED_VALUE"""),"Assault Rifle")</f>
        <v>Assault Rifle</v>
      </c>
      <c r="C312" s="103">
        <f>IFERROR(__xludf.DUMMYFUNCTION("""COMPUTED_VALUE"""),9.0)</f>
        <v>9</v>
      </c>
      <c r="D312" s="102" t="str">
        <f>IFERROR(__xludf.DUMMYFUNCTION("""COMPUTED_VALUE"""),"Barrel Accessory")</f>
        <v>Barrel Accessory</v>
      </c>
      <c r="E312" s="102" t="str">
        <f>IFERROR(__xludf.DUMMYFUNCTION("""COMPUTED_VALUE"""),"JAK_AR.part_barrel_01_a")</f>
        <v>JAK_AR.part_barrel_01_a</v>
      </c>
      <c r="F312" s="102"/>
      <c r="G312" s="102" t="str">
        <f>IFERROR(__xludf.DUMMYFUNCTION("""COMPUTED_VALUE"""),"+Damage")</f>
        <v>+Damage</v>
      </c>
      <c r="H312" s="102"/>
      <c r="I312" s="102"/>
      <c r="J312" s="102"/>
      <c r="K312" s="102"/>
      <c r="L312" s="102"/>
    </row>
    <row r="313">
      <c r="A313" s="102" t="str">
        <f>IFERROR(__xludf.DUMMYFUNCTION("""COMPUTED_VALUE"""),"Jakobs")</f>
        <v>Jakobs</v>
      </c>
      <c r="B313" s="102" t="str">
        <f>IFERROR(__xludf.DUMMYFUNCTION("""COMPUTED_VALUE"""),"Assault Rifle")</f>
        <v>Assault Rifle</v>
      </c>
      <c r="C313" s="103">
        <f>IFERROR(__xludf.DUMMYFUNCTION("""COMPUTED_VALUE"""),10.0)</f>
        <v>10</v>
      </c>
      <c r="D313" s="102" t="str">
        <f>IFERROR(__xludf.DUMMYFUNCTION("""COMPUTED_VALUE"""),"Barrel Accessory")</f>
        <v>Barrel Accessory</v>
      </c>
      <c r="E313" s="102" t="str">
        <f>IFERROR(__xludf.DUMMYFUNCTION("""COMPUTED_VALUE"""),"JAK_AR.part_barrel_01_b")</f>
        <v>JAK_AR.part_barrel_01_b</v>
      </c>
      <c r="F313" s="102"/>
      <c r="G313" s="102" t="str">
        <f>IFERROR(__xludf.DUMMYFUNCTION("""COMPUTED_VALUE"""),"+Crit Damage")</f>
        <v>+Crit Damage</v>
      </c>
      <c r="H313" s="102"/>
      <c r="I313" s="102"/>
      <c r="J313" s="102"/>
      <c r="K313" s="102"/>
      <c r="L313" s="102"/>
    </row>
    <row r="314">
      <c r="A314" s="102" t="str">
        <f>IFERROR(__xludf.DUMMYFUNCTION("""COMPUTED_VALUE"""),"Jakobs")</f>
        <v>Jakobs</v>
      </c>
      <c r="B314" s="102" t="str">
        <f>IFERROR(__xludf.DUMMYFUNCTION("""COMPUTED_VALUE"""),"Assault Rifle")</f>
        <v>Assault Rifle</v>
      </c>
      <c r="C314" s="103">
        <f>IFERROR(__xludf.DUMMYFUNCTION("""COMPUTED_VALUE"""),11.0)</f>
        <v>11</v>
      </c>
      <c r="D314" s="102" t="str">
        <f>IFERROR(__xludf.DUMMYFUNCTION("""COMPUTED_VALUE"""),"Barrel Accessory")</f>
        <v>Barrel Accessory</v>
      </c>
      <c r="E314" s="102" t="str">
        <f>IFERROR(__xludf.DUMMYFUNCTION("""COMPUTED_VALUE"""),"JAK_AR.part_barrel_01_c")</f>
        <v>JAK_AR.part_barrel_01_c</v>
      </c>
      <c r="F314" s="102"/>
      <c r="G314" s="102" t="str">
        <f>IFERROR(__xludf.DUMMYFUNCTION("""COMPUTED_VALUE"""),"+Accuracy")</f>
        <v>+Accuracy</v>
      </c>
      <c r="H314" s="102"/>
      <c r="I314" s="102"/>
      <c r="J314" s="102"/>
      <c r="K314" s="102"/>
      <c r="L314" s="102"/>
    </row>
    <row r="315">
      <c r="A315" s="102" t="str">
        <f>IFERROR(__xludf.DUMMYFUNCTION("""COMPUTED_VALUE"""),"Jakobs")</f>
        <v>Jakobs</v>
      </c>
      <c r="B315" s="102" t="str">
        <f>IFERROR(__xludf.DUMMYFUNCTION("""COMPUTED_VALUE"""),"Assault Rifle")</f>
        <v>Assault Rifle</v>
      </c>
      <c r="C315" s="103">
        <f>IFERROR(__xludf.DUMMYFUNCTION("""COMPUTED_VALUE"""),12.0)</f>
        <v>12</v>
      </c>
      <c r="D315" s="102" t="str">
        <f>IFERROR(__xludf.DUMMYFUNCTION("""COMPUTED_VALUE"""),"Barrel Accessory")</f>
        <v>Barrel Accessory</v>
      </c>
      <c r="E315" s="102" t="str">
        <f>IFERROR(__xludf.DUMMYFUNCTION("""COMPUTED_VALUE"""),"JAK_AR.part_barrel_01_d")</f>
        <v>JAK_AR.part_barrel_01_d</v>
      </c>
      <c r="F315" s="102"/>
      <c r="G315" s="104" t="str">
        <f>IFERROR(__xludf.DUMMYFUNCTION("""COMPUTED_VALUE"""),"+Accuracy")</f>
        <v>+Accuracy</v>
      </c>
      <c r="H315" s="102"/>
      <c r="I315" s="102"/>
      <c r="J315" s="102"/>
      <c r="K315" s="102"/>
      <c r="L315" s="102"/>
    </row>
    <row r="316">
      <c r="A316" s="102" t="str">
        <f>IFERROR(__xludf.DUMMYFUNCTION("""COMPUTED_VALUE"""),"Jakobs")</f>
        <v>Jakobs</v>
      </c>
      <c r="B316" s="102" t="str">
        <f>IFERROR(__xludf.DUMMYFUNCTION("""COMPUTED_VALUE"""),"Assault Rifle")</f>
        <v>Assault Rifle</v>
      </c>
      <c r="C316" s="103">
        <f>IFERROR(__xludf.DUMMYFUNCTION("""COMPUTED_VALUE"""),13.0)</f>
        <v>13</v>
      </c>
      <c r="D316" s="102" t="str">
        <f>IFERROR(__xludf.DUMMYFUNCTION("""COMPUTED_VALUE"""),"Barrel Accessory")</f>
        <v>Barrel Accessory</v>
      </c>
      <c r="E316" s="102" t="str">
        <f>IFERROR(__xludf.DUMMYFUNCTION("""COMPUTED_VALUE"""),"JAK_AR.part_barrel_02_a")</f>
        <v>JAK_AR.part_barrel_02_a</v>
      </c>
      <c r="F316" s="102"/>
      <c r="G316" s="104" t="str">
        <f>IFERROR(__xludf.DUMMYFUNCTION("""COMPUTED_VALUE"""),"+Damage")</f>
        <v>+Damage</v>
      </c>
      <c r="H316" s="102"/>
      <c r="I316" s="102"/>
      <c r="J316" s="102"/>
      <c r="K316" s="102"/>
      <c r="L316" s="102"/>
    </row>
    <row r="317">
      <c r="A317" s="102" t="str">
        <f>IFERROR(__xludf.DUMMYFUNCTION("""COMPUTED_VALUE"""),"Jakobs")</f>
        <v>Jakobs</v>
      </c>
      <c r="B317" s="102" t="str">
        <f>IFERROR(__xludf.DUMMYFUNCTION("""COMPUTED_VALUE"""),"Assault Rifle")</f>
        <v>Assault Rifle</v>
      </c>
      <c r="C317" s="103">
        <f>IFERROR(__xludf.DUMMYFUNCTION("""COMPUTED_VALUE"""),14.0)</f>
        <v>14</v>
      </c>
      <c r="D317" s="102" t="str">
        <f>IFERROR(__xludf.DUMMYFUNCTION("""COMPUTED_VALUE"""),"Barrel Accessory")</f>
        <v>Barrel Accessory</v>
      </c>
      <c r="E317" s="102" t="str">
        <f>IFERROR(__xludf.DUMMYFUNCTION("""COMPUTED_VALUE"""),"JAK_AR.part_barrel_02_b")</f>
        <v>JAK_AR.part_barrel_02_b</v>
      </c>
      <c r="F317" s="102"/>
      <c r="G317" s="102" t="str">
        <f>IFERROR(__xludf.DUMMYFUNCTION("""COMPUTED_VALUE"""),"+Accuracy")</f>
        <v>+Accuracy</v>
      </c>
      <c r="H317" s="102"/>
      <c r="I317" s="102"/>
      <c r="J317" s="102"/>
      <c r="K317" s="102"/>
      <c r="L317" s="102"/>
    </row>
    <row r="318">
      <c r="A318" s="102" t="str">
        <f>IFERROR(__xludf.DUMMYFUNCTION("""COMPUTED_VALUE"""),"Jakobs")</f>
        <v>Jakobs</v>
      </c>
      <c r="B318" s="102" t="str">
        <f>IFERROR(__xludf.DUMMYFUNCTION("""COMPUTED_VALUE"""),"Assault Rifle")</f>
        <v>Assault Rifle</v>
      </c>
      <c r="C318" s="103">
        <f>IFERROR(__xludf.DUMMYFUNCTION("""COMPUTED_VALUE"""),15.0)</f>
        <v>15</v>
      </c>
      <c r="D318" s="102" t="str">
        <f>IFERROR(__xludf.DUMMYFUNCTION("""COMPUTED_VALUE"""),"Barrel Accessory")</f>
        <v>Barrel Accessory</v>
      </c>
      <c r="E318" s="102" t="str">
        <f>IFERROR(__xludf.DUMMYFUNCTION("""COMPUTED_VALUE"""),"JAK_AR.part_barrel_02_c")</f>
        <v>JAK_AR.part_barrel_02_c</v>
      </c>
      <c r="F318" s="102"/>
      <c r="G318" s="102" t="str">
        <f>IFERROR(__xludf.DUMMYFUNCTION("""COMPUTED_VALUE"""),"+Fire Rate")</f>
        <v>+Fire Rate</v>
      </c>
      <c r="H318" s="102"/>
      <c r="I318" s="102"/>
      <c r="J318" s="102"/>
      <c r="K318" s="102"/>
      <c r="L318" s="102"/>
    </row>
    <row r="319">
      <c r="A319" s="102" t="str">
        <f>IFERROR(__xludf.DUMMYFUNCTION("""COMPUTED_VALUE"""),"Jakobs")</f>
        <v>Jakobs</v>
      </c>
      <c r="B319" s="102" t="str">
        <f>IFERROR(__xludf.DUMMYFUNCTION("""COMPUTED_VALUE"""),"Assault Rifle")</f>
        <v>Assault Rifle</v>
      </c>
      <c r="C319" s="103">
        <f>IFERROR(__xludf.DUMMYFUNCTION("""COMPUTED_VALUE"""),16.0)</f>
        <v>16</v>
      </c>
      <c r="D319" s="102" t="str">
        <f>IFERROR(__xludf.DUMMYFUNCTION("""COMPUTED_VALUE"""),"Barrel Accessory")</f>
        <v>Barrel Accessory</v>
      </c>
      <c r="E319" s="102" t="str">
        <f>IFERROR(__xludf.DUMMYFUNCTION("""COMPUTED_VALUE"""),"JAK_AR.part_barrel_02_d")</f>
        <v>JAK_AR.part_barrel_02_d</v>
      </c>
      <c r="F319" s="102"/>
      <c r="G319" s="102" t="str">
        <f>IFERROR(__xludf.DUMMYFUNCTION("""COMPUTED_VALUE"""),"+Fire Rate")</f>
        <v>+Fire Rate</v>
      </c>
      <c r="H319" s="102"/>
      <c r="I319" s="102"/>
      <c r="J319" s="102"/>
      <c r="K319" s="102"/>
      <c r="L319" s="102"/>
    </row>
    <row r="320">
      <c r="A320" s="102" t="str">
        <f>IFERROR(__xludf.DUMMYFUNCTION("""COMPUTED_VALUE"""),"Jakobs")</f>
        <v>Jakobs</v>
      </c>
      <c r="B320" s="102" t="str">
        <f>IFERROR(__xludf.DUMMYFUNCTION("""COMPUTED_VALUE"""),"Assault Rifle")</f>
        <v>Assault Rifle</v>
      </c>
      <c r="C320" s="103">
        <f>IFERROR(__xludf.DUMMYFUNCTION("""COMPUTED_VALUE"""),17.0)</f>
        <v>17</v>
      </c>
      <c r="D320" s="102" t="str">
        <f>IFERROR(__xludf.DUMMYFUNCTION("""COMPUTED_VALUE"""),"Manufacturer Part")</f>
        <v>Manufacturer Part</v>
      </c>
      <c r="E320" s="102" t="str">
        <f>IFERROR(__xludf.DUMMYFUNCTION("""COMPUTED_VALUE"""),"JAK_AR.part_barrel_licensed_ted")</f>
        <v>JAK_AR.part_barrel_licensed_ted</v>
      </c>
      <c r="F320" s="102"/>
      <c r="G320" s="102" t="str">
        <f>IFERROR(__xludf.DUMMYFUNCTION("""COMPUTED_VALUE"""),"Tediore Reload, no stat changes")</f>
        <v>Tediore Reload, no stat changes</v>
      </c>
      <c r="H320" s="102"/>
      <c r="I320" s="102"/>
      <c r="J320" s="102"/>
      <c r="K320" s="102"/>
      <c r="L320" s="102"/>
    </row>
    <row r="321">
      <c r="A321" s="102" t="str">
        <f>IFERROR(__xludf.DUMMYFUNCTION("""COMPUTED_VALUE"""),"Jakobs")</f>
        <v>Jakobs</v>
      </c>
      <c r="B321" s="102" t="str">
        <f>IFERROR(__xludf.DUMMYFUNCTION("""COMPUTED_VALUE"""),"Assault Rifle")</f>
        <v>Assault Rifle</v>
      </c>
      <c r="C321" s="103">
        <f>IFERROR(__xludf.DUMMYFUNCTION("""COMPUTED_VALUE"""),18.0)</f>
        <v>18</v>
      </c>
      <c r="D321" s="102" t="str">
        <f>IFERROR(__xludf.DUMMYFUNCTION("""COMPUTED_VALUE"""),"Manufacturer Part")</f>
        <v>Manufacturer Part</v>
      </c>
      <c r="E321" s="102" t="str">
        <f>IFERROR(__xludf.DUMMYFUNCTION("""COMPUTED_VALUE"""),"JAK_AR.part_barrel_licensed_ted_shooting")</f>
        <v>JAK_AR.part_barrel_licensed_ted_shooting</v>
      </c>
      <c r="F321" s="102"/>
      <c r="G321" s="102" t="str">
        <f>IFERROR(__xludf.DUMMYFUNCTION("""COMPUTED_VALUE"""),"Tediore Shooting, no stat changes")</f>
        <v>Tediore Shooting, no stat changes</v>
      </c>
      <c r="H321" s="102"/>
      <c r="I321" s="102"/>
      <c r="J321" s="102"/>
      <c r="K321" s="102"/>
      <c r="L321" s="102"/>
    </row>
    <row r="322">
      <c r="A322" s="102" t="str">
        <f>IFERROR(__xludf.DUMMYFUNCTION("""COMPUTED_VALUE"""),"Jakobs")</f>
        <v>Jakobs</v>
      </c>
      <c r="B322" s="102" t="str">
        <f>IFERROR(__xludf.DUMMYFUNCTION("""COMPUTED_VALUE"""),"Assault Rifle")</f>
        <v>Assault Rifle</v>
      </c>
      <c r="C322" s="103">
        <f>IFERROR(__xludf.DUMMYFUNCTION("""COMPUTED_VALUE"""),19.0)</f>
        <v>19</v>
      </c>
      <c r="D322" s="102" t="str">
        <f>IFERROR(__xludf.DUMMYFUNCTION("""COMPUTED_VALUE"""),"Manufacturer Part")</f>
        <v>Manufacturer Part</v>
      </c>
      <c r="E322" s="102" t="str">
        <f>IFERROR(__xludf.DUMMYFUNCTION("""COMPUTED_VALUE"""),"JAK_AR.part_barrel_licensed_ted_combo")</f>
        <v>JAK_AR.part_barrel_licensed_ted_combo</v>
      </c>
      <c r="F322" s="102"/>
      <c r="G322" s="102" t="str">
        <f>IFERROR(__xludf.DUMMYFUNCTION("""COMPUTED_VALUE"""),"Tediore Combo, no stat changes")</f>
        <v>Tediore Combo, no stat changes</v>
      </c>
      <c r="H322" s="102"/>
      <c r="I322" s="102"/>
      <c r="J322" s="102"/>
      <c r="K322" s="102"/>
      <c r="L322" s="102"/>
    </row>
    <row r="323">
      <c r="A323" s="102" t="str">
        <f>IFERROR(__xludf.DUMMYFUNCTION("""COMPUTED_VALUE"""),"Jakobs")</f>
        <v>Jakobs</v>
      </c>
      <c r="B323" s="102" t="str">
        <f>IFERROR(__xludf.DUMMYFUNCTION("""COMPUTED_VALUE"""),"Assault Rifle")</f>
        <v>Assault Rifle</v>
      </c>
      <c r="C323" s="103">
        <f>IFERROR(__xludf.DUMMYFUNCTION("""COMPUTED_VALUE"""),20.0)</f>
        <v>20</v>
      </c>
      <c r="D323" s="102" t="str">
        <f>IFERROR(__xludf.DUMMYFUNCTION("""COMPUTED_VALUE"""),"Manufacturer Part")</f>
        <v>Manufacturer Part</v>
      </c>
      <c r="E323" s="102" t="str">
        <f>IFERROR(__xludf.DUMMYFUNCTION("""COMPUTED_VALUE"""),"JAK_AR.part_barrel_licensed_ted_mirv")</f>
        <v>JAK_AR.part_barrel_licensed_ted_mirv</v>
      </c>
      <c r="F323" s="102"/>
      <c r="G323" s="102" t="str">
        <f>IFERROR(__xludf.DUMMYFUNCTION("""COMPUTED_VALUE"""),"Tediore MIRV, no stat changes")</f>
        <v>Tediore MIRV, no stat changes</v>
      </c>
      <c r="H323" s="102"/>
      <c r="I323" s="102"/>
      <c r="J323" s="102"/>
      <c r="K323" s="102"/>
      <c r="L323" s="102"/>
    </row>
    <row r="324">
      <c r="A324" s="102" t="str">
        <f>IFERROR(__xludf.DUMMYFUNCTION("""COMPUTED_VALUE"""),"Jakobs")</f>
        <v>Jakobs</v>
      </c>
      <c r="B324" s="102" t="str">
        <f>IFERROR(__xludf.DUMMYFUNCTION("""COMPUTED_VALUE"""),"Assault Rifle")</f>
        <v>Assault Rifle</v>
      </c>
      <c r="C324" s="103">
        <f>IFERROR(__xludf.DUMMYFUNCTION("""COMPUTED_VALUE"""),21.0)</f>
        <v>21</v>
      </c>
      <c r="D324" s="102" t="str">
        <f>IFERROR(__xludf.DUMMYFUNCTION("""COMPUTED_VALUE"""),"Manufacturer Part")</f>
        <v>Manufacturer Part</v>
      </c>
      <c r="E324" s="102" t="str">
        <f>IFERROR(__xludf.DUMMYFUNCTION("""COMPUTED_VALUE"""),"JAK_AR.part_barrel_licensed_hyp")</f>
        <v>JAK_AR.part_barrel_licensed_hyp</v>
      </c>
      <c r="F324" s="102"/>
      <c r="G324" s="102" t="str">
        <f>IFERROR(__xludf.DUMMYFUNCTION("""COMPUTED_VALUE"""),"Hyperion Shield visual accessory, no stat changes")</f>
        <v>Hyperion Shield visual accessory, no stat changes</v>
      </c>
      <c r="H324" s="102"/>
      <c r="I324" s="102"/>
      <c r="J324" s="102"/>
      <c r="K324" s="102"/>
      <c r="L324" s="102"/>
    </row>
    <row r="325">
      <c r="A325" s="102" t="str">
        <f>IFERROR(__xludf.DUMMYFUNCTION("""COMPUTED_VALUE"""),"Jakobs")</f>
        <v>Jakobs</v>
      </c>
      <c r="B325" s="102" t="str">
        <f>IFERROR(__xludf.DUMMYFUNCTION("""COMPUTED_VALUE"""),"Assault Rifle")</f>
        <v>Assault Rifle</v>
      </c>
      <c r="C325" s="103">
        <f>IFERROR(__xludf.DUMMYFUNCTION("""COMPUTED_VALUE"""),22.0)</f>
        <v>22</v>
      </c>
      <c r="D325" s="102" t="str">
        <f>IFERROR(__xludf.DUMMYFUNCTION("""COMPUTED_VALUE"""),"Manufacturer Part")</f>
        <v>Manufacturer Part</v>
      </c>
      <c r="E325" s="102" t="str">
        <f>IFERROR(__xludf.DUMMYFUNCTION("""COMPUTED_VALUE"""),"JAK_AR.part_shield_default")</f>
        <v>JAK_AR.part_shield_default</v>
      </c>
      <c r="F325" s="102"/>
      <c r="G325" s="102" t="str">
        <f>IFERROR(__xludf.DUMMYFUNCTION("""COMPUTED_VALUE"""),"Hyperion Shield")</f>
        <v>Hyperion Shield</v>
      </c>
      <c r="H325" s="102"/>
      <c r="I325" s="102"/>
      <c r="J325" s="102"/>
      <c r="K325" s="102"/>
      <c r="L325" s="102"/>
    </row>
    <row r="326">
      <c r="A326" s="102" t="str">
        <f>IFERROR(__xludf.DUMMYFUNCTION("""COMPUTED_VALUE"""),"Jakobs")</f>
        <v>Jakobs</v>
      </c>
      <c r="B326" s="102" t="str">
        <f>IFERROR(__xludf.DUMMYFUNCTION("""COMPUTED_VALUE"""),"Assault Rifle")</f>
        <v>Assault Rifle</v>
      </c>
      <c r="C326" s="103">
        <f>IFERROR(__xludf.DUMMYFUNCTION("""COMPUTED_VALUE"""),23.0)</f>
        <v>23</v>
      </c>
      <c r="D326" s="102" t="str">
        <f>IFERROR(__xludf.DUMMYFUNCTION("""COMPUTED_VALUE"""),"Manufacturer Part")</f>
        <v>Manufacturer Part</v>
      </c>
      <c r="E326" s="102" t="str">
        <f>IFERROR(__xludf.DUMMYFUNCTION("""COMPUTED_VALUE"""),"JAK_AR.part_shield_ricochet")</f>
        <v>JAK_AR.part_shield_ricochet</v>
      </c>
      <c r="F326" s="102"/>
      <c r="G326" s="102" t="str">
        <f>IFERROR(__xludf.DUMMYFUNCTION("""COMPUTED_VALUE"""),"Hyperion Ricochet Shield")</f>
        <v>Hyperion Ricochet Shield</v>
      </c>
      <c r="H326" s="102"/>
      <c r="I326" s="102"/>
      <c r="J326" s="102"/>
      <c r="K326" s="102"/>
      <c r="L326" s="102"/>
    </row>
    <row r="327">
      <c r="A327" s="102" t="str">
        <f>IFERROR(__xludf.DUMMYFUNCTION("""COMPUTED_VALUE"""),"Jakobs")</f>
        <v>Jakobs</v>
      </c>
      <c r="B327" s="102" t="str">
        <f>IFERROR(__xludf.DUMMYFUNCTION("""COMPUTED_VALUE"""),"Assault Rifle")</f>
        <v>Assault Rifle</v>
      </c>
      <c r="C327" s="103">
        <f>IFERROR(__xludf.DUMMYFUNCTION("""COMPUTED_VALUE"""),24.0)</f>
        <v>24</v>
      </c>
      <c r="D327" s="102" t="str">
        <f>IFERROR(__xludf.DUMMYFUNCTION("""COMPUTED_VALUE"""),"Manufacturer Part")</f>
        <v>Manufacturer Part</v>
      </c>
      <c r="E327" s="102" t="str">
        <f>IFERROR(__xludf.DUMMYFUNCTION("""COMPUTED_VALUE"""),"JAK_AR.part_shield_amp")</f>
        <v>JAK_AR.part_shield_amp</v>
      </c>
      <c r="F327" s="102"/>
      <c r="G327" s="102" t="str">
        <f>IFERROR(__xludf.DUMMYFUNCTION("""COMPUTED_VALUE"""),"Hyperion Amp Shield")</f>
        <v>Hyperion Amp Shield</v>
      </c>
      <c r="H327" s="102"/>
      <c r="I327" s="102"/>
      <c r="J327" s="102"/>
      <c r="K327" s="102"/>
      <c r="L327" s="102"/>
    </row>
    <row r="328">
      <c r="A328" s="102" t="str">
        <f>IFERROR(__xludf.DUMMYFUNCTION("""COMPUTED_VALUE"""),"Jakobs")</f>
        <v>Jakobs</v>
      </c>
      <c r="B328" s="102" t="str">
        <f>IFERROR(__xludf.DUMMYFUNCTION("""COMPUTED_VALUE"""),"Assault Rifle")</f>
        <v>Assault Rifle</v>
      </c>
      <c r="C328" s="103">
        <f>IFERROR(__xludf.DUMMYFUNCTION("""COMPUTED_VALUE"""),25.0)</f>
        <v>25</v>
      </c>
      <c r="D328" s="102" t="str">
        <f>IFERROR(__xludf.DUMMYFUNCTION("""COMPUTED_VALUE"""),"Magazine")</f>
        <v>Magazine</v>
      </c>
      <c r="E328" s="102" t="str">
        <f>IFERROR(__xludf.DUMMYFUNCTION("""COMPUTED_VALUE"""),"JAK_AR.part_mag_01")</f>
        <v>JAK_AR.part_mag_01</v>
      </c>
      <c r="F328" s="102"/>
      <c r="G328" s="102" t="str">
        <f>IFERROR(__xludf.DUMMYFUNCTION("""COMPUTED_VALUE"""),"2.5s Reload, -Damage, 14 Shots")</f>
        <v>2.5s Reload, -Damage, 14 Shots</v>
      </c>
      <c r="H328" s="102"/>
      <c r="I328" s="102"/>
      <c r="J328" s="102"/>
      <c r="K328" s="102"/>
      <c r="L328" s="102"/>
    </row>
    <row r="329">
      <c r="A329" s="102" t="str">
        <f>IFERROR(__xludf.DUMMYFUNCTION("""COMPUTED_VALUE"""),"Jakobs")</f>
        <v>Jakobs</v>
      </c>
      <c r="B329" s="102" t="str">
        <f>IFERROR(__xludf.DUMMYFUNCTION("""COMPUTED_VALUE"""),"Assault Rifle")</f>
        <v>Assault Rifle</v>
      </c>
      <c r="C329" s="103">
        <f>IFERROR(__xludf.DUMMYFUNCTION("""COMPUTED_VALUE"""),26.0)</f>
        <v>26</v>
      </c>
      <c r="D329" s="102" t="str">
        <f>IFERROR(__xludf.DUMMYFUNCTION("""COMPUTED_VALUE"""),"Magazine")</f>
        <v>Magazine</v>
      </c>
      <c r="E329" s="102" t="str">
        <f>IFERROR(__xludf.DUMMYFUNCTION("""COMPUTED_VALUE"""),"JAK_AR.part_mag_02")</f>
        <v>JAK_AR.part_mag_02</v>
      </c>
      <c r="F329" s="102"/>
      <c r="G329" s="102" t="str">
        <f>IFERROR(__xludf.DUMMYFUNCTION("""COMPUTED_VALUE"""),"2.7s Reload, -Damage, +Fire Rate, 18 Shots")</f>
        <v>2.7s Reload, -Damage, +Fire Rate, 18 Shots</v>
      </c>
      <c r="H329" s="102"/>
      <c r="I329" s="102"/>
      <c r="J329" s="102"/>
      <c r="K329" s="102"/>
      <c r="L329" s="102"/>
    </row>
    <row r="330">
      <c r="A330" s="102" t="str">
        <f>IFERROR(__xludf.DUMMYFUNCTION("""COMPUTED_VALUE"""),"Jakobs")</f>
        <v>Jakobs</v>
      </c>
      <c r="B330" s="102" t="str">
        <f>IFERROR(__xludf.DUMMYFUNCTION("""COMPUTED_VALUE"""),"Assault Rifle")</f>
        <v>Assault Rifle</v>
      </c>
      <c r="C330" s="103">
        <f>IFERROR(__xludf.DUMMYFUNCTION("""COMPUTED_VALUE"""),27.0)</f>
        <v>27</v>
      </c>
      <c r="D330" s="102" t="str">
        <f>IFERROR(__xludf.DUMMYFUNCTION("""COMPUTED_VALUE"""),"Magazine")</f>
        <v>Magazine</v>
      </c>
      <c r="E330" s="102" t="str">
        <f>IFERROR(__xludf.DUMMYFUNCTION("""COMPUTED_VALUE"""),"JAK_AR.part_mag_03_tor")</f>
        <v>JAK_AR.part_mag_03_tor</v>
      </c>
      <c r="F330" s="102"/>
      <c r="G330" s="102" t="str">
        <f>IFERROR(__xludf.DUMMYFUNCTION("""COMPUTED_VALUE"""),"2.6s Reload, -Damage, -Acc, -Fire Rate, 16 Shots, Torgue")</f>
        <v>2.6s Reload, -Damage, -Acc, -Fire Rate, 16 Shots, Torgue</v>
      </c>
      <c r="H330" s="102"/>
      <c r="I330" s="102"/>
      <c r="J330" s="102"/>
      <c r="K330" s="102"/>
      <c r="L330" s="102"/>
    </row>
    <row r="331">
      <c r="A331" s="102" t="str">
        <f>IFERROR(__xludf.DUMMYFUNCTION("""COMPUTED_VALUE"""),"Jakobs")</f>
        <v>Jakobs</v>
      </c>
      <c r="B331" s="102" t="str">
        <f>IFERROR(__xludf.DUMMYFUNCTION("""COMPUTED_VALUE"""),"Assault Rifle")</f>
        <v>Assault Rifle</v>
      </c>
      <c r="C331" s="103">
        <f>IFERROR(__xludf.DUMMYFUNCTION("""COMPUTED_VALUE"""),28.0)</f>
        <v>28</v>
      </c>
      <c r="D331" s="102" t="str">
        <f>IFERROR(__xludf.DUMMYFUNCTION("""COMPUTED_VALUE"""),"Magazine")</f>
        <v>Magazine</v>
      </c>
      <c r="E331" s="102" t="str">
        <f>IFERROR(__xludf.DUMMYFUNCTION("""COMPUTED_VALUE"""),"JAK_AR.part_mag_04_cov")</f>
        <v>JAK_AR.part_mag_04_cov</v>
      </c>
      <c r="F331" s="102"/>
      <c r="G331" s="102" t="str">
        <f>IFERROR(__xludf.DUMMYFUNCTION("""COMPUTED_VALUE"""),"4.0s Reload, -Damage, -Acc, 17 Shots, CoV Mag")</f>
        <v>4.0s Reload, -Damage, -Acc, 17 Shots, CoV Mag</v>
      </c>
      <c r="H331" s="102"/>
      <c r="I331" s="102"/>
      <c r="J331" s="102"/>
      <c r="K331" s="102"/>
      <c r="L331" s="102"/>
    </row>
    <row r="332">
      <c r="A332" s="102" t="str">
        <f>IFERROR(__xludf.DUMMYFUNCTION("""COMPUTED_VALUE"""),"Jakobs")</f>
        <v>Jakobs</v>
      </c>
      <c r="B332" s="102" t="str">
        <f>IFERROR(__xludf.DUMMYFUNCTION("""COMPUTED_VALUE"""),"Assault Rifle")</f>
        <v>Assault Rifle</v>
      </c>
      <c r="C332" s="103">
        <f>IFERROR(__xludf.DUMMYFUNCTION("""COMPUTED_VALUE"""),29.0)</f>
        <v>29</v>
      </c>
      <c r="D332" s="102" t="str">
        <f>IFERROR(__xludf.DUMMYFUNCTION("""COMPUTED_VALUE"""),"Magazine")</f>
        <v>Magazine</v>
      </c>
      <c r="E332" s="102" t="str">
        <f>IFERROR(__xludf.DUMMYFUNCTION("""COMPUTED_VALUE"""),"JAK_AR.part_mag_05_borg")</f>
        <v>JAK_AR.part_mag_05_borg</v>
      </c>
      <c r="F332" s="102"/>
      <c r="G332" s="102" t="str">
        <f>IFERROR(__xludf.DUMMYFUNCTION("""COMPUTED_VALUE"""),"2.0s Reload, -Damage, +Fire Rate, 24 Shots, Ripper Mag")</f>
        <v>2.0s Reload, -Damage, +Fire Rate, 24 Shots, Ripper Mag</v>
      </c>
      <c r="H332" s="102"/>
      <c r="I332" s="102"/>
      <c r="J332" s="102"/>
      <c r="K332" s="102"/>
      <c r="L332" s="102"/>
    </row>
    <row r="333">
      <c r="A333" s="102" t="str">
        <f>IFERROR(__xludf.DUMMYFUNCTION("""COMPUTED_VALUE"""),"Jakobs")</f>
        <v>Jakobs</v>
      </c>
      <c r="B333" s="102" t="str">
        <f>IFERROR(__xludf.DUMMYFUNCTION("""COMPUTED_VALUE"""),"Assault Rifle")</f>
        <v>Assault Rifle</v>
      </c>
      <c r="C333" s="103">
        <f>IFERROR(__xludf.DUMMYFUNCTION("""COMPUTED_VALUE"""),30.0)</f>
        <v>30</v>
      </c>
      <c r="D333" s="102" t="str">
        <f>IFERROR(__xludf.DUMMYFUNCTION("""COMPUTED_VALUE"""),"Manufacturer Part")</f>
        <v>Manufacturer Part</v>
      </c>
      <c r="E333" s="102" t="str">
        <f>IFERROR(__xludf.DUMMYFUNCTION("""COMPUTED_VALUE"""),"JAK_AR.part_mag_torgue_normal")</f>
        <v>JAK_AR.part_mag_torgue_normal</v>
      </c>
      <c r="F333" s="102"/>
      <c r="G333" s="102" t="str">
        <f>IFERROR(__xludf.DUMMYFUNCTION("""COMPUTED_VALUE"""),"Torgue Impact Gyrojets")</f>
        <v>Torgue Impact Gyrojets</v>
      </c>
      <c r="H333" s="102"/>
      <c r="I333" s="102"/>
      <c r="J333" s="102"/>
      <c r="K333" s="102"/>
      <c r="L333" s="102"/>
    </row>
    <row r="334">
      <c r="A334" s="102" t="str">
        <f>IFERROR(__xludf.DUMMYFUNCTION("""COMPUTED_VALUE"""),"Jakobs")</f>
        <v>Jakobs</v>
      </c>
      <c r="B334" s="102" t="str">
        <f>IFERROR(__xludf.DUMMYFUNCTION("""COMPUTED_VALUE"""),"Assault Rifle")</f>
        <v>Assault Rifle</v>
      </c>
      <c r="C334" s="103">
        <f>IFERROR(__xludf.DUMMYFUNCTION("""COMPUTED_VALUE"""),31.0)</f>
        <v>31</v>
      </c>
      <c r="D334" s="102" t="str">
        <f>IFERROR(__xludf.DUMMYFUNCTION("""COMPUTED_VALUE"""),"Manufacturer Part")</f>
        <v>Manufacturer Part</v>
      </c>
      <c r="E334" s="102" t="str">
        <f>IFERROR(__xludf.DUMMYFUNCTION("""COMPUTED_VALUE"""),"JAK_AR.part_mag_torgue_sticky")</f>
        <v>JAK_AR.part_mag_torgue_sticky</v>
      </c>
      <c r="F334" s="102"/>
      <c r="G334" s="102" t="str">
        <f>IFERROR(__xludf.DUMMYFUNCTION("""COMPUTED_VALUE"""),"Torgue Sticky Gyrojets")</f>
        <v>Torgue Sticky Gyrojets</v>
      </c>
      <c r="H334" s="102"/>
      <c r="I334" s="102"/>
      <c r="J334" s="102"/>
      <c r="K334" s="102"/>
      <c r="L334" s="102"/>
    </row>
    <row r="335">
      <c r="A335" s="102" t="str">
        <f>IFERROR(__xludf.DUMMYFUNCTION("""COMPUTED_VALUE"""),"Jakobs")</f>
        <v>Jakobs</v>
      </c>
      <c r="B335" s="102" t="str">
        <f>IFERROR(__xludf.DUMMYFUNCTION("""COMPUTED_VALUE"""),"Assault Rifle")</f>
        <v>Assault Rifle</v>
      </c>
      <c r="C335" s="103">
        <f>IFERROR(__xludf.DUMMYFUNCTION("""COMPUTED_VALUE"""),32.0)</f>
        <v>32</v>
      </c>
      <c r="D335" s="102" t="str">
        <f>IFERROR(__xludf.DUMMYFUNCTION("""COMPUTED_VALUE"""),"Stat Modifier")</f>
        <v>Stat Modifier</v>
      </c>
      <c r="E335" s="102" t="str">
        <f>IFERROR(__xludf.DUMMYFUNCTION("""COMPUTED_VALUE"""),"JAK_AR.part_mag_ted_thrown_01")</f>
        <v>JAK_AR.part_mag_ted_thrown_01</v>
      </c>
      <c r="F335" s="102"/>
      <c r="G335" s="102" t="str">
        <f>IFERROR(__xludf.DUMMYFUNCTION("""COMPUTED_VALUE"""),"2.0s Reload")</f>
        <v>2.0s Reload</v>
      </c>
      <c r="H335" s="102"/>
      <c r="I335" s="102"/>
      <c r="J335" s="102"/>
      <c r="K335" s="102"/>
      <c r="L335" s="102"/>
    </row>
    <row r="336">
      <c r="A336" s="102" t="str">
        <f>IFERROR(__xludf.DUMMYFUNCTION("""COMPUTED_VALUE"""),"Jakobs")</f>
        <v>Jakobs</v>
      </c>
      <c r="B336" s="102" t="str">
        <f>IFERROR(__xludf.DUMMYFUNCTION("""COMPUTED_VALUE"""),"Assault Rifle")</f>
        <v>Assault Rifle</v>
      </c>
      <c r="C336" s="103">
        <f>IFERROR(__xludf.DUMMYFUNCTION("""COMPUTED_VALUE"""),33.0)</f>
        <v>33</v>
      </c>
      <c r="D336" s="102" t="str">
        <f>IFERROR(__xludf.DUMMYFUNCTION("""COMPUTED_VALUE"""),"Stat Modifier")</f>
        <v>Stat Modifier</v>
      </c>
      <c r="E336" s="102" t="str">
        <f>IFERROR(__xludf.DUMMYFUNCTION("""COMPUTED_VALUE"""),"JAK_AR.part_mag_ted_thrown_02")</f>
        <v>JAK_AR.part_mag_ted_thrown_02</v>
      </c>
      <c r="F336" s="102"/>
      <c r="G336" s="102" t="str">
        <f>IFERROR(__xludf.DUMMYFUNCTION("""COMPUTED_VALUE"""),"2.0s Reload")</f>
        <v>2.0s Reload</v>
      </c>
      <c r="H336" s="102"/>
      <c r="I336" s="102"/>
      <c r="J336" s="102"/>
      <c r="K336" s="102"/>
      <c r="L336" s="102"/>
    </row>
    <row r="337">
      <c r="A337" s="102" t="str">
        <f>IFERROR(__xludf.DUMMYFUNCTION("""COMPUTED_VALUE"""),"Jakobs")</f>
        <v>Jakobs</v>
      </c>
      <c r="B337" s="102" t="str">
        <f>IFERROR(__xludf.DUMMYFUNCTION("""COMPUTED_VALUE"""),"Assault Rifle")</f>
        <v>Assault Rifle</v>
      </c>
      <c r="C337" s="103">
        <f>IFERROR(__xludf.DUMMYFUNCTION("""COMPUTED_VALUE"""),34.0)</f>
        <v>34</v>
      </c>
      <c r="D337" s="102" t="str">
        <f>IFERROR(__xludf.DUMMYFUNCTION("""COMPUTED_VALUE"""),"Stat Modifier")</f>
        <v>Stat Modifier</v>
      </c>
      <c r="E337" s="102" t="str">
        <f>IFERROR(__xludf.DUMMYFUNCTION("""COMPUTED_VALUE"""),"JAK_AR.part_mag_ted_thrown_03_tor")</f>
        <v>JAK_AR.part_mag_ted_thrown_03_tor</v>
      </c>
      <c r="F337" s="102"/>
      <c r="G337" s="102" t="str">
        <f>IFERROR(__xludf.DUMMYFUNCTION("""COMPUTED_VALUE"""),"2.0s Reload")</f>
        <v>2.0s Reload</v>
      </c>
      <c r="H337" s="102"/>
      <c r="I337" s="102"/>
      <c r="J337" s="102"/>
      <c r="K337" s="102"/>
      <c r="L337" s="102"/>
    </row>
    <row r="338">
      <c r="A338" s="102" t="str">
        <f>IFERROR(__xludf.DUMMYFUNCTION("""COMPUTED_VALUE"""),"Jakobs")</f>
        <v>Jakobs</v>
      </c>
      <c r="B338" s="102" t="str">
        <f>IFERROR(__xludf.DUMMYFUNCTION("""COMPUTED_VALUE"""),"Assault Rifle")</f>
        <v>Assault Rifle</v>
      </c>
      <c r="C338" s="103">
        <f>IFERROR(__xludf.DUMMYFUNCTION("""COMPUTED_VALUE"""),35.0)</f>
        <v>35</v>
      </c>
      <c r="D338" s="102" t="str">
        <f>IFERROR(__xludf.DUMMYFUNCTION("""COMPUTED_VALUE"""),"Stat Modifier")</f>
        <v>Stat Modifier</v>
      </c>
      <c r="E338" s="102" t="str">
        <f>IFERROR(__xludf.DUMMYFUNCTION("""COMPUTED_VALUE"""),"JAK_AR.part_mag_ted_thrown_04_cov")</f>
        <v>JAK_AR.part_mag_ted_thrown_04_cov</v>
      </c>
      <c r="F338" s="102"/>
      <c r="G338" s="102" t="str">
        <f>IFERROR(__xludf.DUMMYFUNCTION("""COMPUTED_VALUE"""),"3.0s Reload")</f>
        <v>3.0s Reload</v>
      </c>
      <c r="H338" s="102"/>
      <c r="I338" s="102"/>
      <c r="J338" s="102"/>
      <c r="K338" s="102"/>
      <c r="L338" s="102"/>
    </row>
    <row r="339">
      <c r="A339" s="102" t="str">
        <f>IFERROR(__xludf.DUMMYFUNCTION("""COMPUTED_VALUE"""),"Jakobs")</f>
        <v>Jakobs</v>
      </c>
      <c r="B339" s="102" t="str">
        <f>IFERROR(__xludf.DUMMYFUNCTION("""COMPUTED_VALUE"""),"Assault Rifle")</f>
        <v>Assault Rifle</v>
      </c>
      <c r="C339" s="103">
        <f>IFERROR(__xludf.DUMMYFUNCTION("""COMPUTED_VALUE"""),36.0)</f>
        <v>36</v>
      </c>
      <c r="D339" s="102" t="str">
        <f>IFERROR(__xludf.DUMMYFUNCTION("""COMPUTED_VALUE"""),"Stat Modifier")</f>
        <v>Stat Modifier</v>
      </c>
      <c r="E339" s="102" t="str">
        <f>IFERROR(__xludf.DUMMYFUNCTION("""COMPUTED_VALUE"""),"JAK_AR.part_mag_ted_thrown_05_bor")</f>
        <v>JAK_AR.part_mag_ted_thrown_05_bor</v>
      </c>
      <c r="F339" s="102"/>
      <c r="G339" s="102" t="str">
        <f>IFERROR(__xludf.DUMMYFUNCTION("""COMPUTED_VALUE"""),"3.0s Reload")</f>
        <v>3.0s Reload</v>
      </c>
      <c r="H339" s="102"/>
      <c r="I339" s="102"/>
      <c r="J339" s="102"/>
      <c r="K339" s="102"/>
      <c r="L339" s="102"/>
    </row>
    <row r="340">
      <c r="A340" s="102" t="str">
        <f>IFERROR(__xludf.DUMMYFUNCTION("""COMPUTED_VALUE"""),"Jakobs")</f>
        <v>Jakobs</v>
      </c>
      <c r="B340" s="102" t="str">
        <f>IFERROR(__xludf.DUMMYFUNCTION("""COMPUTED_VALUE"""),"Assault Rifle")</f>
        <v>Assault Rifle</v>
      </c>
      <c r="C340" s="103">
        <f>IFERROR(__xludf.DUMMYFUNCTION("""COMPUTED_VALUE"""),37.0)</f>
        <v>37</v>
      </c>
      <c r="D340" s="102" t="str">
        <f>IFERROR(__xludf.DUMMYFUNCTION("""COMPUTED_VALUE"""),"Scope")</f>
        <v>Scope</v>
      </c>
      <c r="E340" s="102" t="str">
        <f>IFERROR(__xludf.DUMMYFUNCTION("""COMPUTED_VALUE"""),"JAK_AR.part_scope_ironsight")</f>
        <v>JAK_AR.part_scope_ironsight</v>
      </c>
      <c r="F340" s="102"/>
      <c r="G340" s="102" t="str">
        <f>IFERROR(__xludf.DUMMYFUNCTION("""COMPUTED_VALUE"""),"ADS")</f>
        <v>ADS</v>
      </c>
      <c r="H340" s="102"/>
      <c r="I340" s="102"/>
      <c r="J340" s="102"/>
      <c r="K340" s="102"/>
      <c r="L340" s="102"/>
    </row>
    <row r="341">
      <c r="A341" s="102" t="str">
        <f>IFERROR(__xludf.DUMMYFUNCTION("""COMPUTED_VALUE"""),"Jakobs")</f>
        <v>Jakobs</v>
      </c>
      <c r="B341" s="102" t="str">
        <f>IFERROR(__xludf.DUMMYFUNCTION("""COMPUTED_VALUE"""),"Assault Rifle")</f>
        <v>Assault Rifle</v>
      </c>
      <c r="C341" s="103">
        <f>IFERROR(__xludf.DUMMYFUNCTION("""COMPUTED_VALUE"""),38.0)</f>
        <v>38</v>
      </c>
      <c r="D341" s="102" t="str">
        <f>IFERROR(__xludf.DUMMYFUNCTION("""COMPUTED_VALUE"""),"Scope")</f>
        <v>Scope</v>
      </c>
      <c r="E341" s="102" t="str">
        <f>IFERROR(__xludf.DUMMYFUNCTION("""COMPUTED_VALUE"""),"JAK_AR.part_scope_01_lens_01")</f>
        <v>JAK_AR.part_scope_01_lens_01</v>
      </c>
      <c r="F341" s="102"/>
      <c r="G341" s="102" t="str">
        <f>IFERROR(__xludf.DUMMYFUNCTION("""COMPUTED_VALUE"""),"ADS +Zoom")</f>
        <v>ADS +Zoom</v>
      </c>
      <c r="H341" s="102"/>
      <c r="I341" s="102"/>
      <c r="J341" s="102"/>
      <c r="K341" s="102"/>
      <c r="L341" s="102"/>
    </row>
    <row r="342">
      <c r="A342" s="102" t="str">
        <f>IFERROR(__xludf.DUMMYFUNCTION("""COMPUTED_VALUE"""),"Jakobs")</f>
        <v>Jakobs</v>
      </c>
      <c r="B342" s="102" t="str">
        <f>IFERROR(__xludf.DUMMYFUNCTION("""COMPUTED_VALUE"""),"Assault Rifle")</f>
        <v>Assault Rifle</v>
      </c>
      <c r="C342" s="103">
        <f>IFERROR(__xludf.DUMMYFUNCTION("""COMPUTED_VALUE"""),39.0)</f>
        <v>39</v>
      </c>
      <c r="D342" s="102" t="str">
        <f>IFERROR(__xludf.DUMMYFUNCTION("""COMPUTED_VALUE"""),"Scope")</f>
        <v>Scope</v>
      </c>
      <c r="E342" s="102" t="str">
        <f>IFERROR(__xludf.DUMMYFUNCTION("""COMPUTED_VALUE"""),"JAK_AR.part_scope_01_lens_02")</f>
        <v>JAK_AR.part_scope_01_lens_02</v>
      </c>
      <c r="F342" s="102"/>
      <c r="G342" s="102" t="str">
        <f>IFERROR(__xludf.DUMMYFUNCTION("""COMPUTED_VALUE"""),"ADS +Zoom")</f>
        <v>ADS +Zoom</v>
      </c>
      <c r="H342" s="102"/>
      <c r="I342" s="102"/>
      <c r="J342" s="102"/>
      <c r="K342" s="102"/>
      <c r="L342" s="102"/>
    </row>
    <row r="343">
      <c r="A343" s="102" t="str">
        <f>IFERROR(__xludf.DUMMYFUNCTION("""COMPUTED_VALUE"""),"Jakobs")</f>
        <v>Jakobs</v>
      </c>
      <c r="B343" s="102" t="str">
        <f>IFERROR(__xludf.DUMMYFUNCTION("""COMPUTED_VALUE"""),"Assault Rifle")</f>
        <v>Assault Rifle</v>
      </c>
      <c r="C343" s="103">
        <f>IFERROR(__xludf.DUMMYFUNCTION("""COMPUTED_VALUE"""),40.0)</f>
        <v>40</v>
      </c>
      <c r="D343" s="102" t="str">
        <f>IFERROR(__xludf.DUMMYFUNCTION("""COMPUTED_VALUE"""),"Scope")</f>
        <v>Scope</v>
      </c>
      <c r="E343" s="102" t="str">
        <f>IFERROR(__xludf.DUMMYFUNCTION("""COMPUTED_VALUE"""),"JAK_AR.part_scope_02_lens_01")</f>
        <v>JAK_AR.part_scope_02_lens_01</v>
      </c>
      <c r="F343" s="102"/>
      <c r="G343" s="102" t="str">
        <f>IFERROR(__xludf.DUMMYFUNCTION("""COMPUTED_VALUE"""),"ADS ++Zoom")</f>
        <v>ADS ++Zoom</v>
      </c>
      <c r="H343" s="102"/>
      <c r="I343" s="102"/>
      <c r="J343" s="102"/>
      <c r="K343" s="102"/>
      <c r="L343" s="102"/>
    </row>
    <row r="344">
      <c r="A344" s="102" t="str">
        <f>IFERROR(__xludf.DUMMYFUNCTION("""COMPUTED_VALUE"""),"Jakobs")</f>
        <v>Jakobs</v>
      </c>
      <c r="B344" s="102" t="str">
        <f>IFERROR(__xludf.DUMMYFUNCTION("""COMPUTED_VALUE"""),"Assault Rifle")</f>
        <v>Assault Rifle</v>
      </c>
      <c r="C344" s="103">
        <f>IFERROR(__xludf.DUMMYFUNCTION("""COMPUTED_VALUE"""),41.0)</f>
        <v>41</v>
      </c>
      <c r="D344" s="102" t="str">
        <f>IFERROR(__xludf.DUMMYFUNCTION("""COMPUTED_VALUE"""),"Scope")</f>
        <v>Scope</v>
      </c>
      <c r="E344" s="102" t="str">
        <f>IFERROR(__xludf.DUMMYFUNCTION("""COMPUTED_VALUE"""),"JAK_AR.part_scope_02_lens_02")</f>
        <v>JAK_AR.part_scope_02_lens_02</v>
      </c>
      <c r="F344" s="102"/>
      <c r="G344" s="102" t="str">
        <f>IFERROR(__xludf.DUMMYFUNCTION("""COMPUTED_VALUE"""),"ADS ++Zoom")</f>
        <v>ADS ++Zoom</v>
      </c>
      <c r="H344" s="102"/>
      <c r="I344" s="102"/>
      <c r="J344" s="102"/>
      <c r="K344" s="102"/>
      <c r="L344" s="102"/>
    </row>
    <row r="345">
      <c r="A345" s="102" t="str">
        <f>IFERROR(__xludf.DUMMYFUNCTION("""COMPUTED_VALUE"""),"Jakobs")</f>
        <v>Jakobs</v>
      </c>
      <c r="B345" s="102" t="str">
        <f>IFERROR(__xludf.DUMMYFUNCTION("""COMPUTED_VALUE"""),"Assault Rifle")</f>
        <v>Assault Rifle</v>
      </c>
      <c r="C345" s="103">
        <f>IFERROR(__xludf.DUMMYFUNCTION("""COMPUTED_VALUE"""),42.0)</f>
        <v>42</v>
      </c>
      <c r="D345" s="102" t="str">
        <f>IFERROR(__xludf.DUMMYFUNCTION("""COMPUTED_VALUE"""),"Scope Accessory")</f>
        <v>Scope Accessory</v>
      </c>
      <c r="E345" s="102" t="str">
        <f>IFERROR(__xludf.DUMMYFUNCTION("""COMPUTED_VALUE"""),"JAK_AR.part_scope_acc_s01_l01_a")</f>
        <v>JAK_AR.part_scope_acc_s01_l01_a</v>
      </c>
      <c r="F345" s="102"/>
      <c r="G345" s="102" t="str">
        <f>IFERROR(__xludf.DUMMYFUNCTION("""COMPUTED_VALUE"""),"+Damage")</f>
        <v>+Damage</v>
      </c>
      <c r="H345" s="102"/>
      <c r="I345" s="102"/>
      <c r="J345" s="102"/>
      <c r="K345" s="102"/>
      <c r="L345" s="102"/>
    </row>
    <row r="346">
      <c r="A346" s="102" t="str">
        <f>IFERROR(__xludf.DUMMYFUNCTION("""COMPUTED_VALUE"""),"Jakobs")</f>
        <v>Jakobs</v>
      </c>
      <c r="B346" s="102" t="str">
        <f>IFERROR(__xludf.DUMMYFUNCTION("""COMPUTED_VALUE"""),"Assault Rifle")</f>
        <v>Assault Rifle</v>
      </c>
      <c r="C346" s="103">
        <f>IFERROR(__xludf.DUMMYFUNCTION("""COMPUTED_VALUE"""),43.0)</f>
        <v>43</v>
      </c>
      <c r="D346" s="102" t="str">
        <f>IFERROR(__xludf.DUMMYFUNCTION("""COMPUTED_VALUE"""),"Scope Accessory")</f>
        <v>Scope Accessory</v>
      </c>
      <c r="E346" s="102" t="str">
        <f>IFERROR(__xludf.DUMMYFUNCTION("""COMPUTED_VALUE"""),"JAK_AR.part_scope_acc_s01_l01_b")</f>
        <v>JAK_AR.part_scope_acc_s01_l01_b</v>
      </c>
      <c r="F346" s="102"/>
      <c r="G346" s="102" t="str">
        <f>IFERROR(__xludf.DUMMYFUNCTION("""COMPUTED_VALUE"""),"-Reload Speed")</f>
        <v>-Reload Speed</v>
      </c>
      <c r="H346" s="102"/>
      <c r="I346" s="102"/>
      <c r="J346" s="102"/>
      <c r="K346" s="102"/>
      <c r="L346" s="102"/>
    </row>
    <row r="347">
      <c r="A347" s="102" t="str">
        <f>IFERROR(__xludf.DUMMYFUNCTION("""COMPUTED_VALUE"""),"Jakobs")</f>
        <v>Jakobs</v>
      </c>
      <c r="B347" s="102" t="str">
        <f>IFERROR(__xludf.DUMMYFUNCTION("""COMPUTED_VALUE"""),"Assault Rifle")</f>
        <v>Assault Rifle</v>
      </c>
      <c r="C347" s="103">
        <f>IFERROR(__xludf.DUMMYFUNCTION("""COMPUTED_VALUE"""),44.0)</f>
        <v>44</v>
      </c>
      <c r="D347" s="102" t="str">
        <f>IFERROR(__xludf.DUMMYFUNCTION("""COMPUTED_VALUE"""),"Scope Accessory")</f>
        <v>Scope Accessory</v>
      </c>
      <c r="E347" s="102" t="str">
        <f>IFERROR(__xludf.DUMMYFUNCTION("""COMPUTED_VALUE"""),"JAK_AR.part_scope_acc_s02_l01_a")</f>
        <v>JAK_AR.part_scope_acc_s02_l01_a</v>
      </c>
      <c r="F347" s="102"/>
      <c r="G347" s="102" t="str">
        <f>IFERROR(__xludf.DUMMYFUNCTION("""COMPUTED_VALUE"""),"No Stat Changes")</f>
        <v>No Stat Changes</v>
      </c>
      <c r="H347" s="102"/>
      <c r="I347" s="102"/>
      <c r="J347" s="102"/>
      <c r="K347" s="102"/>
      <c r="L347" s="102"/>
    </row>
    <row r="348">
      <c r="A348" s="102" t="str">
        <f>IFERROR(__xludf.DUMMYFUNCTION("""COMPUTED_VALUE"""),"Jakobs")</f>
        <v>Jakobs</v>
      </c>
      <c r="B348" s="102" t="str">
        <f>IFERROR(__xludf.DUMMYFUNCTION("""COMPUTED_VALUE"""),"Assault Rifle")</f>
        <v>Assault Rifle</v>
      </c>
      <c r="C348" s="103">
        <f>IFERROR(__xludf.DUMMYFUNCTION("""COMPUTED_VALUE"""),45.0)</f>
        <v>45</v>
      </c>
      <c r="D348" s="102" t="str">
        <f>IFERROR(__xludf.DUMMYFUNCTION("""COMPUTED_VALUE"""),"Scope Accessory")</f>
        <v>Scope Accessory</v>
      </c>
      <c r="E348" s="102" t="str">
        <f>IFERROR(__xludf.DUMMYFUNCTION("""COMPUTED_VALUE"""),"JAK_AR.part_scope_acc_s02_l01_b")</f>
        <v>JAK_AR.part_scope_acc_s02_l01_b</v>
      </c>
      <c r="F348" s="102"/>
      <c r="G348" s="102" t="str">
        <f>IFERROR(__xludf.DUMMYFUNCTION("""COMPUTED_VALUE"""),"+Crit Damage")</f>
        <v>+Crit Damage</v>
      </c>
      <c r="H348" s="102" t="str">
        <f>IFERROR(__xludf.DUMMYFUNCTION("""COMPUTED_VALUE"""),"Mag Gauge")</f>
        <v>Mag Gauge</v>
      </c>
      <c r="I348" s="102"/>
      <c r="J348" s="102"/>
      <c r="K348" s="102"/>
      <c r="L348" s="102"/>
    </row>
    <row r="349">
      <c r="A349" s="102" t="str">
        <f>IFERROR(__xludf.DUMMYFUNCTION("""COMPUTED_VALUE"""),"Jakobs")</f>
        <v>Jakobs</v>
      </c>
      <c r="B349" s="102" t="str">
        <f>IFERROR(__xludf.DUMMYFUNCTION("""COMPUTED_VALUE"""),"Assault Rifle")</f>
        <v>Assault Rifle</v>
      </c>
      <c r="C349" s="103">
        <f>IFERROR(__xludf.DUMMYFUNCTION("""COMPUTED_VALUE"""),46.0)</f>
        <v>46</v>
      </c>
      <c r="D349" s="102" t="str">
        <f>IFERROR(__xludf.DUMMYFUNCTION("""COMPUTED_VALUE"""),"Scope Accessory")</f>
        <v>Scope Accessory</v>
      </c>
      <c r="E349" s="102" t="str">
        <f>IFERROR(__xludf.DUMMYFUNCTION("""COMPUTED_VALUE"""),"JAK_AR.part_scope_acc_s01_l02_a")</f>
        <v>JAK_AR.part_scope_acc_s01_l02_a</v>
      </c>
      <c r="F349" s="102"/>
      <c r="G349" s="102" t="str">
        <f>IFERROR(__xludf.DUMMYFUNCTION("""COMPUTED_VALUE"""),"+Damage")</f>
        <v>+Damage</v>
      </c>
      <c r="H349" s="102"/>
      <c r="I349" s="102"/>
      <c r="J349" s="102"/>
      <c r="K349" s="102"/>
      <c r="L349" s="102"/>
    </row>
    <row r="350">
      <c r="A350" s="102" t="str">
        <f>IFERROR(__xludf.DUMMYFUNCTION("""COMPUTED_VALUE"""),"Jakobs")</f>
        <v>Jakobs</v>
      </c>
      <c r="B350" s="102" t="str">
        <f>IFERROR(__xludf.DUMMYFUNCTION("""COMPUTED_VALUE"""),"Assault Rifle")</f>
        <v>Assault Rifle</v>
      </c>
      <c r="C350" s="103">
        <f>IFERROR(__xludf.DUMMYFUNCTION("""COMPUTED_VALUE"""),47.0)</f>
        <v>47</v>
      </c>
      <c r="D350" s="102" t="str">
        <f>IFERROR(__xludf.DUMMYFUNCTION("""COMPUTED_VALUE"""),"Scope Accessory")</f>
        <v>Scope Accessory</v>
      </c>
      <c r="E350" s="102" t="str">
        <f>IFERROR(__xludf.DUMMYFUNCTION("""COMPUTED_VALUE"""),"JAK_AR.part_scope_acc_s01_l02_b")</f>
        <v>JAK_AR.part_scope_acc_s01_l02_b</v>
      </c>
      <c r="F350" s="102"/>
      <c r="G350" s="102" t="str">
        <f>IFERROR(__xludf.DUMMYFUNCTION("""COMPUTED_VALUE"""),"-Reload Speed")</f>
        <v>-Reload Speed</v>
      </c>
      <c r="H350" s="102" t="str">
        <f>IFERROR(__xludf.DUMMYFUNCTION("""COMPUTED_VALUE"""),"Mag Gauge")</f>
        <v>Mag Gauge</v>
      </c>
      <c r="I350" s="102"/>
      <c r="J350" s="102"/>
      <c r="K350" s="102"/>
      <c r="L350" s="102"/>
    </row>
    <row r="351">
      <c r="A351" s="102" t="str">
        <f>IFERROR(__xludf.DUMMYFUNCTION("""COMPUTED_VALUE"""),"Jakobs")</f>
        <v>Jakobs</v>
      </c>
      <c r="B351" s="102" t="str">
        <f>IFERROR(__xludf.DUMMYFUNCTION("""COMPUTED_VALUE"""),"Assault Rifle")</f>
        <v>Assault Rifle</v>
      </c>
      <c r="C351" s="103">
        <f>IFERROR(__xludf.DUMMYFUNCTION("""COMPUTED_VALUE"""),48.0)</f>
        <v>48</v>
      </c>
      <c r="D351" s="102" t="str">
        <f>IFERROR(__xludf.DUMMYFUNCTION("""COMPUTED_VALUE"""),"Grip")</f>
        <v>Grip</v>
      </c>
      <c r="E351" s="102" t="str">
        <f>IFERROR(__xludf.DUMMYFUNCTION("""COMPUTED_VALUE"""),"JAK_AR.part_grip_05a_ted_legs")</f>
        <v>JAK_AR.part_grip_05a_ted_legs</v>
      </c>
      <c r="F351" s="102"/>
      <c r="G351" s="102" t="str">
        <f>IFERROR(__xludf.DUMMYFUNCTION("""COMPUTED_VALUE"""),"Tediore reload modifier: Legs, no stat changes")</f>
        <v>Tediore reload modifier: Legs, no stat changes</v>
      </c>
      <c r="H351" s="102"/>
      <c r="I351" s="102"/>
      <c r="J351" s="102"/>
      <c r="K351" s="102"/>
      <c r="L351" s="102"/>
    </row>
    <row r="352">
      <c r="A352" s="102" t="str">
        <f>IFERROR(__xludf.DUMMYFUNCTION("""COMPUTED_VALUE"""),"Jakobs")</f>
        <v>Jakobs</v>
      </c>
      <c r="B352" s="102" t="str">
        <f>IFERROR(__xludf.DUMMYFUNCTION("""COMPUTED_VALUE"""),"Assault Rifle")</f>
        <v>Assault Rifle</v>
      </c>
      <c r="C352" s="103">
        <f>IFERROR(__xludf.DUMMYFUNCTION("""COMPUTED_VALUE"""),49.0)</f>
        <v>49</v>
      </c>
      <c r="D352" s="102" t="str">
        <f>IFERROR(__xludf.DUMMYFUNCTION("""COMPUTED_VALUE"""),"Grip")</f>
        <v>Grip</v>
      </c>
      <c r="E352" s="102" t="str">
        <f>IFERROR(__xludf.DUMMYFUNCTION("""COMPUTED_VALUE"""),"JAK_AR.part_grip_05c_ted_jav")</f>
        <v>JAK_AR.part_grip_05c_ted_jav</v>
      </c>
      <c r="F352" s="102"/>
      <c r="G352" s="102" t="str">
        <f>IFERROR(__xludf.DUMMYFUNCTION("""COMPUTED_VALUE"""),"Tediore reload modifier: Javelin, no stat changes")</f>
        <v>Tediore reload modifier: Javelin, no stat changes</v>
      </c>
      <c r="H352" s="102"/>
      <c r="I352" s="102"/>
      <c r="J352" s="102"/>
      <c r="K352" s="102"/>
      <c r="L352" s="102"/>
    </row>
    <row r="353">
      <c r="A353" s="102" t="str">
        <f>IFERROR(__xludf.DUMMYFUNCTION("""COMPUTED_VALUE"""),"Jakobs")</f>
        <v>Jakobs</v>
      </c>
      <c r="B353" s="102" t="str">
        <f>IFERROR(__xludf.DUMMYFUNCTION("""COMPUTED_VALUE"""),"Assault Rifle")</f>
        <v>Assault Rifle</v>
      </c>
      <c r="C353" s="103">
        <f>IFERROR(__xludf.DUMMYFUNCTION("""COMPUTED_VALUE"""),50.0)</f>
        <v>50</v>
      </c>
      <c r="D353" s="102" t="str">
        <f>IFERROR(__xludf.DUMMYFUNCTION("""COMPUTED_VALUE"""),"Grip")</f>
        <v>Grip</v>
      </c>
      <c r="E353" s="102" t="str">
        <f>IFERROR(__xludf.DUMMYFUNCTION("""COMPUTED_VALUE"""),"JAK_AR.part_grip_05b_ted_homing")</f>
        <v>JAK_AR.part_grip_05b_ted_homing</v>
      </c>
      <c r="F353" s="102"/>
      <c r="G353" s="102" t="str">
        <f>IFERROR(__xludf.DUMMYFUNCTION("""COMPUTED_VALUE"""),"Tediore reload modifier: Homing, no stat changes")</f>
        <v>Tediore reload modifier: Homing, no stat changes</v>
      </c>
      <c r="H353" s="102"/>
      <c r="I353" s="102"/>
      <c r="J353" s="102"/>
      <c r="K353" s="102"/>
      <c r="L353" s="102"/>
    </row>
    <row r="354">
      <c r="A354" s="102" t="str">
        <f>IFERROR(__xludf.DUMMYFUNCTION("""COMPUTED_VALUE"""),"Jakobs")</f>
        <v>Jakobs</v>
      </c>
      <c r="B354" s="102" t="str">
        <f>IFERROR(__xludf.DUMMYFUNCTION("""COMPUTED_VALUE"""),"Assault Rifle")</f>
        <v>Assault Rifle</v>
      </c>
      <c r="C354" s="103">
        <f>IFERROR(__xludf.DUMMYFUNCTION("""COMPUTED_VALUE"""),51.0)</f>
        <v>51</v>
      </c>
      <c r="D354" s="102" t="str">
        <f>IFERROR(__xludf.DUMMYFUNCTION("""COMPUTED_VALUE"""),"Grip")</f>
        <v>Grip</v>
      </c>
      <c r="E354" s="102" t="str">
        <f>IFERROR(__xludf.DUMMYFUNCTION("""COMPUTED_VALUE"""),"JAK_AR.part_grip_04_hyp")</f>
        <v>JAK_AR.part_grip_04_hyp</v>
      </c>
      <c r="F354" s="102"/>
      <c r="G354" s="102" t="str">
        <f>IFERROR(__xludf.DUMMYFUNCTION("""COMPUTED_VALUE"""),"Hyperion Grip, -Acc, Acc increases with continuous fire")</f>
        <v>Hyperion Grip, -Acc, Acc increases with continuous fire</v>
      </c>
      <c r="H354" s="102"/>
      <c r="I354" s="102"/>
      <c r="J354" s="102"/>
      <c r="K354" s="102"/>
      <c r="L354" s="102"/>
    </row>
    <row r="355">
      <c r="A355" s="102" t="str">
        <f>IFERROR(__xludf.DUMMYFUNCTION("""COMPUTED_VALUE"""),"Jakobs")</f>
        <v>Jakobs</v>
      </c>
      <c r="B355" s="102" t="str">
        <f>IFERROR(__xludf.DUMMYFUNCTION("""COMPUTED_VALUE"""),"Assault Rifle")</f>
        <v>Assault Rifle</v>
      </c>
      <c r="C355" s="103">
        <f>IFERROR(__xludf.DUMMYFUNCTION("""COMPUTED_VALUE"""),52.0)</f>
        <v>52</v>
      </c>
      <c r="D355" s="102" t="str">
        <f>IFERROR(__xludf.DUMMYFUNCTION("""COMPUTED_VALUE"""),"Grip")</f>
        <v>Grip</v>
      </c>
      <c r="E355" s="102" t="str">
        <f>IFERROR(__xludf.DUMMYFUNCTION("""COMPUTED_VALUE"""),"JAK_AR.part_grip_01")</f>
        <v>JAK_AR.part_grip_01</v>
      </c>
      <c r="F355" s="102"/>
      <c r="G355" s="102" t="str">
        <f>IFERROR(__xludf.DUMMYFUNCTION("""COMPUTED_VALUE"""),"+Damage")</f>
        <v>+Damage</v>
      </c>
      <c r="H355" s="102"/>
      <c r="I355" s="102"/>
      <c r="J355" s="102"/>
      <c r="K355" s="102"/>
      <c r="L355" s="102"/>
    </row>
    <row r="356">
      <c r="A356" s="102" t="str">
        <f>IFERROR(__xludf.DUMMYFUNCTION("""COMPUTED_VALUE"""),"Jakobs")</f>
        <v>Jakobs</v>
      </c>
      <c r="B356" s="102" t="str">
        <f>IFERROR(__xludf.DUMMYFUNCTION("""COMPUTED_VALUE"""),"Assault Rifle")</f>
        <v>Assault Rifle</v>
      </c>
      <c r="C356" s="103">
        <f>IFERROR(__xludf.DUMMYFUNCTION("""COMPUTED_VALUE"""),53.0)</f>
        <v>53</v>
      </c>
      <c r="D356" s="102" t="str">
        <f>IFERROR(__xludf.DUMMYFUNCTION("""COMPUTED_VALUE"""),"Grip")</f>
        <v>Grip</v>
      </c>
      <c r="E356" s="102" t="str">
        <f>IFERROR(__xludf.DUMMYFUNCTION("""COMPUTED_VALUE"""),"JAK_AR.part_grip_02")</f>
        <v>JAK_AR.part_grip_02</v>
      </c>
      <c r="F356" s="102"/>
      <c r="G356" s="102" t="str">
        <f>IFERROR(__xludf.DUMMYFUNCTION("""COMPUTED_VALUE"""),"+Crit Damage")</f>
        <v>+Crit Damage</v>
      </c>
      <c r="H356" s="102"/>
      <c r="I356" s="102"/>
      <c r="J356" s="102"/>
      <c r="K356" s="102"/>
      <c r="L356" s="102"/>
    </row>
    <row r="357">
      <c r="A357" s="102" t="str">
        <f>IFERROR(__xludf.DUMMYFUNCTION("""COMPUTED_VALUE"""),"Jakobs")</f>
        <v>Jakobs</v>
      </c>
      <c r="B357" s="102" t="str">
        <f>IFERROR(__xludf.DUMMYFUNCTION("""COMPUTED_VALUE"""),"Assault Rifle")</f>
        <v>Assault Rifle</v>
      </c>
      <c r="C357" s="103">
        <f>IFERROR(__xludf.DUMMYFUNCTION("""COMPUTED_VALUE"""),54.0)</f>
        <v>54</v>
      </c>
      <c r="D357" s="102" t="str">
        <f>IFERROR(__xludf.DUMMYFUNCTION("""COMPUTED_VALUE"""),"Grip")</f>
        <v>Grip</v>
      </c>
      <c r="E357" s="102" t="str">
        <f>IFERROR(__xludf.DUMMYFUNCTION("""COMPUTED_VALUE"""),"JAK_AR.part_grip_03")</f>
        <v>JAK_AR.part_grip_03</v>
      </c>
      <c r="F357" s="102"/>
      <c r="G357" s="102" t="str">
        <f>IFERROR(__xludf.DUMMYFUNCTION("""COMPUTED_VALUE"""),"-Reload Speed")</f>
        <v>-Reload Speed</v>
      </c>
      <c r="H357" s="102"/>
      <c r="I357" s="102"/>
      <c r="J357" s="102"/>
      <c r="K357" s="102"/>
      <c r="L357" s="102"/>
    </row>
    <row r="358">
      <c r="A358" s="102" t="str">
        <f>IFERROR(__xludf.DUMMYFUNCTION("""COMPUTED_VALUE"""),"Jakobs")</f>
        <v>Jakobs</v>
      </c>
      <c r="B358" s="102" t="str">
        <f>IFERROR(__xludf.DUMMYFUNCTION("""COMPUTED_VALUE"""),"Assault Rifle")</f>
        <v>Assault Rifle</v>
      </c>
      <c r="C358" s="103">
        <f>IFERROR(__xludf.DUMMYFUNCTION("""COMPUTED_VALUE"""),55.0)</f>
        <v>55</v>
      </c>
      <c r="D358" s="102" t="str">
        <f>IFERROR(__xludf.DUMMYFUNCTION("""COMPUTED_VALUE"""),"Underbarrel")</f>
        <v>Underbarrel</v>
      </c>
      <c r="E358" s="102" t="str">
        <f>IFERROR(__xludf.DUMMYFUNCTION("""COMPUTED_VALUE"""),"JAK_AR.part_underbarrel_03_shotgun")</f>
        <v>JAK_AR.part_underbarrel_03_shotgun</v>
      </c>
      <c r="F358" s="102"/>
      <c r="G358" s="102" t="str">
        <f>IFERROR(__xludf.DUMMYFUNCTION("""COMPUTED_VALUE"""),"Alt Fire - Shotgun")</f>
        <v>Alt Fire - Shotgun</v>
      </c>
      <c r="H358" s="102"/>
      <c r="I358" s="102"/>
      <c r="J358" s="102"/>
      <c r="K358" s="102"/>
      <c r="L358" s="102"/>
    </row>
    <row r="359">
      <c r="A359" s="102" t="str">
        <f>IFERROR(__xludf.DUMMYFUNCTION("""COMPUTED_VALUE"""),"Jakobs")</f>
        <v>Jakobs</v>
      </c>
      <c r="B359" s="102" t="str">
        <f>IFERROR(__xludf.DUMMYFUNCTION("""COMPUTED_VALUE"""),"Assault Rifle")</f>
        <v>Assault Rifle</v>
      </c>
      <c r="C359" s="103">
        <f>IFERROR(__xludf.DUMMYFUNCTION("""COMPUTED_VALUE"""),56.0)</f>
        <v>56</v>
      </c>
      <c r="D359" s="102" t="str">
        <f>IFERROR(__xludf.DUMMYFUNCTION("""COMPUTED_VALUE"""),"Underbarrel")</f>
        <v>Underbarrel</v>
      </c>
      <c r="E359" s="102" t="str">
        <f>IFERROR(__xludf.DUMMYFUNCTION("""COMPUTED_VALUE"""),"JAK_AR.part_underbarrel_01_flintlock")</f>
        <v>JAK_AR.part_underbarrel_01_flintlock</v>
      </c>
      <c r="F359" s="102"/>
      <c r="G359" s="102" t="str">
        <f>IFERROR(__xludf.DUMMYFUNCTION("""COMPUTED_VALUE"""),"Alt Fire - Double Flintlocks")</f>
        <v>Alt Fire - Double Flintlocks</v>
      </c>
      <c r="H359" s="102" t="str">
        <f>IFERROR(__xludf.DUMMYFUNCTION("""COMPUTED_VALUE"""),"Fires twin Musket Barrels that deal XXX x 2 Damage")</f>
        <v>Fires twin Musket Barrels that deal XXX x 2 Damage</v>
      </c>
      <c r="I359" s="102"/>
      <c r="J359" s="102"/>
      <c r="K359" s="102"/>
      <c r="L359" s="102"/>
    </row>
    <row r="360">
      <c r="A360" s="102" t="str">
        <f>IFERROR(__xludf.DUMMYFUNCTION("""COMPUTED_VALUE"""),"Jakobs")</f>
        <v>Jakobs</v>
      </c>
      <c r="B360" s="102" t="str">
        <f>IFERROR(__xludf.DUMMYFUNCTION("""COMPUTED_VALUE"""),"Assault Rifle")</f>
        <v>Assault Rifle</v>
      </c>
      <c r="C360" s="103">
        <f>IFERROR(__xludf.DUMMYFUNCTION("""COMPUTED_VALUE"""),57.0)</f>
        <v>57</v>
      </c>
      <c r="D360" s="102" t="str">
        <f>IFERROR(__xludf.DUMMYFUNCTION("""COMPUTED_VALUE"""),"Underbarrel")</f>
        <v>Underbarrel</v>
      </c>
      <c r="E360" s="102" t="str">
        <f>IFERROR(__xludf.DUMMYFUNCTION("""COMPUTED_VALUE"""),"JAK_AR.part_underbarrel_02_crank")</f>
        <v>JAK_AR.part_underbarrel_02_crank</v>
      </c>
      <c r="F360" s="102"/>
      <c r="G360" s="102" t="str">
        <f>IFERROR(__xludf.DUMMYFUNCTION("""COMPUTED_VALUE"""),"Alt Fire - Hand Crank")</f>
        <v>Alt Fire - Hand Crank</v>
      </c>
      <c r="H360" s="102" t="str">
        <f>IFERROR(__xludf.DUMMYFUNCTION("""COMPUTED_VALUE"""),"Use a hand crank to fire Full Auto")</f>
        <v>Use a hand crank to fire Full Auto</v>
      </c>
      <c r="I360" s="102"/>
      <c r="J360" s="102"/>
      <c r="K360" s="102"/>
      <c r="L360" s="102"/>
    </row>
    <row r="361">
      <c r="A361" s="102" t="str">
        <f>IFERROR(__xludf.DUMMYFUNCTION("""COMPUTED_VALUE"""),"Jakobs")</f>
        <v>Jakobs</v>
      </c>
      <c r="B361" s="102" t="str">
        <f>IFERROR(__xludf.DUMMYFUNCTION("""COMPUTED_VALUE"""),"Assault Rifle")</f>
        <v>Assault Rifle</v>
      </c>
      <c r="C361" s="103">
        <f>IFERROR(__xludf.DUMMYFUNCTION("""COMPUTED_VALUE"""),58.0)</f>
        <v>58</v>
      </c>
      <c r="D361" s="102" t="str">
        <f>IFERROR(__xludf.DUMMYFUNCTION("""COMPUTED_VALUE"""),"Underbarrel")</f>
        <v>Underbarrel</v>
      </c>
      <c r="E361" s="102" t="str">
        <f>IFERROR(__xludf.DUMMYFUNCTION("""COMPUTED_VALUE"""),"JAK_AR.part_underbarrel_04_atlas_ball")</f>
        <v>JAK_AR.part_underbarrel_04_atlas_ball</v>
      </c>
      <c r="F361" s="102"/>
      <c r="G361" s="102" t="str">
        <f>IFERROR(__xludf.DUMMYFUNCTION("""COMPUTED_VALUE"""),"Atlas Tracker Grenades")</f>
        <v>Atlas Tracker Grenades</v>
      </c>
      <c r="H361" s="102"/>
      <c r="I361" s="102"/>
      <c r="J361" s="102"/>
      <c r="K361" s="102"/>
      <c r="L361" s="102"/>
    </row>
    <row r="362">
      <c r="A362" s="102" t="str">
        <f>IFERROR(__xludf.DUMMYFUNCTION("""COMPUTED_VALUE"""),"Jakobs")</f>
        <v>Jakobs</v>
      </c>
      <c r="B362" s="102" t="str">
        <f>IFERROR(__xludf.DUMMYFUNCTION("""COMPUTED_VALUE"""),"Assault Rifle")</f>
        <v>Assault Rifle</v>
      </c>
      <c r="C362" s="103">
        <f>IFERROR(__xludf.DUMMYFUNCTION("""COMPUTED_VALUE"""),59.0)</f>
        <v>59</v>
      </c>
      <c r="D362" s="102" t="str">
        <f>IFERROR(__xludf.DUMMYFUNCTION("""COMPUTED_VALUE"""),"Underbarrel")</f>
        <v>Underbarrel</v>
      </c>
      <c r="E362" s="102" t="str">
        <f>IFERROR(__xludf.DUMMYFUNCTION("""COMPUTED_VALUE"""),"JAK_AR.part_underbarrel_04_atlas")</f>
        <v>JAK_AR.part_underbarrel_04_atlas</v>
      </c>
      <c r="F362" s="102"/>
      <c r="G362" s="102" t="str">
        <f>IFERROR(__xludf.DUMMYFUNCTION("""COMPUTED_VALUE"""),"Atlas Tracker Darts")</f>
        <v>Atlas Tracker Darts</v>
      </c>
      <c r="H362" s="102"/>
      <c r="I362" s="102"/>
      <c r="J362" s="102"/>
      <c r="K362" s="102"/>
      <c r="L362" s="102"/>
    </row>
    <row r="363">
      <c r="A363" s="102" t="str">
        <f>IFERROR(__xludf.DUMMYFUNCTION("""COMPUTED_VALUE"""),"Jakobs")</f>
        <v>Jakobs</v>
      </c>
      <c r="B363" s="102" t="str">
        <f>IFERROR(__xludf.DUMMYFUNCTION("""COMPUTED_VALUE"""),"Assault Rifle")</f>
        <v>Assault Rifle</v>
      </c>
      <c r="C363" s="103">
        <f>IFERROR(__xludf.DUMMYFUNCTION("""COMPUTED_VALUE"""),60.0)</f>
        <v>60</v>
      </c>
      <c r="D363" s="102" t="str">
        <f>IFERROR(__xludf.DUMMYFUNCTION("""COMPUTED_VALUE"""),"Underbarrel")</f>
        <v>Underbarrel</v>
      </c>
      <c r="E363" s="102" t="str">
        <f>IFERROR(__xludf.DUMMYFUNCTION("""COMPUTED_VALUE"""),"JAK_AR.part_underbarrel_05_ammoswitcher")</f>
        <v>JAK_AR.part_underbarrel_05_ammoswitcher</v>
      </c>
      <c r="F363" s="102"/>
      <c r="G363" s="102" t="str">
        <f>IFERROR(__xludf.DUMMYFUNCTION("""COMPUTED_VALUE"""),"Daedalus Ammo Switch")</f>
        <v>Daedalus Ammo Switch</v>
      </c>
      <c r="H363" s="102" t="str">
        <f>IFERROR(__xludf.DUMMYFUNCTION("""COMPUTED_VALUE"""),"Used for Daedalus Ammo switch")</f>
        <v>Used for Daedalus Ammo switch</v>
      </c>
      <c r="I363" s="102"/>
      <c r="J363" s="102"/>
      <c r="K363" s="102"/>
      <c r="L363" s="102"/>
    </row>
    <row r="364">
      <c r="A364" s="102" t="str">
        <f>IFERROR(__xludf.DUMMYFUNCTION("""COMPUTED_VALUE"""),"Jakobs")</f>
        <v>Jakobs</v>
      </c>
      <c r="B364" s="102" t="str">
        <f>IFERROR(__xludf.DUMMYFUNCTION("""COMPUTED_VALUE"""),"Assault Rifle")</f>
        <v>Assault Rifle</v>
      </c>
      <c r="C364" s="103">
        <f>IFERROR(__xludf.DUMMYFUNCTION("""COMPUTED_VALUE"""),61.0)</f>
        <v>61</v>
      </c>
      <c r="D364" s="102" t="str">
        <f>IFERROR(__xludf.DUMMYFUNCTION("""COMPUTED_VALUE"""),"Foregrip")</f>
        <v>Foregrip</v>
      </c>
      <c r="E364" s="102" t="str">
        <f>IFERROR(__xludf.DUMMYFUNCTION("""COMPUTED_VALUE"""),"JAK_AR.part_foregrip_01")</f>
        <v>JAK_AR.part_foregrip_01</v>
      </c>
      <c r="F364" s="102"/>
      <c r="G364" s="102" t="str">
        <f>IFERROR(__xludf.DUMMYFUNCTION("""COMPUTED_VALUE"""),"+Damage")</f>
        <v>+Damage</v>
      </c>
      <c r="H364" s="102"/>
      <c r="I364" s="102"/>
      <c r="J364" s="102"/>
      <c r="K364" s="102"/>
      <c r="L364" s="102"/>
    </row>
    <row r="365">
      <c r="A365" s="102" t="str">
        <f>IFERROR(__xludf.DUMMYFUNCTION("""COMPUTED_VALUE"""),"Jakobs")</f>
        <v>Jakobs</v>
      </c>
      <c r="B365" s="102" t="str">
        <f>IFERROR(__xludf.DUMMYFUNCTION("""COMPUTED_VALUE"""),"Assault Rifle")</f>
        <v>Assault Rifle</v>
      </c>
      <c r="C365" s="103">
        <f>IFERROR(__xludf.DUMMYFUNCTION("""COMPUTED_VALUE"""),62.0)</f>
        <v>62</v>
      </c>
      <c r="D365" s="102" t="str">
        <f>IFERROR(__xludf.DUMMYFUNCTION("""COMPUTED_VALUE"""),"Foregrip")</f>
        <v>Foregrip</v>
      </c>
      <c r="E365" s="102" t="str">
        <f>IFERROR(__xludf.DUMMYFUNCTION("""COMPUTED_VALUE"""),"JAK_AR.part_foregrip_02")</f>
        <v>JAK_AR.part_foregrip_02</v>
      </c>
      <c r="F365" s="102"/>
      <c r="G365" s="102" t="str">
        <f>IFERROR(__xludf.DUMMYFUNCTION("""COMPUTED_VALUE"""),"+Fire Rate")</f>
        <v>+Fire Rate</v>
      </c>
      <c r="H365" s="102"/>
      <c r="I365" s="102"/>
      <c r="J365" s="102"/>
      <c r="K365" s="102"/>
      <c r="L365" s="102"/>
    </row>
    <row r="366">
      <c r="A366" s="102" t="str">
        <f>IFERROR(__xludf.DUMMYFUNCTION("""COMPUTED_VALUE"""),"Jakobs")</f>
        <v>Jakobs</v>
      </c>
      <c r="B366" s="102" t="str">
        <f>IFERROR(__xludf.DUMMYFUNCTION("""COMPUTED_VALUE"""),"Assault Rifle")</f>
        <v>Assault Rifle</v>
      </c>
      <c r="C366" s="103">
        <f>IFERROR(__xludf.DUMMYFUNCTION("""COMPUTED_VALUE"""),63.0)</f>
        <v>63</v>
      </c>
      <c r="D366" s="102" t="str">
        <f>IFERROR(__xludf.DUMMYFUNCTION("""COMPUTED_VALUE"""),"Foregrip")</f>
        <v>Foregrip</v>
      </c>
      <c r="E366" s="102" t="str">
        <f>IFERROR(__xludf.DUMMYFUNCTION("""COMPUTED_VALUE"""),"JAK_AR.part_foregrip_03")</f>
        <v>JAK_AR.part_foregrip_03</v>
      </c>
      <c r="F366" s="102"/>
      <c r="G366" s="102" t="str">
        <f>IFERROR(__xludf.DUMMYFUNCTION("""COMPUTED_VALUE"""),"+Accuracy")</f>
        <v>+Accuracy</v>
      </c>
      <c r="H366" s="102"/>
      <c r="I366" s="102"/>
      <c r="J366" s="102"/>
      <c r="K366" s="102"/>
      <c r="L366" s="102"/>
    </row>
    <row r="367">
      <c r="A367" s="102" t="str">
        <f>IFERROR(__xludf.DUMMYFUNCTION("""COMPUTED_VALUE"""),"Jakobs")</f>
        <v>Jakobs</v>
      </c>
      <c r="B367" s="102" t="str">
        <f>IFERROR(__xludf.DUMMYFUNCTION("""COMPUTED_VALUE"""),"Assault Rifle")</f>
        <v>Assault Rifle</v>
      </c>
      <c r="C367" s="103">
        <f>IFERROR(__xludf.DUMMYFUNCTION("""COMPUTED_VALUE"""),64.0)</f>
        <v>64</v>
      </c>
      <c r="D367" s="102" t="str">
        <f>IFERROR(__xludf.DUMMYFUNCTION("""COMPUTED_VALUE"""),"Manufacturer Part")</f>
        <v>Manufacturer Part</v>
      </c>
      <c r="E367" s="102" t="str">
        <f>IFERROR(__xludf.DUMMYFUNCTION("""COMPUTED_VALUE"""),"JAK_AR.part_secondary_ammo_smg")</f>
        <v>JAK_AR.part_secondary_ammo_smg</v>
      </c>
      <c r="F367" s="102"/>
      <c r="G367" s="102" t="str">
        <f>IFERROR(__xludf.DUMMYFUNCTION("""COMPUTED_VALUE"""),"Daedalus SMG Ammo")</f>
        <v>Daedalus SMG Ammo</v>
      </c>
      <c r="H367" s="102"/>
      <c r="I367" s="102"/>
      <c r="J367" s="102"/>
      <c r="K367" s="102"/>
      <c r="L367" s="102"/>
    </row>
    <row r="368">
      <c r="A368" s="102" t="str">
        <f>IFERROR(__xludf.DUMMYFUNCTION("""COMPUTED_VALUE"""),"Jakobs")</f>
        <v>Jakobs</v>
      </c>
      <c r="B368" s="102" t="str">
        <f>IFERROR(__xludf.DUMMYFUNCTION("""COMPUTED_VALUE"""),"Assault Rifle")</f>
        <v>Assault Rifle</v>
      </c>
      <c r="C368" s="103">
        <f>IFERROR(__xludf.DUMMYFUNCTION("""COMPUTED_VALUE"""),65.0)</f>
        <v>65</v>
      </c>
      <c r="D368" s="102" t="str">
        <f>IFERROR(__xludf.DUMMYFUNCTION("""COMPUTED_VALUE"""),"Manufacturer Part")</f>
        <v>Manufacturer Part</v>
      </c>
      <c r="E368" s="102" t="str">
        <f>IFERROR(__xludf.DUMMYFUNCTION("""COMPUTED_VALUE"""),"JAK_AR.part_secondary_ammo_sg")</f>
        <v>JAK_AR.part_secondary_ammo_sg</v>
      </c>
      <c r="F368" s="102"/>
      <c r="G368" s="102" t="str">
        <f>IFERROR(__xludf.DUMMYFUNCTION("""COMPUTED_VALUE"""),"Daedalus Shotgun Ammo")</f>
        <v>Daedalus Shotgun Ammo</v>
      </c>
      <c r="H368" s="102"/>
      <c r="I368" s="102"/>
      <c r="J368" s="102"/>
      <c r="K368" s="102"/>
      <c r="L368" s="102"/>
    </row>
    <row r="369">
      <c r="A369" s="102" t="str">
        <f>IFERROR(__xludf.DUMMYFUNCTION("""COMPUTED_VALUE"""),"Jakobs")</f>
        <v>Jakobs</v>
      </c>
      <c r="B369" s="102" t="str">
        <f>IFERROR(__xludf.DUMMYFUNCTION("""COMPUTED_VALUE"""),"Assault Rifle")</f>
        <v>Assault Rifle</v>
      </c>
      <c r="C369" s="103">
        <f>IFERROR(__xludf.DUMMYFUNCTION("""COMPUTED_VALUE"""),66.0)</f>
        <v>66</v>
      </c>
      <c r="D369" s="102" t="str">
        <f>IFERROR(__xludf.DUMMYFUNCTION("""COMPUTED_VALUE"""),"Manufacturer Part")</f>
        <v>Manufacturer Part</v>
      </c>
      <c r="E369" s="102" t="str">
        <f>IFERROR(__xludf.DUMMYFUNCTION("""COMPUTED_VALUE"""),"JAK_AR.part_secondary_ammo_sr")</f>
        <v>JAK_AR.part_secondary_ammo_sr</v>
      </c>
      <c r="F369" s="102"/>
      <c r="G369" s="102" t="str">
        <f>IFERROR(__xludf.DUMMYFUNCTION("""COMPUTED_VALUE"""),"Daedalus SR Ammo")</f>
        <v>Daedalus SR Ammo</v>
      </c>
      <c r="H369" s="102"/>
      <c r="I369" s="102"/>
      <c r="J369" s="102"/>
      <c r="K369" s="102"/>
      <c r="L369" s="102"/>
    </row>
    <row r="370">
      <c r="A370" s="102" t="str">
        <f>IFERROR(__xludf.DUMMYFUNCTION("""COMPUTED_VALUE"""),"Jakobs")</f>
        <v>Jakobs</v>
      </c>
      <c r="B370" s="102" t="str">
        <f>IFERROR(__xludf.DUMMYFUNCTION("""COMPUTED_VALUE"""),"Assault Rifle")</f>
        <v>Assault Rifle</v>
      </c>
      <c r="C370" s="103">
        <f>IFERROR(__xludf.DUMMYFUNCTION("""COMPUTED_VALUE"""),67.0)</f>
        <v>67</v>
      </c>
      <c r="D370" s="102" t="str">
        <f>IFERROR(__xludf.DUMMYFUNCTION("""COMPUTED_VALUE"""),"Manufacturer Part")</f>
        <v>Manufacturer Part</v>
      </c>
      <c r="E370" s="102" t="str">
        <f>IFERROR(__xludf.DUMMYFUNCTION("""COMPUTED_VALUE"""),"JAK_AR.part_secondary_ammo_ps")</f>
        <v>JAK_AR.part_secondary_ammo_ps</v>
      </c>
      <c r="F370" s="102"/>
      <c r="G370" s="102" t="str">
        <f>IFERROR(__xludf.DUMMYFUNCTION("""COMPUTED_VALUE"""),"Daedalus Pistol Ammo")</f>
        <v>Daedalus Pistol Ammo</v>
      </c>
      <c r="H370" s="102"/>
      <c r="I370" s="102"/>
      <c r="J370" s="102"/>
      <c r="K370" s="102"/>
      <c r="L370" s="102"/>
    </row>
    <row r="371">
      <c r="A371" s="102" t="str">
        <f>IFERROR(__xludf.DUMMYFUNCTION("""COMPUTED_VALUE"""),"Jakobs")</f>
        <v>Jakobs</v>
      </c>
      <c r="B371" s="102" t="str">
        <f>IFERROR(__xludf.DUMMYFUNCTION("""COMPUTED_VALUE"""),"Assault Rifle")</f>
        <v>Assault Rifle</v>
      </c>
      <c r="C371" s="103">
        <f>IFERROR(__xludf.DUMMYFUNCTION("""COMPUTED_VALUE"""),68.0)</f>
        <v>68</v>
      </c>
      <c r="D371" s="102" t="str">
        <f>IFERROR(__xludf.DUMMYFUNCTION("""COMPUTED_VALUE"""),"Scope Accessory")</f>
        <v>Scope Accessory</v>
      </c>
      <c r="E371" s="102" t="str">
        <f>IFERROR(__xludf.DUMMYFUNCTION("""COMPUTED_VALUE"""),"JAK_AR.part_scope_acc_s02_l02_a")</f>
        <v>JAK_AR.part_scope_acc_s02_l02_a</v>
      </c>
      <c r="F371" s="102"/>
      <c r="G371" s="102" t="str">
        <f>IFERROR(__xludf.DUMMYFUNCTION("""COMPUTED_VALUE"""),"No Stat Changes")</f>
        <v>No Stat Changes</v>
      </c>
      <c r="H371" s="102"/>
      <c r="I371" s="102"/>
      <c r="J371" s="102"/>
      <c r="K371" s="102"/>
      <c r="L371" s="102"/>
    </row>
    <row r="372">
      <c r="A372" s="102" t="str">
        <f>IFERROR(__xludf.DUMMYFUNCTION("""COMPUTED_VALUE"""),"Jakobs")</f>
        <v>Jakobs</v>
      </c>
      <c r="B372" s="102" t="str">
        <f>IFERROR(__xludf.DUMMYFUNCTION("""COMPUTED_VALUE"""),"Assault Rifle")</f>
        <v>Assault Rifle</v>
      </c>
      <c r="C372" s="103">
        <f>IFERROR(__xludf.DUMMYFUNCTION("""COMPUTED_VALUE"""),69.0)</f>
        <v>69</v>
      </c>
      <c r="D372" s="102" t="str">
        <f>IFERROR(__xludf.DUMMYFUNCTION("""COMPUTED_VALUE"""),"Scope Accessory")</f>
        <v>Scope Accessory</v>
      </c>
      <c r="E372" s="102" t="str">
        <f>IFERROR(__xludf.DUMMYFUNCTION("""COMPUTED_VALUE"""),"JAK_AR.part_scope_acc_s02_l02_b")</f>
        <v>JAK_AR.part_scope_acc_s02_l02_b</v>
      </c>
      <c r="F372" s="102"/>
      <c r="G372" s="102" t="str">
        <f>IFERROR(__xludf.DUMMYFUNCTION("""COMPUTED_VALUE"""),"+Crit Damage")</f>
        <v>+Crit Damage</v>
      </c>
      <c r="H372" s="102" t="str">
        <f>IFERROR(__xludf.DUMMYFUNCTION("""COMPUTED_VALUE"""),"Mag Gauge")</f>
        <v>Mag Gauge</v>
      </c>
      <c r="I372" s="102"/>
      <c r="J372" s="102"/>
      <c r="K372" s="102"/>
      <c r="L372" s="102"/>
    </row>
    <row r="373">
      <c r="A373" s="102" t="str">
        <f>IFERROR(__xludf.DUMMYFUNCTION("""COMPUTED_VALUE"""),"Jakobs")</f>
        <v>Jakobs</v>
      </c>
      <c r="B373" s="102" t="str">
        <f>IFERROR(__xludf.DUMMYFUNCTION("""COMPUTED_VALUE"""),"Assault Rifle")</f>
        <v>Assault Rifle</v>
      </c>
      <c r="C373" s="103">
        <f>IFERROR(__xludf.DUMMYFUNCTION("""COMPUTED_VALUE"""),71.0)</f>
        <v>71</v>
      </c>
      <c r="D373" s="102" t="str">
        <f>IFERROR(__xludf.DUMMYFUNCTION("""COMPUTED_VALUE"""),"Scope")</f>
        <v>Scope</v>
      </c>
      <c r="E373" s="102" t="str">
        <f>IFERROR(__xludf.DUMMYFUNCTION("""COMPUTED_VALUE"""),"JAK_AR.part_scope_02_lens_02_b02")</f>
        <v>JAK_AR.part_scope_02_lens_02_b02</v>
      </c>
      <c r="F373" s="102"/>
      <c r="G373" s="102" t="str">
        <f>IFERROR(__xludf.DUMMYFUNCTION("""COMPUTED_VALUE"""),"ADS ++Zoom")</f>
        <v>ADS ++Zoom</v>
      </c>
      <c r="H373" s="102"/>
      <c r="I373" s="102"/>
      <c r="J373" s="102"/>
      <c r="K373" s="102"/>
      <c r="L373" s="102"/>
    </row>
    <row r="374">
      <c r="A374" s="102" t="str">
        <f>IFERROR(__xludf.DUMMYFUNCTION("""COMPUTED_VALUE"""),"Jakobs")</f>
        <v>Jakobs</v>
      </c>
      <c r="B374" s="102" t="str">
        <f>IFERROR(__xludf.DUMMYFUNCTION("""COMPUTED_VALUE"""),"Assault Rifle")</f>
        <v>Assault Rifle</v>
      </c>
      <c r="C374" s="103">
        <f>IFERROR(__xludf.DUMMYFUNCTION("""COMPUTED_VALUE"""),73.0)</f>
        <v>73</v>
      </c>
      <c r="D374" s="102" t="str">
        <f>IFERROR(__xludf.DUMMYFUNCTION("""COMPUTED_VALUE"""),"Barrel")</f>
        <v>Barrel</v>
      </c>
      <c r="E374" s="102" t="str">
        <f>IFERROR(__xludf.DUMMYFUNCTION("""COMPUTED_VALUE"""),"JAK_AR.part_barrel_01_bonnieclyde")</f>
        <v>JAK_AR.part_barrel_01_bonnieclyde</v>
      </c>
      <c r="F374" s="102"/>
      <c r="G374" s="102" t="str">
        <f>IFERROR(__xludf.DUMMYFUNCTION("""COMPUTED_VALUE"""),"Bonnie and Clyde, 2249 Damage, 76% Acc, 6.3/s FR")</f>
        <v>Bonnie and Clyde, 2249 Damage, 76% Acc, 6.3/s FR</v>
      </c>
      <c r="H374" s="102" t="str">
        <f>IFERROR(__xludf.DUMMYFUNCTION("""COMPUTED_VALUE"""),"Pair of Thieves - on kill, grants +150% Damage for the Gun's other Mode and refills its Magazine")</f>
        <v>Pair of Thieves - on kill, grants +150% Damage for the Gun's other Mode and refills its Magazine</v>
      </c>
      <c r="I374" s="102"/>
      <c r="J374" s="102"/>
      <c r="K374" s="102"/>
      <c r="L374" s="102"/>
    </row>
    <row r="375">
      <c r="A375" s="102" t="str">
        <f>IFERROR(__xludf.DUMMYFUNCTION("""COMPUTED_VALUE"""),"Jakobs")</f>
        <v>Jakobs</v>
      </c>
      <c r="B375" s="102" t="str">
        <f>IFERROR(__xludf.DUMMYFUNCTION("""COMPUTED_VALUE"""),"Assault Rifle")</f>
        <v>Assault Rifle</v>
      </c>
      <c r="C375" s="103">
        <f>IFERROR(__xludf.DUMMYFUNCTION("""COMPUTED_VALUE"""),75.0)</f>
        <v>75</v>
      </c>
      <c r="D375" s="102" t="str">
        <f>IFERROR(__xludf.DUMMYFUNCTION("""COMPUTED_VALUE"""),"Barrel")</f>
        <v>Barrel</v>
      </c>
      <c r="E375" s="102" t="str">
        <f>IFERROR(__xludf.DUMMYFUNCTION("""COMPUTED_VALUE"""),"JAK_AR.part_barrel_02_rowan")</f>
        <v>JAK_AR.part_barrel_02_rowan</v>
      </c>
      <c r="F375" s="102"/>
      <c r="G375" s="102" t="str">
        <f>IFERROR(__xludf.DUMMYFUNCTION("""COMPUTED_VALUE"""),"Rowan's Charge, 1517 Damage, 75% Acc, 6.0/s FR")</f>
        <v>Rowan's Charge, 1517 Damage, 75% Acc, 6.0/s FR</v>
      </c>
      <c r="H375" s="102" t="str">
        <f>IFERROR(__xludf.DUMMYFUNCTION("""COMPUTED_VALUE"""),"Stalker - Grants 1 20% Chance for shots to be a Critical Hi, and refunds 2 Ammo on a Critical Hit")</f>
        <v>Stalker - Grants 1 20% Chance for shots to be a Critical Hi, and refunds 2 Ammo on a Critical Hit</v>
      </c>
      <c r="I375" s="102"/>
      <c r="J375" s="102"/>
      <c r="K375" s="102"/>
      <c r="L375" s="102"/>
    </row>
    <row r="376">
      <c r="A376" s="102" t="str">
        <f>IFERROR(__xludf.DUMMYFUNCTION("""COMPUTED_VALUE"""),"Jakobs")</f>
        <v>Jakobs</v>
      </c>
      <c r="B376" s="102" t="str">
        <f>IFERROR(__xludf.DUMMYFUNCTION("""COMPUTED_VALUE"""),"Assault Rifle")</f>
        <v>Assault Rifle</v>
      </c>
      <c r="C376" s="103">
        <f>IFERROR(__xludf.DUMMYFUNCTION("""COMPUTED_VALUE"""),76.0)</f>
        <v>76</v>
      </c>
      <c r="D376" s="102" t="str">
        <f>IFERROR(__xludf.DUMMYFUNCTION("""COMPUTED_VALUE"""),"Barrel")</f>
        <v>Barrel</v>
      </c>
      <c r="E376" s="102" t="str">
        <f>IFERROR(__xludf.DUMMYFUNCTION("""COMPUTED_VALUE"""),"JAK_AR.part_barrel_02_screenwriter")</f>
        <v>JAK_AR.part_barrel_02_screenwriter</v>
      </c>
      <c r="F376" s="102"/>
      <c r="G376" s="102" t="str">
        <f>IFERROR(__xludf.DUMMYFUNCTION("""COMPUTED_VALUE"""),"NOT IMPLEMENTED")</f>
        <v>NOT IMPLEMENTED</v>
      </c>
      <c r="H376" s="102"/>
      <c r="I376" s="102"/>
      <c r="J376" s="102"/>
      <c r="K376" s="102"/>
      <c r="L376" s="102"/>
    </row>
    <row r="377">
      <c r="A377" s="102" t="str">
        <f>IFERROR(__xludf.DUMMYFUNCTION("""COMPUTED_VALUE"""),"Jakobs")</f>
        <v>Jakobs</v>
      </c>
      <c r="B377" s="102" t="str">
        <f>IFERROR(__xludf.DUMMYFUNCTION("""COMPUTED_VALUE"""),"Assault Rifle")</f>
        <v>Assault Rifle</v>
      </c>
      <c r="C377" s="103">
        <f>IFERROR(__xludf.DUMMYFUNCTION("""COMPUTED_VALUE"""),78.0)</f>
        <v>78</v>
      </c>
      <c r="D377" s="102" t="str">
        <f>IFERROR(__xludf.DUMMYFUNCTION("""COMPUTED_VALUE"""),"Barrel")</f>
        <v>Barrel</v>
      </c>
      <c r="E377" s="102" t="str">
        <f>IFERROR(__xludf.DUMMYFUNCTION("""COMPUTED_VALUE"""),"JAK_AR.part_barrel_02_rowdy")</f>
        <v>JAK_AR.part_barrel_02_rowdy</v>
      </c>
      <c r="F377" s="102"/>
      <c r="G377" s="102" t="str">
        <f>IFERROR(__xludf.DUMMYFUNCTION("""COMPUTED_VALUE"""),"Rowdy Rider, 2008 Damage, 64% Acc, 3.2/s FR, -55% Crit Damage")</f>
        <v>Rowdy Rider, 2008 Damage, 64% Acc, 3.2/s FR, -55% Crit Damage</v>
      </c>
      <c r="H377" s="102" t="str">
        <f>IFERROR(__xludf.DUMMYFUNCTION("""COMPUTED_VALUE"""),"Overwhelming - +2 Ricochet Projectiles on Critical Hits")</f>
        <v>Overwhelming - +2 Ricochet Projectiles on Critical Hits</v>
      </c>
      <c r="I377" s="102"/>
      <c r="J377" s="102"/>
      <c r="K377" s="102"/>
      <c r="L377" s="102"/>
    </row>
    <row r="378">
      <c r="A378" s="102" t="str">
        <f>IFERROR(__xludf.DUMMYFUNCTION("""COMPUTED_VALUE"""),"Jakobs")</f>
        <v>Jakobs</v>
      </c>
      <c r="B378" s="102" t="str">
        <f>IFERROR(__xludf.DUMMYFUNCTION("""COMPUTED_VALUE"""),"Assault Rifle")</f>
        <v>Assault Rifle</v>
      </c>
      <c r="C378" s="103">
        <f>IFERROR(__xludf.DUMMYFUNCTION("""COMPUTED_VALUE"""),85.0)</f>
        <v>85</v>
      </c>
      <c r="D378" s="102" t="str">
        <f>IFERROR(__xludf.DUMMYFUNCTION("""COMPUTED_VALUE"""),"Manufacturer Part")</f>
        <v>Manufacturer Part</v>
      </c>
      <c r="E378" s="102" t="str">
        <f>IFERROR(__xludf.DUMMYFUNCTION("""COMPUTED_VALUE"""),"JAK_AR.part_shield_ammo")</f>
        <v>JAK_AR.part_shield_ammo</v>
      </c>
      <c r="F378" s="102"/>
      <c r="G378" s="102" t="str">
        <f>IFERROR(__xludf.DUMMYFUNCTION("""COMPUTED_VALUE"""),"Hyperion Absorb Shield")</f>
        <v>Hyperion Absorb Shield</v>
      </c>
      <c r="H378" s="102"/>
      <c r="I378" s="102"/>
      <c r="J378" s="102"/>
      <c r="K378" s="102"/>
      <c r="L378" s="102"/>
    </row>
    <row r="379">
      <c r="A379" s="102" t="str">
        <f>IFERROR(__xludf.DUMMYFUNCTION("""COMPUTED_VALUE"""),"Jakobs")</f>
        <v>Jakobs</v>
      </c>
      <c r="B379" s="102" t="str">
        <f>IFERROR(__xludf.DUMMYFUNCTION("""COMPUTED_VALUE"""),"Pistol")</f>
        <v>Pistol</v>
      </c>
      <c r="C379" s="103">
        <f>IFERROR(__xludf.DUMMYFUNCTION("""COMPUTED_VALUE"""),2.0)</f>
        <v>2</v>
      </c>
      <c r="D379" s="102" t="str">
        <f>IFERROR(__xludf.DUMMYFUNCTION("""COMPUTED_VALUE"""),"Body")</f>
        <v>Body</v>
      </c>
      <c r="E379" s="102" t="str">
        <f>IFERROR(__xludf.DUMMYFUNCTION("""COMPUTED_VALUE"""),"JAK_PS.part_body")</f>
        <v>JAK_PS.part_body</v>
      </c>
      <c r="F379" s="102"/>
      <c r="G379" s="104" t="str">
        <f>IFERROR(__xludf.DUMMYFUNCTION("""COMPUTED_VALUE"""),"No Stat Changes, always present")</f>
        <v>No Stat Changes, always present</v>
      </c>
      <c r="H379" s="102"/>
      <c r="I379" s="102"/>
      <c r="J379" s="102"/>
      <c r="K379" s="102"/>
      <c r="L379" s="102"/>
    </row>
    <row r="380">
      <c r="A380" s="102" t="str">
        <f>IFERROR(__xludf.DUMMYFUNCTION("""COMPUTED_VALUE"""),"Jakobs")</f>
        <v>Jakobs</v>
      </c>
      <c r="B380" s="102" t="str">
        <f>IFERROR(__xludf.DUMMYFUNCTION("""COMPUTED_VALUE"""),"Pistol")</f>
        <v>Pistol</v>
      </c>
      <c r="C380" s="103">
        <f>IFERROR(__xludf.DUMMYFUNCTION("""COMPUTED_VALUE"""),3.0)</f>
        <v>3</v>
      </c>
      <c r="D380" s="102" t="str">
        <f>IFERROR(__xludf.DUMMYFUNCTION("""COMPUTED_VALUE"""),"Body Accessory")</f>
        <v>Body Accessory</v>
      </c>
      <c r="E380" s="102" t="str">
        <f>IFERROR(__xludf.DUMMYFUNCTION("""COMPUTED_VALUE"""),"JAK_PS.part_body_a")</f>
        <v>JAK_PS.part_body_a</v>
      </c>
      <c r="F380" s="102"/>
      <c r="G380" s="104" t="str">
        <f>IFERROR(__xludf.DUMMYFUNCTION("""COMPUTED_VALUE"""),"-Reload Speed")</f>
        <v>-Reload Speed</v>
      </c>
      <c r="H380" s="102"/>
      <c r="I380" s="102"/>
      <c r="J380" s="102"/>
      <c r="K380" s="102"/>
      <c r="L380" s="102"/>
    </row>
    <row r="381">
      <c r="A381" s="102" t="str">
        <f>IFERROR(__xludf.DUMMYFUNCTION("""COMPUTED_VALUE"""),"Jakobs")</f>
        <v>Jakobs</v>
      </c>
      <c r="B381" s="102" t="str">
        <f>IFERROR(__xludf.DUMMYFUNCTION("""COMPUTED_VALUE"""),"Pistol")</f>
        <v>Pistol</v>
      </c>
      <c r="C381" s="103">
        <f>IFERROR(__xludf.DUMMYFUNCTION("""COMPUTED_VALUE"""),4.0)</f>
        <v>4</v>
      </c>
      <c r="D381" s="102" t="str">
        <f>IFERROR(__xludf.DUMMYFUNCTION("""COMPUTED_VALUE"""),"Body Accessory")</f>
        <v>Body Accessory</v>
      </c>
      <c r="E381" s="102" t="str">
        <f>IFERROR(__xludf.DUMMYFUNCTION("""COMPUTED_VALUE"""),"JAK_PS.part_body_b")</f>
        <v>JAK_PS.part_body_b</v>
      </c>
      <c r="F381" s="102"/>
      <c r="G381" s="104" t="str">
        <f>IFERROR(__xludf.DUMMYFUNCTION("""COMPUTED_VALUE"""),"-Reload Speed")</f>
        <v>-Reload Speed</v>
      </c>
      <c r="H381" s="102"/>
      <c r="I381" s="102"/>
      <c r="J381" s="102"/>
      <c r="K381" s="102"/>
      <c r="L381" s="102"/>
    </row>
    <row r="382">
      <c r="A382" s="102" t="str">
        <f>IFERROR(__xludf.DUMMYFUNCTION("""COMPUTED_VALUE"""),"Jakobs")</f>
        <v>Jakobs</v>
      </c>
      <c r="B382" s="102" t="str">
        <f>IFERROR(__xludf.DUMMYFUNCTION("""COMPUTED_VALUE"""),"Pistol")</f>
        <v>Pistol</v>
      </c>
      <c r="C382" s="103">
        <f>IFERROR(__xludf.DUMMYFUNCTION("""COMPUTED_VALUE"""),5.0)</f>
        <v>5</v>
      </c>
      <c r="D382" s="102" t="str">
        <f>IFERROR(__xludf.DUMMYFUNCTION("""COMPUTED_VALUE"""),"Body Accessory")</f>
        <v>Body Accessory</v>
      </c>
      <c r="E382" s="102" t="str">
        <f>IFERROR(__xludf.DUMMYFUNCTION("""COMPUTED_VALUE"""),"JAK_PS.part_body_c")</f>
        <v>JAK_PS.part_body_c</v>
      </c>
      <c r="F382" s="102"/>
      <c r="G382" s="102" t="str">
        <f>IFERROR(__xludf.DUMMYFUNCTION("""COMPUTED_VALUE"""),"+Accuracy")</f>
        <v>+Accuracy</v>
      </c>
      <c r="H382" s="102"/>
      <c r="I382" s="102"/>
      <c r="J382" s="102"/>
      <c r="K382" s="102"/>
      <c r="L382" s="102"/>
    </row>
    <row r="383">
      <c r="A383" s="102" t="str">
        <f>IFERROR(__xludf.DUMMYFUNCTION("""COMPUTED_VALUE"""),"Jakobs")</f>
        <v>Jakobs</v>
      </c>
      <c r="B383" s="102" t="str">
        <f>IFERROR(__xludf.DUMMYFUNCTION("""COMPUTED_VALUE"""),"Pistol")</f>
        <v>Pistol</v>
      </c>
      <c r="C383" s="103">
        <f>IFERROR(__xludf.DUMMYFUNCTION("""COMPUTED_VALUE"""),6.0)</f>
        <v>6</v>
      </c>
      <c r="D383" s="102" t="str">
        <f>IFERROR(__xludf.DUMMYFUNCTION("""COMPUTED_VALUE"""),"Body Accessory")</f>
        <v>Body Accessory</v>
      </c>
      <c r="E383" s="102" t="str">
        <f>IFERROR(__xludf.DUMMYFUNCTION("""COMPUTED_VALUE"""),"JAK_PS.part_body_d")</f>
        <v>JAK_PS.part_body_d</v>
      </c>
      <c r="F383" s="102"/>
      <c r="G383" s="102" t="str">
        <f>IFERROR(__xludf.DUMMYFUNCTION("""COMPUTED_VALUE"""),"+Crit Damage")</f>
        <v>+Crit Damage</v>
      </c>
      <c r="H383" s="102"/>
      <c r="I383" s="102"/>
      <c r="J383" s="102"/>
      <c r="K383" s="102"/>
      <c r="L383" s="102"/>
    </row>
    <row r="384">
      <c r="A384" s="102" t="str">
        <f>IFERROR(__xludf.DUMMYFUNCTION("""COMPUTED_VALUE"""),"Jakobs")</f>
        <v>Jakobs</v>
      </c>
      <c r="B384" s="102" t="str">
        <f>IFERROR(__xludf.DUMMYFUNCTION("""COMPUTED_VALUE"""),"Pistol")</f>
        <v>Pistol</v>
      </c>
      <c r="C384" s="103">
        <f>IFERROR(__xludf.DUMMYFUNCTION("""COMPUTED_VALUE"""),7.0)</f>
        <v>7</v>
      </c>
      <c r="D384" s="102" t="str">
        <f>IFERROR(__xludf.DUMMYFUNCTION("""COMPUTED_VALUE"""),"Barrel")</f>
        <v>Barrel</v>
      </c>
      <c r="E384" s="102" t="str">
        <f>IFERROR(__xludf.DUMMYFUNCTION("""COMPUTED_VALUE"""),"JAK_PS.part_barrel_01")</f>
        <v>JAK_PS.part_barrel_01</v>
      </c>
      <c r="F384" s="102"/>
      <c r="G384" s="102" t="str">
        <f>IFERROR(__xludf.DUMMYFUNCTION("""COMPUTED_VALUE"""),"Cuca, 1785 Damage, 69% Acc, 9.0/s FR")</f>
        <v>Cuca, 1785 Damage, 69% Acc, 9.0/s FR</v>
      </c>
      <c r="H384" s="102"/>
      <c r="I384" s="102"/>
      <c r="J384" s="102"/>
      <c r="K384" s="102"/>
      <c r="L384" s="102"/>
    </row>
    <row r="385">
      <c r="A385" s="102" t="str">
        <f>IFERROR(__xludf.DUMMYFUNCTION("""COMPUTED_VALUE"""),"Jakobs")</f>
        <v>Jakobs</v>
      </c>
      <c r="B385" s="102" t="str">
        <f>IFERROR(__xludf.DUMMYFUNCTION("""COMPUTED_VALUE"""),"Pistol")</f>
        <v>Pistol</v>
      </c>
      <c r="C385" s="103">
        <f>IFERROR(__xludf.DUMMYFUNCTION("""COMPUTED_VALUE"""),8.0)</f>
        <v>8</v>
      </c>
      <c r="D385" s="102" t="str">
        <f>IFERROR(__xludf.DUMMYFUNCTION("""COMPUTED_VALUE"""),"Barrel")</f>
        <v>Barrel</v>
      </c>
      <c r="E385" s="102" t="str">
        <f>IFERROR(__xludf.DUMMYFUNCTION("""COMPUTED_VALUE"""),"JAK_PS.part_barrel_02")</f>
        <v>JAK_PS.part_barrel_02</v>
      </c>
      <c r="F385" s="102"/>
      <c r="G385" s="102" t="str">
        <f>IFERROR(__xludf.DUMMYFUNCTION("""COMPUTED_VALUE"""),"Muki, 1874 Damage, 78% Acc, 7.5/s FR")</f>
        <v>Muki, 1874 Damage, 78% Acc, 7.5/s FR</v>
      </c>
      <c r="H385" s="102"/>
      <c r="I385" s="102"/>
      <c r="J385" s="102"/>
      <c r="K385" s="102"/>
      <c r="L385" s="102"/>
    </row>
    <row r="386">
      <c r="A386" s="102" t="str">
        <f>IFERROR(__xludf.DUMMYFUNCTION("""COMPUTED_VALUE"""),"Jakobs")</f>
        <v>Jakobs</v>
      </c>
      <c r="B386" s="102" t="str">
        <f>IFERROR(__xludf.DUMMYFUNCTION("""COMPUTED_VALUE"""),"Pistol")</f>
        <v>Pistol</v>
      </c>
      <c r="C386" s="103">
        <f>IFERROR(__xludf.DUMMYFUNCTION("""COMPUTED_VALUE"""),9.0)</f>
        <v>9</v>
      </c>
      <c r="D386" s="102" t="str">
        <f>IFERROR(__xludf.DUMMYFUNCTION("""COMPUTED_VALUE"""),"Manufacturer Part")</f>
        <v>Manufacturer Part</v>
      </c>
      <c r="E386" s="102" t="str">
        <f>IFERROR(__xludf.DUMMYFUNCTION("""COMPUTED_VALUE"""),"JAK_PS.part_shield_default")</f>
        <v>JAK_PS.part_shield_default</v>
      </c>
      <c r="F386" s="102"/>
      <c r="G386" s="102" t="str">
        <f>IFERROR(__xludf.DUMMYFUNCTION("""COMPUTED_VALUE"""),"Hyperion Shield")</f>
        <v>Hyperion Shield</v>
      </c>
      <c r="H386" s="102"/>
      <c r="I386" s="102"/>
      <c r="J386" s="102"/>
      <c r="K386" s="102"/>
      <c r="L386" s="102"/>
    </row>
    <row r="387">
      <c r="A387" s="102" t="str">
        <f>IFERROR(__xludf.DUMMYFUNCTION("""COMPUTED_VALUE"""),"Jakobs")</f>
        <v>Jakobs</v>
      </c>
      <c r="B387" s="102" t="str">
        <f>IFERROR(__xludf.DUMMYFUNCTION("""COMPUTED_VALUE"""),"Pistol")</f>
        <v>Pistol</v>
      </c>
      <c r="C387" s="103">
        <f>IFERROR(__xludf.DUMMYFUNCTION("""COMPUTED_VALUE"""),10.0)</f>
        <v>10</v>
      </c>
      <c r="D387" s="102" t="str">
        <f>IFERROR(__xludf.DUMMYFUNCTION("""COMPUTED_VALUE"""),"Manufacturer Part")</f>
        <v>Manufacturer Part</v>
      </c>
      <c r="E387" s="102" t="str">
        <f>IFERROR(__xludf.DUMMYFUNCTION("""COMPUTED_VALUE"""),"JAK_PS.part_shield_ricochet")</f>
        <v>JAK_PS.part_shield_ricochet</v>
      </c>
      <c r="F387" s="102"/>
      <c r="G387" s="102" t="str">
        <f>IFERROR(__xludf.DUMMYFUNCTION("""COMPUTED_VALUE"""),"Hyperion Ricochet Shield")</f>
        <v>Hyperion Ricochet Shield</v>
      </c>
      <c r="H387" s="102"/>
      <c r="I387" s="102"/>
      <c r="J387" s="102"/>
      <c r="K387" s="102"/>
      <c r="L387" s="102"/>
    </row>
    <row r="388">
      <c r="A388" s="102" t="str">
        <f>IFERROR(__xludf.DUMMYFUNCTION("""COMPUTED_VALUE"""),"Jakobs")</f>
        <v>Jakobs</v>
      </c>
      <c r="B388" s="102" t="str">
        <f>IFERROR(__xludf.DUMMYFUNCTION("""COMPUTED_VALUE"""),"Pistol")</f>
        <v>Pistol</v>
      </c>
      <c r="C388" s="103">
        <f>IFERROR(__xludf.DUMMYFUNCTION("""COMPUTED_VALUE"""),11.0)</f>
        <v>11</v>
      </c>
      <c r="D388" s="102" t="str">
        <f>IFERROR(__xludf.DUMMYFUNCTION("""COMPUTED_VALUE"""),"Manufacturer Part")</f>
        <v>Manufacturer Part</v>
      </c>
      <c r="E388" s="102" t="str">
        <f>IFERROR(__xludf.DUMMYFUNCTION("""COMPUTED_VALUE"""),"JAK_PS.part_shield_ammo")</f>
        <v>JAK_PS.part_shield_ammo</v>
      </c>
      <c r="F388" s="102"/>
      <c r="G388" s="102" t="str">
        <f>IFERROR(__xludf.DUMMYFUNCTION("""COMPUTED_VALUE"""),"Hyperion Absorb Shield")</f>
        <v>Hyperion Absorb Shield</v>
      </c>
      <c r="H388" s="102"/>
      <c r="I388" s="102"/>
      <c r="J388" s="102"/>
      <c r="K388" s="102"/>
      <c r="L388" s="102"/>
    </row>
    <row r="389">
      <c r="A389" s="102" t="str">
        <f>IFERROR(__xludf.DUMMYFUNCTION("""COMPUTED_VALUE"""),"Jakobs")</f>
        <v>Jakobs</v>
      </c>
      <c r="B389" s="102" t="str">
        <f>IFERROR(__xludf.DUMMYFUNCTION("""COMPUTED_VALUE"""),"Pistol")</f>
        <v>Pistol</v>
      </c>
      <c r="C389" s="103">
        <f>IFERROR(__xludf.DUMMYFUNCTION("""COMPUTED_VALUE"""),12.0)</f>
        <v>12</v>
      </c>
      <c r="D389" s="102" t="str">
        <f>IFERROR(__xludf.DUMMYFUNCTION("""COMPUTED_VALUE"""),"Manufacturer Part")</f>
        <v>Manufacturer Part</v>
      </c>
      <c r="E389" s="102" t="str">
        <f>IFERROR(__xludf.DUMMYFUNCTION("""COMPUTED_VALUE"""),"JAK_PS.part_shield_amp")</f>
        <v>JAK_PS.part_shield_amp</v>
      </c>
      <c r="F389" s="102"/>
      <c r="G389" s="102" t="str">
        <f>IFERROR(__xludf.DUMMYFUNCTION("""COMPUTED_VALUE"""),"Hyperion Amp Shield")</f>
        <v>Hyperion Amp Shield</v>
      </c>
      <c r="H389" s="102"/>
      <c r="I389" s="102"/>
      <c r="J389" s="102"/>
      <c r="K389" s="102"/>
      <c r="L389" s="102"/>
    </row>
    <row r="390">
      <c r="A390" s="102" t="str">
        <f>IFERROR(__xludf.DUMMYFUNCTION("""COMPUTED_VALUE"""),"Jakobs")</f>
        <v>Jakobs</v>
      </c>
      <c r="B390" s="102" t="str">
        <f>IFERROR(__xludf.DUMMYFUNCTION("""COMPUTED_VALUE"""),"Pistol")</f>
        <v>Pistol</v>
      </c>
      <c r="C390" s="103">
        <f>IFERROR(__xludf.DUMMYFUNCTION("""COMPUTED_VALUE"""),13.0)</f>
        <v>13</v>
      </c>
      <c r="D390" s="102" t="str">
        <f>IFERROR(__xludf.DUMMYFUNCTION("""COMPUTED_VALUE"""),"Magazine")</f>
        <v>Magazine</v>
      </c>
      <c r="E390" s="102" t="str">
        <f>IFERROR(__xludf.DUMMYFUNCTION("""COMPUTED_VALUE"""),"JAK_PS.part_mag_01")</f>
        <v>JAK_PS.part_mag_01</v>
      </c>
      <c r="F390" s="102"/>
      <c r="G390" s="102" t="str">
        <f>IFERROR(__xludf.DUMMYFUNCTION("""COMPUTED_VALUE"""),"2.4s Reload, 4 Shots")</f>
        <v>2.4s Reload, 4 Shots</v>
      </c>
      <c r="H390" s="102"/>
      <c r="I390" s="102"/>
      <c r="J390" s="102"/>
      <c r="K390" s="102"/>
      <c r="L390" s="102"/>
    </row>
    <row r="391">
      <c r="A391" s="102" t="str">
        <f>IFERROR(__xludf.DUMMYFUNCTION("""COMPUTED_VALUE"""),"Jakobs")</f>
        <v>Jakobs</v>
      </c>
      <c r="B391" s="102" t="str">
        <f>IFERROR(__xludf.DUMMYFUNCTION("""COMPUTED_VALUE"""),"Pistol")</f>
        <v>Pistol</v>
      </c>
      <c r="C391" s="103">
        <f>IFERROR(__xludf.DUMMYFUNCTION("""COMPUTED_VALUE"""),14.0)</f>
        <v>14</v>
      </c>
      <c r="D391" s="102" t="str">
        <f>IFERROR(__xludf.DUMMYFUNCTION("""COMPUTED_VALUE"""),"Magazine")</f>
        <v>Magazine</v>
      </c>
      <c r="E391" s="102" t="str">
        <f>IFERROR(__xludf.DUMMYFUNCTION("""COMPUTED_VALUE"""),"JAK_PS.part_mag_02")</f>
        <v>JAK_PS.part_mag_02</v>
      </c>
      <c r="F391" s="102"/>
      <c r="G391" s="102" t="str">
        <f>IFERROR(__xludf.DUMMYFUNCTION("""COMPUTED_VALUE"""),"2.3s Reload, -Damage, 6 Shots")</f>
        <v>2.3s Reload, -Damage, 6 Shots</v>
      </c>
      <c r="H391" s="102"/>
      <c r="I391" s="102"/>
      <c r="J391" s="102"/>
      <c r="K391" s="102"/>
      <c r="L391" s="102"/>
    </row>
    <row r="392">
      <c r="A392" s="102" t="str">
        <f>IFERROR(__xludf.DUMMYFUNCTION("""COMPUTED_VALUE"""),"Jakobs")</f>
        <v>Jakobs</v>
      </c>
      <c r="B392" s="102" t="str">
        <f>IFERROR(__xludf.DUMMYFUNCTION("""COMPUTED_VALUE"""),"Pistol")</f>
        <v>Pistol</v>
      </c>
      <c r="C392" s="103">
        <f>IFERROR(__xludf.DUMMYFUNCTION("""COMPUTED_VALUE"""),15.0)</f>
        <v>15</v>
      </c>
      <c r="D392" s="102" t="str">
        <f>IFERROR(__xludf.DUMMYFUNCTION("""COMPUTED_VALUE"""),"Magazine")</f>
        <v>Magazine</v>
      </c>
      <c r="E392" s="102" t="str">
        <f>IFERROR(__xludf.DUMMYFUNCTION("""COMPUTED_VALUE"""),"JAK_PS.part_mag_03_tor")</f>
        <v>JAK_PS.part_mag_03_tor</v>
      </c>
      <c r="F392" s="102"/>
      <c r="G392" s="102" t="str">
        <f>IFERROR(__xludf.DUMMYFUNCTION("""COMPUTED_VALUE"""),"2.9s Reload, -Damage, -Acc, -Fire Rate, 8 Shots, Torgue")</f>
        <v>2.9s Reload, -Damage, -Acc, -Fire Rate, 8 Shots, Torgue</v>
      </c>
      <c r="H392" s="102"/>
      <c r="I392" s="102"/>
      <c r="J392" s="102"/>
      <c r="K392" s="102"/>
      <c r="L392" s="102"/>
    </row>
    <row r="393">
      <c r="A393" s="102" t="str">
        <f>IFERROR(__xludf.DUMMYFUNCTION("""COMPUTED_VALUE"""),"Jakobs")</f>
        <v>Jakobs</v>
      </c>
      <c r="B393" s="102" t="str">
        <f>IFERROR(__xludf.DUMMYFUNCTION("""COMPUTED_VALUE"""),"Pistol")</f>
        <v>Pistol</v>
      </c>
      <c r="C393" s="103">
        <f>IFERROR(__xludf.DUMMYFUNCTION("""COMPUTED_VALUE"""),16.0)</f>
        <v>16</v>
      </c>
      <c r="D393" s="102" t="str">
        <f>IFERROR(__xludf.DUMMYFUNCTION("""COMPUTED_VALUE"""),"Magazine")</f>
        <v>Magazine</v>
      </c>
      <c r="E393" s="102" t="str">
        <f>IFERROR(__xludf.DUMMYFUNCTION("""COMPUTED_VALUE"""),"JAK_PS.part_mag_04_cov")</f>
        <v>JAK_PS.part_mag_04_cov</v>
      </c>
      <c r="F393" s="102"/>
      <c r="G393" s="102" t="str">
        <f>IFERROR(__xludf.DUMMYFUNCTION("""COMPUTED_VALUE"""),"3.2s Reload, -Damage, -Acc, 5 Shots, CoV Mag")</f>
        <v>3.2s Reload, -Damage, -Acc, 5 Shots, CoV Mag</v>
      </c>
      <c r="H393" s="102"/>
      <c r="I393" s="102"/>
      <c r="J393" s="102"/>
      <c r="K393" s="102"/>
      <c r="L393" s="102"/>
    </row>
    <row r="394">
      <c r="A394" s="102" t="str">
        <f>IFERROR(__xludf.DUMMYFUNCTION("""COMPUTED_VALUE"""),"Jakobs")</f>
        <v>Jakobs</v>
      </c>
      <c r="B394" s="102" t="str">
        <f>IFERROR(__xludf.DUMMYFUNCTION("""COMPUTED_VALUE"""),"Pistol")</f>
        <v>Pistol</v>
      </c>
      <c r="C394" s="103">
        <f>IFERROR(__xludf.DUMMYFUNCTION("""COMPUTED_VALUE"""),17.0)</f>
        <v>17</v>
      </c>
      <c r="D394" s="102" t="str">
        <f>IFERROR(__xludf.DUMMYFUNCTION("""COMPUTED_VALUE"""),"Magazine")</f>
        <v>Magazine</v>
      </c>
      <c r="E394" s="102" t="str">
        <f>IFERROR(__xludf.DUMMYFUNCTION("""COMPUTED_VALUE"""),"JAK_PS.part_mag_05_borg")</f>
        <v>JAK_PS.part_mag_05_borg</v>
      </c>
      <c r="F394" s="102"/>
      <c r="G394" s="102" t="str">
        <f>IFERROR(__xludf.DUMMYFUNCTION("""COMPUTED_VALUE"""),"2.3s Reload, -Damage, -Fire Rate, 8 Shots, Ripper Mag")</f>
        <v>2.3s Reload, -Damage, -Fire Rate, 8 Shots, Ripper Mag</v>
      </c>
      <c r="H394" s="102"/>
      <c r="I394" s="102"/>
      <c r="J394" s="102"/>
      <c r="K394" s="102"/>
      <c r="L394" s="102"/>
    </row>
    <row r="395">
      <c r="A395" s="102" t="str">
        <f>IFERROR(__xludf.DUMMYFUNCTION("""COMPUTED_VALUE"""),"Jakobs")</f>
        <v>Jakobs</v>
      </c>
      <c r="B395" s="102" t="str">
        <f>IFERROR(__xludf.DUMMYFUNCTION("""COMPUTED_VALUE"""),"Pistol")</f>
        <v>Pistol</v>
      </c>
      <c r="C395" s="103">
        <f>IFERROR(__xludf.DUMMYFUNCTION("""COMPUTED_VALUE"""),18.0)</f>
        <v>18</v>
      </c>
      <c r="D395" s="102" t="str">
        <f>IFERROR(__xludf.DUMMYFUNCTION("""COMPUTED_VALUE"""),"Manufacturer Part")</f>
        <v>Manufacturer Part</v>
      </c>
      <c r="E395" s="102" t="str">
        <f>IFERROR(__xludf.DUMMYFUNCTION("""COMPUTED_VALUE"""),"JAK_PS.part_mag_torgue_normal")</f>
        <v>JAK_PS.part_mag_torgue_normal</v>
      </c>
      <c r="F395" s="102"/>
      <c r="G395" s="102" t="str">
        <f>IFERROR(__xludf.DUMMYFUNCTION("""COMPUTED_VALUE"""),"Torgue Impact Gyrojets")</f>
        <v>Torgue Impact Gyrojets</v>
      </c>
      <c r="H395" s="102"/>
      <c r="I395" s="102"/>
      <c r="J395" s="102"/>
      <c r="K395" s="102"/>
      <c r="L395" s="102"/>
    </row>
    <row r="396">
      <c r="A396" s="102" t="str">
        <f>IFERROR(__xludf.DUMMYFUNCTION("""COMPUTED_VALUE"""),"Jakobs")</f>
        <v>Jakobs</v>
      </c>
      <c r="B396" s="102" t="str">
        <f>IFERROR(__xludf.DUMMYFUNCTION("""COMPUTED_VALUE"""),"Pistol")</f>
        <v>Pistol</v>
      </c>
      <c r="C396" s="103">
        <f>IFERROR(__xludf.DUMMYFUNCTION("""COMPUTED_VALUE"""),19.0)</f>
        <v>19</v>
      </c>
      <c r="D396" s="102" t="str">
        <f>IFERROR(__xludf.DUMMYFUNCTION("""COMPUTED_VALUE"""),"Manufacturer Part")</f>
        <v>Manufacturer Part</v>
      </c>
      <c r="E396" s="102" t="str">
        <f>IFERROR(__xludf.DUMMYFUNCTION("""COMPUTED_VALUE"""),"JAK_PS.part_mag_torgue_sticky")</f>
        <v>JAK_PS.part_mag_torgue_sticky</v>
      </c>
      <c r="F396" s="102"/>
      <c r="G396" s="102" t="str">
        <f>IFERROR(__xludf.DUMMYFUNCTION("""COMPUTED_VALUE"""),"Torgue Sticky Gyrojets")</f>
        <v>Torgue Sticky Gyrojets</v>
      </c>
      <c r="H396" s="102"/>
      <c r="I396" s="102"/>
      <c r="J396" s="102"/>
      <c r="K396" s="102"/>
      <c r="L396" s="102"/>
    </row>
    <row r="397">
      <c r="A397" s="102" t="str">
        <f>IFERROR(__xludf.DUMMYFUNCTION("""COMPUTED_VALUE"""),"Jakobs")</f>
        <v>Jakobs</v>
      </c>
      <c r="B397" s="102" t="str">
        <f>IFERROR(__xludf.DUMMYFUNCTION("""COMPUTED_VALUE"""),"Pistol")</f>
        <v>Pistol</v>
      </c>
      <c r="C397" s="103">
        <f>IFERROR(__xludf.DUMMYFUNCTION("""COMPUTED_VALUE"""),20.0)</f>
        <v>20</v>
      </c>
      <c r="D397" s="102" t="str">
        <f>IFERROR(__xludf.DUMMYFUNCTION("""COMPUTED_VALUE"""),"Stat Modifier")</f>
        <v>Stat Modifier</v>
      </c>
      <c r="E397" s="102" t="str">
        <f>IFERROR(__xludf.DUMMYFUNCTION("""COMPUTED_VALUE"""),"JAK_PS.part_mag_ted_thrown_01")</f>
        <v>JAK_PS.part_mag_ted_thrown_01</v>
      </c>
      <c r="F397" s="102"/>
      <c r="G397" s="102" t="str">
        <f>IFERROR(__xludf.DUMMYFUNCTION("""COMPUTED_VALUE"""),"2.0s Reload")</f>
        <v>2.0s Reload</v>
      </c>
      <c r="H397" s="102"/>
      <c r="I397" s="102"/>
      <c r="J397" s="102"/>
      <c r="K397" s="102"/>
      <c r="L397" s="102"/>
    </row>
    <row r="398">
      <c r="A398" s="102" t="str">
        <f>IFERROR(__xludf.DUMMYFUNCTION("""COMPUTED_VALUE"""),"Jakobs")</f>
        <v>Jakobs</v>
      </c>
      <c r="B398" s="102" t="str">
        <f>IFERROR(__xludf.DUMMYFUNCTION("""COMPUTED_VALUE"""),"Pistol")</f>
        <v>Pistol</v>
      </c>
      <c r="C398" s="103">
        <f>IFERROR(__xludf.DUMMYFUNCTION("""COMPUTED_VALUE"""),21.0)</f>
        <v>21</v>
      </c>
      <c r="D398" s="102" t="str">
        <f>IFERROR(__xludf.DUMMYFUNCTION("""COMPUTED_VALUE"""),"Stat Modifier")</f>
        <v>Stat Modifier</v>
      </c>
      <c r="E398" s="102" t="str">
        <f>IFERROR(__xludf.DUMMYFUNCTION("""COMPUTED_VALUE"""),"JAK_PS.part_mag_ted_thrown_02")</f>
        <v>JAK_PS.part_mag_ted_thrown_02</v>
      </c>
      <c r="F398" s="102"/>
      <c r="G398" s="102" t="str">
        <f>IFERROR(__xludf.DUMMYFUNCTION("""COMPUTED_VALUE"""),"2.0s Reload")</f>
        <v>2.0s Reload</v>
      </c>
      <c r="H398" s="102"/>
      <c r="I398" s="102"/>
      <c r="J398" s="102"/>
      <c r="K398" s="102"/>
      <c r="L398" s="102"/>
    </row>
    <row r="399">
      <c r="A399" s="102" t="str">
        <f>IFERROR(__xludf.DUMMYFUNCTION("""COMPUTED_VALUE"""),"Jakobs")</f>
        <v>Jakobs</v>
      </c>
      <c r="B399" s="102" t="str">
        <f>IFERROR(__xludf.DUMMYFUNCTION("""COMPUTED_VALUE"""),"Pistol")</f>
        <v>Pistol</v>
      </c>
      <c r="C399" s="103">
        <f>IFERROR(__xludf.DUMMYFUNCTION("""COMPUTED_VALUE"""),22.0)</f>
        <v>22</v>
      </c>
      <c r="D399" s="102" t="str">
        <f>IFERROR(__xludf.DUMMYFUNCTION("""COMPUTED_VALUE"""),"Stat Modifier")</f>
        <v>Stat Modifier</v>
      </c>
      <c r="E399" s="102" t="str">
        <f>IFERROR(__xludf.DUMMYFUNCTION("""COMPUTED_VALUE"""),"JAK_PS.part_mag_ted_thrown_03_tor")</f>
        <v>JAK_PS.part_mag_ted_thrown_03_tor</v>
      </c>
      <c r="F399" s="102"/>
      <c r="G399" s="102" t="str">
        <f>IFERROR(__xludf.DUMMYFUNCTION("""COMPUTED_VALUE"""),"2.0s Reload")</f>
        <v>2.0s Reload</v>
      </c>
      <c r="H399" s="102"/>
      <c r="I399" s="102"/>
      <c r="J399" s="102"/>
      <c r="K399" s="102"/>
      <c r="L399" s="102"/>
    </row>
    <row r="400">
      <c r="A400" s="102" t="str">
        <f>IFERROR(__xludf.DUMMYFUNCTION("""COMPUTED_VALUE"""),"Jakobs")</f>
        <v>Jakobs</v>
      </c>
      <c r="B400" s="102" t="str">
        <f>IFERROR(__xludf.DUMMYFUNCTION("""COMPUTED_VALUE"""),"Pistol")</f>
        <v>Pistol</v>
      </c>
      <c r="C400" s="103">
        <f>IFERROR(__xludf.DUMMYFUNCTION("""COMPUTED_VALUE"""),23.0)</f>
        <v>23</v>
      </c>
      <c r="D400" s="102" t="str">
        <f>IFERROR(__xludf.DUMMYFUNCTION("""COMPUTED_VALUE"""),"Stat Modifier")</f>
        <v>Stat Modifier</v>
      </c>
      <c r="E400" s="102" t="str">
        <f>IFERROR(__xludf.DUMMYFUNCTION("""COMPUTED_VALUE"""),"JAK_PS.part_mag_ted_thrown_04_cov")</f>
        <v>JAK_PS.part_mag_ted_thrown_04_cov</v>
      </c>
      <c r="F400" s="102"/>
      <c r="G400" s="102" t="str">
        <f>IFERROR(__xludf.DUMMYFUNCTION("""COMPUTED_VALUE"""),"3.0s Reload")</f>
        <v>3.0s Reload</v>
      </c>
      <c r="H400" s="102"/>
      <c r="I400" s="102"/>
      <c r="J400" s="102"/>
      <c r="K400" s="102"/>
      <c r="L400" s="102"/>
    </row>
    <row r="401">
      <c r="A401" s="102" t="str">
        <f>IFERROR(__xludf.DUMMYFUNCTION("""COMPUTED_VALUE"""),"Jakobs")</f>
        <v>Jakobs</v>
      </c>
      <c r="B401" s="102" t="str">
        <f>IFERROR(__xludf.DUMMYFUNCTION("""COMPUTED_VALUE"""),"Pistol")</f>
        <v>Pistol</v>
      </c>
      <c r="C401" s="103">
        <f>IFERROR(__xludf.DUMMYFUNCTION("""COMPUTED_VALUE"""),24.0)</f>
        <v>24</v>
      </c>
      <c r="D401" s="102" t="str">
        <f>IFERROR(__xludf.DUMMYFUNCTION("""COMPUTED_VALUE"""),"Stat Modifier")</f>
        <v>Stat Modifier</v>
      </c>
      <c r="E401" s="102" t="str">
        <f>IFERROR(__xludf.DUMMYFUNCTION("""COMPUTED_VALUE"""),"JAK_PS.part_mag_ted_thrown_05_bor")</f>
        <v>JAK_PS.part_mag_ted_thrown_05_bor</v>
      </c>
      <c r="F401" s="102"/>
      <c r="G401" s="102" t="str">
        <f>IFERROR(__xludf.DUMMYFUNCTION("""COMPUTED_VALUE"""),"2.0s Reload")</f>
        <v>2.0s Reload</v>
      </c>
      <c r="H401" s="102"/>
      <c r="I401" s="102"/>
      <c r="J401" s="102"/>
      <c r="K401" s="102"/>
      <c r="L401" s="102"/>
    </row>
    <row r="402">
      <c r="A402" s="102" t="str">
        <f>IFERROR(__xludf.DUMMYFUNCTION("""COMPUTED_VALUE"""),"Jakobs")</f>
        <v>Jakobs</v>
      </c>
      <c r="B402" s="102" t="str">
        <f>IFERROR(__xludf.DUMMYFUNCTION("""COMPUTED_VALUE"""),"Pistol")</f>
        <v>Pistol</v>
      </c>
      <c r="C402" s="103">
        <f>IFERROR(__xludf.DUMMYFUNCTION("""COMPUTED_VALUE"""),25.0)</f>
        <v>25</v>
      </c>
      <c r="D402" s="102" t="str">
        <f>IFERROR(__xludf.DUMMYFUNCTION("""COMPUTED_VALUE"""),"Scope")</f>
        <v>Scope</v>
      </c>
      <c r="E402" s="102" t="str">
        <f>IFERROR(__xludf.DUMMYFUNCTION("""COMPUTED_VALUE"""),"JAK_PS.part_scope_ironsight")</f>
        <v>JAK_PS.part_scope_ironsight</v>
      </c>
      <c r="F402" s="102"/>
      <c r="G402" s="102" t="str">
        <f>IFERROR(__xludf.DUMMYFUNCTION("""COMPUTED_VALUE"""),"ADS")</f>
        <v>ADS</v>
      </c>
      <c r="H402" s="102"/>
      <c r="I402" s="102"/>
      <c r="J402" s="102"/>
      <c r="K402" s="102"/>
      <c r="L402" s="102"/>
    </row>
    <row r="403">
      <c r="A403" s="102" t="str">
        <f>IFERROR(__xludf.DUMMYFUNCTION("""COMPUTED_VALUE"""),"Jakobs")</f>
        <v>Jakobs</v>
      </c>
      <c r="B403" s="102" t="str">
        <f>IFERROR(__xludf.DUMMYFUNCTION("""COMPUTED_VALUE"""),"Pistol")</f>
        <v>Pistol</v>
      </c>
      <c r="C403" s="103">
        <f>IFERROR(__xludf.DUMMYFUNCTION("""COMPUTED_VALUE"""),26.0)</f>
        <v>26</v>
      </c>
      <c r="D403" s="102" t="str">
        <f>IFERROR(__xludf.DUMMYFUNCTION("""COMPUTED_VALUE"""),"Scope")</f>
        <v>Scope</v>
      </c>
      <c r="E403" s="102" t="str">
        <f>IFERROR(__xludf.DUMMYFUNCTION("""COMPUTED_VALUE"""),"JAK_PS.part_scope_01_lens_01")</f>
        <v>JAK_PS.part_scope_01_lens_01</v>
      </c>
      <c r="F403" s="102"/>
      <c r="G403" s="102" t="str">
        <f>IFERROR(__xludf.DUMMYFUNCTION("""COMPUTED_VALUE"""),"ADS +Zoom")</f>
        <v>ADS +Zoom</v>
      </c>
      <c r="H403" s="102"/>
      <c r="I403" s="102"/>
      <c r="J403" s="102"/>
      <c r="K403" s="102"/>
      <c r="L403" s="102"/>
    </row>
    <row r="404">
      <c r="A404" s="102" t="str">
        <f>IFERROR(__xludf.DUMMYFUNCTION("""COMPUTED_VALUE"""),"Jakobs")</f>
        <v>Jakobs</v>
      </c>
      <c r="B404" s="102" t="str">
        <f>IFERROR(__xludf.DUMMYFUNCTION("""COMPUTED_VALUE"""),"Pistol")</f>
        <v>Pistol</v>
      </c>
      <c r="C404" s="103">
        <f>IFERROR(__xludf.DUMMYFUNCTION("""COMPUTED_VALUE"""),27.0)</f>
        <v>27</v>
      </c>
      <c r="D404" s="102" t="str">
        <f>IFERROR(__xludf.DUMMYFUNCTION("""COMPUTED_VALUE"""),"Scope")</f>
        <v>Scope</v>
      </c>
      <c r="E404" s="102" t="str">
        <f>IFERROR(__xludf.DUMMYFUNCTION("""COMPUTED_VALUE"""),"JAK_PS.part_scope_01_lens_02")</f>
        <v>JAK_PS.part_scope_01_lens_02</v>
      </c>
      <c r="F404" s="102"/>
      <c r="G404" s="102" t="str">
        <f>IFERROR(__xludf.DUMMYFUNCTION("""COMPUTED_VALUE"""),"ADS +Zoom")</f>
        <v>ADS +Zoom</v>
      </c>
      <c r="H404" s="102"/>
      <c r="I404" s="102"/>
      <c r="J404" s="102"/>
      <c r="K404" s="102"/>
      <c r="L404" s="102"/>
    </row>
    <row r="405">
      <c r="A405" s="102" t="str">
        <f>IFERROR(__xludf.DUMMYFUNCTION("""COMPUTED_VALUE"""),"Jakobs")</f>
        <v>Jakobs</v>
      </c>
      <c r="B405" s="102" t="str">
        <f>IFERROR(__xludf.DUMMYFUNCTION("""COMPUTED_VALUE"""),"Pistol")</f>
        <v>Pistol</v>
      </c>
      <c r="C405" s="103">
        <f>IFERROR(__xludf.DUMMYFUNCTION("""COMPUTED_VALUE"""),28.0)</f>
        <v>28</v>
      </c>
      <c r="D405" s="102" t="str">
        <f>IFERROR(__xludf.DUMMYFUNCTION("""COMPUTED_VALUE"""),"Scope")</f>
        <v>Scope</v>
      </c>
      <c r="E405" s="102" t="str">
        <f>IFERROR(__xludf.DUMMYFUNCTION("""COMPUTED_VALUE"""),"JAK_PS.part_scope_02_lens_01")</f>
        <v>JAK_PS.part_scope_02_lens_01</v>
      </c>
      <c r="F405" s="102"/>
      <c r="G405" s="102" t="str">
        <f>IFERROR(__xludf.DUMMYFUNCTION("""COMPUTED_VALUE"""),"ADS ++Zoom")</f>
        <v>ADS ++Zoom</v>
      </c>
      <c r="H405" s="102"/>
      <c r="I405" s="102"/>
      <c r="J405" s="102"/>
      <c r="K405" s="102"/>
      <c r="L405" s="102"/>
    </row>
    <row r="406">
      <c r="A406" s="102" t="str">
        <f>IFERROR(__xludf.DUMMYFUNCTION("""COMPUTED_VALUE"""),"Jakobs")</f>
        <v>Jakobs</v>
      </c>
      <c r="B406" s="102" t="str">
        <f>IFERROR(__xludf.DUMMYFUNCTION("""COMPUTED_VALUE"""),"Pistol")</f>
        <v>Pistol</v>
      </c>
      <c r="C406" s="103">
        <f>IFERROR(__xludf.DUMMYFUNCTION("""COMPUTED_VALUE"""),29.0)</f>
        <v>29</v>
      </c>
      <c r="D406" s="102" t="str">
        <f>IFERROR(__xludf.DUMMYFUNCTION("""COMPUTED_VALUE"""),"Scope")</f>
        <v>Scope</v>
      </c>
      <c r="E406" s="102" t="str">
        <f>IFERROR(__xludf.DUMMYFUNCTION("""COMPUTED_VALUE"""),"JAK_PS.part_scope_02_lens_02")</f>
        <v>JAK_PS.part_scope_02_lens_02</v>
      </c>
      <c r="F406" s="102"/>
      <c r="G406" s="102" t="str">
        <f>IFERROR(__xludf.DUMMYFUNCTION("""COMPUTED_VALUE"""),"ADS +++Zoom")</f>
        <v>ADS +++Zoom</v>
      </c>
      <c r="H406" s="102"/>
      <c r="I406" s="102"/>
      <c r="J406" s="102"/>
      <c r="K406" s="102"/>
      <c r="L406" s="102"/>
    </row>
    <row r="407">
      <c r="A407" s="102" t="str">
        <f>IFERROR(__xludf.DUMMYFUNCTION("""COMPUTED_VALUE"""),"Jakobs")</f>
        <v>Jakobs</v>
      </c>
      <c r="B407" s="102" t="str">
        <f>IFERROR(__xludf.DUMMYFUNCTION("""COMPUTED_VALUE"""),"Pistol")</f>
        <v>Pistol</v>
      </c>
      <c r="C407" s="103">
        <f>IFERROR(__xludf.DUMMYFUNCTION("""COMPUTED_VALUE"""),30.0)</f>
        <v>30</v>
      </c>
      <c r="D407" s="102" t="str">
        <f>IFERROR(__xludf.DUMMYFUNCTION("""COMPUTED_VALUE"""),"Scope Accessory")</f>
        <v>Scope Accessory</v>
      </c>
      <c r="E407" s="102" t="str">
        <f>IFERROR(__xludf.DUMMYFUNCTION("""COMPUTED_VALUE"""),"JAK_PS.part_scope_acc_s01_l01_a")</f>
        <v>JAK_PS.part_scope_acc_s01_l01_a</v>
      </c>
      <c r="F407" s="102"/>
      <c r="G407" s="102" t="str">
        <f>IFERROR(__xludf.DUMMYFUNCTION("""COMPUTED_VALUE"""),"+Damage")</f>
        <v>+Damage</v>
      </c>
      <c r="H407" s="102" t="str">
        <f>IFERROR(__xludf.DUMMYFUNCTION("""COMPUTED_VALUE"""),"Mag Gauge")</f>
        <v>Mag Gauge</v>
      </c>
      <c r="I407" s="102"/>
      <c r="J407" s="102"/>
      <c r="K407" s="102"/>
      <c r="L407" s="102"/>
    </row>
    <row r="408">
      <c r="A408" s="102" t="str">
        <f>IFERROR(__xludf.DUMMYFUNCTION("""COMPUTED_VALUE"""),"Jakobs")</f>
        <v>Jakobs</v>
      </c>
      <c r="B408" s="102" t="str">
        <f>IFERROR(__xludf.DUMMYFUNCTION("""COMPUTED_VALUE"""),"Pistol")</f>
        <v>Pistol</v>
      </c>
      <c r="C408" s="103">
        <f>IFERROR(__xludf.DUMMYFUNCTION("""COMPUTED_VALUE"""),31.0)</f>
        <v>31</v>
      </c>
      <c r="D408" s="102" t="str">
        <f>IFERROR(__xludf.DUMMYFUNCTION("""COMPUTED_VALUE"""),"Scope Accessory")</f>
        <v>Scope Accessory</v>
      </c>
      <c r="E408" s="102" t="str">
        <f>IFERROR(__xludf.DUMMYFUNCTION("""COMPUTED_VALUE"""),"JAK_PS.part_scope_acc_s01_l01_b")</f>
        <v>JAK_PS.part_scope_acc_s01_l01_b</v>
      </c>
      <c r="F408" s="102"/>
      <c r="G408" s="102" t="str">
        <f>IFERROR(__xludf.DUMMYFUNCTION("""COMPUTED_VALUE"""),"-Reload Speed")</f>
        <v>-Reload Speed</v>
      </c>
      <c r="H408" s="102"/>
      <c r="I408" s="102"/>
      <c r="J408" s="102"/>
      <c r="K408" s="102"/>
      <c r="L408" s="102"/>
    </row>
    <row r="409">
      <c r="A409" s="102" t="str">
        <f>IFERROR(__xludf.DUMMYFUNCTION("""COMPUTED_VALUE"""),"Jakobs")</f>
        <v>Jakobs</v>
      </c>
      <c r="B409" s="102" t="str">
        <f>IFERROR(__xludf.DUMMYFUNCTION("""COMPUTED_VALUE"""),"Pistol")</f>
        <v>Pistol</v>
      </c>
      <c r="C409" s="103">
        <f>IFERROR(__xludf.DUMMYFUNCTION("""COMPUTED_VALUE"""),32.0)</f>
        <v>32</v>
      </c>
      <c r="D409" s="102" t="str">
        <f>IFERROR(__xludf.DUMMYFUNCTION("""COMPUTED_VALUE"""),"Scope Accessory")</f>
        <v>Scope Accessory</v>
      </c>
      <c r="E409" s="102" t="str">
        <f>IFERROR(__xludf.DUMMYFUNCTION("""COMPUTED_VALUE"""),"JAK_PS.part_scope_acc_s02_l01_a")</f>
        <v>JAK_PS.part_scope_acc_s02_l01_a</v>
      </c>
      <c r="F409" s="102"/>
      <c r="G409" s="102" t="str">
        <f>IFERROR(__xludf.DUMMYFUNCTION("""COMPUTED_VALUE"""),"No Stat Changes")</f>
        <v>No Stat Changes</v>
      </c>
      <c r="H409" s="102"/>
      <c r="I409" s="102"/>
      <c r="J409" s="102"/>
      <c r="K409" s="102"/>
      <c r="L409" s="102"/>
    </row>
    <row r="410">
      <c r="A410" s="102" t="str">
        <f>IFERROR(__xludf.DUMMYFUNCTION("""COMPUTED_VALUE"""),"Jakobs")</f>
        <v>Jakobs</v>
      </c>
      <c r="B410" s="102" t="str">
        <f>IFERROR(__xludf.DUMMYFUNCTION("""COMPUTED_VALUE"""),"Pistol")</f>
        <v>Pistol</v>
      </c>
      <c r="C410" s="103">
        <f>IFERROR(__xludf.DUMMYFUNCTION("""COMPUTED_VALUE"""),33.0)</f>
        <v>33</v>
      </c>
      <c r="D410" s="102" t="str">
        <f>IFERROR(__xludf.DUMMYFUNCTION("""COMPUTED_VALUE"""),"Scope Accessory")</f>
        <v>Scope Accessory</v>
      </c>
      <c r="E410" s="102" t="str">
        <f>IFERROR(__xludf.DUMMYFUNCTION("""COMPUTED_VALUE"""),"JAK_PS.part_scope_acc_s02_l01_b")</f>
        <v>JAK_PS.part_scope_acc_s02_l01_b</v>
      </c>
      <c r="F410" s="102"/>
      <c r="G410" s="102" t="str">
        <f>IFERROR(__xludf.DUMMYFUNCTION("""COMPUTED_VALUE"""),"+Crit Damage")</f>
        <v>+Crit Damage</v>
      </c>
      <c r="H410" s="102" t="str">
        <f>IFERROR(__xludf.DUMMYFUNCTION("""COMPUTED_VALUE"""),"Mag Gauge")</f>
        <v>Mag Gauge</v>
      </c>
      <c r="I410" s="102"/>
      <c r="J410" s="102"/>
      <c r="K410" s="102"/>
      <c r="L410" s="102"/>
    </row>
    <row r="411">
      <c r="A411" s="102" t="str">
        <f>IFERROR(__xludf.DUMMYFUNCTION("""COMPUTED_VALUE"""),"Jakobs")</f>
        <v>Jakobs</v>
      </c>
      <c r="B411" s="102" t="str">
        <f>IFERROR(__xludf.DUMMYFUNCTION("""COMPUTED_VALUE"""),"Pistol")</f>
        <v>Pistol</v>
      </c>
      <c r="C411" s="103">
        <f>IFERROR(__xludf.DUMMYFUNCTION("""COMPUTED_VALUE"""),34.0)</f>
        <v>34</v>
      </c>
      <c r="D411" s="102" t="str">
        <f>IFERROR(__xludf.DUMMYFUNCTION("""COMPUTED_VALUE"""),"Scope Accessory")</f>
        <v>Scope Accessory</v>
      </c>
      <c r="E411" s="102" t="str">
        <f>IFERROR(__xludf.DUMMYFUNCTION("""COMPUTED_VALUE"""),"JAK_PS.part_scope_acc_s01_l02_a")</f>
        <v>JAK_PS.part_scope_acc_s01_l02_a</v>
      </c>
      <c r="F411" s="102"/>
      <c r="G411" s="102" t="str">
        <f>IFERROR(__xludf.DUMMYFUNCTION("""COMPUTED_VALUE"""),"+Damage")</f>
        <v>+Damage</v>
      </c>
      <c r="H411" s="102"/>
      <c r="I411" s="102"/>
      <c r="J411" s="102"/>
      <c r="K411" s="102"/>
      <c r="L411" s="102"/>
    </row>
    <row r="412">
      <c r="A412" s="102" t="str">
        <f>IFERROR(__xludf.DUMMYFUNCTION("""COMPUTED_VALUE"""),"Jakobs")</f>
        <v>Jakobs</v>
      </c>
      <c r="B412" s="102" t="str">
        <f>IFERROR(__xludf.DUMMYFUNCTION("""COMPUTED_VALUE"""),"Pistol")</f>
        <v>Pistol</v>
      </c>
      <c r="C412" s="103">
        <f>IFERROR(__xludf.DUMMYFUNCTION("""COMPUTED_VALUE"""),35.0)</f>
        <v>35</v>
      </c>
      <c r="D412" s="102" t="str">
        <f>IFERROR(__xludf.DUMMYFUNCTION("""COMPUTED_VALUE"""),"Scope Accessory")</f>
        <v>Scope Accessory</v>
      </c>
      <c r="E412" s="102" t="str">
        <f>IFERROR(__xludf.DUMMYFUNCTION("""COMPUTED_VALUE"""),"JAK_PS.part_scope_acc_s01_l02_b")</f>
        <v>JAK_PS.part_scope_acc_s01_l02_b</v>
      </c>
      <c r="F412" s="102"/>
      <c r="G412" s="102" t="str">
        <f>IFERROR(__xludf.DUMMYFUNCTION("""COMPUTED_VALUE"""),"-Reload Speed")</f>
        <v>-Reload Speed</v>
      </c>
      <c r="H412" s="102" t="str">
        <f>IFERROR(__xludf.DUMMYFUNCTION("""COMPUTED_VALUE"""),"Mag Gauge")</f>
        <v>Mag Gauge</v>
      </c>
      <c r="I412" s="102"/>
      <c r="J412" s="102"/>
      <c r="K412" s="102"/>
      <c r="L412" s="102"/>
    </row>
    <row r="413">
      <c r="A413" s="102" t="str">
        <f>IFERROR(__xludf.DUMMYFUNCTION("""COMPUTED_VALUE"""),"Jakobs")</f>
        <v>Jakobs</v>
      </c>
      <c r="B413" s="102" t="str">
        <f>IFERROR(__xludf.DUMMYFUNCTION("""COMPUTED_VALUE"""),"Pistol")</f>
        <v>Pistol</v>
      </c>
      <c r="C413" s="103">
        <f>IFERROR(__xludf.DUMMYFUNCTION("""COMPUTED_VALUE"""),36.0)</f>
        <v>36</v>
      </c>
      <c r="D413" s="102" t="str">
        <f>IFERROR(__xludf.DUMMYFUNCTION("""COMPUTED_VALUE"""),"Scope Accessory")</f>
        <v>Scope Accessory</v>
      </c>
      <c r="E413" s="102" t="str">
        <f>IFERROR(__xludf.DUMMYFUNCTION("""COMPUTED_VALUE"""),"JAK_PS.part_scope_acc_s02_l02_a")</f>
        <v>JAK_PS.part_scope_acc_s02_l02_a</v>
      </c>
      <c r="F413" s="102"/>
      <c r="G413" s="102" t="str">
        <f>IFERROR(__xludf.DUMMYFUNCTION("""COMPUTED_VALUE"""),"No Stat Changes")</f>
        <v>No Stat Changes</v>
      </c>
      <c r="H413" s="102"/>
      <c r="I413" s="102"/>
      <c r="J413" s="102"/>
      <c r="K413" s="102"/>
      <c r="L413" s="102"/>
    </row>
    <row r="414">
      <c r="A414" s="102" t="str">
        <f>IFERROR(__xludf.DUMMYFUNCTION("""COMPUTED_VALUE"""),"Jakobs")</f>
        <v>Jakobs</v>
      </c>
      <c r="B414" s="102" t="str">
        <f>IFERROR(__xludf.DUMMYFUNCTION("""COMPUTED_VALUE"""),"Pistol")</f>
        <v>Pistol</v>
      </c>
      <c r="C414" s="103">
        <f>IFERROR(__xludf.DUMMYFUNCTION("""COMPUTED_VALUE"""),37.0)</f>
        <v>37</v>
      </c>
      <c r="D414" s="102" t="str">
        <f>IFERROR(__xludf.DUMMYFUNCTION("""COMPUTED_VALUE"""),"Scope Accessory")</f>
        <v>Scope Accessory</v>
      </c>
      <c r="E414" s="102" t="str">
        <f>IFERROR(__xludf.DUMMYFUNCTION("""COMPUTED_VALUE"""),"JAK_PS.part_scope_acc_s02_l02_b")</f>
        <v>JAK_PS.part_scope_acc_s02_l02_b</v>
      </c>
      <c r="F414" s="102"/>
      <c r="G414" s="102" t="str">
        <f>IFERROR(__xludf.DUMMYFUNCTION("""COMPUTED_VALUE"""),"+Crit Damage")</f>
        <v>+Crit Damage</v>
      </c>
      <c r="H414" s="102"/>
      <c r="I414" s="102"/>
      <c r="J414" s="102"/>
      <c r="K414" s="102"/>
      <c r="L414" s="102"/>
    </row>
    <row r="415">
      <c r="A415" s="102" t="str">
        <f>IFERROR(__xludf.DUMMYFUNCTION("""COMPUTED_VALUE"""),"Jakobs")</f>
        <v>Jakobs</v>
      </c>
      <c r="B415" s="102" t="str">
        <f>IFERROR(__xludf.DUMMYFUNCTION("""COMPUTED_VALUE"""),"Pistol")</f>
        <v>Pistol</v>
      </c>
      <c r="C415" s="103">
        <f>IFERROR(__xludf.DUMMYFUNCTION("""COMPUTED_VALUE"""),38.0)</f>
        <v>38</v>
      </c>
      <c r="D415" s="102" t="str">
        <f>IFERROR(__xludf.DUMMYFUNCTION("""COMPUTED_VALUE"""),"Grip")</f>
        <v>Grip</v>
      </c>
      <c r="E415" s="102" t="str">
        <f>IFERROR(__xludf.DUMMYFUNCTION("""COMPUTED_VALUE"""),"JAK_PS.part_grip_05b_ted_homing")</f>
        <v>JAK_PS.part_grip_05b_ted_homing</v>
      </c>
      <c r="F415" s="102"/>
      <c r="G415" s="102" t="str">
        <f>IFERROR(__xludf.DUMMYFUNCTION("""COMPUTED_VALUE"""),"Tediore reload modifier: Homing, no stat changes")</f>
        <v>Tediore reload modifier: Homing, no stat changes</v>
      </c>
      <c r="H415" s="102"/>
      <c r="I415" s="102"/>
      <c r="J415" s="102"/>
      <c r="K415" s="102"/>
      <c r="L415" s="102"/>
    </row>
    <row r="416">
      <c r="A416" s="102" t="str">
        <f>IFERROR(__xludf.DUMMYFUNCTION("""COMPUTED_VALUE"""),"Jakobs")</f>
        <v>Jakobs</v>
      </c>
      <c r="B416" s="102" t="str">
        <f>IFERROR(__xludf.DUMMYFUNCTION("""COMPUTED_VALUE"""),"Pistol")</f>
        <v>Pistol</v>
      </c>
      <c r="C416" s="103">
        <f>IFERROR(__xludf.DUMMYFUNCTION("""COMPUTED_VALUE"""),39.0)</f>
        <v>39</v>
      </c>
      <c r="D416" s="102" t="str">
        <f>IFERROR(__xludf.DUMMYFUNCTION("""COMPUTED_VALUE"""),"Grip")</f>
        <v>Grip</v>
      </c>
      <c r="E416" s="102" t="str">
        <f>IFERROR(__xludf.DUMMYFUNCTION("""COMPUTED_VALUE"""),"JAK_PS.part_grip_05c_ted_jav")</f>
        <v>JAK_PS.part_grip_05c_ted_jav</v>
      </c>
      <c r="F416" s="102"/>
      <c r="G416" s="102" t="str">
        <f>IFERROR(__xludf.DUMMYFUNCTION("""COMPUTED_VALUE"""),"Tediore reload modifier: Javelin, no stat changes")</f>
        <v>Tediore reload modifier: Javelin, no stat changes</v>
      </c>
      <c r="H416" s="102"/>
      <c r="I416" s="102"/>
      <c r="J416" s="102"/>
      <c r="K416" s="102"/>
      <c r="L416" s="102"/>
    </row>
    <row r="417">
      <c r="A417" s="102" t="str">
        <f>IFERROR(__xludf.DUMMYFUNCTION("""COMPUTED_VALUE"""),"Jakobs")</f>
        <v>Jakobs</v>
      </c>
      <c r="B417" s="102" t="str">
        <f>IFERROR(__xludf.DUMMYFUNCTION("""COMPUTED_VALUE"""),"Pistol")</f>
        <v>Pistol</v>
      </c>
      <c r="C417" s="103">
        <f>IFERROR(__xludf.DUMMYFUNCTION("""COMPUTED_VALUE"""),40.0)</f>
        <v>40</v>
      </c>
      <c r="D417" s="102" t="str">
        <f>IFERROR(__xludf.DUMMYFUNCTION("""COMPUTED_VALUE"""),"Grip")</f>
        <v>Grip</v>
      </c>
      <c r="E417" s="102" t="str">
        <f>IFERROR(__xludf.DUMMYFUNCTION("""COMPUTED_VALUE"""),"JAK_PS.part_grip_05a_ted_legs")</f>
        <v>JAK_PS.part_grip_05a_ted_legs</v>
      </c>
      <c r="F417" s="102"/>
      <c r="G417" s="102" t="str">
        <f>IFERROR(__xludf.DUMMYFUNCTION("""COMPUTED_VALUE"""),"Tediore reload modifier: Legs, no stat changes")</f>
        <v>Tediore reload modifier: Legs, no stat changes</v>
      </c>
      <c r="H417" s="102"/>
      <c r="I417" s="102"/>
      <c r="J417" s="102"/>
      <c r="K417" s="102"/>
      <c r="L417" s="102"/>
    </row>
    <row r="418">
      <c r="A418" s="102" t="str">
        <f>IFERROR(__xludf.DUMMYFUNCTION("""COMPUTED_VALUE"""),"Jakobs")</f>
        <v>Jakobs</v>
      </c>
      <c r="B418" s="102" t="str">
        <f>IFERROR(__xludf.DUMMYFUNCTION("""COMPUTED_VALUE"""),"Pistol")</f>
        <v>Pistol</v>
      </c>
      <c r="C418" s="103">
        <f>IFERROR(__xludf.DUMMYFUNCTION("""COMPUTED_VALUE"""),41.0)</f>
        <v>41</v>
      </c>
      <c r="D418" s="102" t="str">
        <f>IFERROR(__xludf.DUMMYFUNCTION("""COMPUTED_VALUE"""),"Grip")</f>
        <v>Grip</v>
      </c>
      <c r="E418" s="102" t="str">
        <f>IFERROR(__xludf.DUMMYFUNCTION("""COMPUTED_VALUE"""),"JAK_PS.part_grip_01")</f>
        <v>JAK_PS.part_grip_01</v>
      </c>
      <c r="F418" s="102"/>
      <c r="G418" s="102" t="str">
        <f>IFERROR(__xludf.DUMMYFUNCTION("""COMPUTED_VALUE"""),"+Damage")</f>
        <v>+Damage</v>
      </c>
      <c r="H418" s="102"/>
      <c r="I418" s="102"/>
      <c r="J418" s="102"/>
      <c r="K418" s="102"/>
      <c r="L418" s="102"/>
    </row>
    <row r="419">
      <c r="A419" s="102" t="str">
        <f>IFERROR(__xludf.DUMMYFUNCTION("""COMPUTED_VALUE"""),"Jakobs")</f>
        <v>Jakobs</v>
      </c>
      <c r="B419" s="102" t="str">
        <f>IFERROR(__xludf.DUMMYFUNCTION("""COMPUTED_VALUE"""),"Pistol")</f>
        <v>Pistol</v>
      </c>
      <c r="C419" s="103">
        <f>IFERROR(__xludf.DUMMYFUNCTION("""COMPUTED_VALUE"""),42.0)</f>
        <v>42</v>
      </c>
      <c r="D419" s="102" t="str">
        <f>IFERROR(__xludf.DUMMYFUNCTION("""COMPUTED_VALUE"""),"Grip")</f>
        <v>Grip</v>
      </c>
      <c r="E419" s="102" t="str">
        <f>IFERROR(__xludf.DUMMYFUNCTION("""COMPUTED_VALUE"""),"JAK_PS.part_grip_02")</f>
        <v>JAK_PS.part_grip_02</v>
      </c>
      <c r="F419" s="102"/>
      <c r="G419" s="102" t="str">
        <f>IFERROR(__xludf.DUMMYFUNCTION("""COMPUTED_VALUE"""),"+Crit Damage")</f>
        <v>+Crit Damage</v>
      </c>
      <c r="H419" s="102"/>
      <c r="I419" s="102"/>
      <c r="J419" s="102"/>
      <c r="K419" s="102"/>
      <c r="L419" s="102"/>
    </row>
    <row r="420">
      <c r="A420" s="102" t="str">
        <f>IFERROR(__xludf.DUMMYFUNCTION("""COMPUTED_VALUE"""),"Jakobs")</f>
        <v>Jakobs</v>
      </c>
      <c r="B420" s="102" t="str">
        <f>IFERROR(__xludf.DUMMYFUNCTION("""COMPUTED_VALUE"""),"Pistol")</f>
        <v>Pistol</v>
      </c>
      <c r="C420" s="103">
        <f>IFERROR(__xludf.DUMMYFUNCTION("""COMPUTED_VALUE"""),43.0)</f>
        <v>43</v>
      </c>
      <c r="D420" s="102" t="str">
        <f>IFERROR(__xludf.DUMMYFUNCTION("""COMPUTED_VALUE"""),"Grip")</f>
        <v>Grip</v>
      </c>
      <c r="E420" s="102" t="str">
        <f>IFERROR(__xludf.DUMMYFUNCTION("""COMPUTED_VALUE"""),"JAK_PS.part_grip_03")</f>
        <v>JAK_PS.part_grip_03</v>
      </c>
      <c r="F420" s="102"/>
      <c r="G420" s="102" t="str">
        <f>IFERROR(__xludf.DUMMYFUNCTION("""COMPUTED_VALUE"""),"-Reload Speed")</f>
        <v>-Reload Speed</v>
      </c>
      <c r="H420" s="102"/>
      <c r="I420" s="102"/>
      <c r="J420" s="102"/>
      <c r="K420" s="102"/>
      <c r="L420" s="102"/>
    </row>
    <row r="421">
      <c r="A421" s="102" t="str">
        <f>IFERROR(__xludf.DUMMYFUNCTION("""COMPUTED_VALUE"""),"Jakobs")</f>
        <v>Jakobs</v>
      </c>
      <c r="B421" s="102" t="str">
        <f>IFERROR(__xludf.DUMMYFUNCTION("""COMPUTED_VALUE"""),"Pistol")</f>
        <v>Pistol</v>
      </c>
      <c r="C421" s="103">
        <f>IFERROR(__xludf.DUMMYFUNCTION("""COMPUTED_VALUE"""),44.0)</f>
        <v>44</v>
      </c>
      <c r="D421" s="102" t="str">
        <f>IFERROR(__xludf.DUMMYFUNCTION("""COMPUTED_VALUE"""),"Grip")</f>
        <v>Grip</v>
      </c>
      <c r="E421" s="102" t="str">
        <f>IFERROR(__xludf.DUMMYFUNCTION("""COMPUTED_VALUE"""),"JAK_PS.part_grip_04_hyp")</f>
        <v>JAK_PS.part_grip_04_hyp</v>
      </c>
      <c r="F421" s="102"/>
      <c r="G421" s="102" t="str">
        <f>IFERROR(__xludf.DUMMYFUNCTION("""COMPUTED_VALUE"""),"Hyperion Grip, -Acc, Acc increases with continuous fire")</f>
        <v>Hyperion Grip, -Acc, Acc increases with continuous fire</v>
      </c>
      <c r="H421" s="102"/>
      <c r="I421" s="102"/>
      <c r="J421" s="102"/>
      <c r="K421" s="102"/>
      <c r="L421" s="102"/>
    </row>
    <row r="422">
      <c r="A422" s="102" t="str">
        <f>IFERROR(__xludf.DUMMYFUNCTION("""COMPUTED_VALUE"""),"Jakobs")</f>
        <v>Jakobs</v>
      </c>
      <c r="B422" s="102" t="str">
        <f>IFERROR(__xludf.DUMMYFUNCTION("""COMPUTED_VALUE"""),"Pistol")</f>
        <v>Pistol</v>
      </c>
      <c r="C422" s="103">
        <f>IFERROR(__xludf.DUMMYFUNCTION("""COMPUTED_VALUE"""),45.0)</f>
        <v>45</v>
      </c>
      <c r="D422" s="102" t="str">
        <f>IFERROR(__xludf.DUMMYFUNCTION("""COMPUTED_VALUE"""),"Underbarrel")</f>
        <v>Underbarrel</v>
      </c>
      <c r="E422" s="102" t="str">
        <f>IFERROR(__xludf.DUMMYFUNCTION("""COMPUTED_VALUE"""),"JAK_PS.part_underbarrel_02_knifelauncher")</f>
        <v>JAK_PS.part_underbarrel_02_knifelauncher</v>
      </c>
      <c r="F422" s="102"/>
      <c r="G422" s="102" t="str">
        <f>IFERROR(__xludf.DUMMYFUNCTION("""COMPUTED_VALUE"""),"Alt Fire - Knife Launcher")</f>
        <v>Alt Fire - Knife Launcher</v>
      </c>
      <c r="H422" s="102"/>
      <c r="I422" s="102"/>
      <c r="J422" s="102"/>
      <c r="K422" s="102"/>
      <c r="L422" s="102"/>
    </row>
    <row r="423">
      <c r="A423" s="102" t="str">
        <f>IFERROR(__xludf.DUMMYFUNCTION("""COMPUTED_VALUE"""),"Jakobs")</f>
        <v>Jakobs</v>
      </c>
      <c r="B423" s="102" t="str">
        <f>IFERROR(__xludf.DUMMYFUNCTION("""COMPUTED_VALUE"""),"Pistol")</f>
        <v>Pistol</v>
      </c>
      <c r="C423" s="103">
        <f>IFERROR(__xludf.DUMMYFUNCTION("""COMPUTED_VALUE"""),46.0)</f>
        <v>46</v>
      </c>
      <c r="D423" s="102" t="str">
        <f>IFERROR(__xludf.DUMMYFUNCTION("""COMPUTED_VALUE"""),"Underbarrel")</f>
        <v>Underbarrel</v>
      </c>
      <c r="E423" s="102" t="str">
        <f>IFERROR(__xludf.DUMMYFUNCTION("""COMPUTED_VALUE"""),"JAK_PS.part_underbarrel_01_microrocket")</f>
        <v>JAK_PS.part_underbarrel_01_microrocket</v>
      </c>
      <c r="F423" s="102"/>
      <c r="G423" s="102" t="str">
        <f>IFERROR(__xludf.DUMMYFUNCTION("""COMPUTED_VALUE"""),"Alt Fire - Zip Rockets")</f>
        <v>Alt Fire - Zip Rockets</v>
      </c>
      <c r="H423" s="102"/>
      <c r="I423" s="102"/>
      <c r="J423" s="102"/>
      <c r="K423" s="102"/>
      <c r="L423" s="102"/>
    </row>
    <row r="424">
      <c r="A424" s="102" t="str">
        <f>IFERROR(__xludf.DUMMYFUNCTION("""COMPUTED_VALUE"""),"Jakobs")</f>
        <v>Jakobs</v>
      </c>
      <c r="B424" s="102" t="str">
        <f>IFERROR(__xludf.DUMMYFUNCTION("""COMPUTED_VALUE"""),"Pistol")</f>
        <v>Pistol</v>
      </c>
      <c r="C424" s="103">
        <f>IFERROR(__xludf.DUMMYFUNCTION("""COMPUTED_VALUE"""),47.0)</f>
        <v>47</v>
      </c>
      <c r="D424" s="102" t="str">
        <f>IFERROR(__xludf.DUMMYFUNCTION("""COMPUTED_VALUE"""),"Underbarrel")</f>
        <v>Underbarrel</v>
      </c>
      <c r="E424" s="102" t="str">
        <f>IFERROR(__xludf.DUMMYFUNCTION("""COMPUTED_VALUE"""),"JAK_PS.part_underbarrel_05_ammoswitcher")</f>
        <v>JAK_PS.part_underbarrel_05_ammoswitcher</v>
      </c>
      <c r="F424" s="102"/>
      <c r="G424" s="102" t="str">
        <f>IFERROR(__xludf.DUMMYFUNCTION("""COMPUTED_VALUE"""),"Daedalus Ammo Switch")</f>
        <v>Daedalus Ammo Switch</v>
      </c>
      <c r="H424" s="102" t="str">
        <f>IFERROR(__xludf.DUMMYFUNCTION("""COMPUTED_VALUE"""),"Used for Daedalus Ammo switch")</f>
        <v>Used for Daedalus Ammo switch</v>
      </c>
      <c r="I424" s="102"/>
      <c r="J424" s="102"/>
      <c r="K424" s="102"/>
      <c r="L424" s="102"/>
    </row>
    <row r="425">
      <c r="A425" s="102" t="str">
        <f>IFERROR(__xludf.DUMMYFUNCTION("""COMPUTED_VALUE"""),"Jakobs")</f>
        <v>Jakobs</v>
      </c>
      <c r="B425" s="102" t="str">
        <f>IFERROR(__xludf.DUMMYFUNCTION("""COMPUTED_VALUE"""),"Pistol")</f>
        <v>Pistol</v>
      </c>
      <c r="C425" s="103">
        <f>IFERROR(__xludf.DUMMYFUNCTION("""COMPUTED_VALUE"""),48.0)</f>
        <v>48</v>
      </c>
      <c r="D425" s="102" t="str">
        <f>IFERROR(__xludf.DUMMYFUNCTION("""COMPUTED_VALUE"""),"Underbarrel")</f>
        <v>Underbarrel</v>
      </c>
      <c r="E425" s="102" t="str">
        <f>IFERROR(__xludf.DUMMYFUNCTION("""COMPUTED_VALUE"""),"JAK_PS.part_underbarrel_04_atlas")</f>
        <v>JAK_PS.part_underbarrel_04_atlas</v>
      </c>
      <c r="F425" s="102"/>
      <c r="G425" s="102" t="str">
        <f>IFERROR(__xludf.DUMMYFUNCTION("""COMPUTED_VALUE"""),"Atlas Tracker Darts")</f>
        <v>Atlas Tracker Darts</v>
      </c>
      <c r="H425" s="102"/>
      <c r="I425" s="102"/>
      <c r="J425" s="102"/>
      <c r="K425" s="102"/>
      <c r="L425" s="102"/>
    </row>
    <row r="426">
      <c r="A426" s="102" t="str">
        <f>IFERROR(__xludf.DUMMYFUNCTION("""COMPUTED_VALUE"""),"Jakobs")</f>
        <v>Jakobs</v>
      </c>
      <c r="B426" s="102" t="str">
        <f>IFERROR(__xludf.DUMMYFUNCTION("""COMPUTED_VALUE"""),"Pistol")</f>
        <v>Pistol</v>
      </c>
      <c r="C426" s="103">
        <f>IFERROR(__xludf.DUMMYFUNCTION("""COMPUTED_VALUE"""),49.0)</f>
        <v>49</v>
      </c>
      <c r="D426" s="102" t="str">
        <f>IFERROR(__xludf.DUMMYFUNCTION("""COMPUTED_VALUE"""),"Foregrip")</f>
        <v>Foregrip</v>
      </c>
      <c r="E426" s="102" t="str">
        <f>IFERROR(__xludf.DUMMYFUNCTION("""COMPUTED_VALUE"""),"JAK_PS.part_foregrip_02")</f>
        <v>JAK_PS.part_foregrip_02</v>
      </c>
      <c r="F426" s="102"/>
      <c r="G426" s="102" t="str">
        <f>IFERROR(__xludf.DUMMYFUNCTION("""COMPUTED_VALUE"""),"+Fire Rate")</f>
        <v>+Fire Rate</v>
      </c>
      <c r="H426" s="102"/>
      <c r="I426" s="102"/>
      <c r="J426" s="102"/>
      <c r="K426" s="102"/>
      <c r="L426" s="102"/>
    </row>
    <row r="427">
      <c r="A427" s="102" t="str">
        <f>IFERROR(__xludf.DUMMYFUNCTION("""COMPUTED_VALUE"""),"Jakobs")</f>
        <v>Jakobs</v>
      </c>
      <c r="B427" s="102" t="str">
        <f>IFERROR(__xludf.DUMMYFUNCTION("""COMPUTED_VALUE"""),"Pistol")</f>
        <v>Pistol</v>
      </c>
      <c r="C427" s="103">
        <f>IFERROR(__xludf.DUMMYFUNCTION("""COMPUTED_VALUE"""),50.0)</f>
        <v>50</v>
      </c>
      <c r="D427" s="102" t="str">
        <f>IFERROR(__xludf.DUMMYFUNCTION("""COMPUTED_VALUE"""),"Foregrip")</f>
        <v>Foregrip</v>
      </c>
      <c r="E427" s="102" t="str">
        <f>IFERROR(__xludf.DUMMYFUNCTION("""COMPUTED_VALUE"""),"JAK_PS.part_foregrip_03")</f>
        <v>JAK_PS.part_foregrip_03</v>
      </c>
      <c r="F427" s="102"/>
      <c r="G427" s="102" t="str">
        <f>IFERROR(__xludf.DUMMYFUNCTION("""COMPUTED_VALUE"""),"+Accuracy")</f>
        <v>+Accuracy</v>
      </c>
      <c r="H427" s="102"/>
      <c r="I427" s="102"/>
      <c r="J427" s="102"/>
      <c r="K427" s="102"/>
      <c r="L427" s="102"/>
    </row>
    <row r="428">
      <c r="A428" s="102" t="str">
        <f>IFERROR(__xludf.DUMMYFUNCTION("""COMPUTED_VALUE"""),"Jakobs")</f>
        <v>Jakobs</v>
      </c>
      <c r="B428" s="102" t="str">
        <f>IFERROR(__xludf.DUMMYFUNCTION("""COMPUTED_VALUE"""),"Pistol")</f>
        <v>Pistol</v>
      </c>
      <c r="C428" s="103">
        <f>IFERROR(__xludf.DUMMYFUNCTION("""COMPUTED_VALUE"""),51.0)</f>
        <v>51</v>
      </c>
      <c r="D428" s="102" t="str">
        <f>IFERROR(__xludf.DUMMYFUNCTION("""COMPUTED_VALUE"""),"Barrel Accessory")</f>
        <v>Barrel Accessory</v>
      </c>
      <c r="E428" s="102" t="str">
        <f>IFERROR(__xludf.DUMMYFUNCTION("""COMPUTED_VALUE"""),"JAK_PS.part_barrel_01_a")</f>
        <v>JAK_PS.part_barrel_01_a</v>
      </c>
      <c r="F428" s="102"/>
      <c r="G428" s="102" t="str">
        <f>IFERROR(__xludf.DUMMYFUNCTION("""COMPUTED_VALUE"""),"+Damage")</f>
        <v>+Damage</v>
      </c>
      <c r="H428" s="102"/>
      <c r="I428" s="102"/>
      <c r="J428" s="102"/>
      <c r="K428" s="102"/>
      <c r="L428" s="102"/>
    </row>
    <row r="429">
      <c r="A429" s="102" t="str">
        <f>IFERROR(__xludf.DUMMYFUNCTION("""COMPUTED_VALUE"""),"Jakobs")</f>
        <v>Jakobs</v>
      </c>
      <c r="B429" s="102" t="str">
        <f>IFERROR(__xludf.DUMMYFUNCTION("""COMPUTED_VALUE"""),"Pistol")</f>
        <v>Pistol</v>
      </c>
      <c r="C429" s="103">
        <f>IFERROR(__xludf.DUMMYFUNCTION("""COMPUTED_VALUE"""),52.0)</f>
        <v>52</v>
      </c>
      <c r="D429" s="102" t="str">
        <f>IFERROR(__xludf.DUMMYFUNCTION("""COMPUTED_VALUE"""),"Barrel Accessory")</f>
        <v>Barrel Accessory</v>
      </c>
      <c r="E429" s="102" t="str">
        <f>IFERROR(__xludf.DUMMYFUNCTION("""COMPUTED_VALUE"""),"JAK_PS.part_barrel_01_b")</f>
        <v>JAK_PS.part_barrel_01_b</v>
      </c>
      <c r="F429" s="102"/>
      <c r="G429" s="102" t="str">
        <f>IFERROR(__xludf.DUMMYFUNCTION("""COMPUTED_VALUE"""),"+Crit Damage")</f>
        <v>+Crit Damage</v>
      </c>
      <c r="H429" s="102"/>
      <c r="I429" s="102"/>
      <c r="J429" s="102"/>
      <c r="K429" s="102"/>
      <c r="L429" s="102"/>
    </row>
    <row r="430">
      <c r="A430" s="102" t="str">
        <f>IFERROR(__xludf.DUMMYFUNCTION("""COMPUTED_VALUE"""),"Jakobs")</f>
        <v>Jakobs</v>
      </c>
      <c r="B430" s="102" t="str">
        <f>IFERROR(__xludf.DUMMYFUNCTION("""COMPUTED_VALUE"""),"Pistol")</f>
        <v>Pistol</v>
      </c>
      <c r="C430" s="103">
        <f>IFERROR(__xludf.DUMMYFUNCTION("""COMPUTED_VALUE"""),53.0)</f>
        <v>53</v>
      </c>
      <c r="D430" s="102" t="str">
        <f>IFERROR(__xludf.DUMMYFUNCTION("""COMPUTED_VALUE"""),"Barrel Accessory")</f>
        <v>Barrel Accessory</v>
      </c>
      <c r="E430" s="102" t="str">
        <f>IFERROR(__xludf.DUMMYFUNCTION("""COMPUTED_VALUE"""),"JAK_PS.part_barrel_01_c")</f>
        <v>JAK_PS.part_barrel_01_c</v>
      </c>
      <c r="F430" s="102"/>
      <c r="G430" s="102" t="str">
        <f>IFERROR(__xludf.DUMMYFUNCTION("""COMPUTED_VALUE"""),"+Accuracy")</f>
        <v>+Accuracy</v>
      </c>
      <c r="H430" s="102"/>
      <c r="I430" s="102"/>
      <c r="J430" s="102"/>
      <c r="K430" s="102"/>
      <c r="L430" s="102"/>
    </row>
    <row r="431">
      <c r="A431" s="102" t="str">
        <f>IFERROR(__xludf.DUMMYFUNCTION("""COMPUTED_VALUE"""),"Jakobs")</f>
        <v>Jakobs</v>
      </c>
      <c r="B431" s="102" t="str">
        <f>IFERROR(__xludf.DUMMYFUNCTION("""COMPUTED_VALUE"""),"Pistol")</f>
        <v>Pistol</v>
      </c>
      <c r="C431" s="103">
        <f>IFERROR(__xludf.DUMMYFUNCTION("""COMPUTED_VALUE"""),54.0)</f>
        <v>54</v>
      </c>
      <c r="D431" s="102" t="str">
        <f>IFERROR(__xludf.DUMMYFUNCTION("""COMPUTED_VALUE"""),"Barrel Accessory")</f>
        <v>Barrel Accessory</v>
      </c>
      <c r="E431" s="102" t="str">
        <f>IFERROR(__xludf.DUMMYFUNCTION("""COMPUTED_VALUE"""),"JAK_PS.part_barrel_01_d")</f>
        <v>JAK_PS.part_barrel_01_d</v>
      </c>
      <c r="F431" s="102"/>
      <c r="G431" s="102" t="str">
        <f>IFERROR(__xludf.DUMMYFUNCTION("""COMPUTED_VALUE"""),"+Accuracy")</f>
        <v>+Accuracy</v>
      </c>
      <c r="H431" s="102"/>
      <c r="I431" s="102"/>
      <c r="J431" s="102"/>
      <c r="K431" s="102"/>
      <c r="L431" s="102"/>
    </row>
    <row r="432">
      <c r="A432" s="102" t="str">
        <f>IFERROR(__xludf.DUMMYFUNCTION("""COMPUTED_VALUE"""),"Jakobs")</f>
        <v>Jakobs</v>
      </c>
      <c r="B432" s="102" t="str">
        <f>IFERROR(__xludf.DUMMYFUNCTION("""COMPUTED_VALUE"""),"Pistol")</f>
        <v>Pistol</v>
      </c>
      <c r="C432" s="103">
        <f>IFERROR(__xludf.DUMMYFUNCTION("""COMPUTED_VALUE"""),55.0)</f>
        <v>55</v>
      </c>
      <c r="D432" s="102" t="str">
        <f>IFERROR(__xludf.DUMMYFUNCTION("""COMPUTED_VALUE"""),"Barrel Accessory")</f>
        <v>Barrel Accessory</v>
      </c>
      <c r="E432" s="102" t="str">
        <f>IFERROR(__xludf.DUMMYFUNCTION("""COMPUTED_VALUE"""),"JAK_PS.part_barrel_02_a")</f>
        <v>JAK_PS.part_barrel_02_a</v>
      </c>
      <c r="F432" s="102"/>
      <c r="G432" s="102" t="str">
        <f>IFERROR(__xludf.DUMMYFUNCTION("""COMPUTED_VALUE"""),"+Damage")</f>
        <v>+Damage</v>
      </c>
      <c r="H432" s="102"/>
      <c r="I432" s="102"/>
      <c r="J432" s="102"/>
      <c r="K432" s="102"/>
      <c r="L432" s="102"/>
    </row>
    <row r="433">
      <c r="A433" s="102" t="str">
        <f>IFERROR(__xludf.DUMMYFUNCTION("""COMPUTED_VALUE"""),"Jakobs")</f>
        <v>Jakobs</v>
      </c>
      <c r="B433" s="102" t="str">
        <f>IFERROR(__xludf.DUMMYFUNCTION("""COMPUTED_VALUE"""),"Pistol")</f>
        <v>Pistol</v>
      </c>
      <c r="C433" s="103">
        <f>IFERROR(__xludf.DUMMYFUNCTION("""COMPUTED_VALUE"""),56.0)</f>
        <v>56</v>
      </c>
      <c r="D433" s="102" t="str">
        <f>IFERROR(__xludf.DUMMYFUNCTION("""COMPUTED_VALUE"""),"Barrel Accessory")</f>
        <v>Barrel Accessory</v>
      </c>
      <c r="E433" s="102" t="str">
        <f>IFERROR(__xludf.DUMMYFUNCTION("""COMPUTED_VALUE"""),"JAK_PS.part_barrel_02_b")</f>
        <v>JAK_PS.part_barrel_02_b</v>
      </c>
      <c r="F433" s="102"/>
      <c r="G433" s="102" t="str">
        <f>IFERROR(__xludf.DUMMYFUNCTION("""COMPUTED_VALUE"""),"+Accuracy")</f>
        <v>+Accuracy</v>
      </c>
      <c r="H433" s="102"/>
      <c r="I433" s="102"/>
      <c r="J433" s="102"/>
      <c r="K433" s="102"/>
      <c r="L433" s="102"/>
    </row>
    <row r="434">
      <c r="A434" s="102" t="str">
        <f>IFERROR(__xludf.DUMMYFUNCTION("""COMPUTED_VALUE"""),"Jakobs")</f>
        <v>Jakobs</v>
      </c>
      <c r="B434" s="102" t="str">
        <f>IFERROR(__xludf.DUMMYFUNCTION("""COMPUTED_VALUE"""),"Pistol")</f>
        <v>Pistol</v>
      </c>
      <c r="C434" s="103">
        <f>IFERROR(__xludf.DUMMYFUNCTION("""COMPUTED_VALUE"""),57.0)</f>
        <v>57</v>
      </c>
      <c r="D434" s="102" t="str">
        <f>IFERROR(__xludf.DUMMYFUNCTION("""COMPUTED_VALUE"""),"Barrel Accessory")</f>
        <v>Barrel Accessory</v>
      </c>
      <c r="E434" s="102" t="str">
        <f>IFERROR(__xludf.DUMMYFUNCTION("""COMPUTED_VALUE"""),"JAK_PS.part_barrel_02_c")</f>
        <v>JAK_PS.part_barrel_02_c</v>
      </c>
      <c r="F434" s="102"/>
      <c r="G434" s="102" t="str">
        <f>IFERROR(__xludf.DUMMYFUNCTION("""COMPUTED_VALUE"""),"+Fire Rate")</f>
        <v>+Fire Rate</v>
      </c>
      <c r="H434" s="102"/>
      <c r="I434" s="102"/>
      <c r="J434" s="102"/>
      <c r="K434" s="102"/>
      <c r="L434" s="102"/>
    </row>
    <row r="435">
      <c r="A435" s="102" t="str">
        <f>IFERROR(__xludf.DUMMYFUNCTION("""COMPUTED_VALUE"""),"Jakobs")</f>
        <v>Jakobs</v>
      </c>
      <c r="B435" s="102" t="str">
        <f>IFERROR(__xludf.DUMMYFUNCTION("""COMPUTED_VALUE"""),"Pistol")</f>
        <v>Pistol</v>
      </c>
      <c r="C435" s="103">
        <f>IFERROR(__xludf.DUMMYFUNCTION("""COMPUTED_VALUE"""),58.0)</f>
        <v>58</v>
      </c>
      <c r="D435" s="102" t="str">
        <f>IFERROR(__xludf.DUMMYFUNCTION("""COMPUTED_VALUE"""),"Barrel Accessory")</f>
        <v>Barrel Accessory</v>
      </c>
      <c r="E435" s="102" t="str">
        <f>IFERROR(__xludf.DUMMYFUNCTION("""COMPUTED_VALUE"""),"JAK_PS.part_barrel_02_d")</f>
        <v>JAK_PS.part_barrel_02_d</v>
      </c>
      <c r="F435" s="102"/>
      <c r="G435" s="102" t="str">
        <f>IFERROR(__xludf.DUMMYFUNCTION("""COMPUTED_VALUE"""),"+Damage")</f>
        <v>+Damage</v>
      </c>
      <c r="H435" s="102"/>
      <c r="I435" s="102"/>
      <c r="J435" s="102"/>
      <c r="K435" s="102"/>
      <c r="L435" s="102"/>
    </row>
    <row r="436">
      <c r="A436" s="102" t="str">
        <f>IFERROR(__xludf.DUMMYFUNCTION("""COMPUTED_VALUE"""),"Jakobs")</f>
        <v>Jakobs</v>
      </c>
      <c r="B436" s="102" t="str">
        <f>IFERROR(__xludf.DUMMYFUNCTION("""COMPUTED_VALUE"""),"Pistol")</f>
        <v>Pistol</v>
      </c>
      <c r="C436" s="103">
        <f>IFERROR(__xludf.DUMMYFUNCTION("""COMPUTED_VALUE"""),59.0)</f>
        <v>59</v>
      </c>
      <c r="D436" s="102" t="str">
        <f>IFERROR(__xludf.DUMMYFUNCTION("""COMPUTED_VALUE"""),"Manufacturer Part")</f>
        <v>Manufacturer Part</v>
      </c>
      <c r="E436" s="102" t="str">
        <f>IFERROR(__xludf.DUMMYFUNCTION("""COMPUTED_VALUE"""),"JAK_PS.part_barrel_licensed_ted")</f>
        <v>JAK_PS.part_barrel_licensed_ted</v>
      </c>
      <c r="F436" s="102"/>
      <c r="G436" s="102" t="str">
        <f>IFERROR(__xludf.DUMMYFUNCTION("""COMPUTED_VALUE"""),"Tediore Reload, no stat changes")</f>
        <v>Tediore Reload, no stat changes</v>
      </c>
      <c r="H436" s="102"/>
      <c r="I436" s="102"/>
      <c r="J436" s="102"/>
      <c r="K436" s="102"/>
      <c r="L436" s="102"/>
    </row>
    <row r="437">
      <c r="A437" s="102" t="str">
        <f>IFERROR(__xludf.DUMMYFUNCTION("""COMPUTED_VALUE"""),"Jakobs")</f>
        <v>Jakobs</v>
      </c>
      <c r="B437" s="102" t="str">
        <f>IFERROR(__xludf.DUMMYFUNCTION("""COMPUTED_VALUE"""),"Pistol")</f>
        <v>Pistol</v>
      </c>
      <c r="C437" s="103">
        <f>IFERROR(__xludf.DUMMYFUNCTION("""COMPUTED_VALUE"""),60.0)</f>
        <v>60</v>
      </c>
      <c r="D437" s="102" t="str">
        <f>IFERROR(__xludf.DUMMYFUNCTION("""COMPUTED_VALUE"""),"Manufacturer Part")</f>
        <v>Manufacturer Part</v>
      </c>
      <c r="E437" s="102" t="str">
        <f>IFERROR(__xludf.DUMMYFUNCTION("""COMPUTED_VALUE"""),"JAK_PS.part_barrel_licensed_ted_shooting")</f>
        <v>JAK_PS.part_barrel_licensed_ted_shooting</v>
      </c>
      <c r="F437" s="102"/>
      <c r="G437" s="102" t="str">
        <f>IFERROR(__xludf.DUMMYFUNCTION("""COMPUTED_VALUE"""),"Tediore Shooting, no stat changes")</f>
        <v>Tediore Shooting, no stat changes</v>
      </c>
      <c r="H437" s="102"/>
      <c r="I437" s="102"/>
      <c r="J437" s="102"/>
      <c r="K437" s="102"/>
      <c r="L437" s="102"/>
    </row>
    <row r="438">
      <c r="A438" s="102" t="str">
        <f>IFERROR(__xludf.DUMMYFUNCTION("""COMPUTED_VALUE"""),"Jakobs")</f>
        <v>Jakobs</v>
      </c>
      <c r="B438" s="102" t="str">
        <f>IFERROR(__xludf.DUMMYFUNCTION("""COMPUTED_VALUE"""),"Pistol")</f>
        <v>Pistol</v>
      </c>
      <c r="C438" s="103">
        <f>IFERROR(__xludf.DUMMYFUNCTION("""COMPUTED_VALUE"""),61.0)</f>
        <v>61</v>
      </c>
      <c r="D438" s="102" t="str">
        <f>IFERROR(__xludf.DUMMYFUNCTION("""COMPUTED_VALUE"""),"Manufacturer Part")</f>
        <v>Manufacturer Part</v>
      </c>
      <c r="E438" s="102" t="str">
        <f>IFERROR(__xludf.DUMMYFUNCTION("""COMPUTED_VALUE"""),"JAK_PS.part_barrel_licensed_ted_mirv")</f>
        <v>JAK_PS.part_barrel_licensed_ted_mirv</v>
      </c>
      <c r="F438" s="102"/>
      <c r="G438" s="102" t="str">
        <f>IFERROR(__xludf.DUMMYFUNCTION("""COMPUTED_VALUE"""),"Tediore MIRV, no stat changes")</f>
        <v>Tediore MIRV, no stat changes</v>
      </c>
      <c r="H438" s="102"/>
      <c r="I438" s="102"/>
      <c r="J438" s="102"/>
      <c r="K438" s="102"/>
      <c r="L438" s="102"/>
    </row>
    <row r="439">
      <c r="A439" s="102" t="str">
        <f>IFERROR(__xludf.DUMMYFUNCTION("""COMPUTED_VALUE"""),"Jakobs")</f>
        <v>Jakobs</v>
      </c>
      <c r="B439" s="102" t="str">
        <f>IFERROR(__xludf.DUMMYFUNCTION("""COMPUTED_VALUE"""),"Pistol")</f>
        <v>Pistol</v>
      </c>
      <c r="C439" s="103">
        <f>IFERROR(__xludf.DUMMYFUNCTION("""COMPUTED_VALUE"""),62.0)</f>
        <v>62</v>
      </c>
      <c r="D439" s="102" t="str">
        <f>IFERROR(__xludf.DUMMYFUNCTION("""COMPUTED_VALUE"""),"Manufacturer Part")</f>
        <v>Manufacturer Part</v>
      </c>
      <c r="E439" s="102" t="str">
        <f>IFERROR(__xludf.DUMMYFUNCTION("""COMPUTED_VALUE"""),"JAK_PS.part_barrel_licensed_ted_combo")</f>
        <v>JAK_PS.part_barrel_licensed_ted_combo</v>
      </c>
      <c r="F439" s="102"/>
      <c r="G439" s="102" t="str">
        <f>IFERROR(__xludf.DUMMYFUNCTION("""COMPUTED_VALUE"""),"Tediore Combo, no stat changes")</f>
        <v>Tediore Combo, no stat changes</v>
      </c>
      <c r="H439" s="102"/>
      <c r="I439" s="102"/>
      <c r="J439" s="102"/>
      <c r="K439" s="102"/>
      <c r="L439" s="102"/>
    </row>
    <row r="440">
      <c r="A440" s="102" t="str">
        <f>IFERROR(__xludf.DUMMYFUNCTION("""COMPUTED_VALUE"""),"Jakobs")</f>
        <v>Jakobs</v>
      </c>
      <c r="B440" s="102" t="str">
        <f>IFERROR(__xludf.DUMMYFUNCTION("""COMPUTED_VALUE"""),"Pistol")</f>
        <v>Pistol</v>
      </c>
      <c r="C440" s="103">
        <f>IFERROR(__xludf.DUMMYFUNCTION("""COMPUTED_VALUE"""),63.0)</f>
        <v>63</v>
      </c>
      <c r="D440" s="102" t="str">
        <f>IFERROR(__xludf.DUMMYFUNCTION("""COMPUTED_VALUE"""),"Manufacturer Part")</f>
        <v>Manufacturer Part</v>
      </c>
      <c r="E440" s="102" t="str">
        <f>IFERROR(__xludf.DUMMYFUNCTION("""COMPUTED_VALUE"""),"JAK_PS.part_barrel_licensed_hyp")</f>
        <v>JAK_PS.part_barrel_licensed_hyp</v>
      </c>
      <c r="F440" s="102"/>
      <c r="G440" s="102" t="str">
        <f>IFERROR(__xludf.DUMMYFUNCTION("""COMPUTED_VALUE"""),"Hyperion Shield visual accessory, no stat changes")</f>
        <v>Hyperion Shield visual accessory, no stat changes</v>
      </c>
      <c r="H440" s="102"/>
      <c r="I440" s="102"/>
      <c r="J440" s="102"/>
      <c r="K440" s="102"/>
      <c r="L440" s="102"/>
    </row>
    <row r="441">
      <c r="A441" s="102" t="str">
        <f>IFERROR(__xludf.DUMMYFUNCTION("""COMPUTED_VALUE"""),"Jakobs")</f>
        <v>Jakobs</v>
      </c>
      <c r="B441" s="102" t="str">
        <f>IFERROR(__xludf.DUMMYFUNCTION("""COMPUTED_VALUE"""),"Pistol")</f>
        <v>Pistol</v>
      </c>
      <c r="C441" s="103">
        <f>IFERROR(__xludf.DUMMYFUNCTION("""COMPUTED_VALUE"""),64.0)</f>
        <v>64</v>
      </c>
      <c r="D441" s="102" t="str">
        <f>IFERROR(__xludf.DUMMYFUNCTION("""COMPUTED_VALUE"""),"Manufacturer Part")</f>
        <v>Manufacturer Part</v>
      </c>
      <c r="E441" s="102" t="str">
        <f>IFERROR(__xludf.DUMMYFUNCTION("""COMPUTED_VALUE"""),"JAK_PS.part_secondary_ammo_smg")</f>
        <v>JAK_PS.part_secondary_ammo_smg</v>
      </c>
      <c r="F441" s="102"/>
      <c r="G441" s="102" t="str">
        <f>IFERROR(__xludf.DUMMYFUNCTION("""COMPUTED_VALUE"""),"Daedalus SMG Ammo")</f>
        <v>Daedalus SMG Ammo</v>
      </c>
      <c r="H441" s="102"/>
      <c r="I441" s="102"/>
      <c r="J441" s="102"/>
      <c r="K441" s="102"/>
      <c r="L441" s="102"/>
    </row>
    <row r="442">
      <c r="A442" s="102" t="str">
        <f>IFERROR(__xludf.DUMMYFUNCTION("""COMPUTED_VALUE"""),"Jakobs")</f>
        <v>Jakobs</v>
      </c>
      <c r="B442" s="102" t="str">
        <f>IFERROR(__xludf.DUMMYFUNCTION("""COMPUTED_VALUE"""),"Pistol")</f>
        <v>Pistol</v>
      </c>
      <c r="C442" s="103">
        <f>IFERROR(__xludf.DUMMYFUNCTION("""COMPUTED_VALUE"""),65.0)</f>
        <v>65</v>
      </c>
      <c r="D442" s="102" t="str">
        <f>IFERROR(__xludf.DUMMYFUNCTION("""COMPUTED_VALUE"""),"Manufacturer Part")</f>
        <v>Manufacturer Part</v>
      </c>
      <c r="E442" s="102" t="str">
        <f>IFERROR(__xludf.DUMMYFUNCTION("""COMPUTED_VALUE"""),"JAK_PS.part_secondary_ammo_sg")</f>
        <v>JAK_PS.part_secondary_ammo_sg</v>
      </c>
      <c r="F442" s="102"/>
      <c r="G442" s="102" t="str">
        <f>IFERROR(__xludf.DUMMYFUNCTION("""COMPUTED_VALUE"""),"Daedalus Shotgun Ammo")</f>
        <v>Daedalus Shotgun Ammo</v>
      </c>
      <c r="H442" s="102"/>
      <c r="I442" s="102"/>
      <c r="J442" s="102"/>
      <c r="K442" s="102"/>
      <c r="L442" s="102"/>
    </row>
    <row r="443">
      <c r="A443" s="102" t="str">
        <f>IFERROR(__xludf.DUMMYFUNCTION("""COMPUTED_VALUE"""),"Jakobs")</f>
        <v>Jakobs</v>
      </c>
      <c r="B443" s="102" t="str">
        <f>IFERROR(__xludf.DUMMYFUNCTION("""COMPUTED_VALUE"""),"Pistol")</f>
        <v>Pistol</v>
      </c>
      <c r="C443" s="103">
        <f>IFERROR(__xludf.DUMMYFUNCTION("""COMPUTED_VALUE"""),66.0)</f>
        <v>66</v>
      </c>
      <c r="D443" s="102" t="str">
        <f>IFERROR(__xludf.DUMMYFUNCTION("""COMPUTED_VALUE"""),"Manufacturer Part")</f>
        <v>Manufacturer Part</v>
      </c>
      <c r="E443" s="102" t="str">
        <f>IFERROR(__xludf.DUMMYFUNCTION("""COMPUTED_VALUE"""),"JAK_PS.part_secondary_ammo_ar")</f>
        <v>JAK_PS.part_secondary_ammo_ar</v>
      </c>
      <c r="F443" s="102"/>
      <c r="G443" s="102" t="str">
        <f>IFERROR(__xludf.DUMMYFUNCTION("""COMPUTED_VALUE"""),"Daedalus AR Ammo")</f>
        <v>Daedalus AR Ammo</v>
      </c>
      <c r="H443" s="102"/>
      <c r="I443" s="102"/>
      <c r="J443" s="102"/>
      <c r="K443" s="102"/>
      <c r="L443" s="102"/>
    </row>
    <row r="444">
      <c r="A444" s="102" t="str">
        <f>IFERROR(__xludf.DUMMYFUNCTION("""COMPUTED_VALUE"""),"Jakobs")</f>
        <v>Jakobs</v>
      </c>
      <c r="B444" s="102" t="str">
        <f>IFERROR(__xludf.DUMMYFUNCTION("""COMPUTED_VALUE"""),"Pistol")</f>
        <v>Pistol</v>
      </c>
      <c r="C444" s="103">
        <f>IFERROR(__xludf.DUMMYFUNCTION("""COMPUTED_VALUE"""),67.0)</f>
        <v>67</v>
      </c>
      <c r="D444" s="102" t="str">
        <f>IFERROR(__xludf.DUMMYFUNCTION("""COMPUTED_VALUE"""),"Manufacturer Part")</f>
        <v>Manufacturer Part</v>
      </c>
      <c r="E444" s="102" t="str">
        <f>IFERROR(__xludf.DUMMYFUNCTION("""COMPUTED_VALUE"""),"JAK_PS.part_secondary_ammo_sr")</f>
        <v>JAK_PS.part_secondary_ammo_sr</v>
      </c>
      <c r="F444" s="102"/>
      <c r="G444" s="102" t="str">
        <f>IFERROR(__xludf.DUMMYFUNCTION("""COMPUTED_VALUE"""),"Daedalus SR Ammo")</f>
        <v>Daedalus SR Ammo</v>
      </c>
      <c r="H444" s="102"/>
      <c r="I444" s="102"/>
      <c r="J444" s="102"/>
      <c r="K444" s="102"/>
      <c r="L444" s="102"/>
    </row>
    <row r="445">
      <c r="A445" s="102" t="str">
        <f>IFERROR(__xludf.DUMMYFUNCTION("""COMPUTED_VALUE"""),"Jakobs")</f>
        <v>Jakobs</v>
      </c>
      <c r="B445" s="102" t="str">
        <f>IFERROR(__xludf.DUMMYFUNCTION("""COMPUTED_VALUE"""),"Pistol")</f>
        <v>Pistol</v>
      </c>
      <c r="C445" s="103">
        <f>IFERROR(__xludf.DUMMYFUNCTION("""COMPUTED_VALUE"""),68.0)</f>
        <v>68</v>
      </c>
      <c r="D445" s="102" t="str">
        <f>IFERROR(__xludf.DUMMYFUNCTION("""COMPUTED_VALUE"""),"Underbarrel")</f>
        <v>Underbarrel</v>
      </c>
      <c r="E445" s="102" t="str">
        <f>IFERROR(__xludf.DUMMYFUNCTION("""COMPUTED_VALUE"""),"JAK_PS.part_underbarrel_03_vial")</f>
        <v>JAK_PS.part_underbarrel_03_vial</v>
      </c>
      <c r="F445" s="102"/>
      <c r="G445" s="102" t="str">
        <f>IFERROR(__xludf.DUMMYFUNCTION("""COMPUTED_VALUE"""),"Alt Fire - Vial Launcher")</f>
        <v>Alt Fire - Vial Launcher</v>
      </c>
      <c r="H445" s="102" t="str">
        <f>IFERROR(__xludf.DUMMYFUNCTION("""COMPUTED_VALUE"""),"Launches a Corrosive Vial that deals XXX Corrosive Damage on impact and increases the target's Damage Taken by +30% for 6s")</f>
        <v>Launches a Corrosive Vial that deals XXX Corrosive Damage on impact and increases the target's Damage Taken by +30% for 6s</v>
      </c>
      <c r="I445" s="102"/>
      <c r="J445" s="102"/>
      <c r="K445" s="102"/>
      <c r="L445" s="102"/>
    </row>
    <row r="446">
      <c r="A446" s="102" t="str">
        <f>IFERROR(__xludf.DUMMYFUNCTION("""COMPUTED_VALUE"""),"Jakobs")</f>
        <v>Jakobs</v>
      </c>
      <c r="B446" s="102" t="str">
        <f>IFERROR(__xludf.DUMMYFUNCTION("""COMPUTED_VALUE"""),"Pistol")</f>
        <v>Pistol</v>
      </c>
      <c r="C446" s="103">
        <f>IFERROR(__xludf.DUMMYFUNCTION("""COMPUTED_VALUE"""),69.0)</f>
        <v>69</v>
      </c>
      <c r="D446" s="102" t="str">
        <f>IFERROR(__xludf.DUMMYFUNCTION("""COMPUTED_VALUE"""),"Underbarrel")</f>
        <v>Underbarrel</v>
      </c>
      <c r="E446" s="102" t="str">
        <f>IFERROR(__xludf.DUMMYFUNCTION("""COMPUTED_VALUE"""),"JAK_PS.part_underbarrel_04_atlas_ball")</f>
        <v>JAK_PS.part_underbarrel_04_atlas_ball</v>
      </c>
      <c r="F446" s="102"/>
      <c r="G446" s="102" t="str">
        <f>IFERROR(__xludf.DUMMYFUNCTION("""COMPUTED_VALUE"""),"Atlas Tracker Grenades")</f>
        <v>Atlas Tracker Grenades</v>
      </c>
      <c r="H446" s="102"/>
      <c r="I446" s="102"/>
      <c r="J446" s="102"/>
      <c r="K446" s="102"/>
      <c r="L446" s="102"/>
    </row>
    <row r="447">
      <c r="A447" s="102" t="str">
        <f>IFERROR(__xludf.DUMMYFUNCTION("""COMPUTED_VALUE"""),"Jakobs")</f>
        <v>Jakobs</v>
      </c>
      <c r="B447" s="102" t="str">
        <f>IFERROR(__xludf.DUMMYFUNCTION("""COMPUTED_VALUE"""),"Pistol")</f>
        <v>Pistol</v>
      </c>
      <c r="C447" s="103">
        <f>IFERROR(__xludf.DUMMYFUNCTION("""COMPUTED_VALUE"""),70.0)</f>
        <v>70</v>
      </c>
      <c r="D447" s="102" t="str">
        <f>IFERROR(__xludf.DUMMYFUNCTION("""COMPUTED_VALUE"""),"Foregrip")</f>
        <v>Foregrip</v>
      </c>
      <c r="E447" s="102" t="str">
        <f>IFERROR(__xludf.DUMMYFUNCTION("""COMPUTED_VALUE"""),"JAK_PS.part_foregrip_01")</f>
        <v>JAK_PS.part_foregrip_01</v>
      </c>
      <c r="F447" s="102"/>
      <c r="G447" s="102" t="str">
        <f>IFERROR(__xludf.DUMMYFUNCTION("""COMPUTED_VALUE"""),"+Damage")</f>
        <v>+Damage</v>
      </c>
      <c r="H447" s="102"/>
      <c r="I447" s="102"/>
      <c r="J447" s="102"/>
      <c r="K447" s="102"/>
      <c r="L447" s="102"/>
    </row>
    <row r="448">
      <c r="A448" s="102" t="str">
        <f>IFERROR(__xludf.DUMMYFUNCTION("""COMPUTED_VALUE"""),"Jakobs")</f>
        <v>Jakobs</v>
      </c>
      <c r="B448" s="102" t="str">
        <f>IFERROR(__xludf.DUMMYFUNCTION("""COMPUTED_VALUE"""),"Pistol")</f>
        <v>Pistol</v>
      </c>
      <c r="C448" s="103">
        <f>IFERROR(__xludf.DUMMYFUNCTION("""COMPUTED_VALUE"""),72.0)</f>
        <v>72</v>
      </c>
      <c r="D448" s="102" t="str">
        <f>IFERROR(__xludf.DUMMYFUNCTION("""COMPUTED_VALUE"""),"Barrel")</f>
        <v>Barrel</v>
      </c>
      <c r="E448" s="102" t="str">
        <f>IFERROR(__xludf.DUMMYFUNCTION("""COMPUTED_VALUE"""),"JAK_PS.part_barrel_quickdraw")</f>
        <v>JAK_PS.part_barrel_quickdraw</v>
      </c>
      <c r="F448" s="102"/>
      <c r="G448" s="102" t="str">
        <f>IFERROR(__xludf.DUMMYFUNCTION("""COMPUTED_VALUE"""),"Saba Songbird, 1874 Damage, 61% Acc, 7.5/s FR")</f>
        <v>Saba Songbird, 1874 Damage, 61% Acc, 7.5/s FR</v>
      </c>
      <c r="H448" s="102" t="str">
        <f>IFERROR(__xludf.DUMMYFUNCTION("""COMPUTED_VALUE"""),"Dueling Pistol - Deals +100% Damage for 5s after swapping Guns")</f>
        <v>Dueling Pistol - Deals +100% Damage for 5s after swapping Guns</v>
      </c>
      <c r="I448" s="102"/>
      <c r="J448" s="102"/>
      <c r="K448" s="102"/>
      <c r="L448" s="102"/>
    </row>
    <row r="449">
      <c r="A449" s="102" t="str">
        <f>IFERROR(__xludf.DUMMYFUNCTION("""COMPUTED_VALUE"""),"Jakobs")</f>
        <v>Jakobs</v>
      </c>
      <c r="B449" s="102" t="str">
        <f>IFERROR(__xludf.DUMMYFUNCTION("""COMPUTED_VALUE"""),"Pistol")</f>
        <v>Pistol</v>
      </c>
      <c r="C449" s="103">
        <f>IFERROR(__xludf.DUMMYFUNCTION("""COMPUTED_VALUE"""),75.0)</f>
        <v>75</v>
      </c>
      <c r="D449" s="102" t="str">
        <f>IFERROR(__xludf.DUMMYFUNCTION("""COMPUTED_VALUE"""),"Barrel")</f>
        <v>Barrel</v>
      </c>
      <c r="E449" s="102" t="str">
        <f>IFERROR(__xludf.DUMMYFUNCTION("""COMPUTED_VALUE"""),"JAK_PS.part_barrel_02_kingsgambit")</f>
        <v>JAK_PS.part_barrel_02_kingsgambit</v>
      </c>
      <c r="F449" s="102"/>
      <c r="G449" s="102" t="str">
        <f>IFERROR(__xludf.DUMMYFUNCTION("""COMPUTED_VALUE"""),"King's Gambit, 1874 Damage, 69% Acc, 7.5/s FR")</f>
        <v>King's Gambit, 1874 Damage, 69% Acc, 7.5/s FR</v>
      </c>
      <c r="H449" s="102" t="str">
        <f>IFERROR(__xludf.DUMMYFUNCTION("""COMPUTED_VALUE"""),"Holy Hell - When shot, thrown Gun Ricochets Projectiles to nearby enemies")</f>
        <v>Holy Hell - When shot, thrown Gun Ricochets Projectiles to nearby enemies</v>
      </c>
      <c r="I449" s="102"/>
      <c r="J449" s="102"/>
      <c r="K449" s="102"/>
      <c r="L449" s="102"/>
    </row>
    <row r="450">
      <c r="A450" s="102" t="str">
        <f>IFERROR(__xludf.DUMMYFUNCTION("""COMPUTED_VALUE"""),"Jakobs")</f>
        <v>Jakobs</v>
      </c>
      <c r="B450" s="102" t="str">
        <f>IFERROR(__xludf.DUMMYFUNCTION("""COMPUTED_VALUE"""),"Pistol")</f>
        <v>Pistol</v>
      </c>
      <c r="C450" s="103">
        <f>IFERROR(__xludf.DUMMYFUNCTION("""COMPUTED_VALUE"""),77.0)</f>
        <v>77</v>
      </c>
      <c r="D450" s="102" t="str">
        <f>IFERROR(__xludf.DUMMYFUNCTION("""COMPUTED_VALUE"""),"Barrel")</f>
        <v>Barrel</v>
      </c>
      <c r="E450" s="102" t="str">
        <f>IFERROR(__xludf.DUMMYFUNCTION("""COMPUTED_VALUE"""),"JAK_PS.part_barrel_01_phantom_flame")</f>
        <v>JAK_PS.part_barrel_01_phantom_flame</v>
      </c>
      <c r="F450" s="102"/>
      <c r="G450" s="102" t="str">
        <f>IFERROR(__xludf.DUMMYFUNCTION("""COMPUTED_VALUE"""),"Phantom Flame, 1785 Damage, 43% Acc, 9.0/s FR")</f>
        <v>Phantom Flame, 1785 Damage, 43% Acc, 9.0/s FR</v>
      </c>
      <c r="H450" s="102" t="str">
        <f>IFERROR(__xludf.DUMMYFUNCTION("""COMPUTED_VALUE"""),"Midday - Zooming in acquired Lock On targets over time, and firing while Zoomed In shoots the entire Magazine")</f>
        <v>Midday - Zooming in acquired Lock On targets over time, and firing while Zoomed In shoots the entire Magazine</v>
      </c>
      <c r="I450" s="102"/>
      <c r="J450" s="102"/>
      <c r="K450" s="102"/>
      <c r="L450" s="102"/>
    </row>
    <row r="451">
      <c r="A451" s="102" t="str">
        <f>IFERROR(__xludf.DUMMYFUNCTION("""COMPUTED_VALUE"""),"Jakobs")</f>
        <v>Jakobs</v>
      </c>
      <c r="B451" s="102" t="str">
        <f>IFERROR(__xludf.DUMMYFUNCTION("""COMPUTED_VALUE"""),"Pistol")</f>
        <v>Pistol</v>
      </c>
      <c r="C451" s="103">
        <f>IFERROR(__xludf.DUMMYFUNCTION("""COMPUTED_VALUE"""),80.0)</f>
        <v>80</v>
      </c>
      <c r="D451" s="102" t="str">
        <f>IFERROR(__xludf.DUMMYFUNCTION("""COMPUTED_VALUE"""),"Barrel")</f>
        <v>Barrel</v>
      </c>
      <c r="E451" s="102" t="str">
        <f>IFERROR(__xludf.DUMMYFUNCTION("""COMPUTED_VALUE"""),"JAK_PS.part_barrel_01_seventh_sense")</f>
        <v>JAK_PS.part_barrel_01_seventh_sense</v>
      </c>
      <c r="F451" s="102"/>
      <c r="G451" s="102" t="str">
        <f>IFERROR(__xludf.DUMMYFUNCTION("""COMPUTED_VALUE"""),"Seventh Sense, 1785 Damage, 67% Acc, 9.0/s FR")</f>
        <v>Seventh Sense, 1785 Damage, 67% Acc, 9.0/s FR</v>
      </c>
      <c r="H451" s="102" t="str">
        <f>IFERROR(__xludf.DUMMYFUNCTION("""COMPUTED_VALUE"""),"Proprioception - Hitting enemies spawns Orbs that float upward and home in on targets on Reload")</f>
        <v>Proprioception - Hitting enemies spawns Orbs that float upward and home in on targets on Reload</v>
      </c>
      <c r="I451" s="102"/>
      <c r="J451" s="102"/>
      <c r="K451" s="102"/>
      <c r="L451" s="102"/>
    </row>
    <row r="452">
      <c r="A452" s="102" t="str">
        <f>IFERROR(__xludf.DUMMYFUNCTION("""COMPUTED_VALUE"""),"Jakobs")</f>
        <v>Jakobs</v>
      </c>
      <c r="B452" s="102" t="str">
        <f>IFERROR(__xludf.DUMMYFUNCTION("""COMPUTED_VALUE"""),"Shotgun")</f>
        <v>Shotgun</v>
      </c>
      <c r="C452" s="103">
        <f>IFERROR(__xludf.DUMMYFUNCTION("""COMPUTED_VALUE"""),1.0)</f>
        <v>1</v>
      </c>
      <c r="D452" s="102" t="str">
        <f>IFERROR(__xludf.DUMMYFUNCTION("""COMPUTED_VALUE"""),"Stat Modifier")</f>
        <v>Stat Modifier</v>
      </c>
      <c r="E452" s="102" t="str">
        <f>IFERROR(__xludf.DUMMYFUNCTION("""COMPUTED_VALUE"""),"JAK_SG.part_body_ele_rainbowvomit_cryo_fire_shock")</f>
        <v>JAK_SG.part_body_ele_rainbowvomit_cryo_fire_shock</v>
      </c>
      <c r="F452" s="102"/>
      <c r="G452" s="102" t="str">
        <f>IFERROR(__xludf.DUMMYFUNCTION("""COMPUTED_VALUE"""),"Color Spray - Cryo, Fire, Shock")</f>
        <v>Color Spray - Cryo, Fire, Shock</v>
      </c>
      <c r="H452" s="102"/>
      <c r="I452" s="102"/>
      <c r="J452" s="102"/>
      <c r="K452" s="102"/>
      <c r="L452" s="102"/>
    </row>
    <row r="453">
      <c r="A453" s="102" t="str">
        <f>IFERROR(__xludf.DUMMYFUNCTION("""COMPUTED_VALUE"""),"Jakobs")</f>
        <v>Jakobs</v>
      </c>
      <c r="B453" s="102" t="str">
        <f>IFERROR(__xludf.DUMMYFUNCTION("""COMPUTED_VALUE"""),"Shotgun")</f>
        <v>Shotgun</v>
      </c>
      <c r="C453" s="103">
        <f>IFERROR(__xludf.DUMMYFUNCTION("""COMPUTED_VALUE"""),2.0)</f>
        <v>2</v>
      </c>
      <c r="D453" s="102" t="str">
        <f>IFERROR(__xludf.DUMMYFUNCTION("""COMPUTED_VALUE"""),"Body")</f>
        <v>Body</v>
      </c>
      <c r="E453" s="102" t="str">
        <f>IFERROR(__xludf.DUMMYFUNCTION("""COMPUTED_VALUE"""),"JAK_SG.part_body")</f>
        <v>JAK_SG.part_body</v>
      </c>
      <c r="F453" s="102"/>
      <c r="G453" s="102" t="str">
        <f>IFERROR(__xludf.DUMMYFUNCTION("""COMPUTED_VALUE"""),"No Stat Changes, always present")</f>
        <v>No Stat Changes, always present</v>
      </c>
      <c r="H453" s="102"/>
      <c r="I453" s="102"/>
      <c r="J453" s="102"/>
      <c r="K453" s="102"/>
      <c r="L453" s="102"/>
    </row>
    <row r="454">
      <c r="A454" s="102" t="str">
        <f>IFERROR(__xludf.DUMMYFUNCTION("""COMPUTED_VALUE"""),"Jakobs")</f>
        <v>Jakobs</v>
      </c>
      <c r="B454" s="102" t="str">
        <f>IFERROR(__xludf.DUMMYFUNCTION("""COMPUTED_VALUE"""),"Shotgun")</f>
        <v>Shotgun</v>
      </c>
      <c r="C454" s="103">
        <f>IFERROR(__xludf.DUMMYFUNCTION("""COMPUTED_VALUE"""),3.0)</f>
        <v>3</v>
      </c>
      <c r="D454" s="102" t="str">
        <f>IFERROR(__xludf.DUMMYFUNCTION("""COMPUTED_VALUE"""),"Body Accessory")</f>
        <v>Body Accessory</v>
      </c>
      <c r="E454" s="102" t="str">
        <f>IFERROR(__xludf.DUMMYFUNCTION("""COMPUTED_VALUE"""),"JAK_SG.part_body_a")</f>
        <v>JAK_SG.part_body_a</v>
      </c>
      <c r="F454" s="102"/>
      <c r="G454" s="102" t="str">
        <f>IFERROR(__xludf.DUMMYFUNCTION("""COMPUTED_VALUE"""),"-Reload Speed")</f>
        <v>-Reload Speed</v>
      </c>
      <c r="H454" s="102"/>
      <c r="I454" s="102"/>
      <c r="J454" s="102"/>
      <c r="K454" s="102"/>
      <c r="L454" s="102"/>
    </row>
    <row r="455">
      <c r="A455" s="102" t="str">
        <f>IFERROR(__xludf.DUMMYFUNCTION("""COMPUTED_VALUE"""),"Jakobs")</f>
        <v>Jakobs</v>
      </c>
      <c r="B455" s="102" t="str">
        <f>IFERROR(__xludf.DUMMYFUNCTION("""COMPUTED_VALUE"""),"Shotgun")</f>
        <v>Shotgun</v>
      </c>
      <c r="C455" s="103">
        <f>IFERROR(__xludf.DUMMYFUNCTION("""COMPUTED_VALUE"""),4.0)</f>
        <v>4</v>
      </c>
      <c r="D455" s="102" t="str">
        <f>IFERROR(__xludf.DUMMYFUNCTION("""COMPUTED_VALUE"""),"Body Accessory")</f>
        <v>Body Accessory</v>
      </c>
      <c r="E455" s="102" t="str">
        <f>IFERROR(__xludf.DUMMYFUNCTION("""COMPUTED_VALUE"""),"JAK_SG.part_body_b")</f>
        <v>JAK_SG.part_body_b</v>
      </c>
      <c r="F455" s="102"/>
      <c r="G455" s="102" t="str">
        <f>IFERROR(__xludf.DUMMYFUNCTION("""COMPUTED_VALUE"""),"-Reload Speed")</f>
        <v>-Reload Speed</v>
      </c>
      <c r="H455" s="102"/>
      <c r="I455" s="102"/>
      <c r="J455" s="102"/>
      <c r="K455" s="102"/>
      <c r="L455" s="102"/>
    </row>
    <row r="456">
      <c r="A456" s="102" t="str">
        <f>IFERROR(__xludf.DUMMYFUNCTION("""COMPUTED_VALUE"""),"Jakobs")</f>
        <v>Jakobs</v>
      </c>
      <c r="B456" s="102" t="str">
        <f>IFERROR(__xludf.DUMMYFUNCTION("""COMPUTED_VALUE"""),"Shotgun")</f>
        <v>Shotgun</v>
      </c>
      <c r="C456" s="103">
        <f>IFERROR(__xludf.DUMMYFUNCTION("""COMPUTED_VALUE"""),5.0)</f>
        <v>5</v>
      </c>
      <c r="D456" s="102" t="str">
        <f>IFERROR(__xludf.DUMMYFUNCTION("""COMPUTED_VALUE"""),"Body Accessory")</f>
        <v>Body Accessory</v>
      </c>
      <c r="E456" s="102" t="str">
        <f>IFERROR(__xludf.DUMMYFUNCTION("""COMPUTED_VALUE"""),"JAK_SG.part_body_c")</f>
        <v>JAK_SG.part_body_c</v>
      </c>
      <c r="F456" s="102"/>
      <c r="G456" s="102" t="str">
        <f>IFERROR(__xludf.DUMMYFUNCTION("""COMPUTED_VALUE"""),"+Accuracy")</f>
        <v>+Accuracy</v>
      </c>
      <c r="H456" s="102"/>
      <c r="I456" s="102"/>
      <c r="J456" s="102"/>
      <c r="K456" s="102"/>
      <c r="L456" s="102"/>
    </row>
    <row r="457">
      <c r="A457" s="102" t="str">
        <f>IFERROR(__xludf.DUMMYFUNCTION("""COMPUTED_VALUE"""),"Jakobs")</f>
        <v>Jakobs</v>
      </c>
      <c r="B457" s="102" t="str">
        <f>IFERROR(__xludf.DUMMYFUNCTION("""COMPUTED_VALUE"""),"Shotgun")</f>
        <v>Shotgun</v>
      </c>
      <c r="C457" s="103">
        <f>IFERROR(__xludf.DUMMYFUNCTION("""COMPUTED_VALUE"""),6.0)</f>
        <v>6</v>
      </c>
      <c r="D457" s="102" t="str">
        <f>IFERROR(__xludf.DUMMYFUNCTION("""COMPUTED_VALUE"""),"Body Accessory")</f>
        <v>Body Accessory</v>
      </c>
      <c r="E457" s="102" t="str">
        <f>IFERROR(__xludf.DUMMYFUNCTION("""COMPUTED_VALUE"""),"JAK_SG.part_body_d")</f>
        <v>JAK_SG.part_body_d</v>
      </c>
      <c r="F457" s="102"/>
      <c r="G457" s="102" t="str">
        <f>IFERROR(__xludf.DUMMYFUNCTION("""COMPUTED_VALUE"""),"+Crit Damage")</f>
        <v>+Crit Damage</v>
      </c>
      <c r="H457" s="102"/>
      <c r="I457" s="102"/>
      <c r="J457" s="102"/>
      <c r="K457" s="102"/>
      <c r="L457" s="102"/>
    </row>
    <row r="458">
      <c r="A458" s="102" t="str">
        <f>IFERROR(__xludf.DUMMYFUNCTION("""COMPUTED_VALUE"""),"Jakobs")</f>
        <v>Jakobs</v>
      </c>
      <c r="B458" s="102" t="str">
        <f>IFERROR(__xludf.DUMMYFUNCTION("""COMPUTED_VALUE"""),"Shotgun")</f>
        <v>Shotgun</v>
      </c>
      <c r="C458" s="103">
        <f>IFERROR(__xludf.DUMMYFUNCTION("""COMPUTED_VALUE"""),7.0)</f>
        <v>7</v>
      </c>
      <c r="D458" s="102" t="str">
        <f>IFERROR(__xludf.DUMMYFUNCTION("""COMPUTED_VALUE"""),"Barrel")</f>
        <v>Barrel</v>
      </c>
      <c r="E458" s="102" t="str">
        <f>IFERROR(__xludf.DUMMYFUNCTION("""COMPUTED_VALUE"""),"JAK_SG.part_barrel_01")</f>
        <v>JAK_SG.part_barrel_01</v>
      </c>
      <c r="F458" s="102"/>
      <c r="G458" s="102" t="str">
        <f>IFERROR(__xludf.DUMMYFUNCTION("""COMPUTED_VALUE"""),"Dullahan, 823 x 6 Damage, 73% Acc, 1.5/s FR")</f>
        <v>Dullahan, 823 x 6 Damage, 73% Acc, 1.5/s FR</v>
      </c>
      <c r="H458" s="102"/>
      <c r="I458" s="102"/>
      <c r="J458" s="102"/>
      <c r="K458" s="102"/>
      <c r="L458" s="102"/>
    </row>
    <row r="459">
      <c r="A459" s="102" t="str">
        <f>IFERROR(__xludf.DUMMYFUNCTION("""COMPUTED_VALUE"""),"Jakobs")</f>
        <v>Jakobs</v>
      </c>
      <c r="B459" s="102" t="str">
        <f>IFERROR(__xludf.DUMMYFUNCTION("""COMPUTED_VALUE"""),"Shotgun")</f>
        <v>Shotgun</v>
      </c>
      <c r="C459" s="103">
        <f>IFERROR(__xludf.DUMMYFUNCTION("""COMPUTED_VALUE"""),8.0)</f>
        <v>8</v>
      </c>
      <c r="D459" s="102" t="str">
        <f>IFERROR(__xludf.DUMMYFUNCTION("""COMPUTED_VALUE"""),"Barrel")</f>
        <v>Barrel</v>
      </c>
      <c r="E459" s="102" t="str">
        <f>IFERROR(__xludf.DUMMYFUNCTION("""COMPUTED_VALUE"""),"JAK_SG.part_barrel_02")</f>
        <v>JAK_SG.part_barrel_02</v>
      </c>
      <c r="F459" s="102"/>
      <c r="G459" s="102" t="str">
        <f>IFERROR(__xludf.DUMMYFUNCTION("""COMPUTED_VALUE"""),"Balor, 837 x 10 Damage, 51% Acc, 1.3/s FR")</f>
        <v>Balor, 837 x 10 Damage, 51% Acc, 1.3/s FR</v>
      </c>
      <c r="H459" s="102"/>
      <c r="I459" s="102"/>
      <c r="J459" s="102"/>
      <c r="K459" s="102"/>
      <c r="L459" s="102"/>
    </row>
    <row r="460">
      <c r="A460" s="102" t="str">
        <f>IFERROR(__xludf.DUMMYFUNCTION("""COMPUTED_VALUE"""),"Jakobs")</f>
        <v>Jakobs</v>
      </c>
      <c r="B460" s="102" t="str">
        <f>IFERROR(__xludf.DUMMYFUNCTION("""COMPUTED_VALUE"""),"Shotgun")</f>
        <v>Shotgun</v>
      </c>
      <c r="C460" s="103">
        <f>IFERROR(__xludf.DUMMYFUNCTION("""COMPUTED_VALUE"""),9.0)</f>
        <v>9</v>
      </c>
      <c r="D460" s="102" t="str">
        <f>IFERROR(__xludf.DUMMYFUNCTION("""COMPUTED_VALUE"""),"Manufacturer Part")</f>
        <v>Manufacturer Part</v>
      </c>
      <c r="E460" s="102" t="str">
        <f>IFERROR(__xludf.DUMMYFUNCTION("""COMPUTED_VALUE"""),"JAK_SG.part_shield_default")</f>
        <v>JAK_SG.part_shield_default</v>
      </c>
      <c r="F460" s="102"/>
      <c r="G460" s="102" t="str">
        <f>IFERROR(__xludf.DUMMYFUNCTION("""COMPUTED_VALUE"""),"Hyperion Shield")</f>
        <v>Hyperion Shield</v>
      </c>
      <c r="H460" s="102"/>
      <c r="I460" s="102"/>
      <c r="J460" s="102"/>
      <c r="K460" s="102"/>
      <c r="L460" s="102"/>
    </row>
    <row r="461">
      <c r="A461" s="102" t="str">
        <f>IFERROR(__xludf.DUMMYFUNCTION("""COMPUTED_VALUE"""),"Jakobs")</f>
        <v>Jakobs</v>
      </c>
      <c r="B461" s="102" t="str">
        <f>IFERROR(__xludf.DUMMYFUNCTION("""COMPUTED_VALUE"""),"Shotgun")</f>
        <v>Shotgun</v>
      </c>
      <c r="C461" s="103">
        <f>IFERROR(__xludf.DUMMYFUNCTION("""COMPUTED_VALUE"""),10.0)</f>
        <v>10</v>
      </c>
      <c r="D461" s="102" t="str">
        <f>IFERROR(__xludf.DUMMYFUNCTION("""COMPUTED_VALUE"""),"Manufacturer Part")</f>
        <v>Manufacturer Part</v>
      </c>
      <c r="E461" s="102" t="str">
        <f>IFERROR(__xludf.DUMMYFUNCTION("""COMPUTED_VALUE"""),"JAK_SG.part_shield_ricochet")</f>
        <v>JAK_SG.part_shield_ricochet</v>
      </c>
      <c r="F461" s="102"/>
      <c r="G461" s="102" t="str">
        <f>IFERROR(__xludf.DUMMYFUNCTION("""COMPUTED_VALUE"""),"Hyperion Ricochet Shield")</f>
        <v>Hyperion Ricochet Shield</v>
      </c>
      <c r="H461" s="102"/>
      <c r="I461" s="102"/>
      <c r="J461" s="102"/>
      <c r="K461" s="102"/>
      <c r="L461" s="102"/>
    </row>
    <row r="462">
      <c r="A462" s="102" t="str">
        <f>IFERROR(__xludf.DUMMYFUNCTION("""COMPUTED_VALUE"""),"Jakobs")</f>
        <v>Jakobs</v>
      </c>
      <c r="B462" s="102" t="str">
        <f>IFERROR(__xludf.DUMMYFUNCTION("""COMPUTED_VALUE"""),"Shotgun")</f>
        <v>Shotgun</v>
      </c>
      <c r="C462" s="103">
        <f>IFERROR(__xludf.DUMMYFUNCTION("""COMPUTED_VALUE"""),11.0)</f>
        <v>11</v>
      </c>
      <c r="D462" s="102" t="str">
        <f>IFERROR(__xludf.DUMMYFUNCTION("""COMPUTED_VALUE"""),"Manufacturer Part")</f>
        <v>Manufacturer Part</v>
      </c>
      <c r="E462" s="102" t="str">
        <f>IFERROR(__xludf.DUMMYFUNCTION("""COMPUTED_VALUE"""),"JAK_SG.part_shield_ammo")</f>
        <v>JAK_SG.part_shield_ammo</v>
      </c>
      <c r="F462" s="102"/>
      <c r="G462" s="102" t="str">
        <f>IFERROR(__xludf.DUMMYFUNCTION("""COMPUTED_VALUE"""),"Hyperion Absorb Shield")</f>
        <v>Hyperion Absorb Shield</v>
      </c>
      <c r="H462" s="102"/>
      <c r="I462" s="102"/>
      <c r="J462" s="102"/>
      <c r="K462" s="102"/>
      <c r="L462" s="102"/>
    </row>
    <row r="463">
      <c r="A463" s="102" t="str">
        <f>IFERROR(__xludf.DUMMYFUNCTION("""COMPUTED_VALUE"""),"Jakobs")</f>
        <v>Jakobs</v>
      </c>
      <c r="B463" s="102" t="str">
        <f>IFERROR(__xludf.DUMMYFUNCTION("""COMPUTED_VALUE"""),"Shotgun")</f>
        <v>Shotgun</v>
      </c>
      <c r="C463" s="103">
        <f>IFERROR(__xludf.DUMMYFUNCTION("""COMPUTED_VALUE"""),12.0)</f>
        <v>12</v>
      </c>
      <c r="D463" s="102" t="str">
        <f>IFERROR(__xludf.DUMMYFUNCTION("""COMPUTED_VALUE"""),"Manufacturer Part")</f>
        <v>Manufacturer Part</v>
      </c>
      <c r="E463" s="102" t="str">
        <f>IFERROR(__xludf.DUMMYFUNCTION("""COMPUTED_VALUE"""),"JAK_SG.part_shield_amp")</f>
        <v>JAK_SG.part_shield_amp</v>
      </c>
      <c r="F463" s="102"/>
      <c r="G463" s="102" t="str">
        <f>IFERROR(__xludf.DUMMYFUNCTION("""COMPUTED_VALUE"""),"Hyperion Amp Shield")</f>
        <v>Hyperion Amp Shield</v>
      </c>
      <c r="H463" s="102"/>
      <c r="I463" s="102"/>
      <c r="J463" s="102"/>
      <c r="K463" s="102"/>
      <c r="L463" s="102"/>
    </row>
    <row r="464">
      <c r="A464" s="102" t="str">
        <f>IFERROR(__xludf.DUMMYFUNCTION("""COMPUTED_VALUE"""),"Jakobs")</f>
        <v>Jakobs</v>
      </c>
      <c r="B464" s="102" t="str">
        <f>IFERROR(__xludf.DUMMYFUNCTION("""COMPUTED_VALUE"""),"Shotgun")</f>
        <v>Shotgun</v>
      </c>
      <c r="C464" s="103">
        <f>IFERROR(__xludf.DUMMYFUNCTION("""COMPUTED_VALUE"""),13.0)</f>
        <v>13</v>
      </c>
      <c r="D464" s="102" t="str">
        <f>IFERROR(__xludf.DUMMYFUNCTION("""COMPUTED_VALUE"""),"Magazine")</f>
        <v>Magazine</v>
      </c>
      <c r="E464" s="102" t="str">
        <f>IFERROR(__xludf.DUMMYFUNCTION("""COMPUTED_VALUE"""),"JAK_SG.part_mag_05_borg")</f>
        <v>JAK_SG.part_mag_05_borg</v>
      </c>
      <c r="F464" s="102"/>
      <c r="G464" s="102" t="str">
        <f>IFERROR(__xludf.DUMMYFUNCTION("""COMPUTED_VALUE"""),"2.5s Reload, -Damage, +Fire Rate, 8 Shots, Ripper Mag")</f>
        <v>2.5s Reload, -Damage, +Fire Rate, 8 Shots, Ripper Mag</v>
      </c>
      <c r="H464" s="102"/>
      <c r="I464" s="102"/>
      <c r="J464" s="102"/>
      <c r="K464" s="102"/>
      <c r="L464" s="102"/>
    </row>
    <row r="465">
      <c r="A465" s="102" t="str">
        <f>IFERROR(__xludf.DUMMYFUNCTION("""COMPUTED_VALUE"""),"Jakobs")</f>
        <v>Jakobs</v>
      </c>
      <c r="B465" s="102" t="str">
        <f>IFERROR(__xludf.DUMMYFUNCTION("""COMPUTED_VALUE"""),"Shotgun")</f>
        <v>Shotgun</v>
      </c>
      <c r="C465" s="103">
        <f>IFERROR(__xludf.DUMMYFUNCTION("""COMPUTED_VALUE"""),14.0)</f>
        <v>14</v>
      </c>
      <c r="D465" s="102" t="str">
        <f>IFERROR(__xludf.DUMMYFUNCTION("""COMPUTED_VALUE"""),"Magazine")</f>
        <v>Magazine</v>
      </c>
      <c r="E465" s="102" t="str">
        <f>IFERROR(__xludf.DUMMYFUNCTION("""COMPUTED_VALUE"""),"JAK_SG.part_mag_04_cov")</f>
        <v>JAK_SG.part_mag_04_cov</v>
      </c>
      <c r="F465" s="102"/>
      <c r="G465" s="102" t="str">
        <f>IFERROR(__xludf.DUMMYFUNCTION("""COMPUTED_VALUE"""),"3.0s Reload, -Damage, -Acc, 6 Shots, CoV Mag")</f>
        <v>3.0s Reload, -Damage, -Acc, 6 Shots, CoV Mag</v>
      </c>
      <c r="H465" s="102"/>
      <c r="I465" s="102"/>
      <c r="J465" s="102"/>
      <c r="K465" s="102"/>
      <c r="L465" s="102"/>
    </row>
    <row r="466">
      <c r="A466" s="102" t="str">
        <f>IFERROR(__xludf.DUMMYFUNCTION("""COMPUTED_VALUE"""),"Jakobs")</f>
        <v>Jakobs</v>
      </c>
      <c r="B466" s="102" t="str">
        <f>IFERROR(__xludf.DUMMYFUNCTION("""COMPUTED_VALUE"""),"Shotgun")</f>
        <v>Shotgun</v>
      </c>
      <c r="C466" s="103">
        <f>IFERROR(__xludf.DUMMYFUNCTION("""COMPUTED_VALUE"""),15.0)</f>
        <v>15</v>
      </c>
      <c r="D466" s="102" t="str">
        <f>IFERROR(__xludf.DUMMYFUNCTION("""COMPUTED_VALUE"""),"Magazine")</f>
        <v>Magazine</v>
      </c>
      <c r="E466" s="102" t="str">
        <f>IFERROR(__xludf.DUMMYFUNCTION("""COMPUTED_VALUE"""),"JAK_SG.part_mag_03_tor")</f>
        <v>JAK_SG.part_mag_03_tor</v>
      </c>
      <c r="F466" s="102"/>
      <c r="G466" s="102" t="str">
        <f>IFERROR(__xludf.DUMMYFUNCTION("""COMPUTED_VALUE"""),"2.3s Reload, -Damage, +Acc, -Fire Rate, 12 Shots, 2 Shot, Torgue")</f>
        <v>2.3s Reload, -Damage, +Acc, -Fire Rate, 12 Shots, 2 Shot, Torgue</v>
      </c>
      <c r="H466" s="102"/>
      <c r="I466" s="102"/>
      <c r="J466" s="102"/>
      <c r="K466" s="102"/>
      <c r="L466" s="102"/>
    </row>
    <row r="467">
      <c r="A467" s="102" t="str">
        <f>IFERROR(__xludf.DUMMYFUNCTION("""COMPUTED_VALUE"""),"Jakobs")</f>
        <v>Jakobs</v>
      </c>
      <c r="B467" s="102" t="str">
        <f>IFERROR(__xludf.DUMMYFUNCTION("""COMPUTED_VALUE"""),"Shotgun")</f>
        <v>Shotgun</v>
      </c>
      <c r="C467" s="103">
        <f>IFERROR(__xludf.DUMMYFUNCTION("""COMPUTED_VALUE"""),16.0)</f>
        <v>16</v>
      </c>
      <c r="D467" s="102" t="str">
        <f>IFERROR(__xludf.DUMMYFUNCTION("""COMPUTED_VALUE"""),"Stat Modifier")</f>
        <v>Stat Modifier</v>
      </c>
      <c r="E467" s="102" t="str">
        <f>IFERROR(__xludf.DUMMYFUNCTION("""COMPUTED_VALUE"""),"JAK_SG.part_body_ele_rainbowvomit_cryo_fire_rad")</f>
        <v>JAK_SG.part_body_ele_rainbowvomit_cryo_fire_rad</v>
      </c>
      <c r="F467" s="102"/>
      <c r="G467" s="102" t="str">
        <f>IFERROR(__xludf.DUMMYFUNCTION("""COMPUTED_VALUE"""),"Color Spray - Cryo, Fire, Radiation")</f>
        <v>Color Spray - Cryo, Fire, Radiation</v>
      </c>
      <c r="H467" s="102"/>
      <c r="I467" s="102"/>
      <c r="J467" s="102"/>
      <c r="K467" s="102"/>
      <c r="L467" s="102"/>
    </row>
    <row r="468">
      <c r="A468" s="102" t="str">
        <f>IFERROR(__xludf.DUMMYFUNCTION("""COMPUTED_VALUE"""),"Jakobs")</f>
        <v>Jakobs</v>
      </c>
      <c r="B468" s="102" t="str">
        <f>IFERROR(__xludf.DUMMYFUNCTION("""COMPUTED_VALUE"""),"Shotgun")</f>
        <v>Shotgun</v>
      </c>
      <c r="C468" s="103">
        <f>IFERROR(__xludf.DUMMYFUNCTION("""COMPUTED_VALUE"""),17.0)</f>
        <v>17</v>
      </c>
      <c r="D468" s="102" t="str">
        <f>IFERROR(__xludf.DUMMYFUNCTION("""COMPUTED_VALUE"""),"Magazine")</f>
        <v>Magazine</v>
      </c>
      <c r="E468" s="102" t="str">
        <f>IFERROR(__xludf.DUMMYFUNCTION("""COMPUTED_VALUE"""),"JAK_SG.part_mag_02")</f>
        <v>JAK_SG.part_mag_02</v>
      </c>
      <c r="F468" s="102"/>
      <c r="G468" s="102" t="str">
        <f>IFERROR(__xludf.DUMMYFUNCTION("""COMPUTED_VALUE"""),"4.8s Reload, -Damage, 6 Shots")</f>
        <v>4.8s Reload, -Damage, 6 Shots</v>
      </c>
      <c r="H468" s="102"/>
      <c r="I468" s="102"/>
      <c r="J468" s="102"/>
      <c r="K468" s="102"/>
      <c r="L468" s="102"/>
    </row>
    <row r="469">
      <c r="A469" s="102" t="str">
        <f>IFERROR(__xludf.DUMMYFUNCTION("""COMPUTED_VALUE"""),"Jakobs")</f>
        <v>Jakobs</v>
      </c>
      <c r="B469" s="102" t="str">
        <f>IFERROR(__xludf.DUMMYFUNCTION("""COMPUTED_VALUE"""),"Shotgun")</f>
        <v>Shotgun</v>
      </c>
      <c r="C469" s="103">
        <f>IFERROR(__xludf.DUMMYFUNCTION("""COMPUTED_VALUE"""),18.0)</f>
        <v>18</v>
      </c>
      <c r="D469" s="102" t="str">
        <f>IFERROR(__xludf.DUMMYFUNCTION("""COMPUTED_VALUE"""),"Stat Modifier")</f>
        <v>Stat Modifier</v>
      </c>
      <c r="E469" s="102" t="str">
        <f>IFERROR(__xludf.DUMMYFUNCTION("""COMPUTED_VALUE"""),"JAK_SG.part_mag_ted_thrown_01")</f>
        <v>JAK_SG.part_mag_ted_thrown_01</v>
      </c>
      <c r="F469" s="102"/>
      <c r="G469" s="102" t="str">
        <f>IFERROR(__xludf.DUMMYFUNCTION("""COMPUTED_VALUE"""),"2.0s Reload")</f>
        <v>2.0s Reload</v>
      </c>
      <c r="H469" s="102"/>
      <c r="I469" s="102"/>
      <c r="J469" s="102"/>
      <c r="K469" s="102"/>
      <c r="L469" s="102"/>
    </row>
    <row r="470">
      <c r="A470" s="102" t="str">
        <f>IFERROR(__xludf.DUMMYFUNCTION("""COMPUTED_VALUE"""),"Jakobs")</f>
        <v>Jakobs</v>
      </c>
      <c r="B470" s="102" t="str">
        <f>IFERROR(__xludf.DUMMYFUNCTION("""COMPUTED_VALUE"""),"Shotgun")</f>
        <v>Shotgun</v>
      </c>
      <c r="C470" s="103">
        <f>IFERROR(__xludf.DUMMYFUNCTION("""COMPUTED_VALUE"""),19.0)</f>
        <v>19</v>
      </c>
      <c r="D470" s="102" t="str">
        <f>IFERROR(__xludf.DUMMYFUNCTION("""COMPUTED_VALUE"""),"Stat Modifier")</f>
        <v>Stat Modifier</v>
      </c>
      <c r="E470" s="102" t="str">
        <f>IFERROR(__xludf.DUMMYFUNCTION("""COMPUTED_VALUE"""),"JAK_SG.part_mag_ted_thrown_02")</f>
        <v>JAK_SG.part_mag_ted_thrown_02</v>
      </c>
      <c r="F470" s="102"/>
      <c r="G470" s="102" t="str">
        <f>IFERROR(__xludf.DUMMYFUNCTION("""COMPUTED_VALUE"""),"2.0s Reload")</f>
        <v>2.0s Reload</v>
      </c>
      <c r="H470" s="102"/>
      <c r="I470" s="102"/>
      <c r="J470" s="102"/>
      <c r="K470" s="102"/>
      <c r="L470" s="102"/>
    </row>
    <row r="471">
      <c r="A471" s="102" t="str">
        <f>IFERROR(__xludf.DUMMYFUNCTION("""COMPUTED_VALUE"""),"Jakobs")</f>
        <v>Jakobs</v>
      </c>
      <c r="B471" s="102" t="str">
        <f>IFERROR(__xludf.DUMMYFUNCTION("""COMPUTED_VALUE"""),"Shotgun")</f>
        <v>Shotgun</v>
      </c>
      <c r="C471" s="103">
        <f>IFERROR(__xludf.DUMMYFUNCTION("""COMPUTED_VALUE"""),20.0)</f>
        <v>20</v>
      </c>
      <c r="D471" s="102" t="str">
        <f>IFERROR(__xludf.DUMMYFUNCTION("""COMPUTED_VALUE"""),"Stat Modifier")</f>
        <v>Stat Modifier</v>
      </c>
      <c r="E471" s="102" t="str">
        <f>IFERROR(__xludf.DUMMYFUNCTION("""COMPUTED_VALUE"""),"JAK_SG.part_mag_ted_thrown_03_tor")</f>
        <v>JAK_SG.part_mag_ted_thrown_03_tor</v>
      </c>
      <c r="F471" s="102"/>
      <c r="G471" s="102" t="str">
        <f>IFERROR(__xludf.DUMMYFUNCTION("""COMPUTED_VALUE"""),"2.0s Reload")</f>
        <v>2.0s Reload</v>
      </c>
      <c r="H471" s="102"/>
      <c r="I471" s="102"/>
      <c r="J471" s="102"/>
      <c r="K471" s="102"/>
      <c r="L471" s="102"/>
    </row>
    <row r="472">
      <c r="A472" s="102" t="str">
        <f>IFERROR(__xludf.DUMMYFUNCTION("""COMPUTED_VALUE"""),"Jakobs")</f>
        <v>Jakobs</v>
      </c>
      <c r="B472" s="102" t="str">
        <f>IFERROR(__xludf.DUMMYFUNCTION("""COMPUTED_VALUE"""),"Shotgun")</f>
        <v>Shotgun</v>
      </c>
      <c r="C472" s="103">
        <f>IFERROR(__xludf.DUMMYFUNCTION("""COMPUTED_VALUE"""),21.0)</f>
        <v>21</v>
      </c>
      <c r="D472" s="102" t="str">
        <f>IFERROR(__xludf.DUMMYFUNCTION("""COMPUTED_VALUE"""),"Stat Modifier")</f>
        <v>Stat Modifier</v>
      </c>
      <c r="E472" s="102" t="str">
        <f>IFERROR(__xludf.DUMMYFUNCTION("""COMPUTED_VALUE"""),"JAK_SG.part_mag_ted_thrown_04_cov")</f>
        <v>JAK_SG.part_mag_ted_thrown_04_cov</v>
      </c>
      <c r="F472" s="102"/>
      <c r="G472" s="102" t="str">
        <f>IFERROR(__xludf.DUMMYFUNCTION("""COMPUTED_VALUE"""),"3.0s Reload")</f>
        <v>3.0s Reload</v>
      </c>
      <c r="H472" s="102"/>
      <c r="I472" s="102"/>
      <c r="J472" s="102"/>
      <c r="K472" s="102"/>
      <c r="L472" s="102"/>
    </row>
    <row r="473">
      <c r="A473" s="102" t="str">
        <f>IFERROR(__xludf.DUMMYFUNCTION("""COMPUTED_VALUE"""),"Jakobs")</f>
        <v>Jakobs</v>
      </c>
      <c r="B473" s="102" t="str">
        <f>IFERROR(__xludf.DUMMYFUNCTION("""COMPUTED_VALUE"""),"Shotgun")</f>
        <v>Shotgun</v>
      </c>
      <c r="C473" s="103">
        <f>IFERROR(__xludf.DUMMYFUNCTION("""COMPUTED_VALUE"""),22.0)</f>
        <v>22</v>
      </c>
      <c r="D473" s="102" t="str">
        <f>IFERROR(__xludf.DUMMYFUNCTION("""COMPUTED_VALUE"""),"Stat Modifier")</f>
        <v>Stat Modifier</v>
      </c>
      <c r="E473" s="102" t="str">
        <f>IFERROR(__xludf.DUMMYFUNCTION("""COMPUTED_VALUE"""),"JAK_SG.part_mag_ted_thrown_05_bor")</f>
        <v>JAK_SG.part_mag_ted_thrown_05_bor</v>
      </c>
      <c r="F473" s="102"/>
      <c r="G473" s="102" t="str">
        <f>IFERROR(__xludf.DUMMYFUNCTION("""COMPUTED_VALUE"""),"3.0s Reload")</f>
        <v>3.0s Reload</v>
      </c>
      <c r="H473" s="102"/>
      <c r="I473" s="102"/>
      <c r="J473" s="102"/>
      <c r="K473" s="102"/>
      <c r="L473" s="102"/>
    </row>
    <row r="474">
      <c r="A474" s="102" t="str">
        <f>IFERROR(__xludf.DUMMYFUNCTION("""COMPUTED_VALUE"""),"Jakobs")</f>
        <v>Jakobs</v>
      </c>
      <c r="B474" s="102" t="str">
        <f>IFERROR(__xludf.DUMMYFUNCTION("""COMPUTED_VALUE"""),"Shotgun")</f>
        <v>Shotgun</v>
      </c>
      <c r="C474" s="103">
        <f>IFERROR(__xludf.DUMMYFUNCTION("""COMPUTED_VALUE"""),23.0)</f>
        <v>23</v>
      </c>
      <c r="D474" s="102" t="str">
        <f>IFERROR(__xludf.DUMMYFUNCTION("""COMPUTED_VALUE"""),"Scope")</f>
        <v>Scope</v>
      </c>
      <c r="E474" s="102" t="str">
        <f>IFERROR(__xludf.DUMMYFUNCTION("""COMPUTED_VALUE"""),"JAK_SG.part_scope_ironsight")</f>
        <v>JAK_SG.part_scope_ironsight</v>
      </c>
      <c r="F474" s="102"/>
      <c r="G474" s="102" t="str">
        <f>IFERROR(__xludf.DUMMYFUNCTION("""COMPUTED_VALUE"""),"ADS")</f>
        <v>ADS</v>
      </c>
      <c r="H474" s="102"/>
      <c r="I474" s="102"/>
      <c r="J474" s="102"/>
      <c r="K474" s="102"/>
      <c r="L474" s="102"/>
    </row>
    <row r="475">
      <c r="A475" s="102" t="str">
        <f>IFERROR(__xludf.DUMMYFUNCTION("""COMPUTED_VALUE"""),"Jakobs")</f>
        <v>Jakobs</v>
      </c>
      <c r="B475" s="102" t="str">
        <f>IFERROR(__xludf.DUMMYFUNCTION("""COMPUTED_VALUE"""),"Shotgun")</f>
        <v>Shotgun</v>
      </c>
      <c r="C475" s="103">
        <f>IFERROR(__xludf.DUMMYFUNCTION("""COMPUTED_VALUE"""),24.0)</f>
        <v>24</v>
      </c>
      <c r="D475" s="102" t="str">
        <f>IFERROR(__xludf.DUMMYFUNCTION("""COMPUTED_VALUE"""),"Scope")</f>
        <v>Scope</v>
      </c>
      <c r="E475" s="102" t="str">
        <f>IFERROR(__xludf.DUMMYFUNCTION("""COMPUTED_VALUE"""),"JAK_SG.part_scope_01_lens_01")</f>
        <v>JAK_SG.part_scope_01_lens_01</v>
      </c>
      <c r="F475" s="102"/>
      <c r="G475" s="102" t="str">
        <f>IFERROR(__xludf.DUMMYFUNCTION("""COMPUTED_VALUE"""),"ADS +Zoom")</f>
        <v>ADS +Zoom</v>
      </c>
      <c r="H475" s="102"/>
      <c r="I475" s="102"/>
      <c r="J475" s="102"/>
      <c r="K475" s="102"/>
      <c r="L475" s="102"/>
    </row>
    <row r="476">
      <c r="A476" s="102" t="str">
        <f>IFERROR(__xludf.DUMMYFUNCTION("""COMPUTED_VALUE"""),"Jakobs")</f>
        <v>Jakobs</v>
      </c>
      <c r="B476" s="102" t="str">
        <f>IFERROR(__xludf.DUMMYFUNCTION("""COMPUTED_VALUE"""),"Shotgun")</f>
        <v>Shotgun</v>
      </c>
      <c r="C476" s="103">
        <f>IFERROR(__xludf.DUMMYFUNCTION("""COMPUTED_VALUE"""),25.0)</f>
        <v>25</v>
      </c>
      <c r="D476" s="102" t="str">
        <f>IFERROR(__xludf.DUMMYFUNCTION("""COMPUTED_VALUE"""),"Scope")</f>
        <v>Scope</v>
      </c>
      <c r="E476" s="102" t="str">
        <f>IFERROR(__xludf.DUMMYFUNCTION("""COMPUTED_VALUE"""),"JAK_SG.part_scope_01_lens_02")</f>
        <v>JAK_SG.part_scope_01_lens_02</v>
      </c>
      <c r="F476" s="102"/>
      <c r="G476" s="102" t="str">
        <f>IFERROR(__xludf.DUMMYFUNCTION("""COMPUTED_VALUE"""),"ADS +Zoom")</f>
        <v>ADS +Zoom</v>
      </c>
      <c r="H476" s="102"/>
      <c r="I476" s="102"/>
      <c r="J476" s="102"/>
      <c r="K476" s="102"/>
      <c r="L476" s="102"/>
    </row>
    <row r="477">
      <c r="A477" s="102" t="str">
        <f>IFERROR(__xludf.DUMMYFUNCTION("""COMPUTED_VALUE"""),"Jakobs")</f>
        <v>Jakobs</v>
      </c>
      <c r="B477" s="102" t="str">
        <f>IFERROR(__xludf.DUMMYFUNCTION("""COMPUTED_VALUE"""),"Shotgun")</f>
        <v>Shotgun</v>
      </c>
      <c r="C477" s="103">
        <f>IFERROR(__xludf.DUMMYFUNCTION("""COMPUTED_VALUE"""),26.0)</f>
        <v>26</v>
      </c>
      <c r="D477" s="102" t="str">
        <f>IFERROR(__xludf.DUMMYFUNCTION("""COMPUTED_VALUE"""),"Scope")</f>
        <v>Scope</v>
      </c>
      <c r="E477" s="102" t="str">
        <f>IFERROR(__xludf.DUMMYFUNCTION("""COMPUTED_VALUE"""),"JAK_SG.part_scope_02_lens_01")</f>
        <v>JAK_SG.part_scope_02_lens_01</v>
      </c>
      <c r="F477" s="102"/>
      <c r="G477" s="102" t="str">
        <f>IFERROR(__xludf.DUMMYFUNCTION("""COMPUTED_VALUE"""),"ADS ++Zoom")</f>
        <v>ADS ++Zoom</v>
      </c>
      <c r="H477" s="102"/>
      <c r="I477" s="102"/>
      <c r="J477" s="102"/>
      <c r="K477" s="102"/>
      <c r="L477" s="102"/>
    </row>
    <row r="478">
      <c r="A478" s="102" t="str">
        <f>IFERROR(__xludf.DUMMYFUNCTION("""COMPUTED_VALUE"""),"Jakobs")</f>
        <v>Jakobs</v>
      </c>
      <c r="B478" s="102" t="str">
        <f>IFERROR(__xludf.DUMMYFUNCTION("""COMPUTED_VALUE"""),"Shotgun")</f>
        <v>Shotgun</v>
      </c>
      <c r="C478" s="103">
        <f>IFERROR(__xludf.DUMMYFUNCTION("""COMPUTED_VALUE"""),27.0)</f>
        <v>27</v>
      </c>
      <c r="D478" s="102" t="str">
        <f>IFERROR(__xludf.DUMMYFUNCTION("""COMPUTED_VALUE"""),"Scope")</f>
        <v>Scope</v>
      </c>
      <c r="E478" s="102" t="str">
        <f>IFERROR(__xludf.DUMMYFUNCTION("""COMPUTED_VALUE"""),"JAK_SG.part_scope_02_lens_02")</f>
        <v>JAK_SG.part_scope_02_lens_02</v>
      </c>
      <c r="F478" s="102"/>
      <c r="G478" s="102" t="str">
        <f>IFERROR(__xludf.DUMMYFUNCTION("""COMPUTED_VALUE"""),"ADS ++Zoom")</f>
        <v>ADS ++Zoom</v>
      </c>
      <c r="H478" s="102"/>
      <c r="I478" s="102"/>
      <c r="J478" s="102"/>
      <c r="K478" s="102"/>
      <c r="L478" s="102"/>
    </row>
    <row r="479">
      <c r="A479" s="102" t="str">
        <f>IFERROR(__xludf.DUMMYFUNCTION("""COMPUTED_VALUE"""),"Jakobs")</f>
        <v>Jakobs</v>
      </c>
      <c r="B479" s="102" t="str">
        <f>IFERROR(__xludf.DUMMYFUNCTION("""COMPUTED_VALUE"""),"Shotgun")</f>
        <v>Shotgun</v>
      </c>
      <c r="C479" s="103">
        <f>IFERROR(__xludf.DUMMYFUNCTION("""COMPUTED_VALUE"""),28.0)</f>
        <v>28</v>
      </c>
      <c r="D479" s="102" t="str">
        <f>IFERROR(__xludf.DUMMYFUNCTION("""COMPUTED_VALUE"""),"Scope Accessory")</f>
        <v>Scope Accessory</v>
      </c>
      <c r="E479" s="102" t="str">
        <f>IFERROR(__xludf.DUMMYFUNCTION("""COMPUTED_VALUE"""),"JAK_SG.part_scope_acc_s01_l01_a")</f>
        <v>JAK_SG.part_scope_acc_s01_l01_a</v>
      </c>
      <c r="F479" s="102"/>
      <c r="G479" s="102" t="str">
        <f>IFERROR(__xludf.DUMMYFUNCTION("""COMPUTED_VALUE"""),"+Damage")</f>
        <v>+Damage</v>
      </c>
      <c r="H479" s="102"/>
      <c r="I479" s="102"/>
      <c r="J479" s="102"/>
      <c r="K479" s="102"/>
      <c r="L479" s="102"/>
    </row>
    <row r="480">
      <c r="A480" s="102" t="str">
        <f>IFERROR(__xludf.DUMMYFUNCTION("""COMPUTED_VALUE"""),"Jakobs")</f>
        <v>Jakobs</v>
      </c>
      <c r="B480" s="102" t="str">
        <f>IFERROR(__xludf.DUMMYFUNCTION("""COMPUTED_VALUE"""),"Shotgun")</f>
        <v>Shotgun</v>
      </c>
      <c r="C480" s="103">
        <f>IFERROR(__xludf.DUMMYFUNCTION("""COMPUTED_VALUE"""),29.0)</f>
        <v>29</v>
      </c>
      <c r="D480" s="102" t="str">
        <f>IFERROR(__xludf.DUMMYFUNCTION("""COMPUTED_VALUE"""),"Scope Accessory")</f>
        <v>Scope Accessory</v>
      </c>
      <c r="E480" s="102" t="str">
        <f>IFERROR(__xludf.DUMMYFUNCTION("""COMPUTED_VALUE"""),"JAK_SG.part_scope_acc_s01_l01_b")</f>
        <v>JAK_SG.part_scope_acc_s01_l01_b</v>
      </c>
      <c r="F480" s="102"/>
      <c r="G480" s="102" t="str">
        <f>IFERROR(__xludf.DUMMYFUNCTION("""COMPUTED_VALUE"""),"-Reload Speed")</f>
        <v>-Reload Speed</v>
      </c>
      <c r="H480" s="102"/>
      <c r="I480" s="102"/>
      <c r="J480" s="102"/>
      <c r="K480" s="102"/>
      <c r="L480" s="102"/>
    </row>
    <row r="481">
      <c r="A481" s="102" t="str">
        <f>IFERROR(__xludf.DUMMYFUNCTION("""COMPUTED_VALUE"""),"Jakobs")</f>
        <v>Jakobs</v>
      </c>
      <c r="B481" s="102" t="str">
        <f>IFERROR(__xludf.DUMMYFUNCTION("""COMPUTED_VALUE"""),"Shotgun")</f>
        <v>Shotgun</v>
      </c>
      <c r="C481" s="103">
        <f>IFERROR(__xludf.DUMMYFUNCTION("""COMPUTED_VALUE"""),30.0)</f>
        <v>30</v>
      </c>
      <c r="D481" s="102" t="str">
        <f>IFERROR(__xludf.DUMMYFUNCTION("""COMPUTED_VALUE"""),"Scope Accessory")</f>
        <v>Scope Accessory</v>
      </c>
      <c r="E481" s="102" t="str">
        <f>IFERROR(__xludf.DUMMYFUNCTION("""COMPUTED_VALUE"""),"JAK_SG.part_scope_acc_s02_l01_a")</f>
        <v>JAK_SG.part_scope_acc_s02_l01_a</v>
      </c>
      <c r="F481" s="102"/>
      <c r="G481" s="102" t="str">
        <f>IFERROR(__xludf.DUMMYFUNCTION("""COMPUTED_VALUE"""),"No Stat Changes")</f>
        <v>No Stat Changes</v>
      </c>
      <c r="H481" s="102"/>
      <c r="I481" s="102"/>
      <c r="J481" s="102"/>
      <c r="K481" s="102"/>
      <c r="L481" s="102"/>
    </row>
    <row r="482">
      <c r="A482" s="102" t="str">
        <f>IFERROR(__xludf.DUMMYFUNCTION("""COMPUTED_VALUE"""),"Jakobs")</f>
        <v>Jakobs</v>
      </c>
      <c r="B482" s="102" t="str">
        <f>IFERROR(__xludf.DUMMYFUNCTION("""COMPUTED_VALUE"""),"Shotgun")</f>
        <v>Shotgun</v>
      </c>
      <c r="C482" s="103">
        <f>IFERROR(__xludf.DUMMYFUNCTION("""COMPUTED_VALUE"""),31.0)</f>
        <v>31</v>
      </c>
      <c r="D482" s="102" t="str">
        <f>IFERROR(__xludf.DUMMYFUNCTION("""COMPUTED_VALUE"""),"Scope Accessory")</f>
        <v>Scope Accessory</v>
      </c>
      <c r="E482" s="102" t="str">
        <f>IFERROR(__xludf.DUMMYFUNCTION("""COMPUTED_VALUE"""),"JAK_SG.part_scope_acc_s02_l01_b")</f>
        <v>JAK_SG.part_scope_acc_s02_l01_b</v>
      </c>
      <c r="F482" s="102"/>
      <c r="G482" s="102" t="str">
        <f>IFERROR(__xludf.DUMMYFUNCTION("""COMPUTED_VALUE"""),"+Crit Damage")</f>
        <v>+Crit Damage</v>
      </c>
      <c r="H482" s="102"/>
      <c r="I482" s="102"/>
      <c r="J482" s="102"/>
      <c r="K482" s="102"/>
      <c r="L482" s="102"/>
    </row>
    <row r="483">
      <c r="A483" s="102" t="str">
        <f>IFERROR(__xludf.DUMMYFUNCTION("""COMPUTED_VALUE"""),"Jakobs")</f>
        <v>Jakobs</v>
      </c>
      <c r="B483" s="102" t="str">
        <f>IFERROR(__xludf.DUMMYFUNCTION("""COMPUTED_VALUE"""),"Shotgun")</f>
        <v>Shotgun</v>
      </c>
      <c r="C483" s="103">
        <f>IFERROR(__xludf.DUMMYFUNCTION("""COMPUTED_VALUE"""),32.0)</f>
        <v>32</v>
      </c>
      <c r="D483" s="102" t="str">
        <f>IFERROR(__xludf.DUMMYFUNCTION("""COMPUTED_VALUE"""),"Scope Accessory")</f>
        <v>Scope Accessory</v>
      </c>
      <c r="E483" s="102" t="str">
        <f>IFERROR(__xludf.DUMMYFUNCTION("""COMPUTED_VALUE"""),"JAK_SG.part_scope_acc_s01_l02_a")</f>
        <v>JAK_SG.part_scope_acc_s01_l02_a</v>
      </c>
      <c r="F483" s="102"/>
      <c r="G483" s="102" t="str">
        <f>IFERROR(__xludf.DUMMYFUNCTION("""COMPUTED_VALUE"""),"+Damage")</f>
        <v>+Damage</v>
      </c>
      <c r="H483" s="102"/>
      <c r="I483" s="102"/>
      <c r="J483" s="102"/>
      <c r="K483" s="102"/>
      <c r="L483" s="102"/>
    </row>
    <row r="484">
      <c r="A484" s="102" t="str">
        <f>IFERROR(__xludf.DUMMYFUNCTION("""COMPUTED_VALUE"""),"Jakobs")</f>
        <v>Jakobs</v>
      </c>
      <c r="B484" s="102" t="str">
        <f>IFERROR(__xludf.DUMMYFUNCTION("""COMPUTED_VALUE"""),"Shotgun")</f>
        <v>Shotgun</v>
      </c>
      <c r="C484" s="103">
        <f>IFERROR(__xludf.DUMMYFUNCTION("""COMPUTED_VALUE"""),33.0)</f>
        <v>33</v>
      </c>
      <c r="D484" s="102" t="str">
        <f>IFERROR(__xludf.DUMMYFUNCTION("""COMPUTED_VALUE"""),"Scope Accessory")</f>
        <v>Scope Accessory</v>
      </c>
      <c r="E484" s="102" t="str">
        <f>IFERROR(__xludf.DUMMYFUNCTION("""COMPUTED_VALUE"""),"JAK_SG.part_scope_acc_s01_l02_b")</f>
        <v>JAK_SG.part_scope_acc_s01_l02_b</v>
      </c>
      <c r="F484" s="102"/>
      <c r="G484" s="102" t="str">
        <f>IFERROR(__xludf.DUMMYFUNCTION("""COMPUTED_VALUE"""),"-Reload Speed")</f>
        <v>-Reload Speed</v>
      </c>
      <c r="H484" s="102"/>
      <c r="I484" s="102"/>
      <c r="J484" s="102"/>
      <c r="K484" s="102"/>
      <c r="L484" s="102"/>
    </row>
    <row r="485">
      <c r="A485" s="102" t="str">
        <f>IFERROR(__xludf.DUMMYFUNCTION("""COMPUTED_VALUE"""),"Jakobs")</f>
        <v>Jakobs</v>
      </c>
      <c r="B485" s="102" t="str">
        <f>IFERROR(__xludf.DUMMYFUNCTION("""COMPUTED_VALUE"""),"Shotgun")</f>
        <v>Shotgun</v>
      </c>
      <c r="C485" s="103">
        <f>IFERROR(__xludf.DUMMYFUNCTION("""COMPUTED_VALUE"""),34.0)</f>
        <v>34</v>
      </c>
      <c r="D485" s="102" t="str">
        <f>IFERROR(__xludf.DUMMYFUNCTION("""COMPUTED_VALUE"""),"Scope Accessory")</f>
        <v>Scope Accessory</v>
      </c>
      <c r="E485" s="102" t="str">
        <f>IFERROR(__xludf.DUMMYFUNCTION("""COMPUTED_VALUE"""),"JAK_SG.part_scope_acc_s02_l02_a")</f>
        <v>JAK_SG.part_scope_acc_s02_l02_a</v>
      </c>
      <c r="F485" s="102"/>
      <c r="G485" s="102" t="str">
        <f>IFERROR(__xludf.DUMMYFUNCTION("""COMPUTED_VALUE"""),"No Stat Changes")</f>
        <v>No Stat Changes</v>
      </c>
      <c r="H485" s="102"/>
      <c r="I485" s="102"/>
      <c r="J485" s="102"/>
      <c r="K485" s="102"/>
      <c r="L485" s="102"/>
    </row>
    <row r="486">
      <c r="A486" s="102" t="str">
        <f>IFERROR(__xludf.DUMMYFUNCTION("""COMPUTED_VALUE"""),"Jakobs")</f>
        <v>Jakobs</v>
      </c>
      <c r="B486" s="102" t="str">
        <f>IFERROR(__xludf.DUMMYFUNCTION("""COMPUTED_VALUE"""),"Shotgun")</f>
        <v>Shotgun</v>
      </c>
      <c r="C486" s="103">
        <f>IFERROR(__xludf.DUMMYFUNCTION("""COMPUTED_VALUE"""),35.0)</f>
        <v>35</v>
      </c>
      <c r="D486" s="102" t="str">
        <f>IFERROR(__xludf.DUMMYFUNCTION("""COMPUTED_VALUE"""),"Scope Accessory")</f>
        <v>Scope Accessory</v>
      </c>
      <c r="E486" s="102" t="str">
        <f>IFERROR(__xludf.DUMMYFUNCTION("""COMPUTED_VALUE"""),"JAK_SG.part_scope_acc_s02_l02_b")</f>
        <v>JAK_SG.part_scope_acc_s02_l02_b</v>
      </c>
      <c r="F486" s="102"/>
      <c r="G486" s="102" t="str">
        <f>IFERROR(__xludf.DUMMYFUNCTION("""COMPUTED_VALUE"""),"+Crit Damage")</f>
        <v>+Crit Damage</v>
      </c>
      <c r="H486" s="102"/>
      <c r="I486" s="102"/>
      <c r="J486" s="102"/>
      <c r="K486" s="102"/>
      <c r="L486" s="102"/>
    </row>
    <row r="487">
      <c r="A487" s="102" t="str">
        <f>IFERROR(__xludf.DUMMYFUNCTION("""COMPUTED_VALUE"""),"Jakobs")</f>
        <v>Jakobs</v>
      </c>
      <c r="B487" s="102" t="str">
        <f>IFERROR(__xludf.DUMMYFUNCTION("""COMPUTED_VALUE"""),"Shotgun")</f>
        <v>Shotgun</v>
      </c>
      <c r="C487" s="103">
        <f>IFERROR(__xludf.DUMMYFUNCTION("""COMPUTED_VALUE"""),36.0)</f>
        <v>36</v>
      </c>
      <c r="D487" s="102" t="str">
        <f>IFERROR(__xludf.DUMMYFUNCTION("""COMPUTED_VALUE"""),"Grip")</f>
        <v>Grip</v>
      </c>
      <c r="E487" s="102" t="str">
        <f>IFERROR(__xludf.DUMMYFUNCTION("""COMPUTED_VALUE"""),"JAK_SG.part_grip_05c_ted_jav")</f>
        <v>JAK_SG.part_grip_05c_ted_jav</v>
      </c>
      <c r="F487" s="102"/>
      <c r="G487" s="102" t="str">
        <f>IFERROR(__xludf.DUMMYFUNCTION("""COMPUTED_VALUE"""),"Tediore reload modifier: Javelin, no stat changes")</f>
        <v>Tediore reload modifier: Javelin, no stat changes</v>
      </c>
      <c r="H487" s="102"/>
      <c r="I487" s="102"/>
      <c r="J487" s="102"/>
      <c r="K487" s="102"/>
      <c r="L487" s="102"/>
    </row>
    <row r="488">
      <c r="A488" s="102" t="str">
        <f>IFERROR(__xludf.DUMMYFUNCTION("""COMPUTED_VALUE"""),"Jakobs")</f>
        <v>Jakobs</v>
      </c>
      <c r="B488" s="102" t="str">
        <f>IFERROR(__xludf.DUMMYFUNCTION("""COMPUTED_VALUE"""),"Shotgun")</f>
        <v>Shotgun</v>
      </c>
      <c r="C488" s="103">
        <f>IFERROR(__xludf.DUMMYFUNCTION("""COMPUTED_VALUE"""),37.0)</f>
        <v>37</v>
      </c>
      <c r="D488" s="102" t="str">
        <f>IFERROR(__xludf.DUMMYFUNCTION("""COMPUTED_VALUE"""),"Grip")</f>
        <v>Grip</v>
      </c>
      <c r="E488" s="102" t="str">
        <f>IFERROR(__xludf.DUMMYFUNCTION("""COMPUTED_VALUE"""),"JAK_SG.part_grip_05b_ted_homing")</f>
        <v>JAK_SG.part_grip_05b_ted_homing</v>
      </c>
      <c r="F488" s="102"/>
      <c r="G488" s="102" t="str">
        <f>IFERROR(__xludf.DUMMYFUNCTION("""COMPUTED_VALUE"""),"Tediore reload modifier: Homing, no stat changes")</f>
        <v>Tediore reload modifier: Homing, no stat changes</v>
      </c>
      <c r="H488" s="102"/>
      <c r="I488" s="102"/>
      <c r="J488" s="102"/>
      <c r="K488" s="102"/>
      <c r="L488" s="102"/>
    </row>
    <row r="489">
      <c r="A489" s="102" t="str">
        <f>IFERROR(__xludf.DUMMYFUNCTION("""COMPUTED_VALUE"""),"Jakobs")</f>
        <v>Jakobs</v>
      </c>
      <c r="B489" s="102" t="str">
        <f>IFERROR(__xludf.DUMMYFUNCTION("""COMPUTED_VALUE"""),"Shotgun")</f>
        <v>Shotgun</v>
      </c>
      <c r="C489" s="103">
        <f>IFERROR(__xludf.DUMMYFUNCTION("""COMPUTED_VALUE"""),38.0)</f>
        <v>38</v>
      </c>
      <c r="D489" s="102" t="str">
        <f>IFERROR(__xludf.DUMMYFUNCTION("""COMPUTED_VALUE"""),"Grip")</f>
        <v>Grip</v>
      </c>
      <c r="E489" s="102" t="str">
        <f>IFERROR(__xludf.DUMMYFUNCTION("""COMPUTED_VALUE"""),"JAK_SG.part_grip_04_hyp")</f>
        <v>JAK_SG.part_grip_04_hyp</v>
      </c>
      <c r="F489" s="102"/>
      <c r="G489" s="102" t="str">
        <f>IFERROR(__xludf.DUMMYFUNCTION("""COMPUTED_VALUE"""),"Hyperion Grip, -Acc, Acc increases with continuous fire")</f>
        <v>Hyperion Grip, -Acc, Acc increases with continuous fire</v>
      </c>
      <c r="H489" s="102"/>
      <c r="I489" s="102"/>
      <c r="J489" s="102"/>
      <c r="K489" s="102"/>
      <c r="L489" s="102"/>
    </row>
    <row r="490">
      <c r="A490" s="102" t="str">
        <f>IFERROR(__xludf.DUMMYFUNCTION("""COMPUTED_VALUE"""),"Jakobs")</f>
        <v>Jakobs</v>
      </c>
      <c r="B490" s="102" t="str">
        <f>IFERROR(__xludf.DUMMYFUNCTION("""COMPUTED_VALUE"""),"Shotgun")</f>
        <v>Shotgun</v>
      </c>
      <c r="C490" s="103">
        <f>IFERROR(__xludf.DUMMYFUNCTION("""COMPUTED_VALUE"""),39.0)</f>
        <v>39</v>
      </c>
      <c r="D490" s="102" t="str">
        <f>IFERROR(__xludf.DUMMYFUNCTION("""COMPUTED_VALUE"""),"Grip")</f>
        <v>Grip</v>
      </c>
      <c r="E490" s="102" t="str">
        <f>IFERROR(__xludf.DUMMYFUNCTION("""COMPUTED_VALUE"""),"JAK_SG.part_grip_05a_ted_legs")</f>
        <v>JAK_SG.part_grip_05a_ted_legs</v>
      </c>
      <c r="F490" s="102"/>
      <c r="G490" s="102" t="str">
        <f>IFERROR(__xludf.DUMMYFUNCTION("""COMPUTED_VALUE"""),"Tediore reload modifier: Legs, no stat changes")</f>
        <v>Tediore reload modifier: Legs, no stat changes</v>
      </c>
      <c r="H490" s="102"/>
      <c r="I490" s="102"/>
      <c r="J490" s="102"/>
      <c r="K490" s="102"/>
      <c r="L490" s="102"/>
    </row>
    <row r="491">
      <c r="A491" s="102" t="str">
        <f>IFERROR(__xludf.DUMMYFUNCTION("""COMPUTED_VALUE"""),"Jakobs")</f>
        <v>Jakobs</v>
      </c>
      <c r="B491" s="102" t="str">
        <f>IFERROR(__xludf.DUMMYFUNCTION("""COMPUTED_VALUE"""),"Shotgun")</f>
        <v>Shotgun</v>
      </c>
      <c r="C491" s="103">
        <f>IFERROR(__xludf.DUMMYFUNCTION("""COMPUTED_VALUE"""),40.0)</f>
        <v>40</v>
      </c>
      <c r="D491" s="102" t="str">
        <f>IFERROR(__xludf.DUMMYFUNCTION("""COMPUTED_VALUE"""),"Grip")</f>
        <v>Grip</v>
      </c>
      <c r="E491" s="102" t="str">
        <f>IFERROR(__xludf.DUMMYFUNCTION("""COMPUTED_VALUE"""),"JAK_SG.part_grip_01")</f>
        <v>JAK_SG.part_grip_01</v>
      </c>
      <c r="F491" s="102"/>
      <c r="G491" s="102" t="str">
        <f>IFERROR(__xludf.DUMMYFUNCTION("""COMPUTED_VALUE"""),"+Damage")</f>
        <v>+Damage</v>
      </c>
      <c r="H491" s="102"/>
      <c r="I491" s="102"/>
      <c r="J491" s="102"/>
      <c r="K491" s="102"/>
      <c r="L491" s="102"/>
    </row>
    <row r="492">
      <c r="A492" s="102" t="str">
        <f>IFERROR(__xludf.DUMMYFUNCTION("""COMPUTED_VALUE"""),"Jakobs")</f>
        <v>Jakobs</v>
      </c>
      <c r="B492" s="102" t="str">
        <f>IFERROR(__xludf.DUMMYFUNCTION("""COMPUTED_VALUE"""),"Shotgun")</f>
        <v>Shotgun</v>
      </c>
      <c r="C492" s="103">
        <f>IFERROR(__xludf.DUMMYFUNCTION("""COMPUTED_VALUE"""),41.0)</f>
        <v>41</v>
      </c>
      <c r="D492" s="102" t="str">
        <f>IFERROR(__xludf.DUMMYFUNCTION("""COMPUTED_VALUE"""),"Grip")</f>
        <v>Grip</v>
      </c>
      <c r="E492" s="102" t="str">
        <f>IFERROR(__xludf.DUMMYFUNCTION("""COMPUTED_VALUE"""),"JAK_SG.part_grip_02")</f>
        <v>JAK_SG.part_grip_02</v>
      </c>
      <c r="F492" s="102"/>
      <c r="G492" s="102" t="str">
        <f>IFERROR(__xludf.DUMMYFUNCTION("""COMPUTED_VALUE"""),"+Crit Damage")</f>
        <v>+Crit Damage</v>
      </c>
      <c r="H492" s="102"/>
      <c r="I492" s="102"/>
      <c r="J492" s="102"/>
      <c r="K492" s="102"/>
      <c r="L492" s="102"/>
    </row>
    <row r="493">
      <c r="A493" s="102" t="str">
        <f>IFERROR(__xludf.DUMMYFUNCTION("""COMPUTED_VALUE"""),"Jakobs")</f>
        <v>Jakobs</v>
      </c>
      <c r="B493" s="102" t="str">
        <f>IFERROR(__xludf.DUMMYFUNCTION("""COMPUTED_VALUE"""),"Shotgun")</f>
        <v>Shotgun</v>
      </c>
      <c r="C493" s="103">
        <f>IFERROR(__xludf.DUMMYFUNCTION("""COMPUTED_VALUE"""),42.0)</f>
        <v>42</v>
      </c>
      <c r="D493" s="102" t="str">
        <f>IFERROR(__xludf.DUMMYFUNCTION("""COMPUTED_VALUE"""),"Grip")</f>
        <v>Grip</v>
      </c>
      <c r="E493" s="102" t="str">
        <f>IFERROR(__xludf.DUMMYFUNCTION("""COMPUTED_VALUE"""),"JAK_SG.part_grip_03")</f>
        <v>JAK_SG.part_grip_03</v>
      </c>
      <c r="F493" s="102"/>
      <c r="G493" s="102" t="str">
        <f>IFERROR(__xludf.DUMMYFUNCTION("""COMPUTED_VALUE"""),"-Reload Speed")</f>
        <v>-Reload Speed</v>
      </c>
      <c r="H493" s="102"/>
      <c r="I493" s="102"/>
      <c r="J493" s="102"/>
      <c r="K493" s="102"/>
      <c r="L493" s="102"/>
    </row>
    <row r="494">
      <c r="A494" s="102" t="str">
        <f>IFERROR(__xludf.DUMMYFUNCTION("""COMPUTED_VALUE"""),"Jakobs")</f>
        <v>Jakobs</v>
      </c>
      <c r="B494" s="102" t="str">
        <f>IFERROR(__xludf.DUMMYFUNCTION("""COMPUTED_VALUE"""),"Shotgun")</f>
        <v>Shotgun</v>
      </c>
      <c r="C494" s="103">
        <f>IFERROR(__xludf.DUMMYFUNCTION("""COMPUTED_VALUE"""),43.0)</f>
        <v>43</v>
      </c>
      <c r="D494" s="102" t="str">
        <f>IFERROR(__xludf.DUMMYFUNCTION("""COMPUTED_VALUE"""),"Underbarrel")</f>
        <v>Underbarrel</v>
      </c>
      <c r="E494" s="102" t="str">
        <f>IFERROR(__xludf.DUMMYFUNCTION("""COMPUTED_VALUE"""),"JAK_SG.part_underbarrel_04_atlas_ball")</f>
        <v>JAK_SG.part_underbarrel_04_atlas_ball</v>
      </c>
      <c r="F494" s="102"/>
      <c r="G494" s="102" t="str">
        <f>IFERROR(__xludf.DUMMYFUNCTION("""COMPUTED_VALUE"""),"Atlas Tracker Grenades")</f>
        <v>Atlas Tracker Grenades</v>
      </c>
      <c r="H494" s="102"/>
      <c r="I494" s="102"/>
      <c r="J494" s="102"/>
      <c r="K494" s="102"/>
      <c r="L494" s="102"/>
    </row>
    <row r="495">
      <c r="A495" s="102" t="str">
        <f>IFERROR(__xludf.DUMMYFUNCTION("""COMPUTED_VALUE"""),"Jakobs")</f>
        <v>Jakobs</v>
      </c>
      <c r="B495" s="102" t="str">
        <f>IFERROR(__xludf.DUMMYFUNCTION("""COMPUTED_VALUE"""),"Shotgun")</f>
        <v>Shotgun</v>
      </c>
      <c r="C495" s="103">
        <f>IFERROR(__xludf.DUMMYFUNCTION("""COMPUTED_VALUE"""),44.0)</f>
        <v>44</v>
      </c>
      <c r="D495" s="102" t="str">
        <f>IFERROR(__xludf.DUMMYFUNCTION("""COMPUTED_VALUE"""),"Underbarrel")</f>
        <v>Underbarrel</v>
      </c>
      <c r="E495" s="102" t="str">
        <f>IFERROR(__xludf.DUMMYFUNCTION("""COMPUTED_VALUE"""),"JAK_SG.part_underbarrel_04_atlas")</f>
        <v>JAK_SG.part_underbarrel_04_atlas</v>
      </c>
      <c r="F495" s="102"/>
      <c r="G495" s="102" t="str">
        <f>IFERROR(__xludf.DUMMYFUNCTION("""COMPUTED_VALUE"""),"Atlas Tracker Darts")</f>
        <v>Atlas Tracker Darts</v>
      </c>
      <c r="H495" s="102"/>
      <c r="I495" s="102"/>
      <c r="J495" s="102"/>
      <c r="K495" s="102"/>
      <c r="L495" s="102"/>
    </row>
    <row r="496">
      <c r="A496" s="102" t="str">
        <f>IFERROR(__xludf.DUMMYFUNCTION("""COMPUTED_VALUE"""),"Jakobs")</f>
        <v>Jakobs</v>
      </c>
      <c r="B496" s="102" t="str">
        <f>IFERROR(__xludf.DUMMYFUNCTION("""COMPUTED_VALUE"""),"Shotgun")</f>
        <v>Shotgun</v>
      </c>
      <c r="C496" s="103">
        <f>IFERROR(__xludf.DUMMYFUNCTION("""COMPUTED_VALUE"""),45.0)</f>
        <v>45</v>
      </c>
      <c r="D496" s="102" t="str">
        <f>IFERROR(__xludf.DUMMYFUNCTION("""COMPUTED_VALUE"""),"Underbarrel")</f>
        <v>Underbarrel</v>
      </c>
      <c r="E496" s="102" t="str">
        <f>IFERROR(__xludf.DUMMYFUNCTION("""COMPUTED_VALUE"""),"JAK_SG.part_underbarrel_03_grenade")</f>
        <v>JAK_SG.part_underbarrel_03_grenade</v>
      </c>
      <c r="F496" s="102"/>
      <c r="G496" s="102" t="str">
        <f>IFERROR(__xludf.DUMMYFUNCTION("""COMPUTED_VALUE"""),"Alt Fire - Spread Launcher")</f>
        <v>Alt Fire - Spread Launcher</v>
      </c>
      <c r="H496" s="102" t="str">
        <f>IFERROR(__xludf.DUMMYFUNCTION("""COMPUTED_VALUE"""),"Fires a spread of Grenades that deal XXX x 5 Damage each")</f>
        <v>Fires a spread of Grenades that deal XXX x 5 Damage each</v>
      </c>
      <c r="I496" s="102"/>
      <c r="J496" s="102"/>
      <c r="K496" s="102"/>
      <c r="L496" s="102"/>
    </row>
    <row r="497">
      <c r="A497" s="102" t="str">
        <f>IFERROR(__xludf.DUMMYFUNCTION("""COMPUTED_VALUE"""),"Jakobs")</f>
        <v>Jakobs</v>
      </c>
      <c r="B497" s="102" t="str">
        <f>IFERROR(__xludf.DUMMYFUNCTION("""COMPUTED_VALUE"""),"Shotgun")</f>
        <v>Shotgun</v>
      </c>
      <c r="C497" s="103">
        <f>IFERROR(__xludf.DUMMYFUNCTION("""COMPUTED_VALUE"""),46.0)</f>
        <v>46</v>
      </c>
      <c r="D497" s="102" t="str">
        <f>IFERROR(__xludf.DUMMYFUNCTION("""COMPUTED_VALUE"""),"Underbarrel")</f>
        <v>Underbarrel</v>
      </c>
      <c r="E497" s="102" t="str">
        <f>IFERROR(__xludf.DUMMYFUNCTION("""COMPUTED_VALUE"""),"JAK_SG.part_underbarrel_02_meathook")</f>
        <v>JAK_SG.part_underbarrel_02_meathook</v>
      </c>
      <c r="F497" s="102"/>
      <c r="G497" s="102" t="str">
        <f>IFERROR(__xludf.DUMMYFUNCTION("""COMPUTED_VALUE"""),"Alt Fire - Gravity Harpoon")</f>
        <v>Alt Fire - Gravity Harpoon</v>
      </c>
      <c r="H497" s="102" t="str">
        <f>IFERROR(__xludf.DUMMYFUNCTION("""COMPUTED_VALUE"""),"Fires a Gravity Harpoon that deals XXX Damage and pulls in nearby enemies")</f>
        <v>Fires a Gravity Harpoon that deals XXX Damage and pulls in nearby enemies</v>
      </c>
      <c r="I497" s="102"/>
      <c r="J497" s="102"/>
      <c r="K497" s="102"/>
      <c r="L497" s="102"/>
    </row>
    <row r="498">
      <c r="A498" s="102" t="str">
        <f>IFERROR(__xludf.DUMMYFUNCTION("""COMPUTED_VALUE"""),"Jakobs")</f>
        <v>Jakobs</v>
      </c>
      <c r="B498" s="102" t="str">
        <f>IFERROR(__xludf.DUMMYFUNCTION("""COMPUTED_VALUE"""),"Shotgun")</f>
        <v>Shotgun</v>
      </c>
      <c r="C498" s="103">
        <f>IFERROR(__xludf.DUMMYFUNCTION("""COMPUTED_VALUE"""),47.0)</f>
        <v>47</v>
      </c>
      <c r="D498" s="102" t="str">
        <f>IFERROR(__xludf.DUMMYFUNCTION("""COMPUTED_VALUE"""),"Foregrip")</f>
        <v>Foregrip</v>
      </c>
      <c r="E498" s="102" t="str">
        <f>IFERROR(__xludf.DUMMYFUNCTION("""COMPUTED_VALUE"""),"JAK_SG.part_foregrip_02")</f>
        <v>JAK_SG.part_foregrip_02</v>
      </c>
      <c r="F498" s="102"/>
      <c r="G498" s="102" t="str">
        <f>IFERROR(__xludf.DUMMYFUNCTION("""COMPUTED_VALUE"""),"+Fire Rate")</f>
        <v>+Fire Rate</v>
      </c>
      <c r="H498" s="102"/>
      <c r="I498" s="102"/>
      <c r="J498" s="102"/>
      <c r="K498" s="102"/>
      <c r="L498" s="102"/>
    </row>
    <row r="499">
      <c r="A499" s="102" t="str">
        <f>IFERROR(__xludf.DUMMYFUNCTION("""COMPUTED_VALUE"""),"Jakobs")</f>
        <v>Jakobs</v>
      </c>
      <c r="B499" s="102" t="str">
        <f>IFERROR(__xludf.DUMMYFUNCTION("""COMPUTED_VALUE"""),"Shotgun")</f>
        <v>Shotgun</v>
      </c>
      <c r="C499" s="103">
        <f>IFERROR(__xludf.DUMMYFUNCTION("""COMPUTED_VALUE"""),48.0)</f>
        <v>48</v>
      </c>
      <c r="D499" s="102" t="str">
        <f>IFERROR(__xludf.DUMMYFUNCTION("""COMPUTED_VALUE"""),"Foregrip")</f>
        <v>Foregrip</v>
      </c>
      <c r="E499" s="102" t="str">
        <f>IFERROR(__xludf.DUMMYFUNCTION("""COMPUTED_VALUE"""),"JAK_SG.part_foregrip_03")</f>
        <v>JAK_SG.part_foregrip_03</v>
      </c>
      <c r="F499" s="102"/>
      <c r="G499" s="102" t="str">
        <f>IFERROR(__xludf.DUMMYFUNCTION("""COMPUTED_VALUE"""),"+Accuracy")</f>
        <v>+Accuracy</v>
      </c>
      <c r="H499" s="102"/>
      <c r="I499" s="102"/>
      <c r="J499" s="102"/>
      <c r="K499" s="102"/>
      <c r="L499" s="102"/>
    </row>
    <row r="500">
      <c r="A500" s="102" t="str">
        <f>IFERROR(__xludf.DUMMYFUNCTION("""COMPUTED_VALUE"""),"Jakobs")</f>
        <v>Jakobs</v>
      </c>
      <c r="B500" s="102" t="str">
        <f>IFERROR(__xludf.DUMMYFUNCTION("""COMPUTED_VALUE"""),"Shotgun")</f>
        <v>Shotgun</v>
      </c>
      <c r="C500" s="103">
        <f>IFERROR(__xludf.DUMMYFUNCTION("""COMPUTED_VALUE"""),49.0)</f>
        <v>49</v>
      </c>
      <c r="D500" s="102" t="str">
        <f>IFERROR(__xludf.DUMMYFUNCTION("""COMPUTED_VALUE"""),"Underbarrel")</f>
        <v>Underbarrel</v>
      </c>
      <c r="E500" s="102" t="str">
        <f>IFERROR(__xludf.DUMMYFUNCTION("""COMPUTED_VALUE"""),"JAK_SG.part_underbarrel_05_ammoswitcher")</f>
        <v>JAK_SG.part_underbarrel_05_ammoswitcher</v>
      </c>
      <c r="F500" s="102"/>
      <c r="G500" s="102" t="str">
        <f>IFERROR(__xludf.DUMMYFUNCTION("""COMPUTED_VALUE"""),"Daedalus Ammo Switch")</f>
        <v>Daedalus Ammo Switch</v>
      </c>
      <c r="H500" s="102" t="str">
        <f>IFERROR(__xludf.DUMMYFUNCTION("""COMPUTED_VALUE"""),"Used for Daedalus Ammo switch")</f>
        <v>Used for Daedalus Ammo switch</v>
      </c>
      <c r="I500" s="102"/>
      <c r="J500" s="102"/>
      <c r="K500" s="102"/>
      <c r="L500" s="102"/>
    </row>
    <row r="501">
      <c r="A501" s="102" t="str">
        <f>IFERROR(__xludf.DUMMYFUNCTION("""COMPUTED_VALUE"""),"Jakobs")</f>
        <v>Jakobs</v>
      </c>
      <c r="B501" s="102" t="str">
        <f>IFERROR(__xludf.DUMMYFUNCTION("""COMPUTED_VALUE"""),"Shotgun")</f>
        <v>Shotgun</v>
      </c>
      <c r="C501" s="103">
        <f>IFERROR(__xludf.DUMMYFUNCTION("""COMPUTED_VALUE"""),50.0)</f>
        <v>50</v>
      </c>
      <c r="D501" s="102" t="str">
        <f>IFERROR(__xludf.DUMMYFUNCTION("""COMPUTED_VALUE"""),"Underbarrel")</f>
        <v>Underbarrel</v>
      </c>
      <c r="E501" s="102" t="str">
        <f>IFERROR(__xludf.DUMMYFUNCTION("""COMPUTED_VALUE"""),"JAK_SG.part_underbarrel_01_knifelauncher")</f>
        <v>JAK_SG.part_underbarrel_01_knifelauncher</v>
      </c>
      <c r="F501" s="102"/>
      <c r="G501" s="102" t="str">
        <f>IFERROR(__xludf.DUMMYFUNCTION("""COMPUTED_VALUE"""),"Alt Fire - Knife Launcher")</f>
        <v>Alt Fire - Knife Launcher</v>
      </c>
      <c r="H501" s="102" t="str">
        <f>IFERROR(__xludf.DUMMYFUNCTION("""COMPUTED_VALUE"""),"Fires a Knife that deals XXX Damage")</f>
        <v>Fires a Knife that deals XXX Damage</v>
      </c>
      <c r="I501" s="102"/>
      <c r="J501" s="102"/>
      <c r="K501" s="102"/>
      <c r="L501" s="102"/>
    </row>
    <row r="502">
      <c r="A502" s="102" t="str">
        <f>IFERROR(__xludf.DUMMYFUNCTION("""COMPUTED_VALUE"""),"Jakobs")</f>
        <v>Jakobs</v>
      </c>
      <c r="B502" s="102" t="str">
        <f>IFERROR(__xludf.DUMMYFUNCTION("""COMPUTED_VALUE"""),"Shotgun")</f>
        <v>Shotgun</v>
      </c>
      <c r="C502" s="103">
        <f>IFERROR(__xludf.DUMMYFUNCTION("""COMPUTED_VALUE"""),51.0)</f>
        <v>51</v>
      </c>
      <c r="D502" s="102" t="str">
        <f>IFERROR(__xludf.DUMMYFUNCTION("""COMPUTED_VALUE"""),"Manufacturer Part")</f>
        <v>Manufacturer Part</v>
      </c>
      <c r="E502" s="102" t="str">
        <f>IFERROR(__xludf.DUMMYFUNCTION("""COMPUTED_VALUE"""),"JAK_SG.part_secondary_ammo_smg")</f>
        <v>JAK_SG.part_secondary_ammo_smg</v>
      </c>
      <c r="F502" s="102"/>
      <c r="G502" s="102" t="str">
        <f>IFERROR(__xludf.DUMMYFUNCTION("""COMPUTED_VALUE"""),"Daedalus SMG Ammo")</f>
        <v>Daedalus SMG Ammo</v>
      </c>
      <c r="H502" s="102"/>
      <c r="I502" s="102"/>
      <c r="J502" s="102"/>
      <c r="K502" s="102"/>
      <c r="L502" s="102"/>
    </row>
    <row r="503">
      <c r="A503" s="102" t="str">
        <f>IFERROR(__xludf.DUMMYFUNCTION("""COMPUTED_VALUE"""),"Jakobs")</f>
        <v>Jakobs</v>
      </c>
      <c r="B503" s="102" t="str">
        <f>IFERROR(__xludf.DUMMYFUNCTION("""COMPUTED_VALUE"""),"Shotgun")</f>
        <v>Shotgun</v>
      </c>
      <c r="C503" s="103">
        <f>IFERROR(__xludf.DUMMYFUNCTION("""COMPUTED_VALUE"""),52.0)</f>
        <v>52</v>
      </c>
      <c r="D503" s="102" t="str">
        <f>IFERROR(__xludf.DUMMYFUNCTION("""COMPUTED_VALUE"""),"Manufacturer Part")</f>
        <v>Manufacturer Part</v>
      </c>
      <c r="E503" s="102" t="str">
        <f>IFERROR(__xludf.DUMMYFUNCTION("""COMPUTED_VALUE"""),"JAK_SG.part_secondary_ammo_ps")</f>
        <v>JAK_SG.part_secondary_ammo_ps</v>
      </c>
      <c r="F503" s="102"/>
      <c r="G503" s="102" t="str">
        <f>IFERROR(__xludf.DUMMYFUNCTION("""COMPUTED_VALUE"""),"Daedalus Pistol Ammo")</f>
        <v>Daedalus Pistol Ammo</v>
      </c>
      <c r="H503" s="102"/>
      <c r="I503" s="102"/>
      <c r="J503" s="102"/>
      <c r="K503" s="102"/>
      <c r="L503" s="102"/>
    </row>
    <row r="504">
      <c r="A504" s="102" t="str">
        <f>IFERROR(__xludf.DUMMYFUNCTION("""COMPUTED_VALUE"""),"Jakobs")</f>
        <v>Jakobs</v>
      </c>
      <c r="B504" s="102" t="str">
        <f>IFERROR(__xludf.DUMMYFUNCTION("""COMPUTED_VALUE"""),"Shotgun")</f>
        <v>Shotgun</v>
      </c>
      <c r="C504" s="103">
        <f>IFERROR(__xludf.DUMMYFUNCTION("""COMPUTED_VALUE"""),53.0)</f>
        <v>53</v>
      </c>
      <c r="D504" s="102" t="str">
        <f>IFERROR(__xludf.DUMMYFUNCTION("""COMPUTED_VALUE"""),"Manufacturer Part")</f>
        <v>Manufacturer Part</v>
      </c>
      <c r="E504" s="102" t="str">
        <f>IFERROR(__xludf.DUMMYFUNCTION("""COMPUTED_VALUE"""),"JAK_SG.part_secondary_ammo_assaultrifle")</f>
        <v>JAK_SG.part_secondary_ammo_assaultrifle</v>
      </c>
      <c r="F504" s="102"/>
      <c r="G504" s="102" t="str">
        <f>IFERROR(__xludf.DUMMYFUNCTION("""COMPUTED_VALUE"""),"Daedalus AR Ammo")</f>
        <v>Daedalus AR Ammo</v>
      </c>
      <c r="H504" s="102"/>
      <c r="I504" s="102"/>
      <c r="J504" s="102"/>
      <c r="K504" s="102"/>
      <c r="L504" s="102"/>
    </row>
    <row r="505">
      <c r="A505" s="102" t="str">
        <f>IFERROR(__xludf.DUMMYFUNCTION("""COMPUTED_VALUE"""),"Jakobs")</f>
        <v>Jakobs</v>
      </c>
      <c r="B505" s="102" t="str">
        <f>IFERROR(__xludf.DUMMYFUNCTION("""COMPUTED_VALUE"""),"Shotgun")</f>
        <v>Shotgun</v>
      </c>
      <c r="C505" s="103">
        <f>IFERROR(__xludf.DUMMYFUNCTION("""COMPUTED_VALUE"""),54.0)</f>
        <v>54</v>
      </c>
      <c r="D505" s="102" t="str">
        <f>IFERROR(__xludf.DUMMYFUNCTION("""COMPUTED_VALUE"""),"Manufacturer Part")</f>
        <v>Manufacturer Part</v>
      </c>
      <c r="E505" s="102" t="str">
        <f>IFERROR(__xludf.DUMMYFUNCTION("""COMPUTED_VALUE"""),"JAK_SG.part_secondary_ammo_sr")</f>
        <v>JAK_SG.part_secondary_ammo_sr</v>
      </c>
      <c r="F505" s="102"/>
      <c r="G505" s="102" t="str">
        <f>IFERROR(__xludf.DUMMYFUNCTION("""COMPUTED_VALUE"""),"Daedalus SR Ammo")</f>
        <v>Daedalus SR Ammo</v>
      </c>
      <c r="H505" s="102"/>
      <c r="I505" s="102"/>
      <c r="J505" s="102"/>
      <c r="K505" s="102"/>
      <c r="L505" s="102"/>
    </row>
    <row r="506">
      <c r="A506" s="102" t="str">
        <f>IFERROR(__xludf.DUMMYFUNCTION("""COMPUTED_VALUE"""),"Jakobs")</f>
        <v>Jakobs</v>
      </c>
      <c r="B506" s="102" t="str">
        <f>IFERROR(__xludf.DUMMYFUNCTION("""COMPUTED_VALUE"""),"Shotgun")</f>
        <v>Shotgun</v>
      </c>
      <c r="C506" s="103">
        <f>IFERROR(__xludf.DUMMYFUNCTION("""COMPUTED_VALUE"""),55.0)</f>
        <v>55</v>
      </c>
      <c r="D506" s="102" t="str">
        <f>IFERROR(__xludf.DUMMYFUNCTION("""COMPUTED_VALUE"""),"Barrel Accessory")</f>
        <v>Barrel Accessory</v>
      </c>
      <c r="E506" s="102" t="str">
        <f>IFERROR(__xludf.DUMMYFUNCTION("""COMPUTED_VALUE"""),"JAK_SG.part_barrel_01_a")</f>
        <v>JAK_SG.part_barrel_01_a</v>
      </c>
      <c r="F506" s="102"/>
      <c r="G506" s="102" t="str">
        <f>IFERROR(__xludf.DUMMYFUNCTION("""COMPUTED_VALUE"""),"+Damage")</f>
        <v>+Damage</v>
      </c>
      <c r="H506" s="102"/>
      <c r="I506" s="102"/>
      <c r="J506" s="102"/>
      <c r="K506" s="102"/>
      <c r="L506" s="102"/>
    </row>
    <row r="507">
      <c r="A507" s="102" t="str">
        <f>IFERROR(__xludf.DUMMYFUNCTION("""COMPUTED_VALUE"""),"Jakobs")</f>
        <v>Jakobs</v>
      </c>
      <c r="B507" s="102" t="str">
        <f>IFERROR(__xludf.DUMMYFUNCTION("""COMPUTED_VALUE"""),"Shotgun")</f>
        <v>Shotgun</v>
      </c>
      <c r="C507" s="103">
        <f>IFERROR(__xludf.DUMMYFUNCTION("""COMPUTED_VALUE"""),56.0)</f>
        <v>56</v>
      </c>
      <c r="D507" s="102" t="str">
        <f>IFERROR(__xludf.DUMMYFUNCTION("""COMPUTED_VALUE"""),"Barrel Accessory")</f>
        <v>Barrel Accessory</v>
      </c>
      <c r="E507" s="102" t="str">
        <f>IFERROR(__xludf.DUMMYFUNCTION("""COMPUTED_VALUE"""),"JAK_SG.part_barrel_01_b")</f>
        <v>JAK_SG.part_barrel_01_b</v>
      </c>
      <c r="F507" s="102"/>
      <c r="G507" s="102" t="str">
        <f>IFERROR(__xludf.DUMMYFUNCTION("""COMPUTED_VALUE"""),"+Crit Damage")</f>
        <v>+Crit Damage</v>
      </c>
      <c r="H507" s="102"/>
      <c r="I507" s="102"/>
      <c r="J507" s="102"/>
      <c r="K507" s="102"/>
      <c r="L507" s="102"/>
    </row>
    <row r="508">
      <c r="A508" s="102" t="str">
        <f>IFERROR(__xludf.DUMMYFUNCTION("""COMPUTED_VALUE"""),"Jakobs")</f>
        <v>Jakobs</v>
      </c>
      <c r="B508" s="102" t="str">
        <f>IFERROR(__xludf.DUMMYFUNCTION("""COMPUTED_VALUE"""),"Shotgun")</f>
        <v>Shotgun</v>
      </c>
      <c r="C508" s="103">
        <f>IFERROR(__xludf.DUMMYFUNCTION("""COMPUTED_VALUE"""),57.0)</f>
        <v>57</v>
      </c>
      <c r="D508" s="102" t="str">
        <f>IFERROR(__xludf.DUMMYFUNCTION("""COMPUTED_VALUE"""),"Barrel Accessory")</f>
        <v>Barrel Accessory</v>
      </c>
      <c r="E508" s="102" t="str">
        <f>IFERROR(__xludf.DUMMYFUNCTION("""COMPUTED_VALUE"""),"JAK_SG.part_barrel_01_c")</f>
        <v>JAK_SG.part_barrel_01_c</v>
      </c>
      <c r="F508" s="102"/>
      <c r="G508" s="102" t="str">
        <f>IFERROR(__xludf.DUMMYFUNCTION("""COMPUTED_VALUE"""),"+Accuracy")</f>
        <v>+Accuracy</v>
      </c>
      <c r="H508" s="102"/>
      <c r="I508" s="102"/>
      <c r="J508" s="102"/>
      <c r="K508" s="102"/>
      <c r="L508" s="102"/>
    </row>
    <row r="509">
      <c r="A509" s="102" t="str">
        <f>IFERROR(__xludf.DUMMYFUNCTION("""COMPUTED_VALUE"""),"Jakobs")</f>
        <v>Jakobs</v>
      </c>
      <c r="B509" s="102" t="str">
        <f>IFERROR(__xludf.DUMMYFUNCTION("""COMPUTED_VALUE"""),"Shotgun")</f>
        <v>Shotgun</v>
      </c>
      <c r="C509" s="103">
        <f>IFERROR(__xludf.DUMMYFUNCTION("""COMPUTED_VALUE"""),58.0)</f>
        <v>58</v>
      </c>
      <c r="D509" s="102" t="str">
        <f>IFERROR(__xludf.DUMMYFUNCTION("""COMPUTED_VALUE"""),"Barrel Accessory")</f>
        <v>Barrel Accessory</v>
      </c>
      <c r="E509" s="102" t="str">
        <f>IFERROR(__xludf.DUMMYFUNCTION("""COMPUTED_VALUE"""),"JAK_SG.part_barrel_01_d")</f>
        <v>JAK_SG.part_barrel_01_d</v>
      </c>
      <c r="F509" s="102"/>
      <c r="G509" s="102" t="str">
        <f>IFERROR(__xludf.DUMMYFUNCTION("""COMPUTED_VALUE"""),"+Accuracy")</f>
        <v>+Accuracy</v>
      </c>
      <c r="H509" s="102"/>
      <c r="I509" s="102"/>
      <c r="J509" s="102"/>
      <c r="K509" s="102"/>
      <c r="L509" s="102"/>
    </row>
    <row r="510">
      <c r="A510" s="102" t="str">
        <f>IFERROR(__xludf.DUMMYFUNCTION("""COMPUTED_VALUE"""),"Jakobs")</f>
        <v>Jakobs</v>
      </c>
      <c r="B510" s="102" t="str">
        <f>IFERROR(__xludf.DUMMYFUNCTION("""COMPUTED_VALUE"""),"Shotgun")</f>
        <v>Shotgun</v>
      </c>
      <c r="C510" s="103">
        <f>IFERROR(__xludf.DUMMYFUNCTION("""COMPUTED_VALUE"""),59.0)</f>
        <v>59</v>
      </c>
      <c r="D510" s="102" t="str">
        <f>IFERROR(__xludf.DUMMYFUNCTION("""COMPUTED_VALUE"""),"Barrel Accessory")</f>
        <v>Barrel Accessory</v>
      </c>
      <c r="E510" s="102" t="str">
        <f>IFERROR(__xludf.DUMMYFUNCTION("""COMPUTED_VALUE"""),"JAK_SG.part_barrel_02_a")</f>
        <v>JAK_SG.part_barrel_02_a</v>
      </c>
      <c r="F510" s="102"/>
      <c r="G510" s="102" t="str">
        <f>IFERROR(__xludf.DUMMYFUNCTION("""COMPUTED_VALUE"""),"+Damage")</f>
        <v>+Damage</v>
      </c>
      <c r="H510" s="102"/>
      <c r="I510" s="102"/>
      <c r="J510" s="102"/>
      <c r="K510" s="102"/>
      <c r="L510" s="102"/>
    </row>
    <row r="511">
      <c r="A511" s="102" t="str">
        <f>IFERROR(__xludf.DUMMYFUNCTION("""COMPUTED_VALUE"""),"Jakobs")</f>
        <v>Jakobs</v>
      </c>
      <c r="B511" s="102" t="str">
        <f>IFERROR(__xludf.DUMMYFUNCTION("""COMPUTED_VALUE"""),"Shotgun")</f>
        <v>Shotgun</v>
      </c>
      <c r="C511" s="103">
        <f>IFERROR(__xludf.DUMMYFUNCTION("""COMPUTED_VALUE"""),60.0)</f>
        <v>60</v>
      </c>
      <c r="D511" s="102" t="str">
        <f>IFERROR(__xludf.DUMMYFUNCTION("""COMPUTED_VALUE"""),"Barrel Accessory")</f>
        <v>Barrel Accessory</v>
      </c>
      <c r="E511" s="102" t="str">
        <f>IFERROR(__xludf.DUMMYFUNCTION("""COMPUTED_VALUE"""),"JAK_SG.part_barrel_02_b")</f>
        <v>JAK_SG.part_barrel_02_b</v>
      </c>
      <c r="F511" s="102"/>
      <c r="G511" s="102" t="str">
        <f>IFERROR(__xludf.DUMMYFUNCTION("""COMPUTED_VALUE"""),"+Accuracy")</f>
        <v>+Accuracy</v>
      </c>
      <c r="H511" s="102"/>
      <c r="I511" s="102"/>
      <c r="J511" s="102"/>
      <c r="K511" s="102"/>
      <c r="L511" s="102"/>
    </row>
    <row r="512">
      <c r="A512" s="102" t="str">
        <f>IFERROR(__xludf.DUMMYFUNCTION("""COMPUTED_VALUE"""),"Jakobs")</f>
        <v>Jakobs</v>
      </c>
      <c r="B512" s="102" t="str">
        <f>IFERROR(__xludf.DUMMYFUNCTION("""COMPUTED_VALUE"""),"Shotgun")</f>
        <v>Shotgun</v>
      </c>
      <c r="C512" s="103">
        <f>IFERROR(__xludf.DUMMYFUNCTION("""COMPUTED_VALUE"""),61.0)</f>
        <v>61</v>
      </c>
      <c r="D512" s="102" t="str">
        <f>IFERROR(__xludf.DUMMYFUNCTION("""COMPUTED_VALUE"""),"Barrel Accessory")</f>
        <v>Barrel Accessory</v>
      </c>
      <c r="E512" s="102" t="str">
        <f>IFERROR(__xludf.DUMMYFUNCTION("""COMPUTED_VALUE"""),"JAK_SG.part_barrel_02_c")</f>
        <v>JAK_SG.part_barrel_02_c</v>
      </c>
      <c r="F512" s="102"/>
      <c r="G512" s="102" t="str">
        <f>IFERROR(__xludf.DUMMYFUNCTION("""COMPUTED_VALUE"""),"-Reload Speed")</f>
        <v>-Reload Speed</v>
      </c>
      <c r="H512" s="102"/>
      <c r="I512" s="102"/>
      <c r="J512" s="102"/>
      <c r="K512" s="102"/>
      <c r="L512" s="102"/>
    </row>
    <row r="513">
      <c r="A513" s="102" t="str">
        <f>IFERROR(__xludf.DUMMYFUNCTION("""COMPUTED_VALUE"""),"Jakobs")</f>
        <v>Jakobs</v>
      </c>
      <c r="B513" s="102" t="str">
        <f>IFERROR(__xludf.DUMMYFUNCTION("""COMPUTED_VALUE"""),"Shotgun")</f>
        <v>Shotgun</v>
      </c>
      <c r="C513" s="103">
        <f>IFERROR(__xludf.DUMMYFUNCTION("""COMPUTED_VALUE"""),62.0)</f>
        <v>62</v>
      </c>
      <c r="D513" s="102" t="str">
        <f>IFERROR(__xludf.DUMMYFUNCTION("""COMPUTED_VALUE"""),"Barrel Accessory")</f>
        <v>Barrel Accessory</v>
      </c>
      <c r="E513" s="102" t="str">
        <f>IFERROR(__xludf.DUMMYFUNCTION("""COMPUTED_VALUE"""),"JAK_SG.part_barrel_02_d")</f>
        <v>JAK_SG.part_barrel_02_d</v>
      </c>
      <c r="F513" s="102"/>
      <c r="G513" s="102" t="str">
        <f>IFERROR(__xludf.DUMMYFUNCTION("""COMPUTED_VALUE"""),"+Damage")</f>
        <v>+Damage</v>
      </c>
      <c r="H513" s="102"/>
      <c r="I513" s="102"/>
      <c r="J513" s="102"/>
      <c r="K513" s="102"/>
      <c r="L513" s="102"/>
    </row>
    <row r="514">
      <c r="A514" s="102" t="str">
        <f>IFERROR(__xludf.DUMMYFUNCTION("""COMPUTED_VALUE"""),"Jakobs")</f>
        <v>Jakobs</v>
      </c>
      <c r="B514" s="102" t="str">
        <f>IFERROR(__xludf.DUMMYFUNCTION("""COMPUTED_VALUE"""),"Shotgun")</f>
        <v>Shotgun</v>
      </c>
      <c r="C514" s="103">
        <f>IFERROR(__xludf.DUMMYFUNCTION("""COMPUTED_VALUE"""),63.0)</f>
        <v>63</v>
      </c>
      <c r="D514" s="102" t="str">
        <f>IFERROR(__xludf.DUMMYFUNCTION("""COMPUTED_VALUE"""),"Manufacturer Part")</f>
        <v>Manufacturer Part</v>
      </c>
      <c r="E514" s="102" t="str">
        <f>IFERROR(__xludf.DUMMYFUNCTION("""COMPUTED_VALUE"""),"JAK_SG.part_barrel_licensed_ted")</f>
        <v>JAK_SG.part_barrel_licensed_ted</v>
      </c>
      <c r="F514" s="102"/>
      <c r="G514" s="102" t="str">
        <f>IFERROR(__xludf.DUMMYFUNCTION("""COMPUTED_VALUE"""),"Tediore Reload, no stat changes")</f>
        <v>Tediore Reload, no stat changes</v>
      </c>
      <c r="H514" s="102"/>
      <c r="I514" s="102"/>
      <c r="J514" s="102"/>
      <c r="K514" s="102"/>
      <c r="L514" s="102"/>
    </row>
    <row r="515">
      <c r="A515" s="102" t="str">
        <f>IFERROR(__xludf.DUMMYFUNCTION("""COMPUTED_VALUE"""),"Jakobs")</f>
        <v>Jakobs</v>
      </c>
      <c r="B515" s="102" t="str">
        <f>IFERROR(__xludf.DUMMYFUNCTION("""COMPUTED_VALUE"""),"Shotgun")</f>
        <v>Shotgun</v>
      </c>
      <c r="C515" s="103">
        <f>IFERROR(__xludf.DUMMYFUNCTION("""COMPUTED_VALUE"""),64.0)</f>
        <v>64</v>
      </c>
      <c r="D515" s="102" t="str">
        <f>IFERROR(__xludf.DUMMYFUNCTION("""COMPUTED_VALUE"""),"Manufacturer Part")</f>
        <v>Manufacturer Part</v>
      </c>
      <c r="E515" s="102" t="str">
        <f>IFERROR(__xludf.DUMMYFUNCTION("""COMPUTED_VALUE"""),"JAK_SG.part_barrel_licensed_ted_shooting")</f>
        <v>JAK_SG.part_barrel_licensed_ted_shooting</v>
      </c>
      <c r="F515" s="102"/>
      <c r="G515" s="102" t="str">
        <f>IFERROR(__xludf.DUMMYFUNCTION("""COMPUTED_VALUE"""),"Tediore Shooting, no stat changes")</f>
        <v>Tediore Shooting, no stat changes</v>
      </c>
      <c r="H515" s="102"/>
      <c r="I515" s="102"/>
      <c r="J515" s="102"/>
      <c r="K515" s="102"/>
      <c r="L515" s="102"/>
    </row>
    <row r="516">
      <c r="A516" s="102" t="str">
        <f>IFERROR(__xludf.DUMMYFUNCTION("""COMPUTED_VALUE"""),"Jakobs")</f>
        <v>Jakobs</v>
      </c>
      <c r="B516" s="102" t="str">
        <f>IFERROR(__xludf.DUMMYFUNCTION("""COMPUTED_VALUE"""),"Shotgun")</f>
        <v>Shotgun</v>
      </c>
      <c r="C516" s="103">
        <f>IFERROR(__xludf.DUMMYFUNCTION("""COMPUTED_VALUE"""),65.0)</f>
        <v>65</v>
      </c>
      <c r="D516" s="102" t="str">
        <f>IFERROR(__xludf.DUMMYFUNCTION("""COMPUTED_VALUE"""),"Manufacturer Part")</f>
        <v>Manufacturer Part</v>
      </c>
      <c r="E516" s="102" t="str">
        <f>IFERROR(__xludf.DUMMYFUNCTION("""COMPUTED_VALUE"""),"JAK_SG.part_barrel_licensed_ted_mirv")</f>
        <v>JAK_SG.part_barrel_licensed_ted_mirv</v>
      </c>
      <c r="F516" s="102"/>
      <c r="G516" s="102" t="str">
        <f>IFERROR(__xludf.DUMMYFUNCTION("""COMPUTED_VALUE"""),"Tediore MIRV, no stat changes")</f>
        <v>Tediore MIRV, no stat changes</v>
      </c>
      <c r="H516" s="102"/>
      <c r="I516" s="102"/>
      <c r="J516" s="102"/>
      <c r="K516" s="102"/>
      <c r="L516" s="102"/>
    </row>
    <row r="517">
      <c r="A517" s="102" t="str">
        <f>IFERROR(__xludf.DUMMYFUNCTION("""COMPUTED_VALUE"""),"Jakobs")</f>
        <v>Jakobs</v>
      </c>
      <c r="B517" s="102" t="str">
        <f>IFERROR(__xludf.DUMMYFUNCTION("""COMPUTED_VALUE"""),"Shotgun")</f>
        <v>Shotgun</v>
      </c>
      <c r="C517" s="103">
        <f>IFERROR(__xludf.DUMMYFUNCTION("""COMPUTED_VALUE"""),66.0)</f>
        <v>66</v>
      </c>
      <c r="D517" s="102" t="str">
        <f>IFERROR(__xludf.DUMMYFUNCTION("""COMPUTED_VALUE"""),"Manufacturer Part")</f>
        <v>Manufacturer Part</v>
      </c>
      <c r="E517" s="102" t="str">
        <f>IFERROR(__xludf.DUMMYFUNCTION("""COMPUTED_VALUE"""),"JAK_SG.part_barrel_licensed_ted_combo")</f>
        <v>JAK_SG.part_barrel_licensed_ted_combo</v>
      </c>
      <c r="F517" s="102"/>
      <c r="G517" s="102" t="str">
        <f>IFERROR(__xludf.DUMMYFUNCTION("""COMPUTED_VALUE"""),"Tediore Combo, no stat changes")</f>
        <v>Tediore Combo, no stat changes</v>
      </c>
      <c r="H517" s="102"/>
      <c r="I517" s="102"/>
      <c r="J517" s="102"/>
      <c r="K517" s="102"/>
      <c r="L517" s="102"/>
    </row>
    <row r="518">
      <c r="A518" s="102" t="str">
        <f>IFERROR(__xludf.DUMMYFUNCTION("""COMPUTED_VALUE"""),"Jakobs")</f>
        <v>Jakobs</v>
      </c>
      <c r="B518" s="102" t="str">
        <f>IFERROR(__xludf.DUMMYFUNCTION("""COMPUTED_VALUE"""),"Shotgun")</f>
        <v>Shotgun</v>
      </c>
      <c r="C518" s="103">
        <f>IFERROR(__xludf.DUMMYFUNCTION("""COMPUTED_VALUE"""),67.0)</f>
        <v>67</v>
      </c>
      <c r="D518" s="102" t="str">
        <f>IFERROR(__xludf.DUMMYFUNCTION("""COMPUTED_VALUE"""),"Manufacturer Part")</f>
        <v>Manufacturer Part</v>
      </c>
      <c r="E518" s="102" t="str">
        <f>IFERROR(__xludf.DUMMYFUNCTION("""COMPUTED_VALUE"""),"JAK_SG.part_barrel_licensed_hyp")</f>
        <v>JAK_SG.part_barrel_licensed_hyp</v>
      </c>
      <c r="F518" s="102"/>
      <c r="G518" s="102" t="str">
        <f>IFERROR(__xludf.DUMMYFUNCTION("""COMPUTED_VALUE"""),"Hyperion Shield visual accessory, no stat changes")</f>
        <v>Hyperion Shield visual accessory, no stat changes</v>
      </c>
      <c r="H518" s="102"/>
      <c r="I518" s="102"/>
      <c r="J518" s="102"/>
      <c r="K518" s="102"/>
      <c r="L518" s="102"/>
    </row>
    <row r="519">
      <c r="A519" s="102" t="str">
        <f>IFERROR(__xludf.DUMMYFUNCTION("""COMPUTED_VALUE"""),"Jakobs")</f>
        <v>Jakobs</v>
      </c>
      <c r="B519" s="102" t="str">
        <f>IFERROR(__xludf.DUMMYFUNCTION("""COMPUTED_VALUE"""),"Shotgun")</f>
        <v>Shotgun</v>
      </c>
      <c r="C519" s="103">
        <f>IFERROR(__xludf.DUMMYFUNCTION("""COMPUTED_VALUE"""),68.0)</f>
        <v>68</v>
      </c>
      <c r="D519" s="102" t="str">
        <f>IFERROR(__xludf.DUMMYFUNCTION("""COMPUTED_VALUE"""),"Foregrip")</f>
        <v>Foregrip</v>
      </c>
      <c r="E519" s="102" t="str">
        <f>IFERROR(__xludf.DUMMYFUNCTION("""COMPUTED_VALUE"""),"JAK_SG.part_foregrip_01")</f>
        <v>JAK_SG.part_foregrip_01</v>
      </c>
      <c r="F519" s="102"/>
      <c r="G519" s="102" t="str">
        <f>IFERROR(__xludf.DUMMYFUNCTION("""COMPUTED_VALUE"""),"+Damage")</f>
        <v>+Damage</v>
      </c>
      <c r="H519" s="102"/>
      <c r="I519" s="102"/>
      <c r="J519" s="102"/>
      <c r="K519" s="102"/>
      <c r="L519" s="102"/>
    </row>
    <row r="520">
      <c r="A520" s="102" t="str">
        <f>IFERROR(__xludf.DUMMYFUNCTION("""COMPUTED_VALUE"""),"Jakobs")</f>
        <v>Jakobs</v>
      </c>
      <c r="B520" s="102" t="str">
        <f>IFERROR(__xludf.DUMMYFUNCTION("""COMPUTED_VALUE"""),"Shotgun")</f>
        <v>Shotgun</v>
      </c>
      <c r="C520" s="103">
        <f>IFERROR(__xludf.DUMMYFUNCTION("""COMPUTED_VALUE"""),69.0)</f>
        <v>69</v>
      </c>
      <c r="D520" s="102" t="str">
        <f>IFERROR(__xludf.DUMMYFUNCTION("""COMPUTED_VALUE"""),"Manufacturer Part")</f>
        <v>Manufacturer Part</v>
      </c>
      <c r="E520" s="102" t="str">
        <f>IFERROR(__xludf.DUMMYFUNCTION("""COMPUTED_VALUE"""),"JAK_SG.part_mag_torgue_normal")</f>
        <v>JAK_SG.part_mag_torgue_normal</v>
      </c>
      <c r="F520" s="102"/>
      <c r="G520" s="102" t="str">
        <f>IFERROR(__xludf.DUMMYFUNCTION("""COMPUTED_VALUE"""),"Torgue Impact Gyrojets")</f>
        <v>Torgue Impact Gyrojets</v>
      </c>
      <c r="H520" s="102"/>
      <c r="I520" s="102"/>
      <c r="J520" s="102"/>
      <c r="K520" s="102"/>
      <c r="L520" s="102"/>
    </row>
    <row r="521">
      <c r="A521" s="102" t="str">
        <f>IFERROR(__xludf.DUMMYFUNCTION("""COMPUTED_VALUE"""),"Jakobs")</f>
        <v>Jakobs</v>
      </c>
      <c r="B521" s="102" t="str">
        <f>IFERROR(__xludf.DUMMYFUNCTION("""COMPUTED_VALUE"""),"Shotgun")</f>
        <v>Shotgun</v>
      </c>
      <c r="C521" s="103">
        <f>IFERROR(__xludf.DUMMYFUNCTION("""COMPUTED_VALUE"""),70.0)</f>
        <v>70</v>
      </c>
      <c r="D521" s="102" t="str">
        <f>IFERROR(__xludf.DUMMYFUNCTION("""COMPUTED_VALUE"""),"Manufacturer Part")</f>
        <v>Manufacturer Part</v>
      </c>
      <c r="E521" s="102" t="str">
        <f>IFERROR(__xludf.DUMMYFUNCTION("""COMPUTED_VALUE"""),"JAK_SG.part_mag_torgue_sticky")</f>
        <v>JAK_SG.part_mag_torgue_sticky</v>
      </c>
      <c r="F521" s="102"/>
      <c r="G521" s="102" t="str">
        <f>IFERROR(__xludf.DUMMYFUNCTION("""COMPUTED_VALUE"""),"Torgue Sticky Gyrojets")</f>
        <v>Torgue Sticky Gyrojets</v>
      </c>
      <c r="H521" s="102"/>
      <c r="I521" s="102"/>
      <c r="J521" s="102"/>
      <c r="K521" s="102"/>
      <c r="L521" s="102"/>
    </row>
    <row r="522">
      <c r="A522" s="102" t="str">
        <f>IFERROR(__xludf.DUMMYFUNCTION("""COMPUTED_VALUE"""),"Jakobs")</f>
        <v>Jakobs</v>
      </c>
      <c r="B522" s="102" t="str">
        <f>IFERROR(__xludf.DUMMYFUNCTION("""COMPUTED_VALUE"""),"Shotgun")</f>
        <v>Shotgun</v>
      </c>
      <c r="C522" s="103">
        <f>IFERROR(__xludf.DUMMYFUNCTION("""COMPUTED_VALUE"""),71.0)</f>
        <v>71</v>
      </c>
      <c r="D522" s="102" t="str">
        <f>IFERROR(__xludf.DUMMYFUNCTION("""COMPUTED_VALUE"""),"Stat Modifier")</f>
        <v>Stat Modifier</v>
      </c>
      <c r="E522" s="102" t="str">
        <f>IFERROR(__xludf.DUMMYFUNCTION("""COMPUTED_VALUE"""),"JAK_SG.part_body_ele_rainbowvomit_cor_rad_shock")</f>
        <v>JAK_SG.part_body_ele_rainbowvomit_cor_rad_shock</v>
      </c>
      <c r="F522" s="102"/>
      <c r="G522" s="102" t="str">
        <f>IFERROR(__xludf.DUMMYFUNCTION("""COMPUTED_VALUE"""),"Color Spray - Corrosive, Radiaion, Shock")</f>
        <v>Color Spray - Corrosive, Radiaion, Shock</v>
      </c>
      <c r="H522" s="102"/>
      <c r="I522" s="102"/>
      <c r="J522" s="102"/>
      <c r="K522" s="102"/>
      <c r="L522" s="102"/>
    </row>
    <row r="523">
      <c r="A523" s="102" t="str">
        <f>IFERROR(__xludf.DUMMYFUNCTION("""COMPUTED_VALUE"""),"Jakobs")</f>
        <v>Jakobs</v>
      </c>
      <c r="B523" s="102" t="str">
        <f>IFERROR(__xludf.DUMMYFUNCTION("""COMPUTED_VALUE"""),"Shotgun")</f>
        <v>Shotgun</v>
      </c>
      <c r="C523" s="103">
        <f>IFERROR(__xludf.DUMMYFUNCTION("""COMPUTED_VALUE"""),72.0)</f>
        <v>72</v>
      </c>
      <c r="D523" s="102" t="str">
        <f>IFERROR(__xludf.DUMMYFUNCTION("""COMPUTED_VALUE"""),"Stat Modifier")</f>
        <v>Stat Modifier</v>
      </c>
      <c r="E523" s="102" t="str">
        <f>IFERROR(__xludf.DUMMYFUNCTION("""COMPUTED_VALUE"""),"JAK_SG.part_body_ele_rainbowvomit_cor_fire_shock")</f>
        <v>JAK_SG.part_body_ele_rainbowvomit_cor_fire_shock</v>
      </c>
      <c r="F523" s="102"/>
      <c r="G523" s="102" t="str">
        <f>IFERROR(__xludf.DUMMYFUNCTION("""COMPUTED_VALUE"""),"Color Spray - Corrosive, Fire, Shock")</f>
        <v>Color Spray - Corrosive, Fire, Shock</v>
      </c>
      <c r="H523" s="102"/>
      <c r="I523" s="102"/>
      <c r="J523" s="102"/>
      <c r="K523" s="102"/>
      <c r="L523" s="102"/>
    </row>
    <row r="524">
      <c r="A524" s="102" t="str">
        <f>IFERROR(__xludf.DUMMYFUNCTION("""COMPUTED_VALUE"""),"Jakobs")</f>
        <v>Jakobs</v>
      </c>
      <c r="B524" s="102" t="str">
        <f>IFERROR(__xludf.DUMMYFUNCTION("""COMPUTED_VALUE"""),"Shotgun")</f>
        <v>Shotgun</v>
      </c>
      <c r="C524" s="103">
        <f>IFERROR(__xludf.DUMMYFUNCTION("""COMPUTED_VALUE"""),73.0)</f>
        <v>73</v>
      </c>
      <c r="D524" s="102" t="str">
        <f>IFERROR(__xludf.DUMMYFUNCTION("""COMPUTED_VALUE"""),"Stat Modifier")</f>
        <v>Stat Modifier</v>
      </c>
      <c r="E524" s="102" t="str">
        <f>IFERROR(__xludf.DUMMYFUNCTION("""COMPUTED_VALUE"""),"JAK_SG.part_body_ele_rainbowvomit_cor_fire_rad")</f>
        <v>JAK_SG.part_body_ele_rainbowvomit_cor_fire_rad</v>
      </c>
      <c r="F524" s="102"/>
      <c r="G524" s="102" t="str">
        <f>IFERROR(__xludf.DUMMYFUNCTION("""COMPUTED_VALUE"""),"Color Spray - Corrosive, Fire, Radiation")</f>
        <v>Color Spray - Corrosive, Fire, Radiation</v>
      </c>
      <c r="H524" s="102"/>
      <c r="I524" s="102"/>
      <c r="J524" s="102"/>
      <c r="K524" s="102"/>
      <c r="L524" s="102"/>
    </row>
    <row r="525">
      <c r="A525" s="102" t="str">
        <f>IFERROR(__xludf.DUMMYFUNCTION("""COMPUTED_VALUE"""),"Jakobs")</f>
        <v>Jakobs</v>
      </c>
      <c r="B525" s="102" t="str">
        <f>IFERROR(__xludf.DUMMYFUNCTION("""COMPUTED_VALUE"""),"Shotgun")</f>
        <v>Shotgun</v>
      </c>
      <c r="C525" s="103">
        <f>IFERROR(__xludf.DUMMYFUNCTION("""COMPUTED_VALUE"""),74.0)</f>
        <v>74</v>
      </c>
      <c r="D525" s="102" t="str">
        <f>IFERROR(__xludf.DUMMYFUNCTION("""COMPUTED_VALUE"""),"Stat Modifier")</f>
        <v>Stat Modifier</v>
      </c>
      <c r="E525" s="102" t="str">
        <f>IFERROR(__xludf.DUMMYFUNCTION("""COMPUTED_VALUE"""),"JAK_SG.part_body_ele_rainbowvomit_cor_cryo_shock")</f>
        <v>JAK_SG.part_body_ele_rainbowvomit_cor_cryo_shock</v>
      </c>
      <c r="F525" s="102"/>
      <c r="G525" s="102" t="str">
        <f>IFERROR(__xludf.DUMMYFUNCTION("""COMPUTED_VALUE"""),"Color Spray - Corrosive, Cryo Shock")</f>
        <v>Color Spray - Corrosive, Cryo Shock</v>
      </c>
      <c r="H525" s="102"/>
      <c r="I525" s="102"/>
      <c r="J525" s="102"/>
      <c r="K525" s="102"/>
      <c r="L525" s="102"/>
    </row>
    <row r="526">
      <c r="A526" s="102" t="str">
        <f>IFERROR(__xludf.DUMMYFUNCTION("""COMPUTED_VALUE"""),"Jakobs")</f>
        <v>Jakobs</v>
      </c>
      <c r="B526" s="102" t="str">
        <f>IFERROR(__xludf.DUMMYFUNCTION("""COMPUTED_VALUE"""),"Shotgun")</f>
        <v>Shotgun</v>
      </c>
      <c r="C526" s="103">
        <f>IFERROR(__xludf.DUMMYFUNCTION("""COMPUTED_VALUE"""),75.0)</f>
        <v>75</v>
      </c>
      <c r="D526" s="102" t="str">
        <f>IFERROR(__xludf.DUMMYFUNCTION("""COMPUTED_VALUE"""),"Stat Modifier")</f>
        <v>Stat Modifier</v>
      </c>
      <c r="E526" s="102" t="str">
        <f>IFERROR(__xludf.DUMMYFUNCTION("""COMPUTED_VALUE"""),"JAK_SG.part_body_ele_rainbowvomit_cor_cryo_rad")</f>
        <v>JAK_SG.part_body_ele_rainbowvomit_cor_cryo_rad</v>
      </c>
      <c r="F526" s="102"/>
      <c r="G526" s="102" t="str">
        <f>IFERROR(__xludf.DUMMYFUNCTION("""COMPUTED_VALUE"""),"Color Spray - Corrosive, Cryo, Radiation")</f>
        <v>Color Spray - Corrosive, Cryo, Radiation</v>
      </c>
      <c r="H526" s="102"/>
      <c r="I526" s="102"/>
      <c r="J526" s="102"/>
      <c r="K526" s="102"/>
      <c r="L526" s="102"/>
    </row>
    <row r="527">
      <c r="A527" s="102" t="str">
        <f>IFERROR(__xludf.DUMMYFUNCTION("""COMPUTED_VALUE"""),"Jakobs")</f>
        <v>Jakobs</v>
      </c>
      <c r="B527" s="102" t="str">
        <f>IFERROR(__xludf.DUMMYFUNCTION("""COMPUTED_VALUE"""),"Shotgun")</f>
        <v>Shotgun</v>
      </c>
      <c r="C527" s="103">
        <f>IFERROR(__xludf.DUMMYFUNCTION("""COMPUTED_VALUE"""),76.0)</f>
        <v>76</v>
      </c>
      <c r="D527" s="102" t="str">
        <f>IFERROR(__xludf.DUMMYFUNCTION("""COMPUTED_VALUE"""),"Stat Modifier")</f>
        <v>Stat Modifier</v>
      </c>
      <c r="E527" s="102" t="str">
        <f>IFERROR(__xludf.DUMMYFUNCTION("""COMPUTED_VALUE"""),"JAK_SG.part_body_ele_rainbowvomit_cor_cryo_fire")</f>
        <v>JAK_SG.part_body_ele_rainbowvomit_cor_cryo_fire</v>
      </c>
      <c r="F527" s="102"/>
      <c r="G527" s="102" t="str">
        <f>IFERROR(__xludf.DUMMYFUNCTION("""COMPUTED_VALUE"""),"Color Spray - Corrosive, Cryo, Fire")</f>
        <v>Color Spray - Corrosive, Cryo, Fire</v>
      </c>
      <c r="H527" s="102"/>
      <c r="I527" s="102"/>
      <c r="J527" s="102"/>
      <c r="K527" s="102"/>
      <c r="L527" s="102"/>
    </row>
    <row r="528">
      <c r="A528" s="102" t="str">
        <f>IFERROR(__xludf.DUMMYFUNCTION("""COMPUTED_VALUE"""),"Jakobs")</f>
        <v>Jakobs</v>
      </c>
      <c r="B528" s="102" t="str">
        <f>IFERROR(__xludf.DUMMYFUNCTION("""COMPUTED_VALUE"""),"Shotgun")</f>
        <v>Shotgun</v>
      </c>
      <c r="C528" s="103">
        <f>IFERROR(__xludf.DUMMYFUNCTION("""COMPUTED_VALUE"""),77.0)</f>
        <v>77</v>
      </c>
      <c r="D528" s="102" t="str">
        <f>IFERROR(__xludf.DUMMYFUNCTION("""COMPUTED_VALUE"""),"Stat Modifier")</f>
        <v>Stat Modifier</v>
      </c>
      <c r="E528" s="102" t="str">
        <f>IFERROR(__xludf.DUMMYFUNCTION("""COMPUTED_VALUE"""),"JAK_SG.part_body_ele_rainbowvomit_fire_rad_shock")</f>
        <v>JAK_SG.part_body_ele_rainbowvomit_fire_rad_shock</v>
      </c>
      <c r="F528" s="102"/>
      <c r="G528" s="102" t="str">
        <f>IFERROR(__xludf.DUMMYFUNCTION("""COMPUTED_VALUE"""),"Color Spray - Fire, Radiation, Shock")</f>
        <v>Color Spray - Fire, Radiation, Shock</v>
      </c>
      <c r="H528" s="102"/>
      <c r="I528" s="102"/>
      <c r="J528" s="102"/>
      <c r="K528" s="102"/>
      <c r="L528" s="102"/>
    </row>
    <row r="529">
      <c r="A529" s="102" t="str">
        <f>IFERROR(__xludf.DUMMYFUNCTION("""COMPUTED_VALUE"""),"Jakobs")</f>
        <v>Jakobs</v>
      </c>
      <c r="B529" s="102" t="str">
        <f>IFERROR(__xludf.DUMMYFUNCTION("""COMPUTED_VALUE"""),"Shotgun")</f>
        <v>Shotgun</v>
      </c>
      <c r="C529" s="103">
        <f>IFERROR(__xludf.DUMMYFUNCTION("""COMPUTED_VALUE"""),78.0)</f>
        <v>78</v>
      </c>
      <c r="D529" s="102" t="str">
        <f>IFERROR(__xludf.DUMMYFUNCTION("""COMPUTED_VALUE"""),"Magazine")</f>
        <v>Magazine</v>
      </c>
      <c r="E529" s="102" t="str">
        <f>IFERROR(__xludf.DUMMYFUNCTION("""COMPUTED_VALUE"""),"JAK_SG.part_mag_01_slugger")</f>
        <v>JAK_SG.part_mag_01_slugger</v>
      </c>
      <c r="F529" s="102"/>
      <c r="G529" s="102" t="str">
        <f>IFERROR(__xludf.DUMMYFUNCTION("""COMPUTED_VALUE"""),"0.9s Reload, +Damage, 1 Shot")</f>
        <v>0.9s Reload, +Damage, 1 Shot</v>
      </c>
      <c r="H529" s="102" t="str">
        <f>IFERROR(__xludf.DUMMYFUNCTION("""COMPUTED_VALUE"""),"Hot Slugger Mag")</f>
        <v>Hot Slugger Mag</v>
      </c>
      <c r="I529" s="102"/>
      <c r="J529" s="102"/>
      <c r="K529" s="102"/>
      <c r="L529" s="102"/>
    </row>
    <row r="530">
      <c r="A530" s="102" t="str">
        <f>IFERROR(__xludf.DUMMYFUNCTION("""COMPUTED_VALUE"""),"Jakobs")</f>
        <v>Jakobs</v>
      </c>
      <c r="B530" s="102" t="str">
        <f>IFERROR(__xludf.DUMMYFUNCTION("""COMPUTED_VALUE"""),"Shotgun")</f>
        <v>Shotgun</v>
      </c>
      <c r="C530" s="103">
        <f>IFERROR(__xludf.DUMMYFUNCTION("""COMPUTED_VALUE"""),79.0)</f>
        <v>79</v>
      </c>
      <c r="D530" s="102" t="str">
        <f>IFERROR(__xludf.DUMMYFUNCTION("""COMPUTED_VALUE"""),"Barrel")</f>
        <v>Barrel</v>
      </c>
      <c r="E530" s="102" t="str">
        <f>IFERROR(__xludf.DUMMYFUNCTION("""COMPUTED_VALUE"""),"JAK_SG.part_barrel_01_slugger")</f>
        <v>JAK_SG.part_barrel_01_slugger</v>
      </c>
      <c r="F530" s="102"/>
      <c r="G530" s="102" t="str">
        <f>IFERROR(__xludf.DUMMYFUNCTION("""COMPUTED_VALUE"""),"Hot Slugger, 5019 Damage, 82% Acc, 1.0/s FR, 1 AMMO")</f>
        <v>Hot Slugger, 5019 Damage, 82% Acc, 1.0/s FR, 1 AMMO</v>
      </c>
      <c r="H530" s="102" t="str">
        <f>IFERROR(__xludf.DUMMYFUNCTION("""COMPUTED_VALUE"""),"Blazing Barrel - On kill, deal +30% Damage for 10s for a Maximum 3 Stacks")</f>
        <v>Blazing Barrel - On kill, deal +30% Damage for 10s for a Maximum 3 Stacks</v>
      </c>
      <c r="I530" s="102"/>
      <c r="J530" s="102"/>
      <c r="K530" s="102"/>
      <c r="L530" s="102"/>
    </row>
    <row r="531">
      <c r="A531" s="102" t="str">
        <f>IFERROR(__xludf.DUMMYFUNCTION("""COMPUTED_VALUE"""),"Jakobs")</f>
        <v>Jakobs</v>
      </c>
      <c r="B531" s="102" t="str">
        <f>IFERROR(__xludf.DUMMYFUNCTION("""COMPUTED_VALUE"""),"Shotgun")</f>
        <v>Shotgun</v>
      </c>
      <c r="C531" s="103">
        <f>IFERROR(__xludf.DUMMYFUNCTION("""COMPUTED_VALUE"""),82.0)</f>
        <v>82</v>
      </c>
      <c r="D531" s="102" t="str">
        <f>IFERROR(__xludf.DUMMYFUNCTION("""COMPUTED_VALUE"""),"Barrel")</f>
        <v>Barrel</v>
      </c>
      <c r="E531" s="102" t="str">
        <f>IFERROR(__xludf.DUMMYFUNCTION("""COMPUTED_VALUE"""),"JAK_SG.part_barrel_01_hellwalker")</f>
        <v>JAK_SG.part_barrel_01_hellwalker</v>
      </c>
      <c r="F531" s="102"/>
      <c r="G531" s="102" t="str">
        <f>IFERROR(__xludf.DUMMYFUNCTION("""COMPUTED_VALUE"""),"Hellwalker, 1071 x 10 Damage, 45% Acc, 2.0/s FR, 2 Shot")</f>
        <v>Hellwalker, 1071 x 10 Damage, 45% Acc, 2.0/s FR, 2 Shot</v>
      </c>
      <c r="H531" s="102" t="str">
        <f>IFERROR(__xludf.DUMMYFUNCTION("""COMPUTED_VALUE"""),"Soothslayer")</f>
        <v>Soothslayer</v>
      </c>
      <c r="I531" s="102"/>
      <c r="J531" s="102"/>
      <c r="K531" s="102"/>
      <c r="L531" s="102"/>
    </row>
    <row r="532">
      <c r="A532" s="102" t="str">
        <f>IFERROR(__xludf.DUMMYFUNCTION("""COMPUTED_VALUE"""),"Jakobs")</f>
        <v>Jakobs</v>
      </c>
      <c r="B532" s="102" t="str">
        <f>IFERROR(__xludf.DUMMYFUNCTION("""COMPUTED_VALUE"""),"Shotgun")</f>
        <v>Shotgun</v>
      </c>
      <c r="C532" s="103">
        <f>IFERROR(__xludf.DUMMYFUNCTION("""COMPUTED_VALUE"""),84.0)</f>
        <v>84</v>
      </c>
      <c r="D532" s="102" t="str">
        <f>IFERROR(__xludf.DUMMYFUNCTION("""COMPUTED_VALUE"""),"Stat Modifier")</f>
        <v>Stat Modifier</v>
      </c>
      <c r="E532" s="102" t="str">
        <f>IFERROR(__xludf.DUMMYFUNCTION("""COMPUTED_VALUE"""),"JAK_SG.part_body_ele_rainbowvomit_cryo_rad_shock")</f>
        <v>JAK_SG.part_body_ele_rainbowvomit_cryo_rad_shock</v>
      </c>
      <c r="F532" s="102"/>
      <c r="G532" s="102" t="str">
        <f>IFERROR(__xludf.DUMMYFUNCTION("""COMPUTED_VALUE"""),"Color Spray - Cryo, Radiation, Shock")</f>
        <v>Color Spray - Cryo, Radiation, Shock</v>
      </c>
      <c r="H532" s="102"/>
      <c r="I532" s="102"/>
      <c r="J532" s="102"/>
      <c r="K532" s="102"/>
      <c r="L532" s="102"/>
    </row>
    <row r="533">
      <c r="A533" s="102" t="str">
        <f>IFERROR(__xludf.DUMMYFUNCTION("""COMPUTED_VALUE"""),"Jakobs")</f>
        <v>Jakobs</v>
      </c>
      <c r="B533" s="102" t="str">
        <f>IFERROR(__xludf.DUMMYFUNCTION("""COMPUTED_VALUE"""),"Shotgun")</f>
        <v>Shotgun</v>
      </c>
      <c r="C533" s="103">
        <f>IFERROR(__xludf.DUMMYFUNCTION("""COMPUTED_VALUE"""),86.0)</f>
        <v>86</v>
      </c>
      <c r="D533" s="102" t="str">
        <f>IFERROR(__xludf.DUMMYFUNCTION("""COMPUTED_VALUE"""),"Barrel")</f>
        <v>Barrel</v>
      </c>
      <c r="E533" s="102" t="str">
        <f>IFERROR(__xludf.DUMMYFUNCTION("""COMPUTED_VALUE"""),"JAK_SG.part_barrel_rainbowvomit")</f>
        <v>JAK_SG.part_barrel_rainbowvomit</v>
      </c>
      <c r="F533" s="102"/>
      <c r="G533" s="102" t="str">
        <f>IFERROR(__xludf.DUMMYFUNCTION("""COMPUTED_VALUE"""),"Rainbow Vomit, 823 x 6 Damage, 73% Acc, 1.5/s FR")</f>
        <v>Rainbow Vomit, 823 x 6 Damage, 73% Acc, 1.5/s FR</v>
      </c>
      <c r="H533" s="102"/>
      <c r="I533" s="102"/>
      <c r="J533" s="102"/>
      <c r="K533" s="102"/>
      <c r="L533" s="102"/>
    </row>
    <row r="534">
      <c r="A534" s="102" t="str">
        <f>IFERROR(__xludf.DUMMYFUNCTION("""COMPUTED_VALUE"""),"Jakobs")</f>
        <v>Jakobs</v>
      </c>
      <c r="B534" s="102" t="str">
        <f>IFERROR(__xludf.DUMMYFUNCTION("""COMPUTED_VALUE"""),"Shotgun")</f>
        <v>Shotgun</v>
      </c>
      <c r="C534" s="103">
        <f>IFERROR(__xludf.DUMMYFUNCTION("""COMPUTED_VALUE"""),87.0)</f>
        <v>87</v>
      </c>
      <c r="D534" s="102" t="str">
        <f>IFERROR(__xludf.DUMMYFUNCTION("""COMPUTED_VALUE"""),"Magazine")</f>
        <v>Magazine</v>
      </c>
      <c r="E534" s="102" t="str">
        <f>IFERROR(__xludf.DUMMYFUNCTION("""COMPUTED_VALUE"""),"JAK_SG.part_mag_rainbowvomit")</f>
        <v>JAK_SG.part_mag_rainbowvomit</v>
      </c>
      <c r="F534" s="102"/>
      <c r="G534" s="102" t="str">
        <f>IFERROR(__xludf.DUMMYFUNCTION("""COMPUTED_VALUE"""),"2.2s Reload, 6 Shots")</f>
        <v>2.2s Reload, 6 Shots</v>
      </c>
      <c r="H534" s="102" t="str">
        <f>IFERROR(__xludf.DUMMYFUNCTION("""COMPUTED_VALUE"""),"Rainbow Vomit Mag")</f>
        <v>Rainbow Vomit Mag</v>
      </c>
      <c r="I534" s="102"/>
      <c r="J534" s="102"/>
      <c r="K534" s="102"/>
      <c r="L534" s="102"/>
    </row>
    <row r="535">
      <c r="A535" s="102" t="str">
        <f>IFERROR(__xludf.DUMMYFUNCTION("""COMPUTED_VALUE"""),"Jakobs")</f>
        <v>Jakobs</v>
      </c>
      <c r="B535" s="102" t="str">
        <f>IFERROR(__xludf.DUMMYFUNCTION("""COMPUTED_VALUE"""),"Shotgun")</f>
        <v>Shotgun</v>
      </c>
      <c r="C535" s="103">
        <f>IFERROR(__xludf.DUMMYFUNCTION("""COMPUTED_VALUE"""),88.0)</f>
        <v>88</v>
      </c>
      <c r="D535" s="102" t="str">
        <f>IFERROR(__xludf.DUMMYFUNCTION("""COMPUTED_VALUE"""),"Manufacturer Part")</f>
        <v>Manufacturer Part</v>
      </c>
      <c r="E535" s="102" t="str">
        <f>IFERROR(__xludf.DUMMYFUNCTION("""COMPUTED_VALUE"""),"JAK_SG.part_mag_torgue_sticky_tkswave")</f>
        <v>JAK_SG.part_mag_torgue_sticky_tkswave</v>
      </c>
      <c r="F535" s="102"/>
      <c r="G535" s="102" t="str">
        <f>IFERROR(__xludf.DUMMYFUNCTION("""COMPUTED_VALUE"""),"Torgue Sticky Gyrojets")</f>
        <v>Torgue Sticky Gyrojets</v>
      </c>
      <c r="H535" s="102"/>
      <c r="I535" s="102"/>
      <c r="J535" s="102"/>
      <c r="K535" s="102"/>
      <c r="L535" s="102"/>
    </row>
    <row r="536">
      <c r="A536" s="102" t="str">
        <f>IFERROR(__xludf.DUMMYFUNCTION("""COMPUTED_VALUE"""),"Jakobs")</f>
        <v>Jakobs</v>
      </c>
      <c r="B536" s="102" t="str">
        <f>IFERROR(__xludf.DUMMYFUNCTION("""COMPUTED_VALUE"""),"Shotgun")</f>
        <v>Shotgun</v>
      </c>
      <c r="C536" s="103">
        <f>IFERROR(__xludf.DUMMYFUNCTION("""COMPUTED_VALUE"""),89.0)</f>
        <v>89</v>
      </c>
      <c r="D536" s="102" t="str">
        <f>IFERROR(__xludf.DUMMYFUNCTION("""COMPUTED_VALUE"""),"Manufacturer Part")</f>
        <v>Manufacturer Part</v>
      </c>
      <c r="E536" s="102" t="str">
        <f>IFERROR(__xludf.DUMMYFUNCTION("""COMPUTED_VALUE"""),"JAK_SG.part_mag_torgue_normal_tkswave")</f>
        <v>JAK_SG.part_mag_torgue_normal_tkswave</v>
      </c>
      <c r="F536" s="102"/>
      <c r="G536" s="102" t="str">
        <f>IFERROR(__xludf.DUMMYFUNCTION("""COMPUTED_VALUE"""),"Torgue Impact Gyrojets")</f>
        <v>Torgue Impact Gyrojets</v>
      </c>
      <c r="H536" s="102"/>
      <c r="I536" s="102"/>
      <c r="J536" s="102"/>
      <c r="K536" s="102"/>
      <c r="L536" s="102"/>
    </row>
    <row r="537">
      <c r="A537" s="102" t="str">
        <f>IFERROR(__xludf.DUMMYFUNCTION("""COMPUTED_VALUE"""),"Jakobs")</f>
        <v>Jakobs</v>
      </c>
      <c r="B537" s="102" t="str">
        <f>IFERROR(__xludf.DUMMYFUNCTION("""COMPUTED_VALUE"""),"Shotgun")</f>
        <v>Shotgun</v>
      </c>
      <c r="C537" s="103">
        <f>IFERROR(__xludf.DUMMYFUNCTION("""COMPUTED_VALUE"""),90.0)</f>
        <v>90</v>
      </c>
      <c r="D537" s="102" t="str">
        <f>IFERROR(__xludf.DUMMYFUNCTION("""COMPUTED_VALUE"""),"Barrel")</f>
        <v>Barrel</v>
      </c>
      <c r="E537" s="102" t="str">
        <f>IFERROR(__xludf.DUMMYFUNCTION("""COMPUTED_VALUE"""),"JAK_SG.part_barrel_tkswave")</f>
        <v>JAK_SG.part_barrel_tkswave</v>
      </c>
      <c r="F537" s="102"/>
      <c r="G537" s="102" t="str">
        <f>IFERROR(__xludf.DUMMYFUNCTION("""COMPUTED_VALUE"""),"T.K's Wave, 1673 x 10 Damage, 51% Acc, 1.3/s FR, 2 Shot")</f>
        <v>T.K's Wave, 1673 x 10 Damage, 51% Acc, 1.3/s FR, 2 Shot</v>
      </c>
      <c r="H537" s="102" t="str">
        <f>IFERROR(__xludf.DUMMYFUNCTION("""COMPUTED_VALUE"""),"Heirloom")</f>
        <v>Heirloom</v>
      </c>
      <c r="I537" s="102"/>
      <c r="J537" s="102"/>
      <c r="K537" s="102"/>
      <c r="L537" s="102"/>
    </row>
    <row r="538">
      <c r="A538" s="102" t="str">
        <f>IFERROR(__xludf.DUMMYFUNCTION("""COMPUTED_VALUE"""),"Jakobs")</f>
        <v>Jakobs</v>
      </c>
      <c r="B538" s="102" t="str">
        <f>IFERROR(__xludf.DUMMYFUNCTION("""COMPUTED_VALUE"""),"Shotgun")</f>
        <v>Shotgun</v>
      </c>
      <c r="C538" s="103">
        <f>IFERROR(__xludf.DUMMYFUNCTION("""COMPUTED_VALUE"""),92.0)</f>
        <v>92</v>
      </c>
      <c r="D538" s="102" t="str">
        <f>IFERROR(__xludf.DUMMYFUNCTION("""COMPUTED_VALUE"""),"Magazine")</f>
        <v>Magazine</v>
      </c>
      <c r="E538" s="102" t="str">
        <f>IFERROR(__xludf.DUMMYFUNCTION("""COMPUTED_VALUE"""),"JAK_SG.part_mag_02_b02")</f>
        <v>JAK_SG.part_mag_02_b02</v>
      </c>
      <c r="F538" s="102"/>
      <c r="G538" s="102" t="str">
        <f>IFERROR(__xludf.DUMMYFUNCTION("""COMPUTED_VALUE"""),"5.5s Reload, -Damage, 6 Shots, 2 Shot")</f>
        <v>5.5s Reload, -Damage, 6 Shots, 2 Shot</v>
      </c>
      <c r="H538" s="102" t="str">
        <f>IFERROR(__xludf.DUMMYFUNCTION("""COMPUTED_VALUE"""),"Mag 02 for Barrel 02")</f>
        <v>Mag 02 for Barrel 02</v>
      </c>
      <c r="I538" s="102"/>
      <c r="J538" s="102"/>
      <c r="K538" s="102"/>
      <c r="L538" s="102"/>
    </row>
    <row r="539">
      <c r="A539" s="102" t="str">
        <f>IFERROR(__xludf.DUMMYFUNCTION("""COMPUTED_VALUE"""),"Jakobs")</f>
        <v>Jakobs</v>
      </c>
      <c r="B539" s="102" t="str">
        <f>IFERROR(__xludf.DUMMYFUNCTION("""COMPUTED_VALUE"""),"Shotgun")</f>
        <v>Shotgun</v>
      </c>
      <c r="C539" s="103">
        <f>IFERROR(__xludf.DUMMYFUNCTION("""COMPUTED_VALUE"""),93.0)</f>
        <v>93</v>
      </c>
      <c r="D539" s="102" t="str">
        <f>IFERROR(__xludf.DUMMYFUNCTION("""COMPUTED_VALUE"""),"Magazine")</f>
        <v>Magazine</v>
      </c>
      <c r="E539" s="102" t="str">
        <f>IFERROR(__xludf.DUMMYFUNCTION("""COMPUTED_VALUE"""),"JAK_SG.part_mag_01_b01")</f>
        <v>JAK_SG.part_mag_01_b01</v>
      </c>
      <c r="F539" s="102"/>
      <c r="G539" s="102" t="str">
        <f>IFERROR(__xludf.DUMMYFUNCTION("""COMPUTED_VALUE"""),"1.7s Reload, +Damage, 1 Shot")</f>
        <v>1.7s Reload, +Damage, 1 Shot</v>
      </c>
      <c r="H539" s="102" t="str">
        <f>IFERROR(__xludf.DUMMYFUNCTION("""COMPUTED_VALUE"""),"Mag 01 for Barrel 01")</f>
        <v>Mag 01 for Barrel 01</v>
      </c>
      <c r="I539" s="102"/>
      <c r="J539" s="102"/>
      <c r="K539" s="102"/>
      <c r="L539" s="102"/>
    </row>
    <row r="540">
      <c r="A540" s="102" t="str">
        <f>IFERROR(__xludf.DUMMYFUNCTION("""COMPUTED_VALUE"""),"Jakobs")</f>
        <v>Jakobs</v>
      </c>
      <c r="B540" s="102" t="str">
        <f>IFERROR(__xludf.DUMMYFUNCTION("""COMPUTED_VALUE"""),"Shotgun")</f>
        <v>Shotgun</v>
      </c>
      <c r="C540" s="103">
        <f>IFERROR(__xludf.DUMMYFUNCTION("""COMPUTED_VALUE"""),94.0)</f>
        <v>94</v>
      </c>
      <c r="D540" s="102" t="str">
        <f>IFERROR(__xludf.DUMMYFUNCTION("""COMPUTED_VALUE"""),"Magazine")</f>
        <v>Magazine</v>
      </c>
      <c r="E540" s="102" t="str">
        <f>IFERROR(__xludf.DUMMYFUNCTION("""COMPUTED_VALUE"""),"JAK_SG.part_mag_01_b02")</f>
        <v>JAK_SG.part_mag_01_b02</v>
      </c>
      <c r="F540" s="102"/>
      <c r="G540" s="102" t="str">
        <f>IFERROR(__xludf.DUMMYFUNCTION("""COMPUTED_VALUE"""),"1.7s Reload, 2 Shots, 2 Shot")</f>
        <v>1.7s Reload, 2 Shots, 2 Shot</v>
      </c>
      <c r="H540" s="102" t="str">
        <f>IFERROR(__xludf.DUMMYFUNCTION("""COMPUTED_VALUE"""),"Mag 01 for Barrel 02")</f>
        <v>Mag 01 for Barrel 02</v>
      </c>
      <c r="I540" s="102"/>
      <c r="J540" s="102"/>
      <c r="K540" s="102"/>
      <c r="L540" s="102"/>
    </row>
    <row r="541">
      <c r="A541" s="102" t="str">
        <f>IFERROR(__xludf.DUMMYFUNCTION("""COMPUTED_VALUE"""),"Jakobs")</f>
        <v>Jakobs</v>
      </c>
      <c r="B541" s="102" t="str">
        <f>IFERROR(__xludf.DUMMYFUNCTION("""COMPUTED_VALUE"""),"Sniper")</f>
        <v>Sniper</v>
      </c>
      <c r="C541" s="103">
        <f>IFERROR(__xludf.DUMMYFUNCTION("""COMPUTED_VALUE"""),2.0)</f>
        <v>2</v>
      </c>
      <c r="D541" s="102" t="str">
        <f>IFERROR(__xludf.DUMMYFUNCTION("""COMPUTED_VALUE"""),"Body")</f>
        <v>Body</v>
      </c>
      <c r="E541" s="102" t="str">
        <f>IFERROR(__xludf.DUMMYFUNCTION("""COMPUTED_VALUE"""),"JAK_SR.part_body")</f>
        <v>JAK_SR.part_body</v>
      </c>
      <c r="F541" s="102"/>
      <c r="G541" s="102" t="str">
        <f>IFERROR(__xludf.DUMMYFUNCTION("""COMPUTED_VALUE"""),"No Stat Changes, always present")</f>
        <v>No Stat Changes, always present</v>
      </c>
      <c r="H541" s="102"/>
      <c r="I541" s="102"/>
      <c r="J541" s="102"/>
      <c r="K541" s="102"/>
      <c r="L541" s="102"/>
    </row>
    <row r="542">
      <c r="A542" s="102" t="str">
        <f>IFERROR(__xludf.DUMMYFUNCTION("""COMPUTED_VALUE"""),"Jakobs")</f>
        <v>Jakobs</v>
      </c>
      <c r="B542" s="102" t="str">
        <f>IFERROR(__xludf.DUMMYFUNCTION("""COMPUTED_VALUE"""),"Sniper")</f>
        <v>Sniper</v>
      </c>
      <c r="C542" s="103">
        <f>IFERROR(__xludf.DUMMYFUNCTION("""COMPUTED_VALUE"""),3.0)</f>
        <v>3</v>
      </c>
      <c r="D542" s="102" t="str">
        <f>IFERROR(__xludf.DUMMYFUNCTION("""COMPUTED_VALUE"""),"Body Accessory")</f>
        <v>Body Accessory</v>
      </c>
      <c r="E542" s="102" t="str">
        <f>IFERROR(__xludf.DUMMYFUNCTION("""COMPUTED_VALUE"""),"JAK_SR.part_body_a")</f>
        <v>JAK_SR.part_body_a</v>
      </c>
      <c r="F542" s="102"/>
      <c r="G542" s="102" t="str">
        <f>IFERROR(__xludf.DUMMYFUNCTION("""COMPUTED_VALUE"""),"-Reload Speed")</f>
        <v>-Reload Speed</v>
      </c>
      <c r="H542" s="102"/>
      <c r="I542" s="102"/>
      <c r="J542" s="102"/>
      <c r="K542" s="102"/>
      <c r="L542" s="102"/>
    </row>
    <row r="543">
      <c r="A543" s="102" t="str">
        <f>IFERROR(__xludf.DUMMYFUNCTION("""COMPUTED_VALUE"""),"Jakobs")</f>
        <v>Jakobs</v>
      </c>
      <c r="B543" s="102" t="str">
        <f>IFERROR(__xludf.DUMMYFUNCTION("""COMPUTED_VALUE"""),"Sniper")</f>
        <v>Sniper</v>
      </c>
      <c r="C543" s="103">
        <f>IFERROR(__xludf.DUMMYFUNCTION("""COMPUTED_VALUE"""),4.0)</f>
        <v>4</v>
      </c>
      <c r="D543" s="102" t="str">
        <f>IFERROR(__xludf.DUMMYFUNCTION("""COMPUTED_VALUE"""),"Body Accessory")</f>
        <v>Body Accessory</v>
      </c>
      <c r="E543" s="102" t="str">
        <f>IFERROR(__xludf.DUMMYFUNCTION("""COMPUTED_VALUE"""),"JAK_SR.part_body_b")</f>
        <v>JAK_SR.part_body_b</v>
      </c>
      <c r="F543" s="102"/>
      <c r="G543" s="102" t="str">
        <f>IFERROR(__xludf.DUMMYFUNCTION("""COMPUTED_VALUE"""),"-Reload Speed")</f>
        <v>-Reload Speed</v>
      </c>
      <c r="H543" s="102"/>
      <c r="I543" s="102"/>
      <c r="J543" s="102"/>
      <c r="K543" s="102"/>
      <c r="L543" s="102"/>
    </row>
    <row r="544">
      <c r="A544" s="102" t="str">
        <f>IFERROR(__xludf.DUMMYFUNCTION("""COMPUTED_VALUE"""),"Jakobs")</f>
        <v>Jakobs</v>
      </c>
      <c r="B544" s="102" t="str">
        <f>IFERROR(__xludf.DUMMYFUNCTION("""COMPUTED_VALUE"""),"Sniper")</f>
        <v>Sniper</v>
      </c>
      <c r="C544" s="103">
        <f>IFERROR(__xludf.DUMMYFUNCTION("""COMPUTED_VALUE"""),5.0)</f>
        <v>5</v>
      </c>
      <c r="D544" s="102" t="str">
        <f>IFERROR(__xludf.DUMMYFUNCTION("""COMPUTED_VALUE"""),"Body Accessory")</f>
        <v>Body Accessory</v>
      </c>
      <c r="E544" s="102" t="str">
        <f>IFERROR(__xludf.DUMMYFUNCTION("""COMPUTED_VALUE"""),"JAK_SR.part_body_c")</f>
        <v>JAK_SR.part_body_c</v>
      </c>
      <c r="F544" s="102"/>
      <c r="G544" s="102" t="str">
        <f>IFERROR(__xludf.DUMMYFUNCTION("""COMPUTED_VALUE"""),"No Stat Changes")</f>
        <v>No Stat Changes</v>
      </c>
      <c r="H544" s="102"/>
      <c r="I544" s="102"/>
      <c r="J544" s="102"/>
      <c r="K544" s="102"/>
      <c r="L544" s="102"/>
    </row>
    <row r="545">
      <c r="A545" s="102" t="str">
        <f>IFERROR(__xludf.DUMMYFUNCTION("""COMPUTED_VALUE"""),"Jakobs")</f>
        <v>Jakobs</v>
      </c>
      <c r="B545" s="102" t="str">
        <f>IFERROR(__xludf.DUMMYFUNCTION("""COMPUTED_VALUE"""),"Sniper")</f>
        <v>Sniper</v>
      </c>
      <c r="C545" s="103">
        <f>IFERROR(__xludf.DUMMYFUNCTION("""COMPUTED_VALUE"""),6.0)</f>
        <v>6</v>
      </c>
      <c r="D545" s="102" t="str">
        <f>IFERROR(__xludf.DUMMYFUNCTION("""COMPUTED_VALUE"""),"Body Accessory")</f>
        <v>Body Accessory</v>
      </c>
      <c r="E545" s="102" t="str">
        <f>IFERROR(__xludf.DUMMYFUNCTION("""COMPUTED_VALUE"""),"JAK_SR.part_body_d")</f>
        <v>JAK_SR.part_body_d</v>
      </c>
      <c r="F545" s="102"/>
      <c r="G545" s="102" t="str">
        <f>IFERROR(__xludf.DUMMYFUNCTION("""COMPUTED_VALUE"""),"+Crit Damage")</f>
        <v>+Crit Damage</v>
      </c>
      <c r="H545" s="102"/>
      <c r="I545" s="102"/>
      <c r="J545" s="102"/>
      <c r="K545" s="102"/>
      <c r="L545" s="102"/>
    </row>
    <row r="546">
      <c r="A546" s="102" t="str">
        <f>IFERROR(__xludf.DUMMYFUNCTION("""COMPUTED_VALUE"""),"Jakobs")</f>
        <v>Jakobs</v>
      </c>
      <c r="B546" s="102" t="str">
        <f>IFERROR(__xludf.DUMMYFUNCTION("""COMPUTED_VALUE"""),"Sniper")</f>
        <v>Sniper</v>
      </c>
      <c r="C546" s="103">
        <f>IFERROR(__xludf.DUMMYFUNCTION("""COMPUTED_VALUE"""),7.0)</f>
        <v>7</v>
      </c>
      <c r="D546" s="102" t="str">
        <f>IFERROR(__xludf.DUMMYFUNCTION("""COMPUTED_VALUE"""),"Barrel")</f>
        <v>Barrel</v>
      </c>
      <c r="E546" s="102" t="str">
        <f>IFERROR(__xludf.DUMMYFUNCTION("""COMPUTED_VALUE"""),"JAK_SR.part_barrel_01")</f>
        <v>JAK_SR.part_barrel_01</v>
      </c>
      <c r="F546" s="102"/>
      <c r="G546" s="102" t="str">
        <f>IFERROR(__xludf.DUMMYFUNCTION("""COMPUTED_VALUE"""),"Inkanyamba, 4544 Damage, 89% Acc, 1.1/s FR")</f>
        <v>Inkanyamba, 4544 Damage, 89% Acc, 1.1/s FR</v>
      </c>
      <c r="H546" s="102"/>
      <c r="I546" s="102"/>
      <c r="J546" s="102"/>
      <c r="K546" s="102"/>
      <c r="L546" s="102"/>
    </row>
    <row r="547">
      <c r="A547" s="102" t="str">
        <f>IFERROR(__xludf.DUMMYFUNCTION("""COMPUTED_VALUE"""),"Jakobs")</f>
        <v>Jakobs</v>
      </c>
      <c r="B547" s="102" t="str">
        <f>IFERROR(__xludf.DUMMYFUNCTION("""COMPUTED_VALUE"""),"Sniper")</f>
        <v>Sniper</v>
      </c>
      <c r="C547" s="103">
        <f>IFERROR(__xludf.DUMMYFUNCTION("""COMPUTED_VALUE"""),8.0)</f>
        <v>8</v>
      </c>
      <c r="D547" s="102" t="str">
        <f>IFERROR(__xludf.DUMMYFUNCTION("""COMPUTED_VALUE"""),"Barrel")</f>
        <v>Barrel</v>
      </c>
      <c r="E547" s="102" t="str">
        <f>IFERROR(__xludf.DUMMYFUNCTION("""COMPUTED_VALUE"""),"JAK_SR.part_barrel_02")</f>
        <v>JAK_SR.part_barrel_02</v>
      </c>
      <c r="F547" s="102"/>
      <c r="G547" s="102" t="str">
        <f>IFERROR(__xludf.DUMMYFUNCTION("""COMPUTED_VALUE"""),"Xiuhcoatl, 5481 Damage, 91% Acc, 0.8/s FR")</f>
        <v>Xiuhcoatl, 5481 Damage, 91% Acc, 0.8/s FR</v>
      </c>
      <c r="H547" s="102"/>
      <c r="I547" s="102"/>
      <c r="J547" s="102"/>
      <c r="K547" s="102"/>
      <c r="L547" s="102"/>
    </row>
    <row r="548">
      <c r="A548" s="102" t="str">
        <f>IFERROR(__xludf.DUMMYFUNCTION("""COMPUTED_VALUE"""),"Jakobs")</f>
        <v>Jakobs</v>
      </c>
      <c r="B548" s="102" t="str">
        <f>IFERROR(__xludf.DUMMYFUNCTION("""COMPUTED_VALUE"""),"Sniper")</f>
        <v>Sniper</v>
      </c>
      <c r="C548" s="103">
        <f>IFERROR(__xludf.DUMMYFUNCTION("""COMPUTED_VALUE"""),9.0)</f>
        <v>9</v>
      </c>
      <c r="D548" s="102" t="str">
        <f>IFERROR(__xludf.DUMMYFUNCTION("""COMPUTED_VALUE"""),"Manufacturer Part")</f>
        <v>Manufacturer Part</v>
      </c>
      <c r="E548" s="102" t="str">
        <f>IFERROR(__xludf.DUMMYFUNCTION("""COMPUTED_VALUE"""),"JAK_SR.part_shield_default")</f>
        <v>JAK_SR.part_shield_default</v>
      </c>
      <c r="F548" s="102"/>
      <c r="G548" s="102" t="str">
        <f>IFERROR(__xludf.DUMMYFUNCTION("""COMPUTED_VALUE"""),"Hyperion Shield")</f>
        <v>Hyperion Shield</v>
      </c>
      <c r="H548" s="102"/>
      <c r="I548" s="102"/>
      <c r="J548" s="102"/>
      <c r="K548" s="102"/>
      <c r="L548" s="102"/>
    </row>
    <row r="549">
      <c r="A549" s="102" t="str">
        <f>IFERROR(__xludf.DUMMYFUNCTION("""COMPUTED_VALUE"""),"Jakobs")</f>
        <v>Jakobs</v>
      </c>
      <c r="B549" s="102" t="str">
        <f>IFERROR(__xludf.DUMMYFUNCTION("""COMPUTED_VALUE"""),"Sniper")</f>
        <v>Sniper</v>
      </c>
      <c r="C549" s="103">
        <f>IFERROR(__xludf.DUMMYFUNCTION("""COMPUTED_VALUE"""),10.0)</f>
        <v>10</v>
      </c>
      <c r="D549" s="102" t="str">
        <f>IFERROR(__xludf.DUMMYFUNCTION("""COMPUTED_VALUE"""),"Manufacturer Part")</f>
        <v>Manufacturer Part</v>
      </c>
      <c r="E549" s="102" t="str">
        <f>IFERROR(__xludf.DUMMYFUNCTION("""COMPUTED_VALUE"""),"JAK_SR.part_shield_ricochet")</f>
        <v>JAK_SR.part_shield_ricochet</v>
      </c>
      <c r="F549" s="102"/>
      <c r="G549" s="102" t="str">
        <f>IFERROR(__xludf.DUMMYFUNCTION("""COMPUTED_VALUE"""),"Hyperion Ricochet Shield")</f>
        <v>Hyperion Ricochet Shield</v>
      </c>
      <c r="H549" s="102"/>
      <c r="I549" s="102"/>
      <c r="J549" s="102"/>
      <c r="K549" s="102"/>
      <c r="L549" s="102"/>
    </row>
    <row r="550">
      <c r="A550" s="102" t="str">
        <f>IFERROR(__xludf.DUMMYFUNCTION("""COMPUTED_VALUE"""),"Jakobs")</f>
        <v>Jakobs</v>
      </c>
      <c r="B550" s="102" t="str">
        <f>IFERROR(__xludf.DUMMYFUNCTION("""COMPUTED_VALUE"""),"Sniper")</f>
        <v>Sniper</v>
      </c>
      <c r="C550" s="103">
        <f>IFERROR(__xludf.DUMMYFUNCTION("""COMPUTED_VALUE"""),11.0)</f>
        <v>11</v>
      </c>
      <c r="D550" s="102" t="str">
        <f>IFERROR(__xludf.DUMMYFUNCTION("""COMPUTED_VALUE"""),"Manufacturer Part")</f>
        <v>Manufacturer Part</v>
      </c>
      <c r="E550" s="102" t="str">
        <f>IFERROR(__xludf.DUMMYFUNCTION("""COMPUTED_VALUE"""),"JAK_SR.part_shield_ammo")</f>
        <v>JAK_SR.part_shield_ammo</v>
      </c>
      <c r="F550" s="102"/>
      <c r="G550" s="102" t="str">
        <f>IFERROR(__xludf.DUMMYFUNCTION("""COMPUTED_VALUE"""),"Hyperion Absorb Shield")</f>
        <v>Hyperion Absorb Shield</v>
      </c>
      <c r="H550" s="102"/>
      <c r="I550" s="102"/>
      <c r="J550" s="102"/>
      <c r="K550" s="102"/>
      <c r="L550" s="102"/>
    </row>
    <row r="551">
      <c r="A551" s="102" t="str">
        <f>IFERROR(__xludf.DUMMYFUNCTION("""COMPUTED_VALUE"""),"Jakobs")</f>
        <v>Jakobs</v>
      </c>
      <c r="B551" s="102" t="str">
        <f>IFERROR(__xludf.DUMMYFUNCTION("""COMPUTED_VALUE"""),"Sniper")</f>
        <v>Sniper</v>
      </c>
      <c r="C551" s="103">
        <f>IFERROR(__xludf.DUMMYFUNCTION("""COMPUTED_VALUE"""),12.0)</f>
        <v>12</v>
      </c>
      <c r="D551" s="102" t="str">
        <f>IFERROR(__xludf.DUMMYFUNCTION("""COMPUTED_VALUE"""),"Manufacturer Part")</f>
        <v>Manufacturer Part</v>
      </c>
      <c r="E551" s="102" t="str">
        <f>IFERROR(__xludf.DUMMYFUNCTION("""COMPUTED_VALUE"""),"JAK_SR.part_shield_amp")</f>
        <v>JAK_SR.part_shield_amp</v>
      </c>
      <c r="F551" s="102"/>
      <c r="G551" s="102" t="str">
        <f>IFERROR(__xludf.DUMMYFUNCTION("""COMPUTED_VALUE"""),"Hyperion Amp Shield")</f>
        <v>Hyperion Amp Shield</v>
      </c>
      <c r="H551" s="102"/>
      <c r="I551" s="102"/>
      <c r="J551" s="102"/>
      <c r="K551" s="102"/>
      <c r="L551" s="102"/>
    </row>
    <row r="552">
      <c r="A552" s="102" t="str">
        <f>IFERROR(__xludf.DUMMYFUNCTION("""COMPUTED_VALUE"""),"Jakobs")</f>
        <v>Jakobs</v>
      </c>
      <c r="B552" s="102" t="str">
        <f>IFERROR(__xludf.DUMMYFUNCTION("""COMPUTED_VALUE"""),"Sniper")</f>
        <v>Sniper</v>
      </c>
      <c r="C552" s="103">
        <f>IFERROR(__xludf.DUMMYFUNCTION("""COMPUTED_VALUE"""),13.0)</f>
        <v>13</v>
      </c>
      <c r="D552" s="102" t="str">
        <f>IFERROR(__xludf.DUMMYFUNCTION("""COMPUTED_VALUE"""),"Magazine")</f>
        <v>Magazine</v>
      </c>
      <c r="E552" s="102" t="str">
        <f>IFERROR(__xludf.DUMMYFUNCTION("""COMPUTED_VALUE"""),"JAK_SR.part_mag_01")</f>
        <v>JAK_SR.part_mag_01</v>
      </c>
      <c r="F552" s="102"/>
      <c r="G552" s="102" t="str">
        <f>IFERROR(__xludf.DUMMYFUNCTION("""COMPUTED_VALUE"""),"3.5s Reload, -Damage, 6 Shots")</f>
        <v>3.5s Reload, -Damage, 6 Shots</v>
      </c>
      <c r="H552" s="102"/>
      <c r="I552" s="102"/>
      <c r="J552" s="102"/>
      <c r="K552" s="102"/>
      <c r="L552" s="102"/>
    </row>
    <row r="553">
      <c r="A553" s="102" t="str">
        <f>IFERROR(__xludf.DUMMYFUNCTION("""COMPUTED_VALUE"""),"Jakobs")</f>
        <v>Jakobs</v>
      </c>
      <c r="B553" s="102" t="str">
        <f>IFERROR(__xludf.DUMMYFUNCTION("""COMPUTED_VALUE"""),"Sniper")</f>
        <v>Sniper</v>
      </c>
      <c r="C553" s="103">
        <f>IFERROR(__xludf.DUMMYFUNCTION("""COMPUTED_VALUE"""),14.0)</f>
        <v>14</v>
      </c>
      <c r="D553" s="102" t="str">
        <f>IFERROR(__xludf.DUMMYFUNCTION("""COMPUTED_VALUE"""),"Magazine")</f>
        <v>Magazine</v>
      </c>
      <c r="E553" s="102" t="str">
        <f>IFERROR(__xludf.DUMMYFUNCTION("""COMPUTED_VALUE"""),"JAK_SR.part_mag_02")</f>
        <v>JAK_SR.part_mag_02</v>
      </c>
      <c r="F553" s="102"/>
      <c r="G553" s="102" t="str">
        <f>IFERROR(__xludf.DUMMYFUNCTION("""COMPUTED_VALUE"""),"2.8s Reload, 4 Shots")</f>
        <v>2.8s Reload, 4 Shots</v>
      </c>
      <c r="H553" s="102"/>
      <c r="I553" s="102"/>
      <c r="J553" s="102"/>
      <c r="K553" s="102"/>
      <c r="L553" s="102"/>
    </row>
    <row r="554">
      <c r="A554" s="102" t="str">
        <f>IFERROR(__xludf.DUMMYFUNCTION("""COMPUTED_VALUE"""),"Jakobs")</f>
        <v>Jakobs</v>
      </c>
      <c r="B554" s="102" t="str">
        <f>IFERROR(__xludf.DUMMYFUNCTION("""COMPUTED_VALUE"""),"Sniper")</f>
        <v>Sniper</v>
      </c>
      <c r="C554" s="103">
        <f>IFERROR(__xludf.DUMMYFUNCTION("""COMPUTED_VALUE"""),15.0)</f>
        <v>15</v>
      </c>
      <c r="D554" s="102" t="str">
        <f>IFERROR(__xludf.DUMMYFUNCTION("""COMPUTED_VALUE"""),"Magazine")</f>
        <v>Magazine</v>
      </c>
      <c r="E554" s="102" t="str">
        <f>IFERROR(__xludf.DUMMYFUNCTION("""COMPUTED_VALUE"""),"JAK_SR.part_mag_03_tor")</f>
        <v>JAK_SR.part_mag_03_tor</v>
      </c>
      <c r="F554" s="102"/>
      <c r="G554" s="102" t="str">
        <f>IFERROR(__xludf.DUMMYFUNCTION("""COMPUTED_VALUE"""),"3.0s reload, -Damage, -Fire Rate, 10 Shots, Torgue")</f>
        <v>3.0s reload, -Damage, -Fire Rate, 10 Shots, Torgue</v>
      </c>
      <c r="H554" s="102"/>
      <c r="I554" s="102"/>
      <c r="J554" s="102"/>
      <c r="K554" s="102"/>
      <c r="L554" s="102"/>
    </row>
    <row r="555">
      <c r="A555" s="102" t="str">
        <f>IFERROR(__xludf.DUMMYFUNCTION("""COMPUTED_VALUE"""),"Jakobs")</f>
        <v>Jakobs</v>
      </c>
      <c r="B555" s="102" t="str">
        <f>IFERROR(__xludf.DUMMYFUNCTION("""COMPUTED_VALUE"""),"Sniper")</f>
        <v>Sniper</v>
      </c>
      <c r="C555" s="103">
        <f>IFERROR(__xludf.DUMMYFUNCTION("""COMPUTED_VALUE"""),16.0)</f>
        <v>16</v>
      </c>
      <c r="D555" s="102" t="str">
        <f>IFERROR(__xludf.DUMMYFUNCTION("""COMPUTED_VALUE"""),"Magazine")</f>
        <v>Magazine</v>
      </c>
      <c r="E555" s="102" t="str">
        <f>IFERROR(__xludf.DUMMYFUNCTION("""COMPUTED_VALUE"""),"JAK_SR.part_mag_04_cov")</f>
        <v>JAK_SR.part_mag_04_cov</v>
      </c>
      <c r="F555" s="102"/>
      <c r="G555" s="102" t="str">
        <f>IFERROR(__xludf.DUMMYFUNCTION("""COMPUTED_VALUE"""),"4.0s Reload, -Damage, -Acc, 10 Shots, CoV Mag")</f>
        <v>4.0s Reload, -Damage, -Acc, 10 Shots, CoV Mag</v>
      </c>
      <c r="H555" s="102"/>
      <c r="I555" s="102"/>
      <c r="J555" s="102"/>
      <c r="K555" s="102"/>
      <c r="L555" s="102"/>
    </row>
    <row r="556">
      <c r="A556" s="102" t="str">
        <f>IFERROR(__xludf.DUMMYFUNCTION("""COMPUTED_VALUE"""),"Jakobs")</f>
        <v>Jakobs</v>
      </c>
      <c r="B556" s="102" t="str">
        <f>IFERROR(__xludf.DUMMYFUNCTION("""COMPUTED_VALUE"""),"Sniper")</f>
        <v>Sniper</v>
      </c>
      <c r="C556" s="103">
        <f>IFERROR(__xludf.DUMMYFUNCTION("""COMPUTED_VALUE"""),17.0)</f>
        <v>17</v>
      </c>
      <c r="D556" s="102" t="str">
        <f>IFERROR(__xludf.DUMMYFUNCTION("""COMPUTED_VALUE"""),"Magazine")</f>
        <v>Magazine</v>
      </c>
      <c r="E556" s="102" t="str">
        <f>IFERROR(__xludf.DUMMYFUNCTION("""COMPUTED_VALUE"""),"JAK_SR.part_mag_05_borg")</f>
        <v>JAK_SR.part_mag_05_borg</v>
      </c>
      <c r="F556" s="102"/>
      <c r="G556" s="102" t="str">
        <f>IFERROR(__xludf.DUMMYFUNCTION("""COMPUTED_VALUE"""),"3.1s Reload, -Damage, +Fire Rate, 8 Shots, Ripper Mag")</f>
        <v>3.1s Reload, -Damage, +Fire Rate, 8 Shots, Ripper Mag</v>
      </c>
      <c r="H556" s="102"/>
      <c r="I556" s="102"/>
      <c r="J556" s="102"/>
      <c r="K556" s="102"/>
      <c r="L556" s="102"/>
    </row>
    <row r="557">
      <c r="A557" s="102" t="str">
        <f>IFERROR(__xludf.DUMMYFUNCTION("""COMPUTED_VALUE"""),"Jakobs")</f>
        <v>Jakobs</v>
      </c>
      <c r="B557" s="102" t="str">
        <f>IFERROR(__xludf.DUMMYFUNCTION("""COMPUTED_VALUE"""),"Sniper")</f>
        <v>Sniper</v>
      </c>
      <c r="C557" s="103">
        <f>IFERROR(__xludf.DUMMYFUNCTION("""COMPUTED_VALUE"""),18.0)</f>
        <v>18</v>
      </c>
      <c r="D557" s="102" t="str">
        <f>IFERROR(__xludf.DUMMYFUNCTION("""COMPUTED_VALUE"""),"Manufacturer Part")</f>
        <v>Manufacturer Part</v>
      </c>
      <c r="E557" s="102" t="str">
        <f>IFERROR(__xludf.DUMMYFUNCTION("""COMPUTED_VALUE"""),"JAK_SR.part_mag_torgue_normal")</f>
        <v>JAK_SR.part_mag_torgue_normal</v>
      </c>
      <c r="F557" s="102"/>
      <c r="G557" s="102" t="str">
        <f>IFERROR(__xludf.DUMMYFUNCTION("""COMPUTED_VALUE"""),"Torgue Impact Gyrojets")</f>
        <v>Torgue Impact Gyrojets</v>
      </c>
      <c r="H557" s="102"/>
      <c r="I557" s="102"/>
      <c r="J557" s="102"/>
      <c r="K557" s="102"/>
      <c r="L557" s="102"/>
    </row>
    <row r="558">
      <c r="A558" s="102" t="str">
        <f>IFERROR(__xludf.DUMMYFUNCTION("""COMPUTED_VALUE"""),"Jakobs")</f>
        <v>Jakobs</v>
      </c>
      <c r="B558" s="102" t="str">
        <f>IFERROR(__xludf.DUMMYFUNCTION("""COMPUTED_VALUE"""),"Sniper")</f>
        <v>Sniper</v>
      </c>
      <c r="C558" s="103">
        <f>IFERROR(__xludf.DUMMYFUNCTION("""COMPUTED_VALUE"""),19.0)</f>
        <v>19</v>
      </c>
      <c r="D558" s="102" t="str">
        <f>IFERROR(__xludf.DUMMYFUNCTION("""COMPUTED_VALUE"""),"Manufacturer Part")</f>
        <v>Manufacturer Part</v>
      </c>
      <c r="E558" s="102" t="str">
        <f>IFERROR(__xludf.DUMMYFUNCTION("""COMPUTED_VALUE"""),"JAK_SR.part_mag_torgue_sticky")</f>
        <v>JAK_SR.part_mag_torgue_sticky</v>
      </c>
      <c r="F558" s="102"/>
      <c r="G558" s="102" t="str">
        <f>IFERROR(__xludf.DUMMYFUNCTION("""COMPUTED_VALUE"""),"Torgue Sticky Gyrojets")</f>
        <v>Torgue Sticky Gyrojets</v>
      </c>
      <c r="H558" s="102"/>
      <c r="I558" s="102"/>
      <c r="J558" s="102"/>
      <c r="K558" s="102"/>
      <c r="L558" s="102"/>
    </row>
    <row r="559">
      <c r="A559" s="102" t="str">
        <f>IFERROR(__xludf.DUMMYFUNCTION("""COMPUTED_VALUE"""),"Jakobs")</f>
        <v>Jakobs</v>
      </c>
      <c r="B559" s="102" t="str">
        <f>IFERROR(__xludf.DUMMYFUNCTION("""COMPUTED_VALUE"""),"Sniper")</f>
        <v>Sniper</v>
      </c>
      <c r="C559" s="103">
        <f>IFERROR(__xludf.DUMMYFUNCTION("""COMPUTED_VALUE"""),20.0)</f>
        <v>20</v>
      </c>
      <c r="D559" s="102" t="str">
        <f>IFERROR(__xludf.DUMMYFUNCTION("""COMPUTED_VALUE"""),"Stat Modifier")</f>
        <v>Stat Modifier</v>
      </c>
      <c r="E559" s="102" t="str">
        <f>IFERROR(__xludf.DUMMYFUNCTION("""COMPUTED_VALUE"""),"JAK_SR.part_mag_ted_thrown_01")</f>
        <v>JAK_SR.part_mag_ted_thrown_01</v>
      </c>
      <c r="F559" s="102"/>
      <c r="G559" s="102" t="str">
        <f>IFERROR(__xludf.DUMMYFUNCTION("""COMPUTED_VALUE"""),"2.0s Reload")</f>
        <v>2.0s Reload</v>
      </c>
      <c r="H559" s="102"/>
      <c r="I559" s="102"/>
      <c r="J559" s="102"/>
      <c r="K559" s="102"/>
      <c r="L559" s="102"/>
    </row>
    <row r="560">
      <c r="A560" s="102" t="str">
        <f>IFERROR(__xludf.DUMMYFUNCTION("""COMPUTED_VALUE"""),"Jakobs")</f>
        <v>Jakobs</v>
      </c>
      <c r="B560" s="102" t="str">
        <f>IFERROR(__xludf.DUMMYFUNCTION("""COMPUTED_VALUE"""),"Sniper")</f>
        <v>Sniper</v>
      </c>
      <c r="C560" s="103">
        <f>IFERROR(__xludf.DUMMYFUNCTION("""COMPUTED_VALUE"""),21.0)</f>
        <v>21</v>
      </c>
      <c r="D560" s="102" t="str">
        <f>IFERROR(__xludf.DUMMYFUNCTION("""COMPUTED_VALUE"""),"Stat Modifier")</f>
        <v>Stat Modifier</v>
      </c>
      <c r="E560" s="102" t="str">
        <f>IFERROR(__xludf.DUMMYFUNCTION("""COMPUTED_VALUE"""),"JAK_SR.part_mag_ted_thrown_02")</f>
        <v>JAK_SR.part_mag_ted_thrown_02</v>
      </c>
      <c r="F560" s="102"/>
      <c r="G560" s="102" t="str">
        <f>IFERROR(__xludf.DUMMYFUNCTION("""COMPUTED_VALUE"""),"2.0s Reload")</f>
        <v>2.0s Reload</v>
      </c>
      <c r="H560" s="102"/>
      <c r="I560" s="102"/>
      <c r="J560" s="102"/>
      <c r="K560" s="102"/>
      <c r="L560" s="102"/>
    </row>
    <row r="561">
      <c r="A561" s="102" t="str">
        <f>IFERROR(__xludf.DUMMYFUNCTION("""COMPUTED_VALUE"""),"Jakobs")</f>
        <v>Jakobs</v>
      </c>
      <c r="B561" s="102" t="str">
        <f>IFERROR(__xludf.DUMMYFUNCTION("""COMPUTED_VALUE"""),"Sniper")</f>
        <v>Sniper</v>
      </c>
      <c r="C561" s="103">
        <f>IFERROR(__xludf.DUMMYFUNCTION("""COMPUTED_VALUE"""),22.0)</f>
        <v>22</v>
      </c>
      <c r="D561" s="102" t="str">
        <f>IFERROR(__xludf.DUMMYFUNCTION("""COMPUTED_VALUE"""),"Stat Modifier")</f>
        <v>Stat Modifier</v>
      </c>
      <c r="E561" s="102" t="str">
        <f>IFERROR(__xludf.DUMMYFUNCTION("""COMPUTED_VALUE"""),"JAK_SR.part_mag_ted_thrown_03_tor")</f>
        <v>JAK_SR.part_mag_ted_thrown_03_tor</v>
      </c>
      <c r="F561" s="102"/>
      <c r="G561" s="102" t="str">
        <f>IFERROR(__xludf.DUMMYFUNCTION("""COMPUTED_VALUE"""),"2.0s Reload")</f>
        <v>2.0s Reload</v>
      </c>
      <c r="H561" s="102"/>
      <c r="I561" s="102"/>
      <c r="J561" s="102"/>
      <c r="K561" s="102"/>
      <c r="L561" s="102"/>
    </row>
    <row r="562">
      <c r="A562" s="102" t="str">
        <f>IFERROR(__xludf.DUMMYFUNCTION("""COMPUTED_VALUE"""),"Jakobs")</f>
        <v>Jakobs</v>
      </c>
      <c r="B562" s="102" t="str">
        <f>IFERROR(__xludf.DUMMYFUNCTION("""COMPUTED_VALUE"""),"Sniper")</f>
        <v>Sniper</v>
      </c>
      <c r="C562" s="103">
        <f>IFERROR(__xludf.DUMMYFUNCTION("""COMPUTED_VALUE"""),23.0)</f>
        <v>23</v>
      </c>
      <c r="D562" s="102" t="str">
        <f>IFERROR(__xludf.DUMMYFUNCTION("""COMPUTED_VALUE"""),"Stat Modifier")</f>
        <v>Stat Modifier</v>
      </c>
      <c r="E562" s="102" t="str">
        <f>IFERROR(__xludf.DUMMYFUNCTION("""COMPUTED_VALUE"""),"JAK_SR.part_mag_ted_thrown_04_cov")</f>
        <v>JAK_SR.part_mag_ted_thrown_04_cov</v>
      </c>
      <c r="F562" s="102"/>
      <c r="G562" s="102" t="str">
        <f>IFERROR(__xludf.DUMMYFUNCTION("""COMPUTED_VALUE"""),"3.0s Reload")</f>
        <v>3.0s Reload</v>
      </c>
      <c r="H562" s="102"/>
      <c r="I562" s="102"/>
      <c r="J562" s="102"/>
      <c r="K562" s="102"/>
      <c r="L562" s="102"/>
    </row>
    <row r="563">
      <c r="A563" s="102" t="str">
        <f>IFERROR(__xludf.DUMMYFUNCTION("""COMPUTED_VALUE"""),"Jakobs")</f>
        <v>Jakobs</v>
      </c>
      <c r="B563" s="102" t="str">
        <f>IFERROR(__xludf.DUMMYFUNCTION("""COMPUTED_VALUE"""),"Sniper")</f>
        <v>Sniper</v>
      </c>
      <c r="C563" s="103">
        <f>IFERROR(__xludf.DUMMYFUNCTION("""COMPUTED_VALUE"""),24.0)</f>
        <v>24</v>
      </c>
      <c r="D563" s="102" t="str">
        <f>IFERROR(__xludf.DUMMYFUNCTION("""COMPUTED_VALUE"""),"Stat Modifier")</f>
        <v>Stat Modifier</v>
      </c>
      <c r="E563" s="102" t="str">
        <f>IFERROR(__xludf.DUMMYFUNCTION("""COMPUTED_VALUE"""),"JAK_SR.part_mag_ted_thrown_05_bor")</f>
        <v>JAK_SR.part_mag_ted_thrown_05_bor</v>
      </c>
      <c r="F563" s="102"/>
      <c r="G563" s="102" t="str">
        <f>IFERROR(__xludf.DUMMYFUNCTION("""COMPUTED_VALUE"""),"3.0s Reload")</f>
        <v>3.0s Reload</v>
      </c>
      <c r="H563" s="102"/>
      <c r="I563" s="102"/>
      <c r="J563" s="102"/>
      <c r="K563" s="102"/>
      <c r="L563" s="102"/>
    </row>
    <row r="564">
      <c r="A564" s="102" t="str">
        <f>IFERROR(__xludf.DUMMYFUNCTION("""COMPUTED_VALUE"""),"Jakobs")</f>
        <v>Jakobs</v>
      </c>
      <c r="B564" s="102" t="str">
        <f>IFERROR(__xludf.DUMMYFUNCTION("""COMPUTED_VALUE"""),"Sniper")</f>
        <v>Sniper</v>
      </c>
      <c r="C564" s="103">
        <f>IFERROR(__xludf.DUMMYFUNCTION("""COMPUTED_VALUE"""),25.0)</f>
        <v>25</v>
      </c>
      <c r="D564" s="102" t="str">
        <f>IFERROR(__xludf.DUMMYFUNCTION("""COMPUTED_VALUE"""),"Scope")</f>
        <v>Scope</v>
      </c>
      <c r="E564" s="102" t="str">
        <f>IFERROR(__xludf.DUMMYFUNCTION("""COMPUTED_VALUE"""),"JAK_SR.part_scope_ironsight")</f>
        <v>JAK_SR.part_scope_ironsight</v>
      </c>
      <c r="F564" s="102"/>
      <c r="G564" s="102" t="str">
        <f>IFERROR(__xludf.DUMMYFUNCTION("""COMPUTED_VALUE"""),"ADS")</f>
        <v>ADS</v>
      </c>
      <c r="H564" s="102"/>
      <c r="I564" s="102"/>
      <c r="J564" s="102"/>
      <c r="K564" s="102"/>
      <c r="L564" s="102"/>
    </row>
    <row r="565">
      <c r="A565" s="102" t="str">
        <f>IFERROR(__xludf.DUMMYFUNCTION("""COMPUTED_VALUE"""),"Jakobs")</f>
        <v>Jakobs</v>
      </c>
      <c r="B565" s="102" t="str">
        <f>IFERROR(__xludf.DUMMYFUNCTION("""COMPUTED_VALUE"""),"Sniper")</f>
        <v>Sniper</v>
      </c>
      <c r="C565" s="103">
        <f>IFERROR(__xludf.DUMMYFUNCTION("""COMPUTED_VALUE"""),26.0)</f>
        <v>26</v>
      </c>
      <c r="D565" s="102" t="str">
        <f>IFERROR(__xludf.DUMMYFUNCTION("""COMPUTED_VALUE"""),"Scope")</f>
        <v>Scope</v>
      </c>
      <c r="E565" s="102" t="str">
        <f>IFERROR(__xludf.DUMMYFUNCTION("""COMPUTED_VALUE"""),"JAK_SR.part_scope_01_lens_01")</f>
        <v>JAK_SR.part_scope_01_lens_01</v>
      </c>
      <c r="F565" s="102"/>
      <c r="G565" s="102" t="str">
        <f>IFERROR(__xludf.DUMMYFUNCTION("""COMPUTED_VALUE"""),"ADS +++Zoom")</f>
        <v>ADS +++Zoom</v>
      </c>
      <c r="H565" s="102" t="str">
        <f>IFERROR(__xludf.DUMMYFUNCTION("""COMPUTED_VALUE"""),"Sniper Scope")</f>
        <v>Sniper Scope</v>
      </c>
      <c r="I565" s="102"/>
      <c r="J565" s="102"/>
      <c r="K565" s="102"/>
      <c r="L565" s="102"/>
    </row>
    <row r="566">
      <c r="A566" s="102" t="str">
        <f>IFERROR(__xludf.DUMMYFUNCTION("""COMPUTED_VALUE"""),"Jakobs")</f>
        <v>Jakobs</v>
      </c>
      <c r="B566" s="102" t="str">
        <f>IFERROR(__xludf.DUMMYFUNCTION("""COMPUTED_VALUE"""),"Sniper")</f>
        <v>Sniper</v>
      </c>
      <c r="C566" s="103">
        <f>IFERROR(__xludf.DUMMYFUNCTION("""COMPUTED_VALUE"""),27.0)</f>
        <v>27</v>
      </c>
      <c r="D566" s="102" t="str">
        <f>IFERROR(__xludf.DUMMYFUNCTION("""COMPUTED_VALUE"""),"Scope")</f>
        <v>Scope</v>
      </c>
      <c r="E566" s="102" t="str">
        <f>IFERROR(__xludf.DUMMYFUNCTION("""COMPUTED_VALUE"""),"JAK_SR.part_scope_01_lens_02")</f>
        <v>JAK_SR.part_scope_01_lens_02</v>
      </c>
      <c r="F566" s="102"/>
      <c r="G566" s="102" t="str">
        <f>IFERROR(__xludf.DUMMYFUNCTION("""COMPUTED_VALUE"""),"ADS ++Zoom")</f>
        <v>ADS ++Zoom</v>
      </c>
      <c r="H566" s="102"/>
      <c r="I566" s="102"/>
      <c r="J566" s="102"/>
      <c r="K566" s="102"/>
      <c r="L566" s="102"/>
    </row>
    <row r="567">
      <c r="A567" s="102" t="str">
        <f>IFERROR(__xludf.DUMMYFUNCTION("""COMPUTED_VALUE"""),"Jakobs")</f>
        <v>Jakobs</v>
      </c>
      <c r="B567" s="102" t="str">
        <f>IFERROR(__xludf.DUMMYFUNCTION("""COMPUTED_VALUE"""),"Sniper")</f>
        <v>Sniper</v>
      </c>
      <c r="C567" s="103">
        <f>IFERROR(__xludf.DUMMYFUNCTION("""COMPUTED_VALUE"""),28.0)</f>
        <v>28</v>
      </c>
      <c r="D567" s="102" t="str">
        <f>IFERROR(__xludf.DUMMYFUNCTION("""COMPUTED_VALUE"""),"Scope")</f>
        <v>Scope</v>
      </c>
      <c r="E567" s="102" t="str">
        <f>IFERROR(__xludf.DUMMYFUNCTION("""COMPUTED_VALUE"""),"JAK_SR.part_scope_02_lens_01")</f>
        <v>JAK_SR.part_scope_02_lens_01</v>
      </c>
      <c r="F567" s="102"/>
      <c r="G567" s="102" t="str">
        <f>IFERROR(__xludf.DUMMYFUNCTION("""COMPUTED_VALUE"""),"ADS ++Zoom")</f>
        <v>ADS ++Zoom</v>
      </c>
      <c r="H567" s="102"/>
      <c r="I567" s="102"/>
      <c r="J567" s="102"/>
      <c r="K567" s="102"/>
      <c r="L567" s="102"/>
    </row>
    <row r="568">
      <c r="A568" s="102" t="str">
        <f>IFERROR(__xludf.DUMMYFUNCTION("""COMPUTED_VALUE"""),"Jakobs")</f>
        <v>Jakobs</v>
      </c>
      <c r="B568" s="102" t="str">
        <f>IFERROR(__xludf.DUMMYFUNCTION("""COMPUTED_VALUE"""),"Sniper")</f>
        <v>Sniper</v>
      </c>
      <c r="C568" s="103">
        <f>IFERROR(__xludf.DUMMYFUNCTION("""COMPUTED_VALUE"""),29.0)</f>
        <v>29</v>
      </c>
      <c r="D568" s="102" t="str">
        <f>IFERROR(__xludf.DUMMYFUNCTION("""COMPUTED_VALUE"""),"Scope")</f>
        <v>Scope</v>
      </c>
      <c r="E568" s="102" t="str">
        <f>IFERROR(__xludf.DUMMYFUNCTION("""COMPUTED_VALUE"""),"JAK_SR.part_scope_02_lens_02")</f>
        <v>JAK_SR.part_scope_02_lens_02</v>
      </c>
      <c r="F568" s="102"/>
      <c r="G568" s="102" t="str">
        <f>IFERROR(__xludf.DUMMYFUNCTION("""COMPUTED_VALUE"""),"ADS +++Zoom")</f>
        <v>ADS +++Zoom</v>
      </c>
      <c r="H568" s="102" t="str">
        <f>IFERROR(__xludf.DUMMYFUNCTION("""COMPUTED_VALUE"""),"Sniper Scope")</f>
        <v>Sniper Scope</v>
      </c>
      <c r="I568" s="102"/>
      <c r="J568" s="102"/>
      <c r="K568" s="102"/>
      <c r="L568" s="102"/>
    </row>
    <row r="569">
      <c r="A569" s="102" t="str">
        <f>IFERROR(__xludf.DUMMYFUNCTION("""COMPUTED_VALUE"""),"Jakobs")</f>
        <v>Jakobs</v>
      </c>
      <c r="B569" s="102" t="str">
        <f>IFERROR(__xludf.DUMMYFUNCTION("""COMPUTED_VALUE"""),"Sniper")</f>
        <v>Sniper</v>
      </c>
      <c r="C569" s="103">
        <f>IFERROR(__xludf.DUMMYFUNCTION("""COMPUTED_VALUE"""),30.0)</f>
        <v>30</v>
      </c>
      <c r="D569" s="102" t="str">
        <f>IFERROR(__xludf.DUMMYFUNCTION("""COMPUTED_VALUE"""),"Scope Accessory")</f>
        <v>Scope Accessory</v>
      </c>
      <c r="E569" s="102" t="str">
        <f>IFERROR(__xludf.DUMMYFUNCTION("""COMPUTED_VALUE"""),"JAK_SR.part_scope_acc_s01_l01_a")</f>
        <v>JAK_SR.part_scope_acc_s01_l01_a</v>
      </c>
      <c r="F569" s="102"/>
      <c r="G569" s="102" t="str">
        <f>IFERROR(__xludf.DUMMYFUNCTION("""COMPUTED_VALUE"""),"+Damage")</f>
        <v>+Damage</v>
      </c>
      <c r="H569" s="102"/>
      <c r="I569" s="102"/>
      <c r="J569" s="102"/>
      <c r="K569" s="102"/>
      <c r="L569" s="102"/>
    </row>
    <row r="570">
      <c r="A570" s="102" t="str">
        <f>IFERROR(__xludf.DUMMYFUNCTION("""COMPUTED_VALUE"""),"Jakobs")</f>
        <v>Jakobs</v>
      </c>
      <c r="B570" s="102" t="str">
        <f>IFERROR(__xludf.DUMMYFUNCTION("""COMPUTED_VALUE"""),"Sniper")</f>
        <v>Sniper</v>
      </c>
      <c r="C570" s="103">
        <f>IFERROR(__xludf.DUMMYFUNCTION("""COMPUTED_VALUE"""),31.0)</f>
        <v>31</v>
      </c>
      <c r="D570" s="102" t="str">
        <f>IFERROR(__xludf.DUMMYFUNCTION("""COMPUTED_VALUE"""),"Scope Accessory")</f>
        <v>Scope Accessory</v>
      </c>
      <c r="E570" s="102" t="str">
        <f>IFERROR(__xludf.DUMMYFUNCTION("""COMPUTED_VALUE"""),"JAK_SR.part_scope_acc_s01_l01_b")</f>
        <v>JAK_SR.part_scope_acc_s01_l01_b</v>
      </c>
      <c r="F570" s="102"/>
      <c r="G570" s="102" t="str">
        <f>IFERROR(__xludf.DUMMYFUNCTION("""COMPUTED_VALUE"""),"-Reload Speed")</f>
        <v>-Reload Speed</v>
      </c>
      <c r="H570" s="102"/>
      <c r="I570" s="102"/>
      <c r="J570" s="102"/>
      <c r="K570" s="102"/>
      <c r="L570" s="102"/>
    </row>
    <row r="571">
      <c r="A571" s="102" t="str">
        <f>IFERROR(__xludf.DUMMYFUNCTION("""COMPUTED_VALUE"""),"Jakobs")</f>
        <v>Jakobs</v>
      </c>
      <c r="B571" s="102" t="str">
        <f>IFERROR(__xludf.DUMMYFUNCTION("""COMPUTED_VALUE"""),"Sniper")</f>
        <v>Sniper</v>
      </c>
      <c r="C571" s="103">
        <f>IFERROR(__xludf.DUMMYFUNCTION("""COMPUTED_VALUE"""),32.0)</f>
        <v>32</v>
      </c>
      <c r="D571" s="102" t="str">
        <f>IFERROR(__xludf.DUMMYFUNCTION("""COMPUTED_VALUE"""),"Scope Accessory")</f>
        <v>Scope Accessory</v>
      </c>
      <c r="E571" s="102" t="str">
        <f>IFERROR(__xludf.DUMMYFUNCTION("""COMPUTED_VALUE"""),"JAK_SR.part_scope_acc_s02_l01_a")</f>
        <v>JAK_SR.part_scope_acc_s02_l01_a</v>
      </c>
      <c r="F571" s="102"/>
      <c r="G571" s="102" t="str">
        <f>IFERROR(__xludf.DUMMYFUNCTION("""COMPUTED_VALUE"""),"No Stat Changes")</f>
        <v>No Stat Changes</v>
      </c>
      <c r="H571" s="102"/>
      <c r="I571" s="102"/>
      <c r="J571" s="102"/>
      <c r="K571" s="102"/>
      <c r="L571" s="102"/>
    </row>
    <row r="572">
      <c r="A572" s="102" t="str">
        <f>IFERROR(__xludf.DUMMYFUNCTION("""COMPUTED_VALUE"""),"Jakobs")</f>
        <v>Jakobs</v>
      </c>
      <c r="B572" s="102" t="str">
        <f>IFERROR(__xludf.DUMMYFUNCTION("""COMPUTED_VALUE"""),"Sniper")</f>
        <v>Sniper</v>
      </c>
      <c r="C572" s="103">
        <f>IFERROR(__xludf.DUMMYFUNCTION("""COMPUTED_VALUE"""),33.0)</f>
        <v>33</v>
      </c>
      <c r="D572" s="102" t="str">
        <f>IFERROR(__xludf.DUMMYFUNCTION("""COMPUTED_VALUE"""),"Scope Accessory")</f>
        <v>Scope Accessory</v>
      </c>
      <c r="E572" s="102" t="str">
        <f>IFERROR(__xludf.DUMMYFUNCTION("""COMPUTED_VALUE"""),"JAK_SR.part_scope_acc_s02_l01_b")</f>
        <v>JAK_SR.part_scope_acc_s02_l01_b</v>
      </c>
      <c r="F572" s="102"/>
      <c r="G572" s="102" t="str">
        <f>IFERROR(__xludf.DUMMYFUNCTION("""COMPUTED_VALUE"""),"+Crit Damage")</f>
        <v>+Crit Damage</v>
      </c>
      <c r="H572" s="102"/>
      <c r="I572" s="102"/>
      <c r="J572" s="102"/>
      <c r="K572" s="102"/>
      <c r="L572" s="102"/>
    </row>
    <row r="573">
      <c r="A573" s="102" t="str">
        <f>IFERROR(__xludf.DUMMYFUNCTION("""COMPUTED_VALUE"""),"Jakobs")</f>
        <v>Jakobs</v>
      </c>
      <c r="B573" s="102" t="str">
        <f>IFERROR(__xludf.DUMMYFUNCTION("""COMPUTED_VALUE"""),"Sniper")</f>
        <v>Sniper</v>
      </c>
      <c r="C573" s="103">
        <f>IFERROR(__xludf.DUMMYFUNCTION("""COMPUTED_VALUE"""),34.0)</f>
        <v>34</v>
      </c>
      <c r="D573" s="102" t="str">
        <f>IFERROR(__xludf.DUMMYFUNCTION("""COMPUTED_VALUE"""),"Scope Accessory")</f>
        <v>Scope Accessory</v>
      </c>
      <c r="E573" s="102" t="str">
        <f>IFERROR(__xludf.DUMMYFUNCTION("""COMPUTED_VALUE"""),"JAK_SR.part_scope_acc_s01_l02_a")</f>
        <v>JAK_SR.part_scope_acc_s01_l02_a</v>
      </c>
      <c r="F573" s="102"/>
      <c r="G573" s="102" t="str">
        <f>IFERROR(__xludf.DUMMYFUNCTION("""COMPUTED_VALUE"""),"+Damage")</f>
        <v>+Damage</v>
      </c>
      <c r="H573" s="102"/>
      <c r="I573" s="102"/>
      <c r="J573" s="102"/>
      <c r="K573" s="102"/>
      <c r="L573" s="102"/>
    </row>
    <row r="574">
      <c r="A574" s="102" t="str">
        <f>IFERROR(__xludf.DUMMYFUNCTION("""COMPUTED_VALUE"""),"Jakobs")</f>
        <v>Jakobs</v>
      </c>
      <c r="B574" s="102" t="str">
        <f>IFERROR(__xludf.DUMMYFUNCTION("""COMPUTED_VALUE"""),"Sniper")</f>
        <v>Sniper</v>
      </c>
      <c r="C574" s="103">
        <f>IFERROR(__xludf.DUMMYFUNCTION("""COMPUTED_VALUE"""),35.0)</f>
        <v>35</v>
      </c>
      <c r="D574" s="102" t="str">
        <f>IFERROR(__xludf.DUMMYFUNCTION("""COMPUTED_VALUE"""),"Scope Accessory")</f>
        <v>Scope Accessory</v>
      </c>
      <c r="E574" s="102" t="str">
        <f>IFERROR(__xludf.DUMMYFUNCTION("""COMPUTED_VALUE"""),"JAK_SR.part_scope_acc_s01_l02_b")</f>
        <v>JAK_SR.part_scope_acc_s01_l02_b</v>
      </c>
      <c r="F574" s="102"/>
      <c r="G574" s="102" t="str">
        <f>IFERROR(__xludf.DUMMYFUNCTION("""COMPUTED_VALUE"""),"-Reload Speed")</f>
        <v>-Reload Speed</v>
      </c>
      <c r="H574" s="102"/>
      <c r="I574" s="102"/>
      <c r="J574" s="102"/>
      <c r="K574" s="102"/>
      <c r="L574" s="102"/>
    </row>
    <row r="575">
      <c r="A575" s="102" t="str">
        <f>IFERROR(__xludf.DUMMYFUNCTION("""COMPUTED_VALUE"""),"Jakobs")</f>
        <v>Jakobs</v>
      </c>
      <c r="B575" s="102" t="str">
        <f>IFERROR(__xludf.DUMMYFUNCTION("""COMPUTED_VALUE"""),"Sniper")</f>
        <v>Sniper</v>
      </c>
      <c r="C575" s="103">
        <f>IFERROR(__xludf.DUMMYFUNCTION("""COMPUTED_VALUE"""),36.0)</f>
        <v>36</v>
      </c>
      <c r="D575" s="102" t="str">
        <f>IFERROR(__xludf.DUMMYFUNCTION("""COMPUTED_VALUE"""),"Scope Accessory")</f>
        <v>Scope Accessory</v>
      </c>
      <c r="E575" s="102" t="str">
        <f>IFERROR(__xludf.DUMMYFUNCTION("""COMPUTED_VALUE"""),"JAK_SR.part_scope_acc_s02_l02_a")</f>
        <v>JAK_SR.part_scope_acc_s02_l02_a</v>
      </c>
      <c r="F575" s="102"/>
      <c r="G575" s="102" t="str">
        <f>IFERROR(__xludf.DUMMYFUNCTION("""COMPUTED_VALUE"""),"No Stat Changes")</f>
        <v>No Stat Changes</v>
      </c>
      <c r="H575" s="102"/>
      <c r="I575" s="102"/>
      <c r="J575" s="102"/>
      <c r="K575" s="102"/>
      <c r="L575" s="102"/>
    </row>
    <row r="576">
      <c r="A576" s="102" t="str">
        <f>IFERROR(__xludf.DUMMYFUNCTION("""COMPUTED_VALUE"""),"Jakobs")</f>
        <v>Jakobs</v>
      </c>
      <c r="B576" s="102" t="str">
        <f>IFERROR(__xludf.DUMMYFUNCTION("""COMPUTED_VALUE"""),"Sniper")</f>
        <v>Sniper</v>
      </c>
      <c r="C576" s="103">
        <f>IFERROR(__xludf.DUMMYFUNCTION("""COMPUTED_VALUE"""),37.0)</f>
        <v>37</v>
      </c>
      <c r="D576" s="102" t="str">
        <f>IFERROR(__xludf.DUMMYFUNCTION("""COMPUTED_VALUE"""),"Scope Accessory")</f>
        <v>Scope Accessory</v>
      </c>
      <c r="E576" s="102" t="str">
        <f>IFERROR(__xludf.DUMMYFUNCTION("""COMPUTED_VALUE"""),"JAK_SR.part_scope_acc_s02_l02_b")</f>
        <v>JAK_SR.part_scope_acc_s02_l02_b</v>
      </c>
      <c r="F576" s="102"/>
      <c r="G576" s="102" t="str">
        <f>IFERROR(__xludf.DUMMYFUNCTION("""COMPUTED_VALUE"""),"+Crit Damage")</f>
        <v>+Crit Damage</v>
      </c>
      <c r="H576" s="102"/>
      <c r="I576" s="102"/>
      <c r="J576" s="102"/>
      <c r="K576" s="102"/>
      <c r="L576" s="102"/>
    </row>
    <row r="577">
      <c r="A577" s="102" t="str">
        <f>IFERROR(__xludf.DUMMYFUNCTION("""COMPUTED_VALUE"""),"Jakobs")</f>
        <v>Jakobs</v>
      </c>
      <c r="B577" s="102" t="str">
        <f>IFERROR(__xludf.DUMMYFUNCTION("""COMPUTED_VALUE"""),"Sniper")</f>
        <v>Sniper</v>
      </c>
      <c r="C577" s="103">
        <f>IFERROR(__xludf.DUMMYFUNCTION("""COMPUTED_VALUE"""),38.0)</f>
        <v>38</v>
      </c>
      <c r="D577" s="102" t="str">
        <f>IFERROR(__xludf.DUMMYFUNCTION("""COMPUTED_VALUE"""),"Grip")</f>
        <v>Grip</v>
      </c>
      <c r="E577" s="102" t="str">
        <f>IFERROR(__xludf.DUMMYFUNCTION("""COMPUTED_VALUE"""),"JAK_SR.part_grip_05a_ted_legs")</f>
        <v>JAK_SR.part_grip_05a_ted_legs</v>
      </c>
      <c r="F577" s="102"/>
      <c r="G577" s="102" t="str">
        <f>IFERROR(__xludf.DUMMYFUNCTION("""COMPUTED_VALUE"""),"Tediore reload modifier: Legs, no stat changes")</f>
        <v>Tediore reload modifier: Legs, no stat changes</v>
      </c>
      <c r="H577" s="102"/>
      <c r="I577" s="102"/>
      <c r="J577" s="102"/>
      <c r="K577" s="102"/>
      <c r="L577" s="102"/>
    </row>
    <row r="578">
      <c r="A578" s="102" t="str">
        <f>IFERROR(__xludf.DUMMYFUNCTION("""COMPUTED_VALUE"""),"Jakobs")</f>
        <v>Jakobs</v>
      </c>
      <c r="B578" s="102" t="str">
        <f>IFERROR(__xludf.DUMMYFUNCTION("""COMPUTED_VALUE"""),"Sniper")</f>
        <v>Sniper</v>
      </c>
      <c r="C578" s="103">
        <f>IFERROR(__xludf.DUMMYFUNCTION("""COMPUTED_VALUE"""),39.0)</f>
        <v>39</v>
      </c>
      <c r="D578" s="102" t="str">
        <f>IFERROR(__xludf.DUMMYFUNCTION("""COMPUTED_VALUE"""),"Grip")</f>
        <v>Grip</v>
      </c>
      <c r="E578" s="102" t="str">
        <f>IFERROR(__xludf.DUMMYFUNCTION("""COMPUTED_VALUE"""),"JAK_SR.part_grip_05c_ted_jav")</f>
        <v>JAK_SR.part_grip_05c_ted_jav</v>
      </c>
      <c r="F578" s="102"/>
      <c r="G578" s="102" t="str">
        <f>IFERROR(__xludf.DUMMYFUNCTION("""COMPUTED_VALUE"""),"Tediore reload modifier: Javelin, no stat changes")</f>
        <v>Tediore reload modifier: Javelin, no stat changes</v>
      </c>
      <c r="H578" s="102"/>
      <c r="I578" s="102"/>
      <c r="J578" s="102"/>
      <c r="K578" s="102"/>
      <c r="L578" s="102"/>
    </row>
    <row r="579">
      <c r="A579" s="102" t="str">
        <f>IFERROR(__xludf.DUMMYFUNCTION("""COMPUTED_VALUE"""),"Jakobs")</f>
        <v>Jakobs</v>
      </c>
      <c r="B579" s="102" t="str">
        <f>IFERROR(__xludf.DUMMYFUNCTION("""COMPUTED_VALUE"""),"Sniper")</f>
        <v>Sniper</v>
      </c>
      <c r="C579" s="103">
        <f>IFERROR(__xludf.DUMMYFUNCTION("""COMPUTED_VALUE"""),40.0)</f>
        <v>40</v>
      </c>
      <c r="D579" s="102" t="str">
        <f>IFERROR(__xludf.DUMMYFUNCTION("""COMPUTED_VALUE"""),"Grip")</f>
        <v>Grip</v>
      </c>
      <c r="E579" s="102" t="str">
        <f>IFERROR(__xludf.DUMMYFUNCTION("""COMPUTED_VALUE"""),"JAK_SR.part_grip_05b_ted_homing")</f>
        <v>JAK_SR.part_grip_05b_ted_homing</v>
      </c>
      <c r="F579" s="102"/>
      <c r="G579" s="102" t="str">
        <f>IFERROR(__xludf.DUMMYFUNCTION("""COMPUTED_VALUE"""),"Tediore reload modifier: Homing, no stat changes")</f>
        <v>Tediore reload modifier: Homing, no stat changes</v>
      </c>
      <c r="H579" s="102"/>
      <c r="I579" s="102"/>
      <c r="J579" s="102"/>
      <c r="K579" s="102"/>
      <c r="L579" s="102"/>
    </row>
    <row r="580">
      <c r="A580" s="102" t="str">
        <f>IFERROR(__xludf.DUMMYFUNCTION("""COMPUTED_VALUE"""),"Jakobs")</f>
        <v>Jakobs</v>
      </c>
      <c r="B580" s="102" t="str">
        <f>IFERROR(__xludf.DUMMYFUNCTION("""COMPUTED_VALUE"""),"Sniper")</f>
        <v>Sniper</v>
      </c>
      <c r="C580" s="103">
        <f>IFERROR(__xludf.DUMMYFUNCTION("""COMPUTED_VALUE"""),41.0)</f>
        <v>41</v>
      </c>
      <c r="D580" s="102" t="str">
        <f>IFERROR(__xludf.DUMMYFUNCTION("""COMPUTED_VALUE"""),"Grip")</f>
        <v>Grip</v>
      </c>
      <c r="E580" s="102" t="str">
        <f>IFERROR(__xludf.DUMMYFUNCTION("""COMPUTED_VALUE"""),"JAK_SR.part_grip_04_hyp")</f>
        <v>JAK_SR.part_grip_04_hyp</v>
      </c>
      <c r="F580" s="102"/>
      <c r="G580" s="102" t="str">
        <f>IFERROR(__xludf.DUMMYFUNCTION("""COMPUTED_VALUE"""),"Hyperion Grip, -Acc, Acc increases with continuous fire")</f>
        <v>Hyperion Grip, -Acc, Acc increases with continuous fire</v>
      </c>
      <c r="H580" s="102"/>
      <c r="I580" s="102"/>
      <c r="J580" s="102"/>
      <c r="K580" s="102"/>
      <c r="L580" s="102"/>
    </row>
    <row r="581">
      <c r="A581" s="102" t="str">
        <f>IFERROR(__xludf.DUMMYFUNCTION("""COMPUTED_VALUE"""),"Jakobs")</f>
        <v>Jakobs</v>
      </c>
      <c r="B581" s="102" t="str">
        <f>IFERROR(__xludf.DUMMYFUNCTION("""COMPUTED_VALUE"""),"Sniper")</f>
        <v>Sniper</v>
      </c>
      <c r="C581" s="103">
        <f>IFERROR(__xludf.DUMMYFUNCTION("""COMPUTED_VALUE"""),42.0)</f>
        <v>42</v>
      </c>
      <c r="D581" s="102" t="str">
        <f>IFERROR(__xludf.DUMMYFUNCTION("""COMPUTED_VALUE"""),"Grip")</f>
        <v>Grip</v>
      </c>
      <c r="E581" s="102" t="str">
        <f>IFERROR(__xludf.DUMMYFUNCTION("""COMPUTED_VALUE"""),"JAK_SR.part_grip_01")</f>
        <v>JAK_SR.part_grip_01</v>
      </c>
      <c r="F581" s="102"/>
      <c r="G581" s="102" t="str">
        <f>IFERROR(__xludf.DUMMYFUNCTION("""COMPUTED_VALUE"""),"+Damage")</f>
        <v>+Damage</v>
      </c>
      <c r="H581" s="102"/>
      <c r="I581" s="102"/>
      <c r="J581" s="102"/>
      <c r="K581" s="102"/>
      <c r="L581" s="102"/>
    </row>
    <row r="582">
      <c r="A582" s="102" t="str">
        <f>IFERROR(__xludf.DUMMYFUNCTION("""COMPUTED_VALUE"""),"Jakobs")</f>
        <v>Jakobs</v>
      </c>
      <c r="B582" s="102" t="str">
        <f>IFERROR(__xludf.DUMMYFUNCTION("""COMPUTED_VALUE"""),"Sniper")</f>
        <v>Sniper</v>
      </c>
      <c r="C582" s="103">
        <f>IFERROR(__xludf.DUMMYFUNCTION("""COMPUTED_VALUE"""),43.0)</f>
        <v>43</v>
      </c>
      <c r="D582" s="102" t="str">
        <f>IFERROR(__xludf.DUMMYFUNCTION("""COMPUTED_VALUE"""),"Grip")</f>
        <v>Grip</v>
      </c>
      <c r="E582" s="102" t="str">
        <f>IFERROR(__xludf.DUMMYFUNCTION("""COMPUTED_VALUE"""),"JAK_SR.part_grip_02")</f>
        <v>JAK_SR.part_grip_02</v>
      </c>
      <c r="F582" s="102"/>
      <c r="G582" s="102" t="str">
        <f>IFERROR(__xludf.DUMMYFUNCTION("""COMPUTED_VALUE"""),"+Crit Damage")</f>
        <v>+Crit Damage</v>
      </c>
      <c r="H582" s="102"/>
      <c r="I582" s="102"/>
      <c r="J582" s="102"/>
      <c r="K582" s="102"/>
      <c r="L582" s="102"/>
    </row>
    <row r="583">
      <c r="A583" s="102" t="str">
        <f>IFERROR(__xludf.DUMMYFUNCTION("""COMPUTED_VALUE"""),"Jakobs")</f>
        <v>Jakobs</v>
      </c>
      <c r="B583" s="102" t="str">
        <f>IFERROR(__xludf.DUMMYFUNCTION("""COMPUTED_VALUE"""),"Sniper")</f>
        <v>Sniper</v>
      </c>
      <c r="C583" s="103">
        <f>IFERROR(__xludf.DUMMYFUNCTION("""COMPUTED_VALUE"""),44.0)</f>
        <v>44</v>
      </c>
      <c r="D583" s="102" t="str">
        <f>IFERROR(__xludf.DUMMYFUNCTION("""COMPUTED_VALUE"""),"Grip")</f>
        <v>Grip</v>
      </c>
      <c r="E583" s="102" t="str">
        <f>IFERROR(__xludf.DUMMYFUNCTION("""COMPUTED_VALUE"""),"JAK_SR.part_grip_03")</f>
        <v>JAK_SR.part_grip_03</v>
      </c>
      <c r="F583" s="102"/>
      <c r="G583" s="102" t="str">
        <f>IFERROR(__xludf.DUMMYFUNCTION("""COMPUTED_VALUE"""),"-Reload Speed")</f>
        <v>-Reload Speed</v>
      </c>
      <c r="H583" s="102"/>
      <c r="I583" s="102"/>
      <c r="J583" s="102"/>
      <c r="K583" s="102"/>
      <c r="L583" s="102"/>
    </row>
    <row r="584">
      <c r="A584" s="102" t="str">
        <f>IFERROR(__xludf.DUMMYFUNCTION("""COMPUTED_VALUE"""),"Jakobs")</f>
        <v>Jakobs</v>
      </c>
      <c r="B584" s="102" t="str">
        <f>IFERROR(__xludf.DUMMYFUNCTION("""COMPUTED_VALUE"""),"Sniper")</f>
        <v>Sniper</v>
      </c>
      <c r="C584" s="103">
        <f>IFERROR(__xludf.DUMMYFUNCTION("""COMPUTED_VALUE"""),45.0)</f>
        <v>45</v>
      </c>
      <c r="D584" s="102" t="str">
        <f>IFERROR(__xludf.DUMMYFUNCTION("""COMPUTED_VALUE"""),"Underbarrel")</f>
        <v>Underbarrel</v>
      </c>
      <c r="E584" s="102" t="str">
        <f>IFERROR(__xludf.DUMMYFUNCTION("""COMPUTED_VALUE"""),"JAK_SR.part_underbarrel_01_shotgun")</f>
        <v>JAK_SR.part_underbarrel_01_shotgun</v>
      </c>
      <c r="F584" s="102"/>
      <c r="G584" s="102" t="str">
        <f>IFERROR(__xludf.DUMMYFUNCTION("""COMPUTED_VALUE"""),"Alt Fire - Shotgun")</f>
        <v>Alt Fire - Shotgun</v>
      </c>
      <c r="H584" s="102"/>
      <c r="I584" s="102"/>
      <c r="J584" s="102"/>
      <c r="K584" s="102"/>
      <c r="L584" s="102"/>
    </row>
    <row r="585">
      <c r="A585" s="102" t="str">
        <f>IFERROR(__xludf.DUMMYFUNCTION("""COMPUTED_VALUE"""),"Jakobs")</f>
        <v>Jakobs</v>
      </c>
      <c r="B585" s="102" t="str">
        <f>IFERROR(__xludf.DUMMYFUNCTION("""COMPUTED_VALUE"""),"Sniper")</f>
        <v>Sniper</v>
      </c>
      <c r="C585" s="103">
        <f>IFERROR(__xludf.DUMMYFUNCTION("""COMPUTED_VALUE"""),46.0)</f>
        <v>46</v>
      </c>
      <c r="D585" s="102" t="str">
        <f>IFERROR(__xludf.DUMMYFUNCTION("""COMPUTED_VALUE"""),"Underbarrel")</f>
        <v>Underbarrel</v>
      </c>
      <c r="E585" s="102" t="str">
        <f>IFERROR(__xludf.DUMMYFUNCTION("""COMPUTED_VALUE"""),"JAK_SR.part_underbarrel_02_rocket")</f>
        <v>JAK_SR.part_underbarrel_02_rocket</v>
      </c>
      <c r="F585" s="102"/>
      <c r="G585" s="102" t="str">
        <f>IFERROR(__xludf.DUMMYFUNCTION("""COMPUTED_VALUE"""),"Alt Fire - Big Rocket")</f>
        <v>Alt Fire - Big Rocket</v>
      </c>
      <c r="H585" s="102"/>
      <c r="I585" s="102"/>
      <c r="J585" s="102"/>
      <c r="K585" s="102"/>
      <c r="L585" s="102"/>
    </row>
    <row r="586">
      <c r="A586" s="102" t="str">
        <f>IFERROR(__xludf.DUMMYFUNCTION("""COMPUTED_VALUE"""),"Jakobs")</f>
        <v>Jakobs</v>
      </c>
      <c r="B586" s="102" t="str">
        <f>IFERROR(__xludf.DUMMYFUNCTION("""COMPUTED_VALUE"""),"Sniper")</f>
        <v>Sniper</v>
      </c>
      <c r="C586" s="103">
        <f>IFERROR(__xludf.DUMMYFUNCTION("""COMPUTED_VALUE"""),47.0)</f>
        <v>47</v>
      </c>
      <c r="D586" s="102" t="str">
        <f>IFERROR(__xludf.DUMMYFUNCTION("""COMPUTED_VALUE"""),"Underbarrel")</f>
        <v>Underbarrel</v>
      </c>
      <c r="E586" s="102" t="str">
        <f>IFERROR(__xludf.DUMMYFUNCTION("""COMPUTED_VALUE"""),"JAK_SR.part_underbarrel_04_atlas_ball")</f>
        <v>JAK_SR.part_underbarrel_04_atlas_ball</v>
      </c>
      <c r="F586" s="102"/>
      <c r="G586" s="102" t="str">
        <f>IFERROR(__xludf.DUMMYFUNCTION("""COMPUTED_VALUE"""),"Atlas Tracker Grenades")</f>
        <v>Atlas Tracker Grenades</v>
      </c>
      <c r="H586" s="102"/>
      <c r="I586" s="102"/>
      <c r="J586" s="102"/>
      <c r="K586" s="102"/>
      <c r="L586" s="102"/>
    </row>
    <row r="587">
      <c r="A587" s="102" t="str">
        <f>IFERROR(__xludf.DUMMYFUNCTION("""COMPUTED_VALUE"""),"Jakobs")</f>
        <v>Jakobs</v>
      </c>
      <c r="B587" s="102" t="str">
        <f>IFERROR(__xludf.DUMMYFUNCTION("""COMPUTED_VALUE"""),"Sniper")</f>
        <v>Sniper</v>
      </c>
      <c r="C587" s="103">
        <f>IFERROR(__xludf.DUMMYFUNCTION("""COMPUTED_VALUE"""),48.0)</f>
        <v>48</v>
      </c>
      <c r="D587" s="102" t="str">
        <f>IFERROR(__xludf.DUMMYFUNCTION("""COMPUTED_VALUE"""),"Underbarrel")</f>
        <v>Underbarrel</v>
      </c>
      <c r="E587" s="102" t="str">
        <f>IFERROR(__xludf.DUMMYFUNCTION("""COMPUTED_VALUE"""),"JAK_SR.part_underbarrel_05_ammoswitcher")</f>
        <v>JAK_SR.part_underbarrel_05_ammoswitcher</v>
      </c>
      <c r="F587" s="102"/>
      <c r="G587" s="102" t="str">
        <f>IFERROR(__xludf.DUMMYFUNCTION("""COMPUTED_VALUE"""),"Daedalus Ammo Switch")</f>
        <v>Daedalus Ammo Switch</v>
      </c>
      <c r="H587" s="102" t="str">
        <f>IFERROR(__xludf.DUMMYFUNCTION("""COMPUTED_VALUE"""),"Used for Daedalus Ammo switch")</f>
        <v>Used for Daedalus Ammo switch</v>
      </c>
      <c r="I587" s="102"/>
      <c r="J587" s="102"/>
      <c r="K587" s="102"/>
      <c r="L587" s="102"/>
    </row>
    <row r="588">
      <c r="A588" s="102" t="str">
        <f>IFERROR(__xludf.DUMMYFUNCTION("""COMPUTED_VALUE"""),"Jakobs")</f>
        <v>Jakobs</v>
      </c>
      <c r="B588" s="102" t="str">
        <f>IFERROR(__xludf.DUMMYFUNCTION("""COMPUTED_VALUE"""),"Sniper")</f>
        <v>Sniper</v>
      </c>
      <c r="C588" s="103">
        <f>IFERROR(__xludf.DUMMYFUNCTION("""COMPUTED_VALUE"""),49.0)</f>
        <v>49</v>
      </c>
      <c r="D588" s="102" t="str">
        <f>IFERROR(__xludf.DUMMYFUNCTION("""COMPUTED_VALUE"""),"Foregrip")</f>
        <v>Foregrip</v>
      </c>
      <c r="E588" s="102" t="str">
        <f>IFERROR(__xludf.DUMMYFUNCTION("""COMPUTED_VALUE"""),"JAK_SR.part_foregrip_02")</f>
        <v>JAK_SR.part_foregrip_02</v>
      </c>
      <c r="F588" s="102"/>
      <c r="G588" s="102" t="str">
        <f>IFERROR(__xludf.DUMMYFUNCTION("""COMPUTED_VALUE"""),"-Reload Speed")</f>
        <v>-Reload Speed</v>
      </c>
      <c r="H588" s="102"/>
      <c r="I588" s="102"/>
      <c r="J588" s="102"/>
      <c r="K588" s="102"/>
      <c r="L588" s="102"/>
    </row>
    <row r="589">
      <c r="A589" s="102" t="str">
        <f>IFERROR(__xludf.DUMMYFUNCTION("""COMPUTED_VALUE"""),"Jakobs")</f>
        <v>Jakobs</v>
      </c>
      <c r="B589" s="102" t="str">
        <f>IFERROR(__xludf.DUMMYFUNCTION("""COMPUTED_VALUE"""),"Sniper")</f>
        <v>Sniper</v>
      </c>
      <c r="C589" s="103">
        <f>IFERROR(__xludf.DUMMYFUNCTION("""COMPUTED_VALUE"""),50.0)</f>
        <v>50</v>
      </c>
      <c r="D589" s="102" t="str">
        <f>IFERROR(__xludf.DUMMYFUNCTION("""COMPUTED_VALUE"""),"Foregrip")</f>
        <v>Foregrip</v>
      </c>
      <c r="E589" s="102" t="str">
        <f>IFERROR(__xludf.DUMMYFUNCTION("""COMPUTED_VALUE"""),"JAK_SR.part_foregrip_03")</f>
        <v>JAK_SR.part_foregrip_03</v>
      </c>
      <c r="F589" s="102"/>
      <c r="G589" s="102" t="str">
        <f>IFERROR(__xludf.DUMMYFUNCTION("""COMPUTED_VALUE"""),"No Stat Changes")</f>
        <v>No Stat Changes</v>
      </c>
      <c r="H589" s="102"/>
      <c r="I589" s="102"/>
      <c r="J589" s="102"/>
      <c r="K589" s="102"/>
      <c r="L589" s="102"/>
    </row>
    <row r="590">
      <c r="A590" s="102" t="str">
        <f>IFERROR(__xludf.DUMMYFUNCTION("""COMPUTED_VALUE"""),"Jakobs")</f>
        <v>Jakobs</v>
      </c>
      <c r="B590" s="102" t="str">
        <f>IFERROR(__xludf.DUMMYFUNCTION("""COMPUTED_VALUE"""),"Sniper")</f>
        <v>Sniper</v>
      </c>
      <c r="C590" s="103">
        <f>IFERROR(__xludf.DUMMYFUNCTION("""COMPUTED_VALUE"""),51.0)</f>
        <v>51</v>
      </c>
      <c r="D590" s="102" t="str">
        <f>IFERROR(__xludf.DUMMYFUNCTION("""COMPUTED_VALUE"""),"Foregrip")</f>
        <v>Foregrip</v>
      </c>
      <c r="E590" s="102" t="str">
        <f>IFERROR(__xludf.DUMMYFUNCTION("""COMPUTED_VALUE"""),"JAK_SR.part_foregrip_01")</f>
        <v>JAK_SR.part_foregrip_01</v>
      </c>
      <c r="F590" s="102"/>
      <c r="G590" s="102" t="str">
        <f>IFERROR(__xludf.DUMMYFUNCTION("""COMPUTED_VALUE"""),"+Damage")</f>
        <v>+Damage</v>
      </c>
      <c r="H590" s="102"/>
      <c r="I590" s="102"/>
      <c r="J590" s="102"/>
      <c r="K590" s="102"/>
      <c r="L590" s="102"/>
    </row>
    <row r="591">
      <c r="A591" s="102" t="str">
        <f>IFERROR(__xludf.DUMMYFUNCTION("""COMPUTED_VALUE"""),"Jakobs")</f>
        <v>Jakobs</v>
      </c>
      <c r="B591" s="102" t="str">
        <f>IFERROR(__xludf.DUMMYFUNCTION("""COMPUTED_VALUE"""),"Sniper")</f>
        <v>Sniper</v>
      </c>
      <c r="C591" s="103">
        <f>IFERROR(__xludf.DUMMYFUNCTION("""COMPUTED_VALUE"""),52.0)</f>
        <v>52</v>
      </c>
      <c r="D591" s="102" t="str">
        <f>IFERROR(__xludf.DUMMYFUNCTION("""COMPUTED_VALUE"""),"Underbarrel")</f>
        <v>Underbarrel</v>
      </c>
      <c r="E591" s="102" t="str">
        <f>IFERROR(__xludf.DUMMYFUNCTION("""COMPUTED_VALUE"""),"JAK_SR.part_underbarrel_04_atlas")</f>
        <v>JAK_SR.part_underbarrel_04_atlas</v>
      </c>
      <c r="F591" s="102"/>
      <c r="G591" s="102" t="str">
        <f>IFERROR(__xludf.DUMMYFUNCTION("""COMPUTED_VALUE"""),"Atlas Tracker Darts")</f>
        <v>Atlas Tracker Darts</v>
      </c>
      <c r="H591" s="102"/>
      <c r="I591" s="102"/>
      <c r="J591" s="102"/>
      <c r="K591" s="102"/>
      <c r="L591" s="102"/>
    </row>
    <row r="592">
      <c r="A592" s="102" t="str">
        <f>IFERROR(__xludf.DUMMYFUNCTION("""COMPUTED_VALUE"""),"Jakobs")</f>
        <v>Jakobs</v>
      </c>
      <c r="B592" s="102" t="str">
        <f>IFERROR(__xludf.DUMMYFUNCTION("""COMPUTED_VALUE"""),"Sniper")</f>
        <v>Sniper</v>
      </c>
      <c r="C592" s="103">
        <f>IFERROR(__xludf.DUMMYFUNCTION("""COMPUTED_VALUE"""),53.0)</f>
        <v>53</v>
      </c>
      <c r="D592" s="102" t="str">
        <f>IFERROR(__xludf.DUMMYFUNCTION("""COMPUTED_VALUE"""),"Underbarrel")</f>
        <v>Underbarrel</v>
      </c>
      <c r="E592" s="102" t="str">
        <f>IFERROR(__xludf.DUMMYFUNCTION("""COMPUTED_VALUE"""),"JAK_SR.part_underbarrel_03_crank")</f>
        <v>JAK_SR.part_underbarrel_03_crank</v>
      </c>
      <c r="F592" s="102"/>
      <c r="G592" s="102" t="str">
        <f>IFERROR(__xludf.DUMMYFUNCTION("""COMPUTED_VALUE"""),"Alt Fire - Crank SMG")</f>
        <v>Alt Fire - Crank SMG</v>
      </c>
      <c r="H592" s="102" t="str">
        <f>IFERROR(__xludf.DUMMYFUNCTION("""COMPUTED_VALUE"""),"Crank-fires a SMG that deals XXX Damage per shot")</f>
        <v>Crank-fires a SMG that deals XXX Damage per shot</v>
      </c>
      <c r="I592" s="102"/>
      <c r="J592" s="102"/>
      <c r="K592" s="102"/>
      <c r="L592" s="102"/>
    </row>
    <row r="593">
      <c r="A593" s="102" t="str">
        <f>IFERROR(__xludf.DUMMYFUNCTION("""COMPUTED_VALUE"""),"Jakobs")</f>
        <v>Jakobs</v>
      </c>
      <c r="B593" s="102" t="str">
        <f>IFERROR(__xludf.DUMMYFUNCTION("""COMPUTED_VALUE"""),"Sniper")</f>
        <v>Sniper</v>
      </c>
      <c r="C593" s="103">
        <f>IFERROR(__xludf.DUMMYFUNCTION("""COMPUTED_VALUE"""),54.0)</f>
        <v>54</v>
      </c>
      <c r="D593" s="102" t="str">
        <f>IFERROR(__xludf.DUMMYFUNCTION("""COMPUTED_VALUE"""),"Manufacturer Part")</f>
        <v>Manufacturer Part</v>
      </c>
      <c r="E593" s="102" t="str">
        <f>IFERROR(__xludf.DUMMYFUNCTION("""COMPUTED_VALUE"""),"JAK_SR.part_secondary_ammo_smg")</f>
        <v>JAK_SR.part_secondary_ammo_smg</v>
      </c>
      <c r="F593" s="102"/>
      <c r="G593" s="102" t="str">
        <f>IFERROR(__xludf.DUMMYFUNCTION("""COMPUTED_VALUE"""),"Daedalus SMG Ammo")</f>
        <v>Daedalus SMG Ammo</v>
      </c>
      <c r="H593" s="102"/>
      <c r="I593" s="102"/>
      <c r="J593" s="102"/>
      <c r="K593" s="102"/>
      <c r="L593" s="102"/>
    </row>
    <row r="594">
      <c r="A594" s="102" t="str">
        <f>IFERROR(__xludf.DUMMYFUNCTION("""COMPUTED_VALUE"""),"Jakobs")</f>
        <v>Jakobs</v>
      </c>
      <c r="B594" s="102" t="str">
        <f>IFERROR(__xludf.DUMMYFUNCTION("""COMPUTED_VALUE"""),"Sniper")</f>
        <v>Sniper</v>
      </c>
      <c r="C594" s="103">
        <f>IFERROR(__xludf.DUMMYFUNCTION("""COMPUTED_VALUE"""),55.0)</f>
        <v>55</v>
      </c>
      <c r="D594" s="102" t="str">
        <f>IFERROR(__xludf.DUMMYFUNCTION("""COMPUTED_VALUE"""),"Manufacturer Part")</f>
        <v>Manufacturer Part</v>
      </c>
      <c r="E594" s="102" t="str">
        <f>IFERROR(__xludf.DUMMYFUNCTION("""COMPUTED_VALUE"""),"JAK_SR.part_secondary_ammo_ar")</f>
        <v>JAK_SR.part_secondary_ammo_ar</v>
      </c>
      <c r="F594" s="102"/>
      <c r="G594" s="102" t="str">
        <f>IFERROR(__xludf.DUMMYFUNCTION("""COMPUTED_VALUE"""),"Daedalus AR Ammo")</f>
        <v>Daedalus AR Ammo</v>
      </c>
      <c r="H594" s="102"/>
      <c r="I594" s="102"/>
      <c r="J594" s="102"/>
      <c r="K594" s="102"/>
      <c r="L594" s="102"/>
    </row>
    <row r="595">
      <c r="A595" s="102" t="str">
        <f>IFERROR(__xludf.DUMMYFUNCTION("""COMPUTED_VALUE"""),"Jakobs")</f>
        <v>Jakobs</v>
      </c>
      <c r="B595" s="102" t="str">
        <f>IFERROR(__xludf.DUMMYFUNCTION("""COMPUTED_VALUE"""),"Sniper")</f>
        <v>Sniper</v>
      </c>
      <c r="C595" s="103">
        <f>IFERROR(__xludf.DUMMYFUNCTION("""COMPUTED_VALUE"""),56.0)</f>
        <v>56</v>
      </c>
      <c r="D595" s="102" t="str">
        <f>IFERROR(__xludf.DUMMYFUNCTION("""COMPUTED_VALUE"""),"Manufacturer Part")</f>
        <v>Manufacturer Part</v>
      </c>
      <c r="E595" s="102" t="str">
        <f>IFERROR(__xludf.DUMMYFUNCTION("""COMPUTED_VALUE"""),"JAK_SR.part_secondary_ammo_ps")</f>
        <v>JAK_SR.part_secondary_ammo_ps</v>
      </c>
      <c r="F595" s="102"/>
      <c r="G595" s="102" t="str">
        <f>IFERROR(__xludf.DUMMYFUNCTION("""COMPUTED_VALUE"""),"Daedalus Pistol Ammo")</f>
        <v>Daedalus Pistol Ammo</v>
      </c>
      <c r="H595" s="102"/>
      <c r="I595" s="102"/>
      <c r="J595" s="102"/>
      <c r="K595" s="102"/>
      <c r="L595" s="102"/>
    </row>
    <row r="596">
      <c r="A596" s="102" t="str">
        <f>IFERROR(__xludf.DUMMYFUNCTION("""COMPUTED_VALUE"""),"Jakobs")</f>
        <v>Jakobs</v>
      </c>
      <c r="B596" s="102" t="str">
        <f>IFERROR(__xludf.DUMMYFUNCTION("""COMPUTED_VALUE"""),"Sniper")</f>
        <v>Sniper</v>
      </c>
      <c r="C596" s="103">
        <f>IFERROR(__xludf.DUMMYFUNCTION("""COMPUTED_VALUE"""),57.0)</f>
        <v>57</v>
      </c>
      <c r="D596" s="102" t="str">
        <f>IFERROR(__xludf.DUMMYFUNCTION("""COMPUTED_VALUE"""),"Barrel Accessory")</f>
        <v>Barrel Accessory</v>
      </c>
      <c r="E596" s="102" t="str">
        <f>IFERROR(__xludf.DUMMYFUNCTION("""COMPUTED_VALUE"""),"JAK_SR.part_barrel_01_a")</f>
        <v>JAK_SR.part_barrel_01_a</v>
      </c>
      <c r="F596" s="102"/>
      <c r="G596" s="102" t="str">
        <f>IFERROR(__xludf.DUMMYFUNCTION("""COMPUTED_VALUE"""),"+Damage")</f>
        <v>+Damage</v>
      </c>
      <c r="H596" s="102"/>
      <c r="I596" s="102"/>
      <c r="J596" s="102"/>
      <c r="K596" s="102"/>
      <c r="L596" s="102"/>
    </row>
    <row r="597">
      <c r="A597" s="102" t="str">
        <f>IFERROR(__xludf.DUMMYFUNCTION("""COMPUTED_VALUE"""),"Jakobs")</f>
        <v>Jakobs</v>
      </c>
      <c r="B597" s="102" t="str">
        <f>IFERROR(__xludf.DUMMYFUNCTION("""COMPUTED_VALUE"""),"Sniper")</f>
        <v>Sniper</v>
      </c>
      <c r="C597" s="103">
        <f>IFERROR(__xludf.DUMMYFUNCTION("""COMPUTED_VALUE"""),58.0)</f>
        <v>58</v>
      </c>
      <c r="D597" s="102" t="str">
        <f>IFERROR(__xludf.DUMMYFUNCTION("""COMPUTED_VALUE"""),"Barrel Accessory")</f>
        <v>Barrel Accessory</v>
      </c>
      <c r="E597" s="102" t="str">
        <f>IFERROR(__xludf.DUMMYFUNCTION("""COMPUTED_VALUE"""),"JAK_SR.part_barrel_01_b")</f>
        <v>JAK_SR.part_barrel_01_b</v>
      </c>
      <c r="F597" s="102"/>
      <c r="G597" s="102" t="str">
        <f>IFERROR(__xludf.DUMMYFUNCTION("""COMPUTED_VALUE"""),"+Crit Damage")</f>
        <v>+Crit Damage</v>
      </c>
      <c r="H597" s="102"/>
      <c r="I597" s="102"/>
      <c r="J597" s="102"/>
      <c r="K597" s="102"/>
      <c r="L597" s="102"/>
    </row>
    <row r="598">
      <c r="A598" s="102" t="str">
        <f>IFERROR(__xludf.DUMMYFUNCTION("""COMPUTED_VALUE"""),"Jakobs")</f>
        <v>Jakobs</v>
      </c>
      <c r="B598" s="102" t="str">
        <f>IFERROR(__xludf.DUMMYFUNCTION("""COMPUTED_VALUE"""),"Sniper")</f>
        <v>Sniper</v>
      </c>
      <c r="C598" s="103">
        <f>IFERROR(__xludf.DUMMYFUNCTION("""COMPUTED_VALUE"""),59.0)</f>
        <v>59</v>
      </c>
      <c r="D598" s="102" t="str">
        <f>IFERROR(__xludf.DUMMYFUNCTION("""COMPUTED_VALUE"""),"Barrel Accessory")</f>
        <v>Barrel Accessory</v>
      </c>
      <c r="E598" s="102" t="str">
        <f>IFERROR(__xludf.DUMMYFUNCTION("""COMPUTED_VALUE"""),"JAK_SR.part_barrel_01_c")</f>
        <v>JAK_SR.part_barrel_01_c</v>
      </c>
      <c r="F598" s="102"/>
      <c r="G598" s="102" t="str">
        <f>IFERROR(__xludf.DUMMYFUNCTION("""COMPUTED_VALUE"""),"No Stat Changes")</f>
        <v>No Stat Changes</v>
      </c>
      <c r="H598" s="102"/>
      <c r="I598" s="102"/>
      <c r="J598" s="102"/>
      <c r="K598" s="102"/>
      <c r="L598" s="102"/>
    </row>
    <row r="599">
      <c r="A599" s="102" t="str">
        <f>IFERROR(__xludf.DUMMYFUNCTION("""COMPUTED_VALUE"""),"Jakobs")</f>
        <v>Jakobs</v>
      </c>
      <c r="B599" s="102" t="str">
        <f>IFERROR(__xludf.DUMMYFUNCTION("""COMPUTED_VALUE"""),"Sniper")</f>
        <v>Sniper</v>
      </c>
      <c r="C599" s="103">
        <f>IFERROR(__xludf.DUMMYFUNCTION("""COMPUTED_VALUE"""),60.0)</f>
        <v>60</v>
      </c>
      <c r="D599" s="102" t="str">
        <f>IFERROR(__xludf.DUMMYFUNCTION("""COMPUTED_VALUE"""),"Barrel Accessory")</f>
        <v>Barrel Accessory</v>
      </c>
      <c r="E599" s="102" t="str">
        <f>IFERROR(__xludf.DUMMYFUNCTION("""COMPUTED_VALUE"""),"JAK_SR.part_barrel_01_d")</f>
        <v>JAK_SR.part_barrel_01_d</v>
      </c>
      <c r="F599" s="102"/>
      <c r="G599" s="102" t="str">
        <f>IFERROR(__xludf.DUMMYFUNCTION("""COMPUTED_VALUE"""),"No Stat Changes")</f>
        <v>No Stat Changes</v>
      </c>
      <c r="H599" s="102"/>
      <c r="I599" s="102"/>
      <c r="J599" s="102"/>
      <c r="K599" s="102"/>
      <c r="L599" s="102"/>
    </row>
    <row r="600">
      <c r="A600" s="102" t="str">
        <f>IFERROR(__xludf.DUMMYFUNCTION("""COMPUTED_VALUE"""),"Jakobs")</f>
        <v>Jakobs</v>
      </c>
      <c r="B600" s="102" t="str">
        <f>IFERROR(__xludf.DUMMYFUNCTION("""COMPUTED_VALUE"""),"Sniper")</f>
        <v>Sniper</v>
      </c>
      <c r="C600" s="103">
        <f>IFERROR(__xludf.DUMMYFUNCTION("""COMPUTED_VALUE"""),61.0)</f>
        <v>61</v>
      </c>
      <c r="D600" s="102" t="str">
        <f>IFERROR(__xludf.DUMMYFUNCTION("""COMPUTED_VALUE"""),"Barrel Accessory")</f>
        <v>Barrel Accessory</v>
      </c>
      <c r="E600" s="102" t="str">
        <f>IFERROR(__xludf.DUMMYFUNCTION("""COMPUTED_VALUE"""),"JAK_SR.part_barrel_02_a")</f>
        <v>JAK_SR.part_barrel_02_a</v>
      </c>
      <c r="F600" s="102"/>
      <c r="G600" s="102" t="str">
        <f>IFERROR(__xludf.DUMMYFUNCTION("""COMPUTED_VALUE"""),"+Damage")</f>
        <v>+Damage</v>
      </c>
      <c r="H600" s="102"/>
      <c r="I600" s="102"/>
      <c r="J600" s="102"/>
      <c r="K600" s="102"/>
      <c r="L600" s="102"/>
    </row>
    <row r="601">
      <c r="A601" s="102" t="str">
        <f>IFERROR(__xludf.DUMMYFUNCTION("""COMPUTED_VALUE"""),"Jakobs")</f>
        <v>Jakobs</v>
      </c>
      <c r="B601" s="102" t="str">
        <f>IFERROR(__xludf.DUMMYFUNCTION("""COMPUTED_VALUE"""),"Sniper")</f>
        <v>Sniper</v>
      </c>
      <c r="C601" s="103">
        <f>IFERROR(__xludf.DUMMYFUNCTION("""COMPUTED_VALUE"""),62.0)</f>
        <v>62</v>
      </c>
      <c r="D601" s="102" t="str">
        <f>IFERROR(__xludf.DUMMYFUNCTION("""COMPUTED_VALUE"""),"Barrel Accessory")</f>
        <v>Barrel Accessory</v>
      </c>
      <c r="E601" s="102" t="str">
        <f>IFERROR(__xludf.DUMMYFUNCTION("""COMPUTED_VALUE"""),"JAK_SR.part_barrel_02_b")</f>
        <v>JAK_SR.part_barrel_02_b</v>
      </c>
      <c r="F601" s="102"/>
      <c r="G601" s="102" t="str">
        <f>IFERROR(__xludf.DUMMYFUNCTION("""COMPUTED_VALUE"""),"No Stat Changes")</f>
        <v>No Stat Changes</v>
      </c>
      <c r="H601" s="102"/>
      <c r="I601" s="102"/>
      <c r="J601" s="102"/>
      <c r="K601" s="102"/>
      <c r="L601" s="102"/>
    </row>
    <row r="602">
      <c r="A602" s="102" t="str">
        <f>IFERROR(__xludf.DUMMYFUNCTION("""COMPUTED_VALUE"""),"Jakobs")</f>
        <v>Jakobs</v>
      </c>
      <c r="B602" s="102" t="str">
        <f>IFERROR(__xludf.DUMMYFUNCTION("""COMPUTED_VALUE"""),"Sniper")</f>
        <v>Sniper</v>
      </c>
      <c r="C602" s="103">
        <f>IFERROR(__xludf.DUMMYFUNCTION("""COMPUTED_VALUE"""),63.0)</f>
        <v>63</v>
      </c>
      <c r="D602" s="102" t="str">
        <f>IFERROR(__xludf.DUMMYFUNCTION("""COMPUTED_VALUE"""),"Barrel Accessory")</f>
        <v>Barrel Accessory</v>
      </c>
      <c r="E602" s="102" t="str">
        <f>IFERROR(__xludf.DUMMYFUNCTION("""COMPUTED_VALUE"""),"JAK_SR.part_barrel_02_c")</f>
        <v>JAK_SR.part_barrel_02_c</v>
      </c>
      <c r="F602" s="102"/>
      <c r="G602" s="102" t="str">
        <f>IFERROR(__xludf.DUMMYFUNCTION("""COMPUTED_VALUE"""),"+Fire Rate")</f>
        <v>+Fire Rate</v>
      </c>
      <c r="H602" s="102"/>
      <c r="I602" s="102"/>
      <c r="J602" s="102"/>
      <c r="K602" s="102"/>
      <c r="L602" s="102"/>
    </row>
    <row r="603">
      <c r="A603" s="102" t="str">
        <f>IFERROR(__xludf.DUMMYFUNCTION("""COMPUTED_VALUE"""),"Jakobs")</f>
        <v>Jakobs</v>
      </c>
      <c r="B603" s="102" t="str">
        <f>IFERROR(__xludf.DUMMYFUNCTION("""COMPUTED_VALUE"""),"Sniper")</f>
        <v>Sniper</v>
      </c>
      <c r="C603" s="103">
        <f>IFERROR(__xludf.DUMMYFUNCTION("""COMPUTED_VALUE"""),64.0)</f>
        <v>64</v>
      </c>
      <c r="D603" s="102" t="str">
        <f>IFERROR(__xludf.DUMMYFUNCTION("""COMPUTED_VALUE"""),"Barrel Accessory")</f>
        <v>Barrel Accessory</v>
      </c>
      <c r="E603" s="102" t="str">
        <f>IFERROR(__xludf.DUMMYFUNCTION("""COMPUTED_VALUE"""),"JAK_SR.part_barrel_02_d")</f>
        <v>JAK_SR.part_barrel_02_d</v>
      </c>
      <c r="F603" s="102"/>
      <c r="G603" s="102" t="str">
        <f>IFERROR(__xludf.DUMMYFUNCTION("""COMPUTED_VALUE"""),"+Damage")</f>
        <v>+Damage</v>
      </c>
      <c r="H603" s="102"/>
      <c r="I603" s="102"/>
      <c r="J603" s="102"/>
      <c r="K603" s="102"/>
      <c r="L603" s="102"/>
    </row>
    <row r="604">
      <c r="A604" s="102" t="str">
        <f>IFERROR(__xludf.DUMMYFUNCTION("""COMPUTED_VALUE"""),"Jakobs")</f>
        <v>Jakobs</v>
      </c>
      <c r="B604" s="102" t="str">
        <f>IFERROR(__xludf.DUMMYFUNCTION("""COMPUTED_VALUE"""),"Sniper")</f>
        <v>Sniper</v>
      </c>
      <c r="C604" s="103">
        <f>IFERROR(__xludf.DUMMYFUNCTION("""COMPUTED_VALUE"""),65.0)</f>
        <v>65</v>
      </c>
      <c r="D604" s="102" t="str">
        <f>IFERROR(__xludf.DUMMYFUNCTION("""COMPUTED_VALUE"""),"Manufacturer Part")</f>
        <v>Manufacturer Part</v>
      </c>
      <c r="E604" s="102" t="str">
        <f>IFERROR(__xludf.DUMMYFUNCTION("""COMPUTED_VALUE"""),"JAK_SR.part_barrel_licensed_ted")</f>
        <v>JAK_SR.part_barrel_licensed_ted</v>
      </c>
      <c r="F604" s="102"/>
      <c r="G604" s="102" t="str">
        <f>IFERROR(__xludf.DUMMYFUNCTION("""COMPUTED_VALUE"""),"Tediore Reload, no stat changes")</f>
        <v>Tediore Reload, no stat changes</v>
      </c>
      <c r="H604" s="102"/>
      <c r="I604" s="102"/>
      <c r="J604" s="102"/>
      <c r="K604" s="102"/>
      <c r="L604" s="102"/>
    </row>
    <row r="605">
      <c r="A605" s="102" t="str">
        <f>IFERROR(__xludf.DUMMYFUNCTION("""COMPUTED_VALUE"""),"Jakobs")</f>
        <v>Jakobs</v>
      </c>
      <c r="B605" s="102" t="str">
        <f>IFERROR(__xludf.DUMMYFUNCTION("""COMPUTED_VALUE"""),"Sniper")</f>
        <v>Sniper</v>
      </c>
      <c r="C605" s="103">
        <f>IFERROR(__xludf.DUMMYFUNCTION("""COMPUTED_VALUE"""),66.0)</f>
        <v>66</v>
      </c>
      <c r="D605" s="102" t="str">
        <f>IFERROR(__xludf.DUMMYFUNCTION("""COMPUTED_VALUE"""),"Manufacturer Part")</f>
        <v>Manufacturer Part</v>
      </c>
      <c r="E605" s="102" t="str">
        <f>IFERROR(__xludf.DUMMYFUNCTION("""COMPUTED_VALUE"""),"JAK_SR.part_barrel_licensed_ted_shooting")</f>
        <v>JAK_SR.part_barrel_licensed_ted_shooting</v>
      </c>
      <c r="F605" s="102"/>
      <c r="G605" s="102" t="str">
        <f>IFERROR(__xludf.DUMMYFUNCTION("""COMPUTED_VALUE"""),"Tediore Shooting, no stat changes")</f>
        <v>Tediore Shooting, no stat changes</v>
      </c>
      <c r="H605" s="102"/>
      <c r="I605" s="102"/>
      <c r="J605" s="102"/>
      <c r="K605" s="102"/>
      <c r="L605" s="102"/>
    </row>
    <row r="606">
      <c r="A606" s="102" t="str">
        <f>IFERROR(__xludf.DUMMYFUNCTION("""COMPUTED_VALUE"""),"Jakobs")</f>
        <v>Jakobs</v>
      </c>
      <c r="B606" s="102" t="str">
        <f>IFERROR(__xludf.DUMMYFUNCTION("""COMPUTED_VALUE"""),"Sniper")</f>
        <v>Sniper</v>
      </c>
      <c r="C606" s="103">
        <f>IFERROR(__xludf.DUMMYFUNCTION("""COMPUTED_VALUE"""),67.0)</f>
        <v>67</v>
      </c>
      <c r="D606" s="102" t="str">
        <f>IFERROR(__xludf.DUMMYFUNCTION("""COMPUTED_VALUE"""),"Manufacturer Part")</f>
        <v>Manufacturer Part</v>
      </c>
      <c r="E606" s="102" t="str">
        <f>IFERROR(__xludf.DUMMYFUNCTION("""COMPUTED_VALUE"""),"JAK_SR.part_barrel_licensed_ted_combo")</f>
        <v>JAK_SR.part_barrel_licensed_ted_combo</v>
      </c>
      <c r="F606" s="102"/>
      <c r="G606" s="102" t="str">
        <f>IFERROR(__xludf.DUMMYFUNCTION("""COMPUTED_VALUE"""),"Tediore Combo, no stat changes")</f>
        <v>Tediore Combo, no stat changes</v>
      </c>
      <c r="H606" s="102"/>
      <c r="I606" s="102"/>
      <c r="J606" s="102"/>
      <c r="K606" s="102"/>
      <c r="L606" s="102"/>
    </row>
    <row r="607">
      <c r="A607" s="102" t="str">
        <f>IFERROR(__xludf.DUMMYFUNCTION("""COMPUTED_VALUE"""),"Jakobs")</f>
        <v>Jakobs</v>
      </c>
      <c r="B607" s="102" t="str">
        <f>IFERROR(__xludf.DUMMYFUNCTION("""COMPUTED_VALUE"""),"Sniper")</f>
        <v>Sniper</v>
      </c>
      <c r="C607" s="103">
        <f>IFERROR(__xludf.DUMMYFUNCTION("""COMPUTED_VALUE"""),68.0)</f>
        <v>68</v>
      </c>
      <c r="D607" s="102" t="str">
        <f>IFERROR(__xludf.DUMMYFUNCTION("""COMPUTED_VALUE"""),"Manufacturer Part")</f>
        <v>Manufacturer Part</v>
      </c>
      <c r="E607" s="102" t="str">
        <f>IFERROR(__xludf.DUMMYFUNCTION("""COMPUTED_VALUE"""),"JAK_SR.part_barrel_licensed_ted_mirv")</f>
        <v>JAK_SR.part_barrel_licensed_ted_mirv</v>
      </c>
      <c r="F607" s="102"/>
      <c r="G607" s="102" t="str">
        <f>IFERROR(__xludf.DUMMYFUNCTION("""COMPUTED_VALUE"""),"Tediore MIRV, no stat changes")</f>
        <v>Tediore MIRV, no stat changes</v>
      </c>
      <c r="H607" s="102"/>
      <c r="I607" s="102"/>
      <c r="J607" s="102"/>
      <c r="K607" s="102"/>
      <c r="L607" s="102"/>
    </row>
    <row r="608">
      <c r="A608" s="102" t="str">
        <f>IFERROR(__xludf.DUMMYFUNCTION("""COMPUTED_VALUE"""),"Jakobs")</f>
        <v>Jakobs</v>
      </c>
      <c r="B608" s="102" t="str">
        <f>IFERROR(__xludf.DUMMYFUNCTION("""COMPUTED_VALUE"""),"Sniper")</f>
        <v>Sniper</v>
      </c>
      <c r="C608" s="103">
        <f>IFERROR(__xludf.DUMMYFUNCTION("""COMPUTED_VALUE"""),69.0)</f>
        <v>69</v>
      </c>
      <c r="D608" s="102" t="str">
        <f>IFERROR(__xludf.DUMMYFUNCTION("""COMPUTED_VALUE"""),"Manufacturer Part")</f>
        <v>Manufacturer Part</v>
      </c>
      <c r="E608" s="102" t="str">
        <f>IFERROR(__xludf.DUMMYFUNCTION("""COMPUTED_VALUE"""),"JAK_SR.part_barrel_licensed_hyp")</f>
        <v>JAK_SR.part_barrel_licensed_hyp</v>
      </c>
      <c r="F608" s="102"/>
      <c r="G608" s="102" t="str">
        <f>IFERROR(__xludf.DUMMYFUNCTION("""COMPUTED_VALUE"""),"Hyperion Shield visual accessory, no stat changes")</f>
        <v>Hyperion Shield visual accessory, no stat changes</v>
      </c>
      <c r="H608" s="102"/>
      <c r="I608" s="102"/>
      <c r="J608" s="102"/>
      <c r="K608" s="102"/>
      <c r="L608" s="102"/>
    </row>
    <row r="609">
      <c r="A609" s="102" t="str">
        <f>IFERROR(__xludf.DUMMYFUNCTION("""COMPUTED_VALUE"""),"Jakobs")</f>
        <v>Jakobs</v>
      </c>
      <c r="B609" s="102" t="str">
        <f>IFERROR(__xludf.DUMMYFUNCTION("""COMPUTED_VALUE"""),"Sniper")</f>
        <v>Sniper</v>
      </c>
      <c r="C609" s="103">
        <f>IFERROR(__xludf.DUMMYFUNCTION("""COMPUTED_VALUE"""),70.0)</f>
        <v>70</v>
      </c>
      <c r="D609" s="102" t="str">
        <f>IFERROR(__xludf.DUMMYFUNCTION("""COMPUTED_VALUE"""),"Manufacturer Part")</f>
        <v>Manufacturer Part</v>
      </c>
      <c r="E609" s="102" t="str">
        <f>IFERROR(__xludf.DUMMYFUNCTION("""COMPUTED_VALUE"""),"JAK_SR.part_secondary_ammo_sg")</f>
        <v>JAK_SR.part_secondary_ammo_sg</v>
      </c>
      <c r="F609" s="102"/>
      <c r="G609" s="102" t="str">
        <f>IFERROR(__xludf.DUMMYFUNCTION("""COMPUTED_VALUE"""),"Daedalus Shotgun Ammo")</f>
        <v>Daedalus Shotgun Ammo</v>
      </c>
      <c r="H609" s="102"/>
      <c r="I609" s="102"/>
      <c r="J609" s="102"/>
      <c r="K609" s="102"/>
      <c r="L609" s="102"/>
    </row>
    <row r="610">
      <c r="A610" s="102" t="str">
        <f>IFERROR(__xludf.DUMMYFUNCTION("""COMPUTED_VALUE"""),"Jakobs")</f>
        <v>Jakobs</v>
      </c>
      <c r="B610" s="102" t="str">
        <f>IFERROR(__xludf.DUMMYFUNCTION("""COMPUTED_VALUE"""),"Sniper")</f>
        <v>Sniper</v>
      </c>
      <c r="C610" s="103">
        <f>IFERROR(__xludf.DUMMYFUNCTION("""COMPUTED_VALUE"""),72.0)</f>
        <v>72</v>
      </c>
      <c r="D610" s="102" t="str">
        <f>IFERROR(__xludf.DUMMYFUNCTION("""COMPUTED_VALUE"""),"Barrel")</f>
        <v>Barrel</v>
      </c>
      <c r="E610" s="102" t="str">
        <f>IFERROR(__xludf.DUMMYFUNCTION("""COMPUTED_VALUE"""),"JAK_SR.part_barrel_ballista")</f>
        <v>JAK_SR.part_barrel_ballista</v>
      </c>
      <c r="F610" s="102"/>
      <c r="G610" s="102" t="str">
        <f>IFERROR(__xludf.DUMMYFUNCTION("""COMPUTED_VALUE"""),"Borstel ballista, 7027 Damage, 86% Acc, 0.8/s FR")</f>
        <v>Borstel ballista, 7027 Damage, 86% Acc, 0.8/s FR</v>
      </c>
      <c r="H610" s="102" t="str">
        <f>IFERROR(__xludf.DUMMYFUNCTION("""COMPUTED_VALUE"""),"Propagation")</f>
        <v>Propagation</v>
      </c>
      <c r="I610" s="102"/>
      <c r="J610" s="102"/>
      <c r="K610" s="102"/>
      <c r="L610" s="102"/>
    </row>
    <row r="611">
      <c r="A611" s="102" t="str">
        <f>IFERROR(__xludf.DUMMYFUNCTION("""COMPUTED_VALUE"""),"Jakobs")</f>
        <v>Jakobs</v>
      </c>
      <c r="B611" s="102" t="str">
        <f>IFERROR(__xludf.DUMMYFUNCTION("""COMPUTED_VALUE"""),"Sniper")</f>
        <v>Sniper</v>
      </c>
      <c r="C611" s="103">
        <f>IFERROR(__xludf.DUMMYFUNCTION("""COMPUTED_VALUE"""),74.0)</f>
        <v>74</v>
      </c>
      <c r="D611" s="102" t="str">
        <f>IFERROR(__xludf.DUMMYFUNCTION("""COMPUTED_VALUE"""),"Barrel")</f>
        <v>Barrel</v>
      </c>
      <c r="E611" s="102" t="str">
        <f>IFERROR(__xludf.DUMMYFUNCTION("""COMPUTED_VALUE"""),"JAK_SR.part_barrel_02_boomslang")</f>
        <v>JAK_SR.part_barrel_02_boomslang</v>
      </c>
      <c r="F611" s="102"/>
      <c r="G611" s="102" t="str">
        <f>IFERROR(__xludf.DUMMYFUNCTION("""COMPUTED_VALUE"""),"Boomslang, 6090 Damage, 95% Acc, 0.8/2 FR")</f>
        <v>Boomslang, 6090 Damage, 95% Acc, 0.8/2 FR</v>
      </c>
      <c r="H611" s="102" t="str">
        <f>IFERROR(__xludf.DUMMYFUNCTION("""COMPUTED_VALUE"""),"Bullet Pollinator - After Reloading, the first Critical hit Ricochets a Sticky Projectile to up to 3 nearby enemies")</f>
        <v>Bullet Pollinator - After Reloading, the first Critical hit Ricochets a Sticky Projectile to up to 3 nearby enemies</v>
      </c>
      <c r="I611" s="102"/>
      <c r="J611" s="102"/>
      <c r="K611" s="102"/>
      <c r="L611" s="102"/>
    </row>
    <row r="612">
      <c r="A612" s="102" t="str">
        <f>IFERROR(__xludf.DUMMYFUNCTION("""COMPUTED_VALUE"""),"Jakobs")</f>
        <v>Jakobs</v>
      </c>
      <c r="B612" s="102" t="str">
        <f>IFERROR(__xludf.DUMMYFUNCTION("""COMPUTED_VALUE"""),"Sniper")</f>
        <v>Sniper</v>
      </c>
      <c r="C612" s="103">
        <f>IFERROR(__xludf.DUMMYFUNCTION("""COMPUTED_VALUE"""),75.0)</f>
        <v>75</v>
      </c>
      <c r="D612" s="102" t="str">
        <f>IFERROR(__xludf.DUMMYFUNCTION("""COMPUTED_VALUE"""),"Barrel")</f>
        <v>Barrel</v>
      </c>
      <c r="E612" s="102" t="str">
        <f>IFERROR(__xludf.DUMMYFUNCTION("""COMPUTED_VALUE"""),"JAK_SR.part_barrel_truck")</f>
        <v>JAK_SR.part_barrel_truck</v>
      </c>
      <c r="F612" s="102"/>
      <c r="G612" s="102" t="str">
        <f>IFERROR(__xludf.DUMMYFUNCTION("""COMPUTED_VALUE"""),"Truck, 7027 Damage, 87% Acc, 1.0/s FR")</f>
        <v>Truck, 7027 Damage, 87% Acc, 1.0/s FR</v>
      </c>
      <c r="H612" s="102" t="str">
        <f>IFERROR(__xludf.DUMMYFUNCTION("""COMPUTED_VALUE"""),"Fixer-Upper")</f>
        <v>Fixer-Upper</v>
      </c>
      <c r="I612" s="102"/>
      <c r="J612" s="102"/>
      <c r="K612" s="102"/>
      <c r="L612" s="102"/>
    </row>
    <row r="613">
      <c r="A613" s="102" t="str">
        <f>IFERROR(__xludf.DUMMYFUNCTION("""COMPUTED_VALUE"""),"Maliwan")</f>
        <v>Maliwan</v>
      </c>
      <c r="B613" s="102" t="str">
        <f>IFERROR(__xludf.DUMMYFUNCTION("""COMPUTED_VALUE"""),"Shotgun")</f>
        <v>Shotgun</v>
      </c>
      <c r="C613" s="103">
        <f>IFERROR(__xludf.DUMMYFUNCTION("""COMPUTED_VALUE"""),2.0)</f>
        <v>2</v>
      </c>
      <c r="D613" s="102" t="str">
        <f>IFERROR(__xludf.DUMMYFUNCTION("""COMPUTED_VALUE"""),"Body")</f>
        <v>Body</v>
      </c>
      <c r="E613" s="102" t="str">
        <f>IFERROR(__xludf.DUMMYFUNCTION("""COMPUTED_VALUE"""),"MAL_SG.part_body")</f>
        <v>MAL_SG.part_body</v>
      </c>
      <c r="F613" s="102"/>
      <c r="G613" s="102" t="str">
        <f>IFERROR(__xludf.DUMMYFUNCTION("""COMPUTED_VALUE"""),"No Stat Changes, always present")</f>
        <v>No Stat Changes, always present</v>
      </c>
      <c r="H613" s="102"/>
      <c r="I613" s="102"/>
      <c r="J613" s="102"/>
      <c r="K613" s="102"/>
      <c r="L613" s="102"/>
    </row>
    <row r="614">
      <c r="A614" s="102" t="str">
        <f>IFERROR(__xludf.DUMMYFUNCTION("""COMPUTED_VALUE"""),"Maliwan")</f>
        <v>Maliwan</v>
      </c>
      <c r="B614" s="102" t="str">
        <f>IFERROR(__xludf.DUMMYFUNCTION("""COMPUTED_VALUE"""),"Shotgun")</f>
        <v>Shotgun</v>
      </c>
      <c r="C614" s="103">
        <f>IFERROR(__xludf.DUMMYFUNCTION("""COMPUTED_VALUE"""),3.0)</f>
        <v>3</v>
      </c>
      <c r="D614" s="102" t="str">
        <f>IFERROR(__xludf.DUMMYFUNCTION("""COMPUTED_VALUE"""),"Body Accessory")</f>
        <v>Body Accessory</v>
      </c>
      <c r="E614" s="102" t="str">
        <f>IFERROR(__xludf.DUMMYFUNCTION("""COMPUTED_VALUE"""),"MAL_SG.part_body_a")</f>
        <v>MAL_SG.part_body_a</v>
      </c>
      <c r="F614" s="102"/>
      <c r="G614" s="102" t="str">
        <f>IFERROR(__xludf.DUMMYFUNCTION("""COMPUTED_VALUE"""),"-Reload Speed")</f>
        <v>-Reload Speed</v>
      </c>
      <c r="H614" s="102"/>
      <c r="I614" s="102"/>
      <c r="J614" s="102"/>
      <c r="K614" s="102"/>
      <c r="L614" s="102"/>
    </row>
    <row r="615">
      <c r="A615" s="102" t="str">
        <f>IFERROR(__xludf.DUMMYFUNCTION("""COMPUTED_VALUE"""),"Maliwan")</f>
        <v>Maliwan</v>
      </c>
      <c r="B615" s="102" t="str">
        <f>IFERROR(__xludf.DUMMYFUNCTION("""COMPUTED_VALUE"""),"Shotgun")</f>
        <v>Shotgun</v>
      </c>
      <c r="C615" s="103">
        <f>IFERROR(__xludf.DUMMYFUNCTION("""COMPUTED_VALUE"""),4.0)</f>
        <v>4</v>
      </c>
      <c r="D615" s="102" t="str">
        <f>IFERROR(__xludf.DUMMYFUNCTION("""COMPUTED_VALUE"""),"Body Accessory")</f>
        <v>Body Accessory</v>
      </c>
      <c r="E615" s="102" t="str">
        <f>IFERROR(__xludf.DUMMYFUNCTION("""COMPUTED_VALUE"""),"MAL_SG.part_body_b")</f>
        <v>MAL_SG.part_body_b</v>
      </c>
      <c r="F615" s="102"/>
      <c r="G615" s="102" t="str">
        <f>IFERROR(__xludf.DUMMYFUNCTION("""COMPUTED_VALUE"""),"+Ammo")</f>
        <v>+Ammo</v>
      </c>
      <c r="H615" s="102"/>
      <c r="I615" s="102"/>
      <c r="J615" s="102"/>
      <c r="K615" s="102"/>
      <c r="L615" s="102"/>
    </row>
    <row r="616">
      <c r="A616" s="102" t="str">
        <f>IFERROR(__xludf.DUMMYFUNCTION("""COMPUTED_VALUE"""),"Maliwan")</f>
        <v>Maliwan</v>
      </c>
      <c r="B616" s="102" t="str">
        <f>IFERROR(__xludf.DUMMYFUNCTION("""COMPUTED_VALUE"""),"Shotgun")</f>
        <v>Shotgun</v>
      </c>
      <c r="C616" s="103">
        <f>IFERROR(__xludf.DUMMYFUNCTION("""COMPUTED_VALUE"""),5.0)</f>
        <v>5</v>
      </c>
      <c r="D616" s="102" t="str">
        <f>IFERROR(__xludf.DUMMYFUNCTION("""COMPUTED_VALUE"""),"Body Accessory")</f>
        <v>Body Accessory</v>
      </c>
      <c r="E616" s="102" t="str">
        <f>IFERROR(__xludf.DUMMYFUNCTION("""COMPUTED_VALUE"""),"MAL_SG.part_body_c")</f>
        <v>MAL_SG.part_body_c</v>
      </c>
      <c r="F616" s="102"/>
      <c r="G616" s="102" t="str">
        <f>IFERROR(__xludf.DUMMYFUNCTION("""COMPUTED_VALUE"""),"+Accuracy")</f>
        <v>+Accuracy</v>
      </c>
      <c r="H616" s="102"/>
      <c r="I616" s="102"/>
      <c r="J616" s="102"/>
      <c r="K616" s="102"/>
      <c r="L616" s="102"/>
    </row>
    <row r="617">
      <c r="A617" s="102" t="str">
        <f>IFERROR(__xludf.DUMMYFUNCTION("""COMPUTED_VALUE"""),"Maliwan")</f>
        <v>Maliwan</v>
      </c>
      <c r="B617" s="102" t="str">
        <f>IFERROR(__xludf.DUMMYFUNCTION("""COMPUTED_VALUE"""),"Shotgun")</f>
        <v>Shotgun</v>
      </c>
      <c r="C617" s="103">
        <f>IFERROR(__xludf.DUMMYFUNCTION("""COMPUTED_VALUE"""),6.0)</f>
        <v>6</v>
      </c>
      <c r="D617" s="102" t="str">
        <f>IFERROR(__xludf.DUMMYFUNCTION("""COMPUTED_VALUE"""),"Body Accessory")</f>
        <v>Body Accessory</v>
      </c>
      <c r="E617" s="102" t="str">
        <f>IFERROR(__xludf.DUMMYFUNCTION("""COMPUTED_VALUE"""),"MAL_SG.part_body_d")</f>
        <v>MAL_SG.part_body_d</v>
      </c>
      <c r="F617" s="102"/>
      <c r="G617" s="102" t="str">
        <f>IFERROR(__xludf.DUMMYFUNCTION("""COMPUTED_VALUE"""),"+Elemental Damage")</f>
        <v>+Elemental Damage</v>
      </c>
      <c r="H617" s="102"/>
      <c r="I617" s="102"/>
      <c r="J617" s="102"/>
      <c r="K617" s="102"/>
      <c r="L617" s="102"/>
    </row>
    <row r="618">
      <c r="A618" s="102" t="str">
        <f>IFERROR(__xludf.DUMMYFUNCTION("""COMPUTED_VALUE"""),"Maliwan")</f>
        <v>Maliwan</v>
      </c>
      <c r="B618" s="102" t="str">
        <f>IFERROR(__xludf.DUMMYFUNCTION("""COMPUTED_VALUE"""),"Shotgun")</f>
        <v>Shotgun</v>
      </c>
      <c r="C618" s="103">
        <f>IFERROR(__xludf.DUMMYFUNCTION("""COMPUTED_VALUE"""),7.0)</f>
        <v>7</v>
      </c>
      <c r="D618" s="102" t="str">
        <f>IFERROR(__xludf.DUMMYFUNCTION("""COMPUTED_VALUE"""),"Barrel")</f>
        <v>Barrel</v>
      </c>
      <c r="E618" s="102" t="str">
        <f>IFERROR(__xludf.DUMMYFUNCTION("""COMPUTED_VALUE"""),"MAL_SG.part_barrel_01_kickballer")</f>
        <v>MAL_SG.part_barrel_01_kickballer</v>
      </c>
      <c r="F618" s="102"/>
      <c r="G618" s="102" t="str">
        <f>IFERROR(__xludf.DUMMYFUNCTION("""COMPUTED_VALUE"""),"Kickballer, 5131 Damage, 77% Acc, 0.8/s FR")</f>
        <v>Kickballer, 5131 Damage, 77% Acc, 0.8/s FR</v>
      </c>
      <c r="H618" s="102" t="str">
        <f>IFERROR(__xludf.DUMMYFUNCTION("""COMPUTED_VALUE"""),"Force Bunt")</f>
        <v>Force Bunt</v>
      </c>
      <c r="I618" s="102"/>
      <c r="J618" s="102"/>
      <c r="K618" s="102"/>
      <c r="L618" s="102"/>
    </row>
    <row r="619">
      <c r="A619" s="102" t="str">
        <f>IFERROR(__xludf.DUMMYFUNCTION("""COMPUTED_VALUE"""),"Maliwan")</f>
        <v>Maliwan</v>
      </c>
      <c r="B619" s="102" t="str">
        <f>IFERROR(__xludf.DUMMYFUNCTION("""COMPUTED_VALUE"""),"Shotgun")</f>
        <v>Shotgun</v>
      </c>
      <c r="C619" s="103">
        <f>IFERROR(__xludf.DUMMYFUNCTION("""COMPUTED_VALUE"""),8.0)</f>
        <v>8</v>
      </c>
      <c r="D619" s="102" t="str">
        <f>IFERROR(__xludf.DUMMYFUNCTION("""COMPUTED_VALUE"""),"Barrel")</f>
        <v>Barrel</v>
      </c>
      <c r="E619" s="102" t="str">
        <f>IFERROR(__xludf.DUMMYFUNCTION("""COMPUTED_VALUE"""),"MAL_SG.part_barrel_01")</f>
        <v>MAL_SG.part_barrel_01</v>
      </c>
      <c r="F619" s="102"/>
      <c r="G619" s="102" t="str">
        <f>IFERROR(__xludf.DUMMYFUNCTION("""COMPUTED_VALUE"""),"Stellium, 5131 Damage, 77% Acc, 0.8/s FR")</f>
        <v>Stellium, 5131 Damage, 77% Acc, 0.8/s FR</v>
      </c>
      <c r="H619" s="102"/>
      <c r="I619" s="102"/>
      <c r="J619" s="102"/>
      <c r="K619" s="102"/>
      <c r="L619" s="102"/>
    </row>
    <row r="620">
      <c r="A620" s="102" t="str">
        <f>IFERROR(__xludf.DUMMYFUNCTION("""COMPUTED_VALUE"""),"Maliwan")</f>
        <v>Maliwan</v>
      </c>
      <c r="B620" s="102" t="str">
        <f>IFERROR(__xludf.DUMMYFUNCTION("""COMPUTED_VALUE"""),"Shotgun")</f>
        <v>Shotgun</v>
      </c>
      <c r="C620" s="103">
        <f>IFERROR(__xludf.DUMMYFUNCTION("""COMPUTED_VALUE"""),9.0)</f>
        <v>9</v>
      </c>
      <c r="D620" s="102" t="str">
        <f>IFERROR(__xludf.DUMMYFUNCTION("""COMPUTED_VALUE"""),"Barrel")</f>
        <v>Barrel</v>
      </c>
      <c r="E620" s="102" t="str">
        <f>IFERROR(__xludf.DUMMYFUNCTION("""COMPUTED_VALUE"""),"MAL_SG.part_barrel_02")</f>
        <v>MAL_SG.part_barrel_02</v>
      </c>
      <c r="F620" s="102"/>
      <c r="G620" s="102" t="str">
        <f>IFERROR(__xludf.DUMMYFUNCTION("""COMPUTED_VALUE"""),"Vertex, 2677 x 2 Damage, 75% Acc, 1.1/s FR, 2 Shot")</f>
        <v>Vertex, 2677 x 2 Damage, 75% Acc, 1.1/s FR, 2 Shot</v>
      </c>
      <c r="H620" s="102"/>
      <c r="I620" s="102"/>
      <c r="J620" s="102"/>
      <c r="K620" s="102"/>
      <c r="L620" s="102"/>
    </row>
    <row r="621">
      <c r="A621" s="102" t="str">
        <f>IFERROR(__xludf.DUMMYFUNCTION("""COMPUTED_VALUE"""),"Maliwan")</f>
        <v>Maliwan</v>
      </c>
      <c r="B621" s="102" t="str">
        <f>IFERROR(__xludf.DUMMYFUNCTION("""COMPUTED_VALUE"""),"Shotgun")</f>
        <v>Shotgun</v>
      </c>
      <c r="C621" s="103">
        <f>IFERROR(__xludf.DUMMYFUNCTION("""COMPUTED_VALUE"""),10.0)</f>
        <v>10</v>
      </c>
      <c r="D621" s="102" t="str">
        <f>IFERROR(__xludf.DUMMYFUNCTION("""COMPUTED_VALUE"""),"Manufacturer Part")</f>
        <v>Manufacturer Part</v>
      </c>
      <c r="E621" s="102" t="str">
        <f>IFERROR(__xludf.DUMMYFUNCTION("""COMPUTED_VALUE"""),"MAL_SG.part_shield_default")</f>
        <v>MAL_SG.part_shield_default</v>
      </c>
      <c r="F621" s="102"/>
      <c r="G621" s="102" t="str">
        <f>IFERROR(__xludf.DUMMYFUNCTION("""COMPUTED_VALUE"""),"Hyperion Shield")</f>
        <v>Hyperion Shield</v>
      </c>
      <c r="H621" s="102"/>
      <c r="I621" s="102"/>
      <c r="J621" s="102"/>
      <c r="K621" s="102"/>
      <c r="L621" s="102"/>
    </row>
    <row r="622">
      <c r="A622" s="102" t="str">
        <f>IFERROR(__xludf.DUMMYFUNCTION("""COMPUTED_VALUE"""),"Maliwan")</f>
        <v>Maliwan</v>
      </c>
      <c r="B622" s="102" t="str">
        <f>IFERROR(__xludf.DUMMYFUNCTION("""COMPUTED_VALUE"""),"Shotgun")</f>
        <v>Shotgun</v>
      </c>
      <c r="C622" s="103">
        <f>IFERROR(__xludf.DUMMYFUNCTION("""COMPUTED_VALUE"""),11.0)</f>
        <v>11</v>
      </c>
      <c r="D622" s="102" t="str">
        <f>IFERROR(__xludf.DUMMYFUNCTION("""COMPUTED_VALUE"""),"Manufacturer Part")</f>
        <v>Manufacturer Part</v>
      </c>
      <c r="E622" s="102" t="str">
        <f>IFERROR(__xludf.DUMMYFUNCTION("""COMPUTED_VALUE"""),"MAL_SG.part_shield_ricochet")</f>
        <v>MAL_SG.part_shield_ricochet</v>
      </c>
      <c r="F622" s="102"/>
      <c r="G622" s="102" t="str">
        <f>IFERROR(__xludf.DUMMYFUNCTION("""COMPUTED_VALUE"""),"Hyperion Ricochet Shield")</f>
        <v>Hyperion Ricochet Shield</v>
      </c>
      <c r="H622" s="102"/>
      <c r="I622" s="102"/>
      <c r="J622" s="102"/>
      <c r="K622" s="102"/>
      <c r="L622" s="102"/>
    </row>
    <row r="623">
      <c r="A623" s="102" t="str">
        <f>IFERROR(__xludf.DUMMYFUNCTION("""COMPUTED_VALUE"""),"Maliwan")</f>
        <v>Maliwan</v>
      </c>
      <c r="B623" s="102" t="str">
        <f>IFERROR(__xludf.DUMMYFUNCTION("""COMPUTED_VALUE"""),"Shotgun")</f>
        <v>Shotgun</v>
      </c>
      <c r="C623" s="103">
        <f>IFERROR(__xludf.DUMMYFUNCTION("""COMPUTED_VALUE"""),12.0)</f>
        <v>12</v>
      </c>
      <c r="D623" s="102" t="str">
        <f>IFERROR(__xludf.DUMMYFUNCTION("""COMPUTED_VALUE"""),"Manufacturer Part")</f>
        <v>Manufacturer Part</v>
      </c>
      <c r="E623" s="102" t="str">
        <f>IFERROR(__xludf.DUMMYFUNCTION("""COMPUTED_VALUE"""),"MAL_SG.part_shield_ammo")</f>
        <v>MAL_SG.part_shield_ammo</v>
      </c>
      <c r="F623" s="102"/>
      <c r="G623" s="102" t="str">
        <f>IFERROR(__xludf.DUMMYFUNCTION("""COMPUTED_VALUE"""),"Hyperion Absorb Shield")</f>
        <v>Hyperion Absorb Shield</v>
      </c>
      <c r="H623" s="102"/>
      <c r="I623" s="102"/>
      <c r="J623" s="102"/>
      <c r="K623" s="102"/>
      <c r="L623" s="102"/>
    </row>
    <row r="624">
      <c r="A624" s="102" t="str">
        <f>IFERROR(__xludf.DUMMYFUNCTION("""COMPUTED_VALUE"""),"Maliwan")</f>
        <v>Maliwan</v>
      </c>
      <c r="B624" s="102" t="str">
        <f>IFERROR(__xludf.DUMMYFUNCTION("""COMPUTED_VALUE"""),"Shotgun")</f>
        <v>Shotgun</v>
      </c>
      <c r="C624" s="103">
        <f>IFERROR(__xludf.DUMMYFUNCTION("""COMPUTED_VALUE"""),13.0)</f>
        <v>13</v>
      </c>
      <c r="D624" s="102" t="str">
        <f>IFERROR(__xludf.DUMMYFUNCTION("""COMPUTED_VALUE"""),"Manufacturer Part")</f>
        <v>Manufacturer Part</v>
      </c>
      <c r="E624" s="102" t="str">
        <f>IFERROR(__xludf.DUMMYFUNCTION("""COMPUTED_VALUE"""),"MAL_SG.part_shield_amp")</f>
        <v>MAL_SG.part_shield_amp</v>
      </c>
      <c r="F624" s="102"/>
      <c r="G624" s="102" t="str">
        <f>IFERROR(__xludf.DUMMYFUNCTION("""COMPUTED_VALUE"""),"Hyperion Amp Shield")</f>
        <v>Hyperion Amp Shield</v>
      </c>
      <c r="H624" s="102"/>
      <c r="I624" s="102"/>
      <c r="J624" s="102"/>
      <c r="K624" s="102"/>
      <c r="L624" s="102"/>
    </row>
    <row r="625">
      <c r="A625" s="102" t="str">
        <f>IFERROR(__xludf.DUMMYFUNCTION("""COMPUTED_VALUE"""),"Maliwan")</f>
        <v>Maliwan</v>
      </c>
      <c r="B625" s="102" t="str">
        <f>IFERROR(__xludf.DUMMYFUNCTION("""COMPUTED_VALUE"""),"Shotgun")</f>
        <v>Shotgun</v>
      </c>
      <c r="C625" s="103">
        <f>IFERROR(__xludf.DUMMYFUNCTION("""COMPUTED_VALUE"""),14.0)</f>
        <v>14</v>
      </c>
      <c r="D625" s="102" t="str">
        <f>IFERROR(__xludf.DUMMYFUNCTION("""COMPUTED_VALUE"""),"Magazine")</f>
        <v>Magazine</v>
      </c>
      <c r="E625" s="102" t="str">
        <f>IFERROR(__xludf.DUMMYFUNCTION("""COMPUTED_VALUE"""),"MAL_SG.part_mag_05_borg")</f>
        <v>MAL_SG.part_mag_05_borg</v>
      </c>
      <c r="F625" s="102"/>
      <c r="G625" s="102" t="str">
        <f>IFERROR(__xludf.DUMMYFUNCTION("""COMPUTED_VALUE"""),"2.8s Reload, -Damage, +Fire Rate, 10 Shots, Ripper Mag")</f>
        <v>2.8s Reload, -Damage, +Fire Rate, 10 Shots, Ripper Mag</v>
      </c>
      <c r="H625" s="102"/>
      <c r="I625" s="102"/>
      <c r="J625" s="102"/>
      <c r="K625" s="102"/>
      <c r="L625" s="102"/>
    </row>
    <row r="626">
      <c r="A626" s="102" t="str">
        <f>IFERROR(__xludf.DUMMYFUNCTION("""COMPUTED_VALUE"""),"Maliwan")</f>
        <v>Maliwan</v>
      </c>
      <c r="B626" s="102" t="str">
        <f>IFERROR(__xludf.DUMMYFUNCTION("""COMPUTED_VALUE"""),"Shotgun")</f>
        <v>Shotgun</v>
      </c>
      <c r="C626" s="103">
        <f>IFERROR(__xludf.DUMMYFUNCTION("""COMPUTED_VALUE"""),15.0)</f>
        <v>15</v>
      </c>
      <c r="D626" s="102" t="str">
        <f>IFERROR(__xludf.DUMMYFUNCTION("""COMPUTED_VALUE"""),"Magazine")</f>
        <v>Magazine</v>
      </c>
      <c r="E626" s="102" t="str">
        <f>IFERROR(__xludf.DUMMYFUNCTION("""COMPUTED_VALUE"""),"MAL_SG.part_mag_04_cov")</f>
        <v>MAL_SG.part_mag_04_cov</v>
      </c>
      <c r="F626" s="102"/>
      <c r="G626" s="102" t="str">
        <f>IFERROR(__xludf.DUMMYFUNCTION("""COMPUTED_VALUE"""),"3.5s Reload, +Damage, -Acc, 8 Shots, CoV Mag")</f>
        <v>3.5s Reload, +Damage, -Acc, 8 Shots, CoV Mag</v>
      </c>
      <c r="H626" s="102"/>
      <c r="I626" s="102"/>
      <c r="J626" s="102"/>
      <c r="K626" s="102"/>
      <c r="L626" s="102"/>
    </row>
    <row r="627">
      <c r="A627" s="102" t="str">
        <f>IFERROR(__xludf.DUMMYFUNCTION("""COMPUTED_VALUE"""),"Maliwan")</f>
        <v>Maliwan</v>
      </c>
      <c r="B627" s="102" t="str">
        <f>IFERROR(__xludf.DUMMYFUNCTION("""COMPUTED_VALUE"""),"Shotgun")</f>
        <v>Shotgun</v>
      </c>
      <c r="C627" s="103">
        <f>IFERROR(__xludf.DUMMYFUNCTION("""COMPUTED_VALUE"""),16.0)</f>
        <v>16</v>
      </c>
      <c r="D627" s="102" t="str">
        <f>IFERROR(__xludf.DUMMYFUNCTION("""COMPUTED_VALUE"""),"Magazine")</f>
        <v>Magazine</v>
      </c>
      <c r="E627" s="102" t="str">
        <f>IFERROR(__xludf.DUMMYFUNCTION("""COMPUTED_VALUE"""),"MAL_SG.part_mag_01")</f>
        <v>MAL_SG.part_mag_01</v>
      </c>
      <c r="F627" s="102"/>
      <c r="G627" s="102" t="str">
        <f>IFERROR(__xludf.DUMMYFUNCTION("""COMPUTED_VALUE"""),"2.4s Reload, +Damage, 6 Shots")</f>
        <v>2.4s Reload, +Damage, 6 Shots</v>
      </c>
      <c r="H627" s="102"/>
      <c r="I627" s="102"/>
      <c r="J627" s="102"/>
      <c r="K627" s="102"/>
      <c r="L627" s="102"/>
    </row>
    <row r="628">
      <c r="A628" s="102" t="str">
        <f>IFERROR(__xludf.DUMMYFUNCTION("""COMPUTED_VALUE"""),"Maliwan")</f>
        <v>Maliwan</v>
      </c>
      <c r="B628" s="102" t="str">
        <f>IFERROR(__xludf.DUMMYFUNCTION("""COMPUTED_VALUE"""),"Shotgun")</f>
        <v>Shotgun</v>
      </c>
      <c r="C628" s="103">
        <f>IFERROR(__xludf.DUMMYFUNCTION("""COMPUTED_VALUE"""),17.0)</f>
        <v>17</v>
      </c>
      <c r="D628" s="102" t="str">
        <f>IFERROR(__xludf.DUMMYFUNCTION("""COMPUTED_VALUE"""),"Magazine")</f>
        <v>Magazine</v>
      </c>
      <c r="E628" s="102" t="str">
        <f>IFERROR(__xludf.DUMMYFUNCTION("""COMPUTED_VALUE"""),"MAL_SG.part_mag_02")</f>
        <v>MAL_SG.part_mag_02</v>
      </c>
      <c r="F628" s="102"/>
      <c r="G628" s="102" t="str">
        <f>IFERROR(__xludf.DUMMYFUNCTION("""COMPUTED_VALUE"""),"2.0s Reload, -Acc, 8 Shots")</f>
        <v>2.0s Reload, -Acc, 8 Shots</v>
      </c>
      <c r="H628" s="102"/>
      <c r="I628" s="102"/>
      <c r="J628" s="102"/>
      <c r="K628" s="102"/>
      <c r="L628" s="102"/>
    </row>
    <row r="629">
      <c r="A629" s="102" t="str">
        <f>IFERROR(__xludf.DUMMYFUNCTION("""COMPUTED_VALUE"""),"Maliwan")</f>
        <v>Maliwan</v>
      </c>
      <c r="B629" s="102" t="str">
        <f>IFERROR(__xludf.DUMMYFUNCTION("""COMPUTED_VALUE"""),"Shotgun")</f>
        <v>Shotgun</v>
      </c>
      <c r="C629" s="103">
        <f>IFERROR(__xludf.DUMMYFUNCTION("""COMPUTED_VALUE"""),18.0)</f>
        <v>18</v>
      </c>
      <c r="D629" s="102" t="str">
        <f>IFERROR(__xludf.DUMMYFUNCTION("""COMPUTED_VALUE"""),"Stat Modifier")</f>
        <v>Stat Modifier</v>
      </c>
      <c r="E629" s="102" t="str">
        <f>IFERROR(__xludf.DUMMYFUNCTION("""COMPUTED_VALUE"""),"MAL_SG.part_mag_ted_thrown_01")</f>
        <v>MAL_SG.part_mag_ted_thrown_01</v>
      </c>
      <c r="F629" s="102"/>
      <c r="G629" s="102" t="str">
        <f>IFERROR(__xludf.DUMMYFUNCTION("""COMPUTED_VALUE"""),"1.7s Reload")</f>
        <v>1.7s Reload</v>
      </c>
      <c r="H629" s="102"/>
      <c r="I629" s="102"/>
      <c r="J629" s="102"/>
      <c r="K629" s="102"/>
      <c r="L629" s="102"/>
    </row>
    <row r="630">
      <c r="A630" s="102" t="str">
        <f>IFERROR(__xludf.DUMMYFUNCTION("""COMPUTED_VALUE"""),"Maliwan")</f>
        <v>Maliwan</v>
      </c>
      <c r="B630" s="102" t="str">
        <f>IFERROR(__xludf.DUMMYFUNCTION("""COMPUTED_VALUE"""),"Shotgun")</f>
        <v>Shotgun</v>
      </c>
      <c r="C630" s="103">
        <f>IFERROR(__xludf.DUMMYFUNCTION("""COMPUTED_VALUE"""),19.0)</f>
        <v>19</v>
      </c>
      <c r="D630" s="102" t="str">
        <f>IFERROR(__xludf.DUMMYFUNCTION("""COMPUTED_VALUE"""),"Stat Modifier")</f>
        <v>Stat Modifier</v>
      </c>
      <c r="E630" s="102" t="str">
        <f>IFERROR(__xludf.DUMMYFUNCTION("""COMPUTED_VALUE"""),"MAL_SG.part_mag_ted_thrown_02")</f>
        <v>MAL_SG.part_mag_ted_thrown_02</v>
      </c>
      <c r="F630" s="102"/>
      <c r="G630" s="102" t="str">
        <f>IFERROR(__xludf.DUMMYFUNCTION("""COMPUTED_VALUE"""),"1.7s Reload")</f>
        <v>1.7s Reload</v>
      </c>
      <c r="H630" s="102"/>
      <c r="I630" s="102"/>
      <c r="J630" s="102"/>
      <c r="K630" s="102"/>
      <c r="L630" s="102"/>
    </row>
    <row r="631">
      <c r="A631" s="102" t="str">
        <f>IFERROR(__xludf.DUMMYFUNCTION("""COMPUTED_VALUE"""),"Maliwan")</f>
        <v>Maliwan</v>
      </c>
      <c r="B631" s="102" t="str">
        <f>IFERROR(__xludf.DUMMYFUNCTION("""COMPUTED_VALUE"""),"Shotgun")</f>
        <v>Shotgun</v>
      </c>
      <c r="C631" s="103">
        <f>IFERROR(__xludf.DUMMYFUNCTION("""COMPUTED_VALUE"""),20.0)</f>
        <v>20</v>
      </c>
      <c r="D631" s="102" t="str">
        <f>IFERROR(__xludf.DUMMYFUNCTION("""COMPUTED_VALUE"""),"Stat Modifier")</f>
        <v>Stat Modifier</v>
      </c>
      <c r="E631" s="102" t="str">
        <f>IFERROR(__xludf.DUMMYFUNCTION("""COMPUTED_VALUE"""),"MAL_SG.part_mag_ted_thrown_03_tor")</f>
        <v>MAL_SG.part_mag_ted_thrown_03_tor</v>
      </c>
      <c r="F631" s="102"/>
      <c r="G631" s="102" t="str">
        <f>IFERROR(__xludf.DUMMYFUNCTION("""COMPUTED_VALUE"""),"1.7s Reload")</f>
        <v>1.7s Reload</v>
      </c>
      <c r="H631" s="102"/>
      <c r="I631" s="102"/>
      <c r="J631" s="102"/>
      <c r="K631" s="102"/>
      <c r="L631" s="102"/>
    </row>
    <row r="632">
      <c r="A632" s="102" t="str">
        <f>IFERROR(__xludf.DUMMYFUNCTION("""COMPUTED_VALUE"""),"Maliwan")</f>
        <v>Maliwan</v>
      </c>
      <c r="B632" s="102" t="str">
        <f>IFERROR(__xludf.DUMMYFUNCTION("""COMPUTED_VALUE"""),"Shotgun")</f>
        <v>Shotgun</v>
      </c>
      <c r="C632" s="103">
        <f>IFERROR(__xludf.DUMMYFUNCTION("""COMPUTED_VALUE"""),21.0)</f>
        <v>21</v>
      </c>
      <c r="D632" s="102" t="str">
        <f>IFERROR(__xludf.DUMMYFUNCTION("""COMPUTED_VALUE"""),"Stat Modifier")</f>
        <v>Stat Modifier</v>
      </c>
      <c r="E632" s="102" t="str">
        <f>IFERROR(__xludf.DUMMYFUNCTION("""COMPUTED_VALUE"""),"MAL_SG.part_mag_ted_thrown_04_cov")</f>
        <v>MAL_SG.part_mag_ted_thrown_04_cov</v>
      </c>
      <c r="F632" s="102"/>
      <c r="G632" s="102" t="str">
        <f>IFERROR(__xludf.DUMMYFUNCTION("""COMPUTED_VALUE"""),"3.0s Reload")</f>
        <v>3.0s Reload</v>
      </c>
      <c r="H632" s="102"/>
      <c r="I632" s="102"/>
      <c r="J632" s="102"/>
      <c r="K632" s="102"/>
      <c r="L632" s="102"/>
    </row>
    <row r="633">
      <c r="A633" s="102" t="str">
        <f>IFERROR(__xludf.DUMMYFUNCTION("""COMPUTED_VALUE"""),"Maliwan")</f>
        <v>Maliwan</v>
      </c>
      <c r="B633" s="102" t="str">
        <f>IFERROR(__xludf.DUMMYFUNCTION("""COMPUTED_VALUE"""),"Shotgun")</f>
        <v>Shotgun</v>
      </c>
      <c r="C633" s="103">
        <f>IFERROR(__xludf.DUMMYFUNCTION("""COMPUTED_VALUE"""),22.0)</f>
        <v>22</v>
      </c>
      <c r="D633" s="102" t="str">
        <f>IFERROR(__xludf.DUMMYFUNCTION("""COMPUTED_VALUE"""),"Stat Modifier")</f>
        <v>Stat Modifier</v>
      </c>
      <c r="E633" s="102" t="str">
        <f>IFERROR(__xludf.DUMMYFUNCTION("""COMPUTED_VALUE"""),"MAL_SG.part_mag_ted_thrown_05_bor")</f>
        <v>MAL_SG.part_mag_ted_thrown_05_bor</v>
      </c>
      <c r="F633" s="102"/>
      <c r="G633" s="102" t="str">
        <f>IFERROR(__xludf.DUMMYFUNCTION("""COMPUTED_VALUE"""),"2.5s Reload")</f>
        <v>2.5s Reload</v>
      </c>
      <c r="H633" s="102"/>
      <c r="I633" s="102"/>
      <c r="J633" s="102"/>
      <c r="K633" s="102"/>
      <c r="L633" s="102"/>
    </row>
    <row r="634">
      <c r="A634" s="102" t="str">
        <f>IFERROR(__xludf.DUMMYFUNCTION("""COMPUTED_VALUE"""),"Maliwan")</f>
        <v>Maliwan</v>
      </c>
      <c r="B634" s="102" t="str">
        <f>IFERROR(__xludf.DUMMYFUNCTION("""COMPUTED_VALUE"""),"Shotgun")</f>
        <v>Shotgun</v>
      </c>
      <c r="C634" s="103">
        <f>IFERROR(__xludf.DUMMYFUNCTION("""COMPUTED_VALUE"""),23.0)</f>
        <v>23</v>
      </c>
      <c r="D634" s="102" t="str">
        <f>IFERROR(__xludf.DUMMYFUNCTION("""COMPUTED_VALUE"""),"Scope")</f>
        <v>Scope</v>
      </c>
      <c r="E634" s="102" t="str">
        <f>IFERROR(__xludf.DUMMYFUNCTION("""COMPUTED_VALUE"""),"MAL_SG.part_scope_ironsight")</f>
        <v>MAL_SG.part_scope_ironsight</v>
      </c>
      <c r="F634" s="102"/>
      <c r="G634" s="102" t="str">
        <f>IFERROR(__xludf.DUMMYFUNCTION("""COMPUTED_VALUE"""),"ADS")</f>
        <v>ADS</v>
      </c>
      <c r="H634" s="102"/>
      <c r="I634" s="102"/>
      <c r="J634" s="102"/>
      <c r="K634" s="102"/>
      <c r="L634" s="102"/>
    </row>
    <row r="635">
      <c r="A635" s="102" t="str">
        <f>IFERROR(__xludf.DUMMYFUNCTION("""COMPUTED_VALUE"""),"Maliwan")</f>
        <v>Maliwan</v>
      </c>
      <c r="B635" s="102" t="str">
        <f>IFERROR(__xludf.DUMMYFUNCTION("""COMPUTED_VALUE"""),"Shotgun")</f>
        <v>Shotgun</v>
      </c>
      <c r="C635" s="103">
        <f>IFERROR(__xludf.DUMMYFUNCTION("""COMPUTED_VALUE"""),24.0)</f>
        <v>24</v>
      </c>
      <c r="D635" s="102" t="str">
        <f>IFERROR(__xludf.DUMMYFUNCTION("""COMPUTED_VALUE"""),"Scope")</f>
        <v>Scope</v>
      </c>
      <c r="E635" s="102" t="str">
        <f>IFERROR(__xludf.DUMMYFUNCTION("""COMPUTED_VALUE"""),"MAL_SG.part_scope_01_lens_01")</f>
        <v>MAL_SG.part_scope_01_lens_01</v>
      </c>
      <c r="F635" s="102"/>
      <c r="G635" s="102" t="str">
        <f>IFERROR(__xludf.DUMMYFUNCTION("""COMPUTED_VALUE"""),"ADS +Zoom")</f>
        <v>ADS +Zoom</v>
      </c>
      <c r="H635" s="102"/>
      <c r="I635" s="102"/>
      <c r="J635" s="102"/>
      <c r="K635" s="102"/>
      <c r="L635" s="102"/>
    </row>
    <row r="636">
      <c r="A636" s="102" t="str">
        <f>IFERROR(__xludf.DUMMYFUNCTION("""COMPUTED_VALUE"""),"Maliwan")</f>
        <v>Maliwan</v>
      </c>
      <c r="B636" s="102" t="str">
        <f>IFERROR(__xludf.DUMMYFUNCTION("""COMPUTED_VALUE"""),"Shotgun")</f>
        <v>Shotgun</v>
      </c>
      <c r="C636" s="103">
        <f>IFERROR(__xludf.DUMMYFUNCTION("""COMPUTED_VALUE"""),25.0)</f>
        <v>25</v>
      </c>
      <c r="D636" s="102" t="str">
        <f>IFERROR(__xludf.DUMMYFUNCTION("""COMPUTED_VALUE"""),"Scope")</f>
        <v>Scope</v>
      </c>
      <c r="E636" s="102" t="str">
        <f>IFERROR(__xludf.DUMMYFUNCTION("""COMPUTED_VALUE"""),"MAL_SG.part_scope_01_lens_02")</f>
        <v>MAL_SG.part_scope_01_lens_02</v>
      </c>
      <c r="F636" s="102"/>
      <c r="G636" s="102" t="str">
        <f>IFERROR(__xludf.DUMMYFUNCTION("""COMPUTED_VALUE"""),"ADS +Zoom")</f>
        <v>ADS +Zoom</v>
      </c>
      <c r="H636" s="102"/>
      <c r="I636" s="102"/>
      <c r="J636" s="102"/>
      <c r="K636" s="102"/>
      <c r="L636" s="102"/>
    </row>
    <row r="637">
      <c r="A637" s="102" t="str">
        <f>IFERROR(__xludf.DUMMYFUNCTION("""COMPUTED_VALUE"""),"Maliwan")</f>
        <v>Maliwan</v>
      </c>
      <c r="B637" s="102" t="str">
        <f>IFERROR(__xludf.DUMMYFUNCTION("""COMPUTED_VALUE"""),"Shotgun")</f>
        <v>Shotgun</v>
      </c>
      <c r="C637" s="103">
        <f>IFERROR(__xludf.DUMMYFUNCTION("""COMPUTED_VALUE"""),26.0)</f>
        <v>26</v>
      </c>
      <c r="D637" s="102" t="str">
        <f>IFERROR(__xludf.DUMMYFUNCTION("""COMPUTED_VALUE"""),"Scope")</f>
        <v>Scope</v>
      </c>
      <c r="E637" s="102" t="str">
        <f>IFERROR(__xludf.DUMMYFUNCTION("""COMPUTED_VALUE"""),"MAL_SG.part_scope_02_lens_01")</f>
        <v>MAL_SG.part_scope_02_lens_01</v>
      </c>
      <c r="F637" s="102"/>
      <c r="G637" s="102" t="str">
        <f>IFERROR(__xludf.DUMMYFUNCTION("""COMPUTED_VALUE"""),"ADS ++Zoom")</f>
        <v>ADS ++Zoom</v>
      </c>
      <c r="H637" s="102"/>
      <c r="I637" s="102"/>
      <c r="J637" s="102"/>
      <c r="K637" s="102"/>
      <c r="L637" s="102"/>
    </row>
    <row r="638">
      <c r="A638" s="102" t="str">
        <f>IFERROR(__xludf.DUMMYFUNCTION("""COMPUTED_VALUE"""),"Maliwan")</f>
        <v>Maliwan</v>
      </c>
      <c r="B638" s="102" t="str">
        <f>IFERROR(__xludf.DUMMYFUNCTION("""COMPUTED_VALUE"""),"Shotgun")</f>
        <v>Shotgun</v>
      </c>
      <c r="C638" s="103">
        <f>IFERROR(__xludf.DUMMYFUNCTION("""COMPUTED_VALUE"""),27.0)</f>
        <v>27</v>
      </c>
      <c r="D638" s="102" t="str">
        <f>IFERROR(__xludf.DUMMYFUNCTION("""COMPUTED_VALUE"""),"Scope")</f>
        <v>Scope</v>
      </c>
      <c r="E638" s="102" t="str">
        <f>IFERROR(__xludf.DUMMYFUNCTION("""COMPUTED_VALUE"""),"MAL_SG.part_scope_02_lens_02")</f>
        <v>MAL_SG.part_scope_02_lens_02</v>
      </c>
      <c r="F638" s="102"/>
      <c r="G638" s="102" t="str">
        <f>IFERROR(__xludf.DUMMYFUNCTION("""COMPUTED_VALUE"""),"ADS +++Zoom")</f>
        <v>ADS +++Zoom</v>
      </c>
      <c r="H638" s="102" t="str">
        <f>IFERROR(__xludf.DUMMYFUNCTION("""COMPUTED_VALUE"""),"Sniper Scope")</f>
        <v>Sniper Scope</v>
      </c>
      <c r="I638" s="102"/>
      <c r="J638" s="102"/>
      <c r="K638" s="102"/>
      <c r="L638" s="102"/>
    </row>
    <row r="639">
      <c r="A639" s="102" t="str">
        <f>IFERROR(__xludf.DUMMYFUNCTION("""COMPUTED_VALUE"""),"Maliwan")</f>
        <v>Maliwan</v>
      </c>
      <c r="B639" s="102" t="str">
        <f>IFERROR(__xludf.DUMMYFUNCTION("""COMPUTED_VALUE"""),"Shotgun")</f>
        <v>Shotgun</v>
      </c>
      <c r="C639" s="103">
        <f>IFERROR(__xludf.DUMMYFUNCTION("""COMPUTED_VALUE"""),28.0)</f>
        <v>28</v>
      </c>
      <c r="D639" s="102" t="str">
        <f>IFERROR(__xludf.DUMMYFUNCTION("""COMPUTED_VALUE"""),"Scope Accessory")</f>
        <v>Scope Accessory</v>
      </c>
      <c r="E639" s="102" t="str">
        <f>IFERROR(__xludf.DUMMYFUNCTION("""COMPUTED_VALUE"""),"MAL_SG.part_scope_acc_s01_l01_a")</f>
        <v>MAL_SG.part_scope_acc_s01_l01_a</v>
      </c>
      <c r="F639" s="102"/>
      <c r="G639" s="102" t="str">
        <f>IFERROR(__xludf.DUMMYFUNCTION("""COMPUTED_VALUE"""),"+Damage")</f>
        <v>+Damage</v>
      </c>
      <c r="H639" s="102" t="str">
        <f>IFERROR(__xludf.DUMMYFUNCTION("""COMPUTED_VALUE"""),"Scope Hood")</f>
        <v>Scope Hood</v>
      </c>
      <c r="I639" s="102"/>
      <c r="J639" s="102"/>
      <c r="K639" s="102"/>
      <c r="L639" s="102"/>
    </row>
    <row r="640">
      <c r="A640" s="102" t="str">
        <f>IFERROR(__xludf.DUMMYFUNCTION("""COMPUTED_VALUE"""),"Maliwan")</f>
        <v>Maliwan</v>
      </c>
      <c r="B640" s="102" t="str">
        <f>IFERROR(__xludf.DUMMYFUNCTION("""COMPUTED_VALUE"""),"Shotgun")</f>
        <v>Shotgun</v>
      </c>
      <c r="C640" s="103">
        <f>IFERROR(__xludf.DUMMYFUNCTION("""COMPUTED_VALUE"""),29.0)</f>
        <v>29</v>
      </c>
      <c r="D640" s="102" t="str">
        <f>IFERROR(__xludf.DUMMYFUNCTION("""COMPUTED_VALUE"""),"Scope Accessory")</f>
        <v>Scope Accessory</v>
      </c>
      <c r="E640" s="102" t="str">
        <f>IFERROR(__xludf.DUMMYFUNCTION("""COMPUTED_VALUE"""),"MAL_SG.part_scope_acc_s01_l01_b")</f>
        <v>MAL_SG.part_scope_acc_s01_l01_b</v>
      </c>
      <c r="F640" s="102"/>
      <c r="G640" s="102" t="str">
        <f>IFERROR(__xludf.DUMMYFUNCTION("""COMPUTED_VALUE"""),"-Reload Speed")</f>
        <v>-Reload Speed</v>
      </c>
      <c r="H640" s="102" t="str">
        <f>IFERROR(__xludf.DUMMYFUNCTION("""COMPUTED_VALUE"""),"Antenna")</f>
        <v>Antenna</v>
      </c>
      <c r="I640" s="102"/>
      <c r="J640" s="102"/>
      <c r="K640" s="102"/>
      <c r="L640" s="102"/>
    </row>
    <row r="641">
      <c r="A641" s="102" t="str">
        <f>IFERROR(__xludf.DUMMYFUNCTION("""COMPUTED_VALUE"""),"Maliwan")</f>
        <v>Maliwan</v>
      </c>
      <c r="B641" s="102" t="str">
        <f>IFERROR(__xludf.DUMMYFUNCTION("""COMPUTED_VALUE"""),"Shotgun")</f>
        <v>Shotgun</v>
      </c>
      <c r="C641" s="103">
        <f>IFERROR(__xludf.DUMMYFUNCTION("""COMPUTED_VALUE"""),30.0)</f>
        <v>30</v>
      </c>
      <c r="D641" s="102" t="str">
        <f>IFERROR(__xludf.DUMMYFUNCTION("""COMPUTED_VALUE"""),"Scope Accessory")</f>
        <v>Scope Accessory</v>
      </c>
      <c r="E641" s="102" t="str">
        <f>IFERROR(__xludf.DUMMYFUNCTION("""COMPUTED_VALUE"""),"MAL_SG.part_scope_acc_s02_l01_a")</f>
        <v>MAL_SG.part_scope_acc_s02_l01_a</v>
      </c>
      <c r="F641" s="102"/>
      <c r="G641" s="102" t="str">
        <f>IFERROR(__xludf.DUMMYFUNCTION("""COMPUTED_VALUE"""),"+Stability")</f>
        <v>+Stability</v>
      </c>
      <c r="H641" s="102" t="str">
        <f>IFERROR(__xludf.DUMMYFUNCTION("""COMPUTED_VALUE"""),"Damage Type")</f>
        <v>Damage Type</v>
      </c>
      <c r="I641" s="102"/>
      <c r="J641" s="102"/>
      <c r="K641" s="102"/>
      <c r="L641" s="102"/>
    </row>
    <row r="642">
      <c r="A642" s="102" t="str">
        <f>IFERROR(__xludf.DUMMYFUNCTION("""COMPUTED_VALUE"""),"Maliwan")</f>
        <v>Maliwan</v>
      </c>
      <c r="B642" s="102" t="str">
        <f>IFERROR(__xludf.DUMMYFUNCTION("""COMPUTED_VALUE"""),"Shotgun")</f>
        <v>Shotgun</v>
      </c>
      <c r="C642" s="103">
        <f>IFERROR(__xludf.DUMMYFUNCTION("""COMPUTED_VALUE"""),31.0)</f>
        <v>31</v>
      </c>
      <c r="D642" s="102" t="str">
        <f>IFERROR(__xludf.DUMMYFUNCTION("""COMPUTED_VALUE"""),"Scope Accessory")</f>
        <v>Scope Accessory</v>
      </c>
      <c r="E642" s="102" t="str">
        <f>IFERROR(__xludf.DUMMYFUNCTION("""COMPUTED_VALUE"""),"MAL_SG.part_scope_acc_s02_l01_b")</f>
        <v>MAL_SG.part_scope_acc_s02_l01_b</v>
      </c>
      <c r="F642" s="102"/>
      <c r="G642" s="102" t="str">
        <f>IFERROR(__xludf.DUMMYFUNCTION("""COMPUTED_VALUE"""),"+Elemental Damage")</f>
        <v>+Elemental Damage</v>
      </c>
      <c r="H642" s="102" t="str">
        <f>IFERROR(__xludf.DUMMYFUNCTION("""COMPUTED_VALUE"""),"Mag Counter")</f>
        <v>Mag Counter</v>
      </c>
      <c r="I642" s="102"/>
      <c r="J642" s="102"/>
      <c r="K642" s="102"/>
      <c r="L642" s="102"/>
    </row>
    <row r="643">
      <c r="A643" s="102" t="str">
        <f>IFERROR(__xludf.DUMMYFUNCTION("""COMPUTED_VALUE"""),"Maliwan")</f>
        <v>Maliwan</v>
      </c>
      <c r="B643" s="102" t="str">
        <f>IFERROR(__xludf.DUMMYFUNCTION("""COMPUTED_VALUE"""),"Shotgun")</f>
        <v>Shotgun</v>
      </c>
      <c r="C643" s="103">
        <f>IFERROR(__xludf.DUMMYFUNCTION("""COMPUTED_VALUE"""),32.0)</f>
        <v>32</v>
      </c>
      <c r="D643" s="102" t="str">
        <f>IFERROR(__xludf.DUMMYFUNCTION("""COMPUTED_VALUE"""),"Scope Accessory")</f>
        <v>Scope Accessory</v>
      </c>
      <c r="E643" s="102" t="str">
        <f>IFERROR(__xludf.DUMMYFUNCTION("""COMPUTED_VALUE"""),"MAL_SG.part_scope_acc_s01_l02_a")</f>
        <v>MAL_SG.part_scope_acc_s01_l02_a</v>
      </c>
      <c r="F643" s="102"/>
      <c r="G643" s="102" t="str">
        <f>IFERROR(__xludf.DUMMYFUNCTION("""COMPUTED_VALUE"""),"+Damage")</f>
        <v>+Damage</v>
      </c>
      <c r="H643" s="102" t="str">
        <f>IFERROR(__xludf.DUMMYFUNCTION("""COMPUTED_VALUE"""),"Scope Hood")</f>
        <v>Scope Hood</v>
      </c>
      <c r="I643" s="102"/>
      <c r="J643" s="102"/>
      <c r="K643" s="102"/>
      <c r="L643" s="102"/>
    </row>
    <row r="644">
      <c r="A644" s="102" t="str">
        <f>IFERROR(__xludf.DUMMYFUNCTION("""COMPUTED_VALUE"""),"Maliwan")</f>
        <v>Maliwan</v>
      </c>
      <c r="B644" s="102" t="str">
        <f>IFERROR(__xludf.DUMMYFUNCTION("""COMPUTED_VALUE"""),"Shotgun")</f>
        <v>Shotgun</v>
      </c>
      <c r="C644" s="103">
        <f>IFERROR(__xludf.DUMMYFUNCTION("""COMPUTED_VALUE"""),33.0)</f>
        <v>33</v>
      </c>
      <c r="D644" s="102" t="str">
        <f>IFERROR(__xludf.DUMMYFUNCTION("""COMPUTED_VALUE"""),"Scope Accessory")</f>
        <v>Scope Accessory</v>
      </c>
      <c r="E644" s="102" t="str">
        <f>IFERROR(__xludf.DUMMYFUNCTION("""COMPUTED_VALUE"""),"MAL_SG.part_scope_acc_s01_l02_b")</f>
        <v>MAL_SG.part_scope_acc_s01_l02_b</v>
      </c>
      <c r="F644" s="102"/>
      <c r="G644" s="102" t="str">
        <f>IFERROR(__xludf.DUMMYFUNCTION("""COMPUTED_VALUE"""),"-Reload Speed")</f>
        <v>-Reload Speed</v>
      </c>
      <c r="H644" s="102" t="str">
        <f>IFERROR(__xludf.DUMMYFUNCTION("""COMPUTED_VALUE"""),"Antenna")</f>
        <v>Antenna</v>
      </c>
      <c r="I644" s="102"/>
      <c r="J644" s="102"/>
      <c r="K644" s="102"/>
      <c r="L644" s="102"/>
    </row>
    <row r="645">
      <c r="A645" s="102" t="str">
        <f>IFERROR(__xludf.DUMMYFUNCTION("""COMPUTED_VALUE"""),"Maliwan")</f>
        <v>Maliwan</v>
      </c>
      <c r="B645" s="102" t="str">
        <f>IFERROR(__xludf.DUMMYFUNCTION("""COMPUTED_VALUE"""),"Shotgun")</f>
        <v>Shotgun</v>
      </c>
      <c r="C645" s="103">
        <f>IFERROR(__xludf.DUMMYFUNCTION("""COMPUTED_VALUE"""),34.0)</f>
        <v>34</v>
      </c>
      <c r="D645" s="102" t="str">
        <f>IFERROR(__xludf.DUMMYFUNCTION("""COMPUTED_VALUE"""),"Scope Accessory")</f>
        <v>Scope Accessory</v>
      </c>
      <c r="E645" s="102" t="str">
        <f>IFERROR(__xludf.DUMMYFUNCTION("""COMPUTED_VALUE"""),"MAL_SG.part_scope_acc_s02_l02_a")</f>
        <v>MAL_SG.part_scope_acc_s02_l02_a</v>
      </c>
      <c r="F645" s="102"/>
      <c r="G645" s="102" t="str">
        <f>IFERROR(__xludf.DUMMYFUNCTION("""COMPUTED_VALUE"""),"+Stability")</f>
        <v>+Stability</v>
      </c>
      <c r="H645" s="102" t="str">
        <f>IFERROR(__xludf.DUMMYFUNCTION("""COMPUTED_VALUE"""),"HUD Elements")</f>
        <v>HUD Elements</v>
      </c>
      <c r="I645" s="102"/>
      <c r="J645" s="102"/>
      <c r="K645" s="102"/>
      <c r="L645" s="102"/>
    </row>
    <row r="646">
      <c r="A646" s="102" t="str">
        <f>IFERROR(__xludf.DUMMYFUNCTION("""COMPUTED_VALUE"""),"Maliwan")</f>
        <v>Maliwan</v>
      </c>
      <c r="B646" s="102" t="str">
        <f>IFERROR(__xludf.DUMMYFUNCTION("""COMPUTED_VALUE"""),"Shotgun")</f>
        <v>Shotgun</v>
      </c>
      <c r="C646" s="103">
        <f>IFERROR(__xludf.DUMMYFUNCTION("""COMPUTED_VALUE"""),35.0)</f>
        <v>35</v>
      </c>
      <c r="D646" s="102" t="str">
        <f>IFERROR(__xludf.DUMMYFUNCTION("""COMPUTED_VALUE"""),"Scope Accessory")</f>
        <v>Scope Accessory</v>
      </c>
      <c r="E646" s="102" t="str">
        <f>IFERROR(__xludf.DUMMYFUNCTION("""COMPUTED_VALUE"""),"MAL_SG.part_scope_acc_s02_l02_b")</f>
        <v>MAL_SG.part_scope_acc_s02_l02_b</v>
      </c>
      <c r="F646" s="102"/>
      <c r="G646" s="102" t="str">
        <f>IFERROR(__xludf.DUMMYFUNCTION("""COMPUTED_VALUE"""),"+Elemental Damage")</f>
        <v>+Elemental Damage</v>
      </c>
      <c r="H646" s="102" t="str">
        <f>IFERROR(__xludf.DUMMYFUNCTION("""COMPUTED_VALUE"""),"Mag Counter")</f>
        <v>Mag Counter</v>
      </c>
      <c r="I646" s="102"/>
      <c r="J646" s="102"/>
      <c r="K646" s="102"/>
      <c r="L646" s="102"/>
    </row>
    <row r="647">
      <c r="A647" s="102" t="str">
        <f>IFERROR(__xludf.DUMMYFUNCTION("""COMPUTED_VALUE"""),"Maliwan")</f>
        <v>Maliwan</v>
      </c>
      <c r="B647" s="102" t="str">
        <f>IFERROR(__xludf.DUMMYFUNCTION("""COMPUTED_VALUE"""),"Shotgun")</f>
        <v>Shotgun</v>
      </c>
      <c r="C647" s="103">
        <f>IFERROR(__xludf.DUMMYFUNCTION("""COMPUTED_VALUE"""),36.0)</f>
        <v>36</v>
      </c>
      <c r="D647" s="102" t="str">
        <f>IFERROR(__xludf.DUMMYFUNCTION("""COMPUTED_VALUE"""),"Grip")</f>
        <v>Grip</v>
      </c>
      <c r="E647" s="102" t="str">
        <f>IFERROR(__xludf.DUMMYFUNCTION("""COMPUTED_VALUE"""),"MAL_SG.part_grip_05a_ted_legs")</f>
        <v>MAL_SG.part_grip_05a_ted_legs</v>
      </c>
      <c r="F647" s="102"/>
      <c r="G647" s="102" t="str">
        <f>IFERROR(__xludf.DUMMYFUNCTION("""COMPUTED_VALUE"""),"Tediore reload modifier: Legs, no stat changes")</f>
        <v>Tediore reload modifier: Legs, no stat changes</v>
      </c>
      <c r="H647" s="102"/>
      <c r="I647" s="102"/>
      <c r="J647" s="102"/>
      <c r="K647" s="102"/>
      <c r="L647" s="102"/>
    </row>
    <row r="648">
      <c r="A648" s="102" t="str">
        <f>IFERROR(__xludf.DUMMYFUNCTION("""COMPUTED_VALUE"""),"Maliwan")</f>
        <v>Maliwan</v>
      </c>
      <c r="B648" s="102" t="str">
        <f>IFERROR(__xludf.DUMMYFUNCTION("""COMPUTED_VALUE"""),"Shotgun")</f>
        <v>Shotgun</v>
      </c>
      <c r="C648" s="103">
        <f>IFERROR(__xludf.DUMMYFUNCTION("""COMPUTED_VALUE"""),37.0)</f>
        <v>37</v>
      </c>
      <c r="D648" s="102" t="str">
        <f>IFERROR(__xludf.DUMMYFUNCTION("""COMPUTED_VALUE"""),"Grip")</f>
        <v>Grip</v>
      </c>
      <c r="E648" s="102" t="str">
        <f>IFERROR(__xludf.DUMMYFUNCTION("""COMPUTED_VALUE"""),"MAL_SG.part_grip_05b_ted_homing")</f>
        <v>MAL_SG.part_grip_05b_ted_homing</v>
      </c>
      <c r="F648" s="102"/>
      <c r="G648" s="102" t="str">
        <f>IFERROR(__xludf.DUMMYFUNCTION("""COMPUTED_VALUE"""),"Tediore reload modifier: Homing, no stat changes")</f>
        <v>Tediore reload modifier: Homing, no stat changes</v>
      </c>
      <c r="H648" s="102"/>
      <c r="I648" s="102"/>
      <c r="J648" s="102"/>
      <c r="K648" s="102"/>
      <c r="L648" s="102"/>
    </row>
    <row r="649">
      <c r="A649" s="102" t="str">
        <f>IFERROR(__xludf.DUMMYFUNCTION("""COMPUTED_VALUE"""),"Maliwan")</f>
        <v>Maliwan</v>
      </c>
      <c r="B649" s="102" t="str">
        <f>IFERROR(__xludf.DUMMYFUNCTION("""COMPUTED_VALUE"""),"Shotgun")</f>
        <v>Shotgun</v>
      </c>
      <c r="C649" s="103">
        <f>IFERROR(__xludf.DUMMYFUNCTION("""COMPUTED_VALUE"""),38.0)</f>
        <v>38</v>
      </c>
      <c r="D649" s="102" t="str">
        <f>IFERROR(__xludf.DUMMYFUNCTION("""COMPUTED_VALUE"""),"Grip")</f>
        <v>Grip</v>
      </c>
      <c r="E649" s="102" t="str">
        <f>IFERROR(__xludf.DUMMYFUNCTION("""COMPUTED_VALUE"""),"MAL_SG.part_grip_05c_ted_jav")</f>
        <v>MAL_SG.part_grip_05c_ted_jav</v>
      </c>
      <c r="F649" s="102"/>
      <c r="G649" s="102" t="str">
        <f>IFERROR(__xludf.DUMMYFUNCTION("""COMPUTED_VALUE"""),"Tediore reload modifier: Javelin, no stat changes")</f>
        <v>Tediore reload modifier: Javelin, no stat changes</v>
      </c>
      <c r="H649" s="102"/>
      <c r="I649" s="102"/>
      <c r="J649" s="102"/>
      <c r="K649" s="102"/>
      <c r="L649" s="102"/>
    </row>
    <row r="650">
      <c r="A650" s="102" t="str">
        <f>IFERROR(__xludf.DUMMYFUNCTION("""COMPUTED_VALUE"""),"Maliwan")</f>
        <v>Maliwan</v>
      </c>
      <c r="B650" s="102" t="str">
        <f>IFERROR(__xludf.DUMMYFUNCTION("""COMPUTED_VALUE"""),"Shotgun")</f>
        <v>Shotgun</v>
      </c>
      <c r="C650" s="103">
        <f>IFERROR(__xludf.DUMMYFUNCTION("""COMPUTED_VALUE"""),39.0)</f>
        <v>39</v>
      </c>
      <c r="D650" s="102" t="str">
        <f>IFERROR(__xludf.DUMMYFUNCTION("""COMPUTED_VALUE"""),"Grip")</f>
        <v>Grip</v>
      </c>
      <c r="E650" s="102" t="str">
        <f>IFERROR(__xludf.DUMMYFUNCTION("""COMPUTED_VALUE"""),"MAL_SG.part_grip_04_hyp")</f>
        <v>MAL_SG.part_grip_04_hyp</v>
      </c>
      <c r="F650" s="102"/>
      <c r="G650" s="102" t="str">
        <f>IFERROR(__xludf.DUMMYFUNCTION("""COMPUTED_VALUE"""),"Hyperion Grip, -Acc, Acc increases with continuous fire")</f>
        <v>Hyperion Grip, -Acc, Acc increases with continuous fire</v>
      </c>
      <c r="H650" s="102"/>
      <c r="I650" s="102"/>
      <c r="J650" s="102"/>
      <c r="K650" s="102"/>
      <c r="L650" s="102"/>
    </row>
    <row r="651">
      <c r="A651" s="102" t="str">
        <f>IFERROR(__xludf.DUMMYFUNCTION("""COMPUTED_VALUE"""),"Maliwan")</f>
        <v>Maliwan</v>
      </c>
      <c r="B651" s="102" t="str">
        <f>IFERROR(__xludf.DUMMYFUNCTION("""COMPUTED_VALUE"""),"Shotgun")</f>
        <v>Shotgun</v>
      </c>
      <c r="C651" s="103">
        <f>IFERROR(__xludf.DUMMYFUNCTION("""COMPUTED_VALUE"""),40.0)</f>
        <v>40</v>
      </c>
      <c r="D651" s="102" t="str">
        <f>IFERROR(__xludf.DUMMYFUNCTION("""COMPUTED_VALUE"""),"Grip")</f>
        <v>Grip</v>
      </c>
      <c r="E651" s="102" t="str">
        <f>IFERROR(__xludf.DUMMYFUNCTION("""COMPUTED_VALUE"""),"MAL_SG.part_grip_01")</f>
        <v>MAL_SG.part_grip_01</v>
      </c>
      <c r="F651" s="102"/>
      <c r="G651" s="102" t="str">
        <f>IFERROR(__xludf.DUMMYFUNCTION("""COMPUTED_VALUE"""),"+Damage")</f>
        <v>+Damage</v>
      </c>
      <c r="H651" s="102"/>
      <c r="I651" s="102"/>
      <c r="J651" s="102"/>
      <c r="K651" s="102"/>
      <c r="L651" s="102"/>
    </row>
    <row r="652">
      <c r="A652" s="102" t="str">
        <f>IFERROR(__xludf.DUMMYFUNCTION("""COMPUTED_VALUE"""),"Maliwan")</f>
        <v>Maliwan</v>
      </c>
      <c r="B652" s="102" t="str">
        <f>IFERROR(__xludf.DUMMYFUNCTION("""COMPUTED_VALUE"""),"Shotgun")</f>
        <v>Shotgun</v>
      </c>
      <c r="C652" s="103">
        <f>IFERROR(__xludf.DUMMYFUNCTION("""COMPUTED_VALUE"""),41.0)</f>
        <v>41</v>
      </c>
      <c r="D652" s="102" t="str">
        <f>IFERROR(__xludf.DUMMYFUNCTION("""COMPUTED_VALUE"""),"Grip")</f>
        <v>Grip</v>
      </c>
      <c r="E652" s="102" t="str">
        <f>IFERROR(__xludf.DUMMYFUNCTION("""COMPUTED_VALUE"""),"MAL_SG.part_grip_02")</f>
        <v>MAL_SG.part_grip_02</v>
      </c>
      <c r="F652" s="102"/>
      <c r="G652" s="102" t="str">
        <f>IFERROR(__xludf.DUMMYFUNCTION("""COMPUTED_VALUE"""),"+Fire Rate")</f>
        <v>+Fire Rate</v>
      </c>
      <c r="H652" s="102" t="str">
        <f>IFERROR(__xludf.DUMMYFUNCTION("""COMPUTED_VALUE"""),"Change is too small to display on the card")</f>
        <v>Change is too small to display on the card</v>
      </c>
      <c r="I652" s="102"/>
      <c r="J652" s="102"/>
      <c r="K652" s="102"/>
      <c r="L652" s="102"/>
    </row>
    <row r="653">
      <c r="A653" s="102" t="str">
        <f>IFERROR(__xludf.DUMMYFUNCTION("""COMPUTED_VALUE"""),"Maliwan")</f>
        <v>Maliwan</v>
      </c>
      <c r="B653" s="102" t="str">
        <f>IFERROR(__xludf.DUMMYFUNCTION("""COMPUTED_VALUE"""),"Shotgun")</f>
        <v>Shotgun</v>
      </c>
      <c r="C653" s="103">
        <f>IFERROR(__xludf.DUMMYFUNCTION("""COMPUTED_VALUE"""),42.0)</f>
        <v>42</v>
      </c>
      <c r="D653" s="102" t="str">
        <f>IFERROR(__xludf.DUMMYFUNCTION("""COMPUTED_VALUE"""),"Grip")</f>
        <v>Grip</v>
      </c>
      <c r="E653" s="102" t="str">
        <f>IFERROR(__xludf.DUMMYFUNCTION("""COMPUTED_VALUE"""),"MAL_SG.part_grip_03")</f>
        <v>MAL_SG.part_grip_03</v>
      </c>
      <c r="F653" s="102"/>
      <c r="G653" s="102" t="str">
        <f>IFERROR(__xludf.DUMMYFUNCTION("""COMPUTED_VALUE"""),"-Reload Speed")</f>
        <v>-Reload Speed</v>
      </c>
      <c r="H653" s="102"/>
      <c r="I653" s="102"/>
      <c r="J653" s="102"/>
      <c r="K653" s="102"/>
      <c r="L653" s="102"/>
    </row>
    <row r="654">
      <c r="A654" s="102" t="str">
        <f>IFERROR(__xludf.DUMMYFUNCTION("""COMPUTED_VALUE"""),"Maliwan")</f>
        <v>Maliwan</v>
      </c>
      <c r="B654" s="102" t="str">
        <f>IFERROR(__xludf.DUMMYFUNCTION("""COMPUTED_VALUE"""),"Shotgun")</f>
        <v>Shotgun</v>
      </c>
      <c r="C654" s="103">
        <f>IFERROR(__xludf.DUMMYFUNCTION("""COMPUTED_VALUE"""),43.0)</f>
        <v>43</v>
      </c>
      <c r="D654" s="102" t="str">
        <f>IFERROR(__xludf.DUMMYFUNCTION("""COMPUTED_VALUE"""),"Underbarrel")</f>
        <v>Underbarrel</v>
      </c>
      <c r="E654" s="102" t="str">
        <f>IFERROR(__xludf.DUMMYFUNCTION("""COMPUTED_VALUE"""),"MAL_SG.part_underbarrel_03_beam_tosser")</f>
        <v>MAL_SG.part_underbarrel_03_beam_tosser</v>
      </c>
      <c r="F654" s="102"/>
      <c r="G654" s="102" t="str">
        <f>IFERROR(__xludf.DUMMYFUNCTION("""COMPUTED_VALUE"""),"Alt Fire - Beam Tosser")</f>
        <v>Alt Fire - Beam Tosser</v>
      </c>
      <c r="H654" s="102" t="str">
        <f>IFERROR(__xludf.DUMMYFUNCTION("""COMPUTED_VALUE"""),"Launches a Projectile that fires 3 Beams that deal XXX Damage each")</f>
        <v>Launches a Projectile that fires 3 Beams that deal XXX Damage each</v>
      </c>
      <c r="I654" s="102"/>
      <c r="J654" s="102"/>
      <c r="K654" s="102"/>
      <c r="L654" s="102"/>
    </row>
    <row r="655">
      <c r="A655" s="102" t="str">
        <f>IFERROR(__xludf.DUMMYFUNCTION("""COMPUTED_VALUE"""),"Maliwan")</f>
        <v>Maliwan</v>
      </c>
      <c r="B655" s="102" t="str">
        <f>IFERROR(__xludf.DUMMYFUNCTION("""COMPUTED_VALUE"""),"Shotgun")</f>
        <v>Shotgun</v>
      </c>
      <c r="C655" s="103">
        <f>IFERROR(__xludf.DUMMYFUNCTION("""COMPUTED_VALUE"""),44.0)</f>
        <v>44</v>
      </c>
      <c r="D655" s="102" t="str">
        <f>IFERROR(__xludf.DUMMYFUNCTION("""COMPUTED_VALUE"""),"Underbarrel")</f>
        <v>Underbarrel</v>
      </c>
      <c r="E655" s="102" t="str">
        <f>IFERROR(__xludf.DUMMYFUNCTION("""COMPUTED_VALUE"""),"MAL_SG.part_underbarrel_02_energydisc")</f>
        <v>MAL_SG.part_underbarrel_02_energydisc</v>
      </c>
      <c r="F655" s="102"/>
      <c r="G655" s="102" t="str">
        <f>IFERROR(__xludf.DUMMYFUNCTION("""COMPUTED_VALUE"""),"Alt Fire - Energy Disc")</f>
        <v>Alt Fire - Energy Disc</v>
      </c>
      <c r="H655" s="102" t="str">
        <f>IFERROR(__xludf.DUMMYFUNCTION("""COMPUTED_VALUE"""),"Launches a bouncing Energy Disc tha deals XXX Damage per bounce")</f>
        <v>Launches a bouncing Energy Disc tha deals XXX Damage per bounce</v>
      </c>
      <c r="I655" s="102"/>
      <c r="J655" s="102"/>
      <c r="K655" s="102"/>
      <c r="L655" s="102"/>
    </row>
    <row r="656">
      <c r="A656" s="102" t="str">
        <f>IFERROR(__xludf.DUMMYFUNCTION("""COMPUTED_VALUE"""),"Maliwan")</f>
        <v>Maliwan</v>
      </c>
      <c r="B656" s="102" t="str">
        <f>IFERROR(__xludf.DUMMYFUNCTION("""COMPUTED_VALUE"""),"Shotgun")</f>
        <v>Shotgun</v>
      </c>
      <c r="C656" s="103">
        <f>IFERROR(__xludf.DUMMYFUNCTION("""COMPUTED_VALUE"""),45.0)</f>
        <v>45</v>
      </c>
      <c r="D656" s="102" t="str">
        <f>IFERROR(__xludf.DUMMYFUNCTION("""COMPUTED_VALUE"""),"Underbarrel")</f>
        <v>Underbarrel</v>
      </c>
      <c r="E656" s="102" t="str">
        <f>IFERROR(__xludf.DUMMYFUNCTION("""COMPUTED_VALUE"""),"MAL_SG.part_underbarrel_04_atlas_ball")</f>
        <v>MAL_SG.part_underbarrel_04_atlas_ball</v>
      </c>
      <c r="F656" s="102"/>
      <c r="G656" s="102" t="str">
        <f>IFERROR(__xludf.DUMMYFUNCTION("""COMPUTED_VALUE"""),"Atlas Tracker Grenades")</f>
        <v>Atlas Tracker Grenades</v>
      </c>
      <c r="H656" s="102"/>
      <c r="I656" s="102"/>
      <c r="J656" s="102"/>
      <c r="K656" s="102"/>
      <c r="L656" s="102"/>
    </row>
    <row r="657">
      <c r="A657" s="102" t="str">
        <f>IFERROR(__xludf.DUMMYFUNCTION("""COMPUTED_VALUE"""),"Maliwan")</f>
        <v>Maliwan</v>
      </c>
      <c r="B657" s="102" t="str">
        <f>IFERROR(__xludf.DUMMYFUNCTION("""COMPUTED_VALUE"""),"Shotgun")</f>
        <v>Shotgun</v>
      </c>
      <c r="C657" s="103">
        <f>IFERROR(__xludf.DUMMYFUNCTION("""COMPUTED_VALUE"""),46.0)</f>
        <v>46</v>
      </c>
      <c r="D657" s="102" t="str">
        <f>IFERROR(__xludf.DUMMYFUNCTION("""COMPUTED_VALUE"""),"Underbarrel")</f>
        <v>Underbarrel</v>
      </c>
      <c r="E657" s="102" t="str">
        <f>IFERROR(__xludf.DUMMYFUNCTION("""COMPUTED_VALUE"""),"MAL_SG.part_underbarrel_05_ammoswitcher")</f>
        <v>MAL_SG.part_underbarrel_05_ammoswitcher</v>
      </c>
      <c r="F657" s="102"/>
      <c r="G657" s="102" t="str">
        <f>IFERROR(__xludf.DUMMYFUNCTION("""COMPUTED_VALUE"""),"Daedalus Ammo Switch")</f>
        <v>Daedalus Ammo Switch</v>
      </c>
      <c r="H657" s="102" t="str">
        <f>IFERROR(__xludf.DUMMYFUNCTION("""COMPUTED_VALUE"""),"Used for Daedalus Ammo switch")</f>
        <v>Used for Daedalus Ammo switch</v>
      </c>
      <c r="I657" s="102"/>
      <c r="J657" s="102"/>
      <c r="K657" s="102"/>
      <c r="L657" s="102"/>
    </row>
    <row r="658">
      <c r="A658" s="102" t="str">
        <f>IFERROR(__xludf.DUMMYFUNCTION("""COMPUTED_VALUE"""),"Maliwan")</f>
        <v>Maliwan</v>
      </c>
      <c r="B658" s="102" t="str">
        <f>IFERROR(__xludf.DUMMYFUNCTION("""COMPUTED_VALUE"""),"Shotgun")</f>
        <v>Shotgun</v>
      </c>
      <c r="C658" s="103">
        <f>IFERROR(__xludf.DUMMYFUNCTION("""COMPUTED_VALUE"""),47.0)</f>
        <v>47</v>
      </c>
      <c r="D658" s="102" t="str">
        <f>IFERROR(__xludf.DUMMYFUNCTION("""COMPUTED_VALUE"""),"Foregrip")</f>
        <v>Foregrip</v>
      </c>
      <c r="E658" s="102" t="str">
        <f>IFERROR(__xludf.DUMMYFUNCTION("""COMPUTED_VALUE"""),"MAL_SG.part_foregrip_02")</f>
        <v>MAL_SG.part_foregrip_02</v>
      </c>
      <c r="F658" s="102"/>
      <c r="G658" s="102" t="str">
        <f>IFERROR(__xludf.DUMMYFUNCTION("""COMPUTED_VALUE"""),"+Fire Rate")</f>
        <v>+Fire Rate</v>
      </c>
      <c r="H658" s="102" t="str">
        <f>IFERROR(__xludf.DUMMYFUNCTION("""COMPUTED_VALUE"""),"Change is too small to display on the card")</f>
        <v>Change is too small to display on the card</v>
      </c>
      <c r="I658" s="102"/>
      <c r="J658" s="102"/>
      <c r="K658" s="102"/>
      <c r="L658" s="102"/>
    </row>
    <row r="659">
      <c r="A659" s="102" t="str">
        <f>IFERROR(__xludf.DUMMYFUNCTION("""COMPUTED_VALUE"""),"Maliwan")</f>
        <v>Maliwan</v>
      </c>
      <c r="B659" s="102" t="str">
        <f>IFERROR(__xludf.DUMMYFUNCTION("""COMPUTED_VALUE"""),"Shotgun")</f>
        <v>Shotgun</v>
      </c>
      <c r="C659" s="103">
        <f>IFERROR(__xludf.DUMMYFUNCTION("""COMPUTED_VALUE"""),48.0)</f>
        <v>48</v>
      </c>
      <c r="D659" s="102" t="str">
        <f>IFERROR(__xludf.DUMMYFUNCTION("""COMPUTED_VALUE"""),"Foregrip")</f>
        <v>Foregrip</v>
      </c>
      <c r="E659" s="102" t="str">
        <f>IFERROR(__xludf.DUMMYFUNCTION("""COMPUTED_VALUE"""),"MAL_SG.part_foregrip_03")</f>
        <v>MAL_SG.part_foregrip_03</v>
      </c>
      <c r="F659" s="102"/>
      <c r="G659" s="102" t="str">
        <f>IFERROR(__xludf.DUMMYFUNCTION("""COMPUTED_VALUE"""),"+Accuracy")</f>
        <v>+Accuracy</v>
      </c>
      <c r="H659" s="102"/>
      <c r="I659" s="102"/>
      <c r="J659" s="102"/>
      <c r="K659" s="102"/>
      <c r="L659" s="102"/>
    </row>
    <row r="660">
      <c r="A660" s="102" t="str">
        <f>IFERROR(__xludf.DUMMYFUNCTION("""COMPUTED_VALUE"""),"Maliwan")</f>
        <v>Maliwan</v>
      </c>
      <c r="B660" s="102" t="str">
        <f>IFERROR(__xludf.DUMMYFUNCTION("""COMPUTED_VALUE"""),"Shotgun")</f>
        <v>Shotgun</v>
      </c>
      <c r="C660" s="103">
        <f>IFERROR(__xludf.DUMMYFUNCTION("""COMPUTED_VALUE"""),49.0)</f>
        <v>49</v>
      </c>
      <c r="D660" s="102" t="str">
        <f>IFERROR(__xludf.DUMMYFUNCTION("""COMPUTED_VALUE"""),"Underbarrel")</f>
        <v>Underbarrel</v>
      </c>
      <c r="E660" s="102" t="str">
        <f>IFERROR(__xludf.DUMMYFUNCTION("""COMPUTED_VALUE"""),"MAL_SG.part_underbarrel_01_blowback")</f>
        <v>MAL_SG.part_underbarrel_01_blowback</v>
      </c>
      <c r="F660" s="102"/>
      <c r="G660" s="102" t="str">
        <f>IFERROR(__xludf.DUMMYFUNCTION("""COMPUTED_VALUE"""),"Alt Fire - Energy Blast")</f>
        <v>Alt Fire - Energy Blast</v>
      </c>
      <c r="H660" s="102" t="str">
        <f>IFERROR(__xludf.DUMMYFUNCTION("""COMPUTED_VALUE"""),"Charge-fires a wide-angled Blast that deals XXX Damage")</f>
        <v>Charge-fires a wide-angled Blast that deals XXX Damage</v>
      </c>
      <c r="I660" s="102"/>
      <c r="J660" s="102"/>
      <c r="K660" s="102"/>
      <c r="L660" s="102"/>
    </row>
    <row r="661">
      <c r="A661" s="102" t="str">
        <f>IFERROR(__xludf.DUMMYFUNCTION("""COMPUTED_VALUE"""),"Maliwan")</f>
        <v>Maliwan</v>
      </c>
      <c r="B661" s="102" t="str">
        <f>IFERROR(__xludf.DUMMYFUNCTION("""COMPUTED_VALUE"""),"Shotgun")</f>
        <v>Shotgun</v>
      </c>
      <c r="C661" s="103">
        <f>IFERROR(__xludf.DUMMYFUNCTION("""COMPUTED_VALUE"""),50.0)</f>
        <v>50</v>
      </c>
      <c r="D661" s="102" t="str">
        <f>IFERROR(__xludf.DUMMYFUNCTION("""COMPUTED_VALUE"""),"Underbarrel")</f>
        <v>Underbarrel</v>
      </c>
      <c r="E661" s="102" t="str">
        <f>IFERROR(__xludf.DUMMYFUNCTION("""COMPUTED_VALUE"""),"MAL_SG.part_underbarrel_04_atlas")</f>
        <v>MAL_SG.part_underbarrel_04_atlas</v>
      </c>
      <c r="F661" s="102"/>
      <c r="G661" s="102" t="str">
        <f>IFERROR(__xludf.DUMMYFUNCTION("""COMPUTED_VALUE"""),"Atlas Tracker Darts")</f>
        <v>Atlas Tracker Darts</v>
      </c>
      <c r="H661" s="102"/>
      <c r="I661" s="102"/>
      <c r="J661" s="102"/>
      <c r="K661" s="102"/>
      <c r="L661" s="102"/>
    </row>
    <row r="662">
      <c r="A662" s="102" t="str">
        <f>IFERROR(__xludf.DUMMYFUNCTION("""COMPUTED_VALUE"""),"Maliwan")</f>
        <v>Maliwan</v>
      </c>
      <c r="B662" s="102" t="str">
        <f>IFERROR(__xludf.DUMMYFUNCTION("""COMPUTED_VALUE"""),"Shotgun")</f>
        <v>Shotgun</v>
      </c>
      <c r="C662" s="103">
        <f>IFERROR(__xludf.DUMMYFUNCTION("""COMPUTED_VALUE"""),51.0)</f>
        <v>51</v>
      </c>
      <c r="D662" s="102" t="str">
        <f>IFERROR(__xludf.DUMMYFUNCTION("""COMPUTED_VALUE"""),"Foregrip")</f>
        <v>Foregrip</v>
      </c>
      <c r="E662" s="102" t="str">
        <f>IFERROR(__xludf.DUMMYFUNCTION("""COMPUTED_VALUE"""),"MAL_SG.part_foregrip_01")</f>
        <v>MAL_SG.part_foregrip_01</v>
      </c>
      <c r="F662" s="102"/>
      <c r="G662" s="102" t="str">
        <f>IFERROR(__xludf.DUMMYFUNCTION("""COMPUTED_VALUE"""),"+Damage")</f>
        <v>+Damage</v>
      </c>
      <c r="H662" s="102"/>
      <c r="I662" s="102"/>
      <c r="J662" s="102"/>
      <c r="K662" s="102"/>
      <c r="L662" s="102"/>
    </row>
    <row r="663">
      <c r="A663" s="102" t="str">
        <f>IFERROR(__xludf.DUMMYFUNCTION("""COMPUTED_VALUE"""),"Maliwan")</f>
        <v>Maliwan</v>
      </c>
      <c r="B663" s="102" t="str">
        <f>IFERROR(__xludf.DUMMYFUNCTION("""COMPUTED_VALUE"""),"Shotgun")</f>
        <v>Shotgun</v>
      </c>
      <c r="C663" s="103">
        <f>IFERROR(__xludf.DUMMYFUNCTION("""COMPUTED_VALUE"""),52.0)</f>
        <v>52</v>
      </c>
      <c r="D663" s="102" t="str">
        <f>IFERROR(__xludf.DUMMYFUNCTION("""COMPUTED_VALUE"""),"Manufacturer Part")</f>
        <v>Manufacturer Part</v>
      </c>
      <c r="E663" s="102" t="str">
        <f>IFERROR(__xludf.DUMMYFUNCTION("""COMPUTED_VALUE"""),"MAL_SG.part_secondary_ammo_smg")</f>
        <v>MAL_SG.part_secondary_ammo_smg</v>
      </c>
      <c r="F663" s="102"/>
      <c r="G663" s="102" t="str">
        <f>IFERROR(__xludf.DUMMYFUNCTION("""COMPUTED_VALUE"""),"Daedalus SMG Ammo")</f>
        <v>Daedalus SMG Ammo</v>
      </c>
      <c r="H663" s="102"/>
      <c r="I663" s="102"/>
      <c r="J663" s="102"/>
      <c r="K663" s="102"/>
      <c r="L663" s="102"/>
    </row>
    <row r="664">
      <c r="A664" s="102" t="str">
        <f>IFERROR(__xludf.DUMMYFUNCTION("""COMPUTED_VALUE"""),"Maliwan")</f>
        <v>Maliwan</v>
      </c>
      <c r="B664" s="102" t="str">
        <f>IFERROR(__xludf.DUMMYFUNCTION("""COMPUTED_VALUE"""),"Shotgun")</f>
        <v>Shotgun</v>
      </c>
      <c r="C664" s="103">
        <f>IFERROR(__xludf.DUMMYFUNCTION("""COMPUTED_VALUE"""),53.0)</f>
        <v>53</v>
      </c>
      <c r="D664" s="102" t="str">
        <f>IFERROR(__xludf.DUMMYFUNCTION("""COMPUTED_VALUE"""),"Manufacturer Part")</f>
        <v>Manufacturer Part</v>
      </c>
      <c r="E664" s="102" t="str">
        <f>IFERROR(__xludf.DUMMYFUNCTION("""COMPUTED_VALUE"""),"MAL_SG.part_secondary_ammo_ar")</f>
        <v>MAL_SG.part_secondary_ammo_ar</v>
      </c>
      <c r="F664" s="102"/>
      <c r="G664" s="102" t="str">
        <f>IFERROR(__xludf.DUMMYFUNCTION("""COMPUTED_VALUE"""),"Daedalus AR Ammo")</f>
        <v>Daedalus AR Ammo</v>
      </c>
      <c r="H664" s="102"/>
      <c r="I664" s="102"/>
      <c r="J664" s="102"/>
      <c r="K664" s="102"/>
      <c r="L664" s="102"/>
    </row>
    <row r="665">
      <c r="A665" s="102" t="str">
        <f>IFERROR(__xludf.DUMMYFUNCTION("""COMPUTED_VALUE"""),"Maliwan")</f>
        <v>Maliwan</v>
      </c>
      <c r="B665" s="102" t="str">
        <f>IFERROR(__xludf.DUMMYFUNCTION("""COMPUTED_VALUE"""),"Shotgun")</f>
        <v>Shotgun</v>
      </c>
      <c r="C665" s="103">
        <f>IFERROR(__xludf.DUMMYFUNCTION("""COMPUTED_VALUE"""),54.0)</f>
        <v>54</v>
      </c>
      <c r="D665" s="102" t="str">
        <f>IFERROR(__xludf.DUMMYFUNCTION("""COMPUTED_VALUE"""),"Manufacturer Part")</f>
        <v>Manufacturer Part</v>
      </c>
      <c r="E665" s="102" t="str">
        <f>IFERROR(__xludf.DUMMYFUNCTION("""COMPUTED_VALUE"""),"MAL_SG.part_secondary_ammo_ps")</f>
        <v>MAL_SG.part_secondary_ammo_ps</v>
      </c>
      <c r="F665" s="102"/>
      <c r="G665" s="102" t="str">
        <f>IFERROR(__xludf.DUMMYFUNCTION("""COMPUTED_VALUE"""),"Daedalus Pistol Ammo")</f>
        <v>Daedalus Pistol Ammo</v>
      </c>
      <c r="H665" s="102"/>
      <c r="I665" s="102"/>
      <c r="J665" s="102"/>
      <c r="K665" s="102"/>
      <c r="L665" s="102"/>
    </row>
    <row r="666">
      <c r="A666" s="102" t="str">
        <f>IFERROR(__xludf.DUMMYFUNCTION("""COMPUTED_VALUE"""),"Maliwan")</f>
        <v>Maliwan</v>
      </c>
      <c r="B666" s="102" t="str">
        <f>IFERROR(__xludf.DUMMYFUNCTION("""COMPUTED_VALUE"""),"Shotgun")</f>
        <v>Shotgun</v>
      </c>
      <c r="C666" s="103">
        <f>IFERROR(__xludf.DUMMYFUNCTION("""COMPUTED_VALUE"""),55.0)</f>
        <v>55</v>
      </c>
      <c r="D666" s="102" t="str">
        <f>IFERROR(__xludf.DUMMYFUNCTION("""COMPUTED_VALUE"""),"Manufacturer Part")</f>
        <v>Manufacturer Part</v>
      </c>
      <c r="E666" s="102" t="str">
        <f>IFERROR(__xludf.DUMMYFUNCTION("""COMPUTED_VALUE"""),"MAL_SG.part_secondary_ammo_sr")</f>
        <v>MAL_SG.part_secondary_ammo_sr</v>
      </c>
      <c r="F666" s="102"/>
      <c r="G666" s="102" t="str">
        <f>IFERROR(__xludf.DUMMYFUNCTION("""COMPUTED_VALUE"""),"Daedalus SR Ammo")</f>
        <v>Daedalus SR Ammo</v>
      </c>
      <c r="H666" s="102"/>
      <c r="I666" s="102"/>
      <c r="J666" s="102"/>
      <c r="K666" s="102"/>
      <c r="L666" s="102"/>
    </row>
    <row r="667">
      <c r="A667" s="102" t="str">
        <f>IFERROR(__xludf.DUMMYFUNCTION("""COMPUTED_VALUE"""),"Maliwan")</f>
        <v>Maliwan</v>
      </c>
      <c r="B667" s="102" t="str">
        <f>IFERROR(__xludf.DUMMYFUNCTION("""COMPUTED_VALUE"""),"Shotgun")</f>
        <v>Shotgun</v>
      </c>
      <c r="C667" s="103">
        <f>IFERROR(__xludf.DUMMYFUNCTION("""COMPUTED_VALUE"""),56.0)</f>
        <v>56</v>
      </c>
      <c r="D667" s="102" t="str">
        <f>IFERROR(__xludf.DUMMYFUNCTION("""COMPUTED_VALUE"""),"Barrel")</f>
        <v>Barrel</v>
      </c>
      <c r="E667" s="102" t="str">
        <f>IFERROR(__xludf.DUMMYFUNCTION("""COMPUTED_VALUE"""),"MAL_SG.part_barrel_01_kaleidosplode")</f>
        <v>MAL_SG.part_barrel_01_kaleidosplode</v>
      </c>
      <c r="F667" s="102"/>
      <c r="G667" s="102" t="str">
        <f>IFERROR(__xludf.DUMMYFUNCTION("""COMPUTED_VALUE"""),"Kaleidosplode, 1171 Damage, 77% Acc, 1.0/s FR")</f>
        <v>Kaleidosplode, 1171 Damage, 77% Acc, 1.0/s FR</v>
      </c>
      <c r="H667" s="102" t="str">
        <f>IFERROR(__xludf.DUMMYFUNCTION("""COMPUTED_VALUE"""),"Colorful Mess")</f>
        <v>Colorful Mess</v>
      </c>
      <c r="I667" s="102"/>
      <c r="J667" s="102"/>
      <c r="K667" s="102"/>
      <c r="L667" s="102"/>
    </row>
    <row r="668">
      <c r="A668" s="102" t="str">
        <f>IFERROR(__xludf.DUMMYFUNCTION("""COMPUTED_VALUE"""),"Maliwan")</f>
        <v>Maliwan</v>
      </c>
      <c r="B668" s="102" t="str">
        <f>IFERROR(__xludf.DUMMYFUNCTION("""COMPUTED_VALUE"""),"Shotgun")</f>
        <v>Shotgun</v>
      </c>
      <c r="C668" s="103">
        <f>IFERROR(__xludf.DUMMYFUNCTION("""COMPUTED_VALUE"""),58.0)</f>
        <v>58</v>
      </c>
      <c r="D668" s="102" t="str">
        <f>IFERROR(__xludf.DUMMYFUNCTION("""COMPUTED_VALUE"""),"Barrel")</f>
        <v>Barrel</v>
      </c>
      <c r="E668" s="102" t="str">
        <f>IFERROR(__xludf.DUMMYFUNCTION("""COMPUTED_VALUE"""),"MAL_SG.part_barrel_02_sweet_embrace")</f>
        <v>MAL_SG.part_barrel_02_sweet_embrace</v>
      </c>
      <c r="F668" s="102"/>
      <c r="G668" s="102" t="str">
        <f>IFERROR(__xludf.DUMMYFUNCTION("""COMPUTED_VALUE"""),"Sweet Embrace, 2510 x 4 Damage, 72% Acc, 1.0/s FR, 2 Shot")</f>
        <v>Sweet Embrace, 2510 x 4 Damage, 72% Acc, 1.0/s FR, 2 Shot</v>
      </c>
      <c r="H668" s="102" t="str">
        <f>IFERROR(__xludf.DUMMYFUNCTION("""COMPUTED_VALUE"""),"Adoration")</f>
        <v>Adoration</v>
      </c>
      <c r="I668" s="102"/>
      <c r="J668" s="102"/>
      <c r="K668" s="102"/>
      <c r="L668" s="102"/>
    </row>
    <row r="669">
      <c r="A669" s="102" t="str">
        <f>IFERROR(__xludf.DUMMYFUNCTION("""COMPUTED_VALUE"""),"Maliwan")</f>
        <v>Maliwan</v>
      </c>
      <c r="B669" s="102" t="str">
        <f>IFERROR(__xludf.DUMMYFUNCTION("""COMPUTED_VALUE"""),"Shotgun")</f>
        <v>Shotgun</v>
      </c>
      <c r="C669" s="103">
        <f>IFERROR(__xludf.DUMMYFUNCTION("""COMPUTED_VALUE"""),59.0)</f>
        <v>59</v>
      </c>
      <c r="D669" s="102" t="str">
        <f>IFERROR(__xludf.DUMMYFUNCTION("""COMPUTED_VALUE"""),"Foregrip")</f>
        <v>Foregrip</v>
      </c>
      <c r="E669" s="102" t="str">
        <f>IFERROR(__xludf.DUMMYFUNCTION("""COMPUTED_VALUE"""),"MAL_SG.part_foregrip_04")</f>
        <v>MAL_SG.part_foregrip_04</v>
      </c>
      <c r="F669" s="102"/>
      <c r="G669" s="102" t="str">
        <f>IFERROR(__xludf.DUMMYFUNCTION("""COMPUTED_VALUE"""),"No Stat Changes")</f>
        <v>No Stat Changes</v>
      </c>
      <c r="H669" s="102"/>
      <c r="I669" s="102"/>
      <c r="J669" s="102"/>
      <c r="K669" s="102"/>
      <c r="L669" s="102"/>
    </row>
    <row r="670">
      <c r="A670" s="102" t="str">
        <f>IFERROR(__xludf.DUMMYFUNCTION("""COMPUTED_VALUE"""),"Maliwan")</f>
        <v>Maliwan</v>
      </c>
      <c r="B670" s="102" t="str">
        <f>IFERROR(__xludf.DUMMYFUNCTION("""COMPUTED_VALUE"""),"Shotgun")</f>
        <v>Shotgun</v>
      </c>
      <c r="C670" s="103">
        <f>IFERROR(__xludf.DUMMYFUNCTION("""COMPUTED_VALUE"""),62.0)</f>
        <v>62</v>
      </c>
      <c r="D670" s="102" t="str">
        <f>IFERROR(__xludf.DUMMYFUNCTION("""COMPUTED_VALUE"""),"Barrel")</f>
        <v>Barrel</v>
      </c>
      <c r="E670" s="102" t="str">
        <f>IFERROR(__xludf.DUMMYFUNCTION("""COMPUTED_VALUE"""),"MAL_SG.part_barrel_02_mantra")</f>
        <v>MAL_SG.part_barrel_02_mantra</v>
      </c>
      <c r="F670" s="102"/>
      <c r="G670" s="102" t="str">
        <f>IFERROR(__xludf.DUMMYFUNCTION("""COMPUTED_VALUE"""),"Mantra, 3430 Damage, 86% Acc, 2.3/s FR")</f>
        <v>Mantra, 3430 Damage, 86% Acc, 2.3/s FR</v>
      </c>
      <c r="H670" s="102" t="str">
        <f>IFERROR(__xludf.DUMMYFUNCTION("""COMPUTED_VALUE"""),"Chakra - Deals Melee Damage")</f>
        <v>Chakra - Deals Melee Damage</v>
      </c>
      <c r="I670" s="102"/>
      <c r="J670" s="102"/>
      <c r="K670" s="102"/>
      <c r="L670" s="102"/>
    </row>
    <row r="671">
      <c r="A671" s="102" t="str">
        <f>IFERROR(__xludf.DUMMYFUNCTION("""COMPUTED_VALUE"""),"Maliwan")</f>
        <v>Maliwan</v>
      </c>
      <c r="B671" s="102" t="str">
        <f>IFERROR(__xludf.DUMMYFUNCTION("""COMPUTED_VALUE"""),"Shotgun")</f>
        <v>Shotgun</v>
      </c>
      <c r="C671" s="103">
        <f>IFERROR(__xludf.DUMMYFUNCTION("""COMPUTED_VALUE"""),63.0)</f>
        <v>63</v>
      </c>
      <c r="D671" s="102" t="str">
        <f>IFERROR(__xludf.DUMMYFUNCTION("""COMPUTED_VALUE"""),"Barrel Accessory")</f>
        <v>Barrel Accessory</v>
      </c>
      <c r="E671" s="102" t="str">
        <f>IFERROR(__xludf.DUMMYFUNCTION("""COMPUTED_VALUE"""),"MAL_SG.part_barrel_01_a")</f>
        <v>MAL_SG.part_barrel_01_a</v>
      </c>
      <c r="F671" s="102"/>
      <c r="G671" s="102" t="str">
        <f>IFERROR(__xludf.DUMMYFUNCTION("""COMPUTED_VALUE"""),"+Damage")</f>
        <v>+Damage</v>
      </c>
      <c r="H671" s="102"/>
      <c r="I671" s="102"/>
      <c r="J671" s="102"/>
      <c r="K671" s="102"/>
      <c r="L671" s="102"/>
    </row>
    <row r="672">
      <c r="A672" s="102" t="str">
        <f>IFERROR(__xludf.DUMMYFUNCTION("""COMPUTED_VALUE"""),"Maliwan")</f>
        <v>Maliwan</v>
      </c>
      <c r="B672" s="102" t="str">
        <f>IFERROR(__xludf.DUMMYFUNCTION("""COMPUTED_VALUE"""),"Shotgun")</f>
        <v>Shotgun</v>
      </c>
      <c r="C672" s="103">
        <f>IFERROR(__xludf.DUMMYFUNCTION("""COMPUTED_VALUE"""),64.0)</f>
        <v>64</v>
      </c>
      <c r="D672" s="102" t="str">
        <f>IFERROR(__xludf.DUMMYFUNCTION("""COMPUTED_VALUE"""),"Barrel Accessory")</f>
        <v>Barrel Accessory</v>
      </c>
      <c r="E672" s="102" t="str">
        <f>IFERROR(__xludf.DUMMYFUNCTION("""COMPUTED_VALUE"""),"MAL_SG.part_barrel_01_b")</f>
        <v>MAL_SG.part_barrel_01_b</v>
      </c>
      <c r="F672" s="102"/>
      <c r="G672" s="102" t="str">
        <f>IFERROR(__xludf.DUMMYFUNCTION("""COMPUTED_VALUE"""),"+Elemental Damage")</f>
        <v>+Elemental Damage</v>
      </c>
      <c r="H672" s="102"/>
      <c r="I672" s="102"/>
      <c r="J672" s="102"/>
      <c r="K672" s="102"/>
      <c r="L672" s="102"/>
    </row>
    <row r="673">
      <c r="A673" s="102" t="str">
        <f>IFERROR(__xludf.DUMMYFUNCTION("""COMPUTED_VALUE"""),"Maliwan")</f>
        <v>Maliwan</v>
      </c>
      <c r="B673" s="102" t="str">
        <f>IFERROR(__xludf.DUMMYFUNCTION("""COMPUTED_VALUE"""),"Shotgun")</f>
        <v>Shotgun</v>
      </c>
      <c r="C673" s="103">
        <f>IFERROR(__xludf.DUMMYFUNCTION("""COMPUTED_VALUE"""),65.0)</f>
        <v>65</v>
      </c>
      <c r="D673" s="102" t="str">
        <f>IFERROR(__xludf.DUMMYFUNCTION("""COMPUTED_VALUE"""),"Barrel Accessory")</f>
        <v>Barrel Accessory</v>
      </c>
      <c r="E673" s="102" t="str">
        <f>IFERROR(__xludf.DUMMYFUNCTION("""COMPUTED_VALUE"""),"MAL_SG.part_barrel_01_c")</f>
        <v>MAL_SG.part_barrel_01_c</v>
      </c>
      <c r="F673" s="102"/>
      <c r="G673" s="102" t="str">
        <f>IFERROR(__xludf.DUMMYFUNCTION("""COMPUTED_VALUE"""),"+Elemental Damage")</f>
        <v>+Elemental Damage</v>
      </c>
      <c r="H673" s="102"/>
      <c r="I673" s="102"/>
      <c r="J673" s="102"/>
      <c r="K673" s="102"/>
      <c r="L673" s="102"/>
    </row>
    <row r="674">
      <c r="A674" s="102" t="str">
        <f>IFERROR(__xludf.DUMMYFUNCTION("""COMPUTED_VALUE"""),"Maliwan")</f>
        <v>Maliwan</v>
      </c>
      <c r="B674" s="102" t="str">
        <f>IFERROR(__xludf.DUMMYFUNCTION("""COMPUTED_VALUE"""),"Shotgun")</f>
        <v>Shotgun</v>
      </c>
      <c r="C674" s="103">
        <f>IFERROR(__xludf.DUMMYFUNCTION("""COMPUTED_VALUE"""),66.0)</f>
        <v>66</v>
      </c>
      <c r="D674" s="102" t="str">
        <f>IFERROR(__xludf.DUMMYFUNCTION("""COMPUTED_VALUE"""),"Barrel Accessory")</f>
        <v>Barrel Accessory</v>
      </c>
      <c r="E674" s="102" t="str">
        <f>IFERROR(__xludf.DUMMYFUNCTION("""COMPUTED_VALUE"""),"MAL_SG.part_barrel_01_d")</f>
        <v>MAL_SG.part_barrel_01_d</v>
      </c>
      <c r="F674" s="102"/>
      <c r="G674" s="102" t="str">
        <f>IFERROR(__xludf.DUMMYFUNCTION("""COMPUTED_VALUE"""),"+Accuracy")</f>
        <v>+Accuracy</v>
      </c>
      <c r="H674" s="102"/>
      <c r="I674" s="102"/>
      <c r="J674" s="102"/>
      <c r="K674" s="102"/>
      <c r="L674" s="102"/>
    </row>
    <row r="675">
      <c r="A675" s="102" t="str">
        <f>IFERROR(__xludf.DUMMYFUNCTION("""COMPUTED_VALUE"""),"Maliwan")</f>
        <v>Maliwan</v>
      </c>
      <c r="B675" s="102" t="str">
        <f>IFERROR(__xludf.DUMMYFUNCTION("""COMPUTED_VALUE"""),"Shotgun")</f>
        <v>Shotgun</v>
      </c>
      <c r="C675" s="103">
        <f>IFERROR(__xludf.DUMMYFUNCTION("""COMPUTED_VALUE"""),67.0)</f>
        <v>67</v>
      </c>
      <c r="D675" s="102" t="str">
        <f>IFERROR(__xludf.DUMMYFUNCTION("""COMPUTED_VALUE"""),"Barrel Accessory")</f>
        <v>Barrel Accessory</v>
      </c>
      <c r="E675" s="102" t="str">
        <f>IFERROR(__xludf.DUMMYFUNCTION("""COMPUTED_VALUE"""),"MAL_SG.part_barrel_02_a")</f>
        <v>MAL_SG.part_barrel_02_a</v>
      </c>
      <c r="F675" s="102"/>
      <c r="G675" s="102" t="str">
        <f>IFERROR(__xludf.DUMMYFUNCTION("""COMPUTED_VALUE"""),"+Damage")</f>
        <v>+Damage</v>
      </c>
      <c r="H675" s="102"/>
      <c r="I675" s="102"/>
      <c r="J675" s="102"/>
      <c r="K675" s="102"/>
      <c r="L675" s="102"/>
    </row>
    <row r="676">
      <c r="A676" s="102" t="str">
        <f>IFERROR(__xludf.DUMMYFUNCTION("""COMPUTED_VALUE"""),"Maliwan")</f>
        <v>Maliwan</v>
      </c>
      <c r="B676" s="102" t="str">
        <f>IFERROR(__xludf.DUMMYFUNCTION("""COMPUTED_VALUE"""),"Shotgun")</f>
        <v>Shotgun</v>
      </c>
      <c r="C676" s="103">
        <f>IFERROR(__xludf.DUMMYFUNCTION("""COMPUTED_VALUE"""),68.0)</f>
        <v>68</v>
      </c>
      <c r="D676" s="102" t="str">
        <f>IFERROR(__xludf.DUMMYFUNCTION("""COMPUTED_VALUE"""),"Barrel Accessory")</f>
        <v>Barrel Accessory</v>
      </c>
      <c r="E676" s="102" t="str">
        <f>IFERROR(__xludf.DUMMYFUNCTION("""COMPUTED_VALUE"""),"MAL_SG.part_barrel_02_b")</f>
        <v>MAL_SG.part_barrel_02_b</v>
      </c>
      <c r="F676" s="102"/>
      <c r="G676" s="102" t="str">
        <f>IFERROR(__xludf.DUMMYFUNCTION("""COMPUTED_VALUE"""),"+Accuracy")</f>
        <v>+Accuracy</v>
      </c>
      <c r="H676" s="102"/>
      <c r="I676" s="102"/>
      <c r="J676" s="102"/>
      <c r="K676" s="102"/>
      <c r="L676" s="102"/>
    </row>
    <row r="677">
      <c r="A677" s="102" t="str">
        <f>IFERROR(__xludf.DUMMYFUNCTION("""COMPUTED_VALUE"""),"Maliwan")</f>
        <v>Maliwan</v>
      </c>
      <c r="B677" s="102" t="str">
        <f>IFERROR(__xludf.DUMMYFUNCTION("""COMPUTED_VALUE"""),"Shotgun")</f>
        <v>Shotgun</v>
      </c>
      <c r="C677" s="103">
        <f>IFERROR(__xludf.DUMMYFUNCTION("""COMPUTED_VALUE"""),69.0)</f>
        <v>69</v>
      </c>
      <c r="D677" s="102" t="str">
        <f>IFERROR(__xludf.DUMMYFUNCTION("""COMPUTED_VALUE"""),"Barrel Accessory")</f>
        <v>Barrel Accessory</v>
      </c>
      <c r="E677" s="102" t="str">
        <f>IFERROR(__xludf.DUMMYFUNCTION("""COMPUTED_VALUE"""),"MAL_SG.part_barrel_02_c")</f>
        <v>MAL_SG.part_barrel_02_c</v>
      </c>
      <c r="F677" s="102"/>
      <c r="G677" s="102" t="str">
        <f>IFERROR(__xludf.DUMMYFUNCTION("""COMPUTED_VALUE"""),"+Fire Rate")</f>
        <v>+Fire Rate</v>
      </c>
      <c r="H677" s="102"/>
      <c r="I677" s="102"/>
      <c r="J677" s="102"/>
      <c r="K677" s="102"/>
      <c r="L677" s="102"/>
    </row>
    <row r="678">
      <c r="A678" s="102" t="str">
        <f>IFERROR(__xludf.DUMMYFUNCTION("""COMPUTED_VALUE"""),"Maliwan")</f>
        <v>Maliwan</v>
      </c>
      <c r="B678" s="102" t="str">
        <f>IFERROR(__xludf.DUMMYFUNCTION("""COMPUTED_VALUE"""),"Shotgun")</f>
        <v>Shotgun</v>
      </c>
      <c r="C678" s="103">
        <f>IFERROR(__xludf.DUMMYFUNCTION("""COMPUTED_VALUE"""),70.0)</f>
        <v>70</v>
      </c>
      <c r="D678" s="102" t="str">
        <f>IFERROR(__xludf.DUMMYFUNCTION("""COMPUTED_VALUE"""),"Barrel Accessory")</f>
        <v>Barrel Accessory</v>
      </c>
      <c r="E678" s="102" t="str">
        <f>IFERROR(__xludf.DUMMYFUNCTION("""COMPUTED_VALUE"""),"MAL_SG.part_barrel_02_d")</f>
        <v>MAL_SG.part_barrel_02_d</v>
      </c>
      <c r="F678" s="102"/>
      <c r="G678" s="102" t="str">
        <f>IFERROR(__xludf.DUMMYFUNCTION("""COMPUTED_VALUE"""),"+Fire Rate")</f>
        <v>+Fire Rate</v>
      </c>
      <c r="H678" s="102"/>
      <c r="I678" s="102"/>
      <c r="J678" s="102"/>
      <c r="K678" s="102"/>
      <c r="L678" s="102"/>
    </row>
    <row r="679">
      <c r="A679" s="102" t="str">
        <f>IFERROR(__xludf.DUMMYFUNCTION("""COMPUTED_VALUE"""),"Maliwan")</f>
        <v>Maliwan</v>
      </c>
      <c r="B679" s="102" t="str">
        <f>IFERROR(__xludf.DUMMYFUNCTION("""COMPUTED_VALUE"""),"Shotgun")</f>
        <v>Shotgun</v>
      </c>
      <c r="C679" s="103">
        <f>IFERROR(__xludf.DUMMYFUNCTION("""COMPUTED_VALUE"""),71.0)</f>
        <v>71</v>
      </c>
      <c r="D679" s="102" t="str">
        <f>IFERROR(__xludf.DUMMYFUNCTION("""COMPUTED_VALUE"""),"Manufacturer Part")</f>
        <v>Manufacturer Part</v>
      </c>
      <c r="E679" s="102" t="str">
        <f>IFERROR(__xludf.DUMMYFUNCTION("""COMPUTED_VALUE"""),"MAL_SG.part_barrel_licensed_jak")</f>
        <v>MAL_SG.part_barrel_licensed_jak</v>
      </c>
      <c r="F679" s="102"/>
      <c r="G679" s="102" t="str">
        <f>IFERROR(__xludf.DUMMYFUNCTION("""COMPUTED_VALUE"""),"Jakobs Ricochet")</f>
        <v>Jakobs Ricochet</v>
      </c>
      <c r="H679" s="102"/>
      <c r="I679" s="102"/>
      <c r="J679" s="102"/>
      <c r="K679" s="102"/>
      <c r="L679" s="102"/>
    </row>
    <row r="680">
      <c r="A680" s="102" t="str">
        <f>IFERROR(__xludf.DUMMYFUNCTION("""COMPUTED_VALUE"""),"Maliwan")</f>
        <v>Maliwan</v>
      </c>
      <c r="B680" s="102" t="str">
        <f>IFERROR(__xludf.DUMMYFUNCTION("""COMPUTED_VALUE"""),"Shotgun")</f>
        <v>Shotgun</v>
      </c>
      <c r="C680" s="103">
        <f>IFERROR(__xludf.DUMMYFUNCTION("""COMPUTED_VALUE"""),72.0)</f>
        <v>72</v>
      </c>
      <c r="D680" s="102" t="str">
        <f>IFERROR(__xludf.DUMMYFUNCTION("""COMPUTED_VALUE"""),"Manufacturer Part")</f>
        <v>Manufacturer Part</v>
      </c>
      <c r="E680" s="102" t="str">
        <f>IFERROR(__xludf.DUMMYFUNCTION("""COMPUTED_VALUE"""),"MAL_SG.part_barrel_licensed_ted")</f>
        <v>MAL_SG.part_barrel_licensed_ted</v>
      </c>
      <c r="F680" s="102"/>
      <c r="G680" s="102" t="str">
        <f>IFERROR(__xludf.DUMMYFUNCTION("""COMPUTED_VALUE"""),"Tediore Reload, no stat changes")</f>
        <v>Tediore Reload, no stat changes</v>
      </c>
      <c r="H680" s="102"/>
      <c r="I680" s="102"/>
      <c r="J680" s="102"/>
      <c r="K680" s="102"/>
      <c r="L680" s="102"/>
    </row>
    <row r="681">
      <c r="A681" s="102" t="str">
        <f>IFERROR(__xludf.DUMMYFUNCTION("""COMPUTED_VALUE"""),"Maliwan")</f>
        <v>Maliwan</v>
      </c>
      <c r="B681" s="102" t="str">
        <f>IFERROR(__xludf.DUMMYFUNCTION("""COMPUTED_VALUE"""),"Shotgun")</f>
        <v>Shotgun</v>
      </c>
      <c r="C681" s="103">
        <f>IFERROR(__xludf.DUMMYFUNCTION("""COMPUTED_VALUE"""),73.0)</f>
        <v>73</v>
      </c>
      <c r="D681" s="102" t="str">
        <f>IFERROR(__xludf.DUMMYFUNCTION("""COMPUTED_VALUE"""),"Manufacturer Part")</f>
        <v>Manufacturer Part</v>
      </c>
      <c r="E681" s="102" t="str">
        <f>IFERROR(__xludf.DUMMYFUNCTION("""COMPUTED_VALUE"""),"MAL_SG.part_barrel_licensed_ted_shooting")</f>
        <v>MAL_SG.part_barrel_licensed_ted_shooting</v>
      </c>
      <c r="F681" s="102"/>
      <c r="G681" s="102" t="str">
        <f>IFERROR(__xludf.DUMMYFUNCTION("""COMPUTED_VALUE"""),"Tediore Shooting, no stat changes")</f>
        <v>Tediore Shooting, no stat changes</v>
      </c>
      <c r="H681" s="102"/>
      <c r="I681" s="102"/>
      <c r="J681" s="102"/>
      <c r="K681" s="102"/>
      <c r="L681" s="102"/>
    </row>
    <row r="682">
      <c r="A682" s="102" t="str">
        <f>IFERROR(__xludf.DUMMYFUNCTION("""COMPUTED_VALUE"""),"Maliwan")</f>
        <v>Maliwan</v>
      </c>
      <c r="B682" s="102" t="str">
        <f>IFERROR(__xludf.DUMMYFUNCTION("""COMPUTED_VALUE"""),"Shotgun")</f>
        <v>Shotgun</v>
      </c>
      <c r="C682" s="103">
        <f>IFERROR(__xludf.DUMMYFUNCTION("""COMPUTED_VALUE"""),74.0)</f>
        <v>74</v>
      </c>
      <c r="D682" s="102" t="str">
        <f>IFERROR(__xludf.DUMMYFUNCTION("""COMPUTED_VALUE"""),"Manufacturer Part")</f>
        <v>Manufacturer Part</v>
      </c>
      <c r="E682" s="102" t="str">
        <f>IFERROR(__xludf.DUMMYFUNCTION("""COMPUTED_VALUE"""),"MAL_SG.part_barrel_licensed_ted_mirv")</f>
        <v>MAL_SG.part_barrel_licensed_ted_mirv</v>
      </c>
      <c r="F682" s="102"/>
      <c r="G682" s="102" t="str">
        <f>IFERROR(__xludf.DUMMYFUNCTION("""COMPUTED_VALUE"""),"Tediore MIRV, no stat changes")</f>
        <v>Tediore MIRV, no stat changes</v>
      </c>
      <c r="H682" s="102"/>
      <c r="I682" s="102"/>
      <c r="J682" s="102"/>
      <c r="K682" s="102"/>
      <c r="L682" s="102"/>
    </row>
    <row r="683">
      <c r="A683" s="102" t="str">
        <f>IFERROR(__xludf.DUMMYFUNCTION("""COMPUTED_VALUE"""),"Maliwan")</f>
        <v>Maliwan</v>
      </c>
      <c r="B683" s="102" t="str">
        <f>IFERROR(__xludf.DUMMYFUNCTION("""COMPUTED_VALUE"""),"Shotgun")</f>
        <v>Shotgun</v>
      </c>
      <c r="C683" s="103">
        <f>IFERROR(__xludf.DUMMYFUNCTION("""COMPUTED_VALUE"""),75.0)</f>
        <v>75</v>
      </c>
      <c r="D683" s="102" t="str">
        <f>IFERROR(__xludf.DUMMYFUNCTION("""COMPUTED_VALUE"""),"Manufacturer Part")</f>
        <v>Manufacturer Part</v>
      </c>
      <c r="E683" s="102" t="str">
        <f>IFERROR(__xludf.DUMMYFUNCTION("""COMPUTED_VALUE"""),"MAL_SG.part_barrel_licensed_ted_combo")</f>
        <v>MAL_SG.part_barrel_licensed_ted_combo</v>
      </c>
      <c r="F683" s="102"/>
      <c r="G683" s="102" t="str">
        <f>IFERROR(__xludf.DUMMYFUNCTION("""COMPUTED_VALUE"""),"Tediore Combo, no stat changes")</f>
        <v>Tediore Combo, no stat changes</v>
      </c>
      <c r="H683" s="102"/>
      <c r="I683" s="102"/>
      <c r="J683" s="102"/>
      <c r="K683" s="102"/>
      <c r="L683" s="102"/>
    </row>
    <row r="684">
      <c r="A684" s="102" t="str">
        <f>IFERROR(__xludf.DUMMYFUNCTION("""COMPUTED_VALUE"""),"Maliwan")</f>
        <v>Maliwan</v>
      </c>
      <c r="B684" s="102" t="str">
        <f>IFERROR(__xludf.DUMMYFUNCTION("""COMPUTED_VALUE"""),"Shotgun")</f>
        <v>Shotgun</v>
      </c>
      <c r="C684" s="103">
        <f>IFERROR(__xludf.DUMMYFUNCTION("""COMPUTED_VALUE"""),76.0)</f>
        <v>76</v>
      </c>
      <c r="D684" s="102" t="str">
        <f>IFERROR(__xludf.DUMMYFUNCTION("""COMPUTED_VALUE"""),"Manufacturer Part")</f>
        <v>Manufacturer Part</v>
      </c>
      <c r="E684" s="102" t="str">
        <f>IFERROR(__xludf.DUMMYFUNCTION("""COMPUTED_VALUE"""),"MAL_SG.part_barrel_licensed_hyp")</f>
        <v>MAL_SG.part_barrel_licensed_hyp</v>
      </c>
      <c r="F684" s="102"/>
      <c r="G684" s="102" t="str">
        <f>IFERROR(__xludf.DUMMYFUNCTION("""COMPUTED_VALUE"""),"Hyperion Shield visual accessory, no stat changes")</f>
        <v>Hyperion Shield visual accessory, no stat changes</v>
      </c>
      <c r="H684" s="102"/>
      <c r="I684" s="102"/>
      <c r="J684" s="102"/>
      <c r="K684" s="102"/>
      <c r="L684" s="102"/>
    </row>
    <row r="685">
      <c r="A685" s="102" t="str">
        <f>IFERROR(__xludf.DUMMYFUNCTION("""COMPUTED_VALUE"""),"Maliwan")</f>
        <v>Maliwan</v>
      </c>
      <c r="B685" s="102" t="str">
        <f>IFERROR(__xludf.DUMMYFUNCTION("""COMPUTED_VALUE"""),"Shotgun")</f>
        <v>Shotgun</v>
      </c>
      <c r="C685" s="103">
        <f>IFERROR(__xludf.DUMMYFUNCTION("""COMPUTED_VALUE"""),77.0)</f>
        <v>77</v>
      </c>
      <c r="D685" s="102" t="str">
        <f>IFERROR(__xludf.DUMMYFUNCTION("""COMPUTED_VALUE"""),"Manufacturer Part")</f>
        <v>Manufacturer Part</v>
      </c>
      <c r="E685" s="102" t="str">
        <f>IFERROR(__xludf.DUMMYFUNCTION("""COMPUTED_VALUE"""),"MAL_SG.part_mag_torgue_normal")</f>
        <v>MAL_SG.part_mag_torgue_normal</v>
      </c>
      <c r="F685" s="102"/>
      <c r="G685" s="102" t="str">
        <f>IFERROR(__xludf.DUMMYFUNCTION("""COMPUTED_VALUE"""),"Torgue Impact Gyrojets")</f>
        <v>Torgue Impact Gyrojets</v>
      </c>
      <c r="H685" s="102"/>
      <c r="I685" s="102"/>
      <c r="J685" s="102"/>
      <c r="K685" s="102"/>
      <c r="L685" s="102"/>
    </row>
    <row r="686">
      <c r="A686" s="102" t="str">
        <f>IFERROR(__xludf.DUMMYFUNCTION("""COMPUTED_VALUE"""),"Maliwan")</f>
        <v>Maliwan</v>
      </c>
      <c r="B686" s="102" t="str">
        <f>IFERROR(__xludf.DUMMYFUNCTION("""COMPUTED_VALUE"""),"Shotgun")</f>
        <v>Shotgun</v>
      </c>
      <c r="C686" s="103">
        <f>IFERROR(__xludf.DUMMYFUNCTION("""COMPUTED_VALUE"""),78.0)</f>
        <v>78</v>
      </c>
      <c r="D686" s="102" t="str">
        <f>IFERROR(__xludf.DUMMYFUNCTION("""COMPUTED_VALUE"""),"Manufacturer Part")</f>
        <v>Manufacturer Part</v>
      </c>
      <c r="E686" s="102" t="str">
        <f>IFERROR(__xludf.DUMMYFUNCTION("""COMPUTED_VALUE"""),"MAL_SG.part_mag_torgue_sticky")</f>
        <v>MAL_SG.part_mag_torgue_sticky</v>
      </c>
      <c r="F686" s="102"/>
      <c r="G686" s="102" t="str">
        <f>IFERROR(__xludf.DUMMYFUNCTION("""COMPUTED_VALUE"""),"Torgue Sticky Gyrojets")</f>
        <v>Torgue Sticky Gyrojets</v>
      </c>
      <c r="H686" s="102"/>
      <c r="I686" s="102"/>
      <c r="J686" s="102"/>
      <c r="K686" s="102"/>
      <c r="L686" s="102"/>
    </row>
    <row r="687">
      <c r="A687" s="102" t="str">
        <f>IFERROR(__xludf.DUMMYFUNCTION("""COMPUTED_VALUE"""),"Maliwan")</f>
        <v>Maliwan</v>
      </c>
      <c r="B687" s="102" t="str">
        <f>IFERROR(__xludf.DUMMYFUNCTION("""COMPUTED_VALUE"""),"Shotgun")</f>
        <v>Shotgun</v>
      </c>
      <c r="C687" s="103">
        <f>IFERROR(__xludf.DUMMYFUNCTION("""COMPUTED_VALUE"""),79.0)</f>
        <v>79</v>
      </c>
      <c r="D687" s="102" t="str">
        <f>IFERROR(__xludf.DUMMYFUNCTION("""COMPUTED_VALUE"""),"Magazine")</f>
        <v>Magazine</v>
      </c>
      <c r="E687" s="102" t="str">
        <f>IFERROR(__xludf.DUMMYFUNCTION("""COMPUTED_VALUE"""),"MAL_SG.part_mag_03_tor")</f>
        <v>MAL_SG.part_mag_03_tor</v>
      </c>
      <c r="F687" s="102"/>
      <c r="G687" s="102" t="str">
        <f>IFERROR(__xludf.DUMMYFUNCTION("""COMPUTED_VALUE"""),"2.2s Reload, +Damage, -Fire Rate, 4 Shots, Torgue")</f>
        <v>2.2s Reload, +Damage, -Fire Rate, 4 Shots, Torgue</v>
      </c>
      <c r="H687" s="102"/>
      <c r="I687" s="102"/>
      <c r="J687" s="102"/>
      <c r="K687" s="102"/>
      <c r="L687" s="102"/>
    </row>
    <row r="688">
      <c r="A688" s="102" t="str">
        <f>IFERROR(__xludf.DUMMYFUNCTION("""COMPUTED_VALUE"""),"Maliwan")</f>
        <v>Maliwan</v>
      </c>
      <c r="B688" s="102" t="str">
        <f>IFERROR(__xludf.DUMMYFUNCTION("""COMPUTED_VALUE"""),"SMG")</f>
        <v>SMG</v>
      </c>
      <c r="C688" s="103">
        <f>IFERROR(__xludf.DUMMYFUNCTION("""COMPUTED_VALUE"""),2.0)</f>
        <v>2</v>
      </c>
      <c r="D688" s="102" t="str">
        <f>IFERROR(__xludf.DUMMYFUNCTION("""COMPUTED_VALUE"""),"Body")</f>
        <v>Body</v>
      </c>
      <c r="E688" s="102" t="str">
        <f>IFERROR(__xludf.DUMMYFUNCTION("""COMPUTED_VALUE"""),"MAL_SM.part_body")</f>
        <v>MAL_SM.part_body</v>
      </c>
      <c r="F688" s="102"/>
      <c r="G688" s="102" t="str">
        <f>IFERROR(__xludf.DUMMYFUNCTION("""COMPUTED_VALUE"""),"No Stat Changes, always present")</f>
        <v>No Stat Changes, always present</v>
      </c>
      <c r="H688" s="102"/>
      <c r="I688" s="102"/>
      <c r="J688" s="102"/>
      <c r="K688" s="102"/>
      <c r="L688" s="102"/>
    </row>
    <row r="689">
      <c r="A689" s="102" t="str">
        <f>IFERROR(__xludf.DUMMYFUNCTION("""COMPUTED_VALUE"""),"Maliwan")</f>
        <v>Maliwan</v>
      </c>
      <c r="B689" s="102" t="str">
        <f>IFERROR(__xludf.DUMMYFUNCTION("""COMPUTED_VALUE"""),"SMG")</f>
        <v>SMG</v>
      </c>
      <c r="C689" s="103">
        <f>IFERROR(__xludf.DUMMYFUNCTION("""COMPUTED_VALUE"""),3.0)</f>
        <v>3</v>
      </c>
      <c r="D689" s="102" t="str">
        <f>IFERROR(__xludf.DUMMYFUNCTION("""COMPUTED_VALUE"""),"Body Accessory")</f>
        <v>Body Accessory</v>
      </c>
      <c r="E689" s="102" t="str">
        <f>IFERROR(__xludf.DUMMYFUNCTION("""COMPUTED_VALUE"""),"MAL_SM.part_body_a")</f>
        <v>MAL_SM.part_body_a</v>
      </c>
      <c r="F689" s="102"/>
      <c r="G689" s="102" t="str">
        <f>IFERROR(__xludf.DUMMYFUNCTION("""COMPUTED_VALUE"""),"-Reload Speed")</f>
        <v>-Reload Speed</v>
      </c>
      <c r="H689" s="102"/>
      <c r="I689" s="102"/>
      <c r="J689" s="102"/>
      <c r="K689" s="102"/>
      <c r="L689" s="102"/>
    </row>
    <row r="690">
      <c r="A690" s="102" t="str">
        <f>IFERROR(__xludf.DUMMYFUNCTION("""COMPUTED_VALUE"""),"Maliwan")</f>
        <v>Maliwan</v>
      </c>
      <c r="B690" s="102" t="str">
        <f>IFERROR(__xludf.DUMMYFUNCTION("""COMPUTED_VALUE"""),"SMG")</f>
        <v>SMG</v>
      </c>
      <c r="C690" s="103">
        <f>IFERROR(__xludf.DUMMYFUNCTION("""COMPUTED_VALUE"""),4.0)</f>
        <v>4</v>
      </c>
      <c r="D690" s="102" t="str">
        <f>IFERROR(__xludf.DUMMYFUNCTION("""COMPUTED_VALUE"""),"Body Accessory")</f>
        <v>Body Accessory</v>
      </c>
      <c r="E690" s="102" t="str">
        <f>IFERROR(__xludf.DUMMYFUNCTION("""COMPUTED_VALUE"""),"MAL_SM.part_body_b")</f>
        <v>MAL_SM.part_body_b</v>
      </c>
      <c r="F690" s="102"/>
      <c r="G690" s="102" t="str">
        <f>IFERROR(__xludf.DUMMYFUNCTION("""COMPUTED_VALUE"""),"+Ammo")</f>
        <v>+Ammo</v>
      </c>
      <c r="H690" s="102"/>
      <c r="I690" s="102"/>
      <c r="J690" s="102"/>
      <c r="K690" s="102"/>
      <c r="L690" s="102"/>
    </row>
    <row r="691">
      <c r="A691" s="102" t="str">
        <f>IFERROR(__xludf.DUMMYFUNCTION("""COMPUTED_VALUE"""),"Maliwan")</f>
        <v>Maliwan</v>
      </c>
      <c r="B691" s="102" t="str">
        <f>IFERROR(__xludf.DUMMYFUNCTION("""COMPUTED_VALUE"""),"SMG")</f>
        <v>SMG</v>
      </c>
      <c r="C691" s="103">
        <f>IFERROR(__xludf.DUMMYFUNCTION("""COMPUTED_VALUE"""),5.0)</f>
        <v>5</v>
      </c>
      <c r="D691" s="102" t="str">
        <f>IFERROR(__xludf.DUMMYFUNCTION("""COMPUTED_VALUE"""),"Body Accessory")</f>
        <v>Body Accessory</v>
      </c>
      <c r="E691" s="102" t="str">
        <f>IFERROR(__xludf.DUMMYFUNCTION("""COMPUTED_VALUE"""),"MAL_SM.part_body_c")</f>
        <v>MAL_SM.part_body_c</v>
      </c>
      <c r="F691" s="102"/>
      <c r="G691" s="102" t="str">
        <f>IFERROR(__xludf.DUMMYFUNCTION("""COMPUTED_VALUE"""),"+Accuracy")</f>
        <v>+Accuracy</v>
      </c>
      <c r="H691" s="102"/>
      <c r="I691" s="102"/>
      <c r="J691" s="102"/>
      <c r="K691" s="102"/>
      <c r="L691" s="102"/>
    </row>
    <row r="692">
      <c r="A692" s="102" t="str">
        <f>IFERROR(__xludf.DUMMYFUNCTION("""COMPUTED_VALUE"""),"Maliwan")</f>
        <v>Maliwan</v>
      </c>
      <c r="B692" s="102" t="str">
        <f>IFERROR(__xludf.DUMMYFUNCTION("""COMPUTED_VALUE"""),"SMG")</f>
        <v>SMG</v>
      </c>
      <c r="C692" s="103">
        <f>IFERROR(__xludf.DUMMYFUNCTION("""COMPUTED_VALUE"""),6.0)</f>
        <v>6</v>
      </c>
      <c r="D692" s="102" t="str">
        <f>IFERROR(__xludf.DUMMYFUNCTION("""COMPUTED_VALUE"""),"Body Accessory")</f>
        <v>Body Accessory</v>
      </c>
      <c r="E692" s="102" t="str">
        <f>IFERROR(__xludf.DUMMYFUNCTION("""COMPUTED_VALUE"""),"MAL_SM.part_body_d")</f>
        <v>MAL_SM.part_body_d</v>
      </c>
      <c r="F692" s="102"/>
      <c r="G692" s="102" t="str">
        <f>IFERROR(__xludf.DUMMYFUNCTION("""COMPUTED_VALUE"""),"No Stat Changes")</f>
        <v>No Stat Changes</v>
      </c>
      <c r="H692" s="102"/>
      <c r="I692" s="102"/>
      <c r="J692" s="102"/>
      <c r="K692" s="102"/>
      <c r="L692" s="102"/>
    </row>
    <row r="693">
      <c r="A693" s="102" t="str">
        <f>IFERROR(__xludf.DUMMYFUNCTION("""COMPUTED_VALUE"""),"Maliwan")</f>
        <v>Maliwan</v>
      </c>
      <c r="B693" s="102" t="str">
        <f>IFERROR(__xludf.DUMMYFUNCTION("""COMPUTED_VALUE"""),"SMG")</f>
        <v>SMG</v>
      </c>
      <c r="C693" s="103">
        <f>IFERROR(__xludf.DUMMYFUNCTION("""COMPUTED_VALUE"""),7.0)</f>
        <v>7</v>
      </c>
      <c r="D693" s="102" t="str">
        <f>IFERROR(__xludf.DUMMYFUNCTION("""COMPUTED_VALUE"""),"Barrel")</f>
        <v>Barrel</v>
      </c>
      <c r="E693" s="102" t="str">
        <f>IFERROR(__xludf.DUMMYFUNCTION("""COMPUTED_VALUE"""),"MAL_SM.part_barrel_01")</f>
        <v>MAL_SM.part_barrel_01</v>
      </c>
      <c r="F693" s="102"/>
      <c r="G693" s="102" t="str">
        <f>IFERROR(__xludf.DUMMYFUNCTION("""COMPUTED_VALUE"""),"Ephemeris, 580 Damage, 80% Acc, 7.3/s FR")</f>
        <v>Ephemeris, 580 Damage, 80% Acc, 7.3/s FR</v>
      </c>
      <c r="H693" s="102"/>
      <c r="I693" s="102"/>
      <c r="J693" s="102"/>
      <c r="K693" s="102"/>
      <c r="L693" s="102"/>
    </row>
    <row r="694">
      <c r="A694" s="102" t="str">
        <f>IFERROR(__xludf.DUMMYFUNCTION("""COMPUTED_VALUE"""),"Maliwan")</f>
        <v>Maliwan</v>
      </c>
      <c r="B694" s="102" t="str">
        <f>IFERROR(__xludf.DUMMYFUNCTION("""COMPUTED_VALUE"""),"SMG")</f>
        <v>SMG</v>
      </c>
      <c r="C694" s="103">
        <f>IFERROR(__xludf.DUMMYFUNCTION("""COMPUTED_VALUE"""),8.0)</f>
        <v>8</v>
      </c>
      <c r="D694" s="102" t="str">
        <f>IFERROR(__xludf.DUMMYFUNCTION("""COMPUTED_VALUE"""),"Barrel")</f>
        <v>Barrel</v>
      </c>
      <c r="E694" s="102" t="str">
        <f>IFERROR(__xludf.DUMMYFUNCTION("""COMPUTED_VALUE"""),"MAL_SM.part_barrel_02")</f>
        <v>MAL_SM.part_barrel_02</v>
      </c>
      <c r="F694" s="102"/>
      <c r="G694" s="102" t="str">
        <f>IFERROR(__xludf.DUMMYFUNCTION("""COMPUTED_VALUE"""),"Synastry, 714 Damage, 81% Acc, 5.3/s FR")</f>
        <v>Synastry, 714 Damage, 81% Acc, 5.3/s FR</v>
      </c>
      <c r="H694" s="102"/>
      <c r="I694" s="102"/>
      <c r="J694" s="102"/>
      <c r="K694" s="102"/>
      <c r="L694" s="102"/>
    </row>
    <row r="695">
      <c r="A695" s="102" t="str">
        <f>IFERROR(__xludf.DUMMYFUNCTION("""COMPUTED_VALUE"""),"Maliwan")</f>
        <v>Maliwan</v>
      </c>
      <c r="B695" s="102" t="str">
        <f>IFERROR(__xludf.DUMMYFUNCTION("""COMPUTED_VALUE"""),"SMG")</f>
        <v>SMG</v>
      </c>
      <c r="C695" s="103">
        <f>IFERROR(__xludf.DUMMYFUNCTION("""COMPUTED_VALUE"""),9.0)</f>
        <v>9</v>
      </c>
      <c r="D695" s="102" t="str">
        <f>IFERROR(__xludf.DUMMYFUNCTION("""COMPUTED_VALUE"""),"Manufacturer Part")</f>
        <v>Manufacturer Part</v>
      </c>
      <c r="E695" s="102" t="str">
        <f>IFERROR(__xludf.DUMMYFUNCTION("""COMPUTED_VALUE"""),"MAL_SM.part_shield_default")</f>
        <v>MAL_SM.part_shield_default</v>
      </c>
      <c r="F695" s="102"/>
      <c r="G695" s="102" t="str">
        <f>IFERROR(__xludf.DUMMYFUNCTION("""COMPUTED_VALUE"""),"Hyperion Shield")</f>
        <v>Hyperion Shield</v>
      </c>
      <c r="H695" s="102"/>
      <c r="I695" s="102"/>
      <c r="J695" s="102"/>
      <c r="K695" s="102"/>
      <c r="L695" s="102"/>
    </row>
    <row r="696">
      <c r="A696" s="102" t="str">
        <f>IFERROR(__xludf.DUMMYFUNCTION("""COMPUTED_VALUE"""),"Maliwan")</f>
        <v>Maliwan</v>
      </c>
      <c r="B696" s="102" t="str">
        <f>IFERROR(__xludf.DUMMYFUNCTION("""COMPUTED_VALUE"""),"SMG")</f>
        <v>SMG</v>
      </c>
      <c r="C696" s="103">
        <f>IFERROR(__xludf.DUMMYFUNCTION("""COMPUTED_VALUE"""),10.0)</f>
        <v>10</v>
      </c>
      <c r="D696" s="102" t="str">
        <f>IFERROR(__xludf.DUMMYFUNCTION("""COMPUTED_VALUE"""),"Manufacturer Part")</f>
        <v>Manufacturer Part</v>
      </c>
      <c r="E696" s="102" t="str">
        <f>IFERROR(__xludf.DUMMYFUNCTION("""COMPUTED_VALUE"""),"MAL_SM.part_shield_ricochet")</f>
        <v>MAL_SM.part_shield_ricochet</v>
      </c>
      <c r="F696" s="102"/>
      <c r="G696" s="102" t="str">
        <f>IFERROR(__xludf.DUMMYFUNCTION("""COMPUTED_VALUE"""),"Hyperion Ricochet Shield")</f>
        <v>Hyperion Ricochet Shield</v>
      </c>
      <c r="H696" s="102"/>
      <c r="I696" s="102"/>
      <c r="J696" s="102"/>
      <c r="K696" s="102"/>
      <c r="L696" s="102"/>
    </row>
    <row r="697">
      <c r="A697" s="102" t="str">
        <f>IFERROR(__xludf.DUMMYFUNCTION("""COMPUTED_VALUE"""),"Maliwan")</f>
        <v>Maliwan</v>
      </c>
      <c r="B697" s="102" t="str">
        <f>IFERROR(__xludf.DUMMYFUNCTION("""COMPUTED_VALUE"""),"SMG")</f>
        <v>SMG</v>
      </c>
      <c r="C697" s="103">
        <f>IFERROR(__xludf.DUMMYFUNCTION("""COMPUTED_VALUE"""),11.0)</f>
        <v>11</v>
      </c>
      <c r="D697" s="102" t="str">
        <f>IFERROR(__xludf.DUMMYFUNCTION("""COMPUTED_VALUE"""),"Manufacturer Part")</f>
        <v>Manufacturer Part</v>
      </c>
      <c r="E697" s="102" t="str">
        <f>IFERROR(__xludf.DUMMYFUNCTION("""COMPUTED_VALUE"""),"MAL_SM.part_shield_ammo")</f>
        <v>MAL_SM.part_shield_ammo</v>
      </c>
      <c r="F697" s="102"/>
      <c r="G697" s="102" t="str">
        <f>IFERROR(__xludf.DUMMYFUNCTION("""COMPUTED_VALUE"""),"Hyperion Absorb Shield")</f>
        <v>Hyperion Absorb Shield</v>
      </c>
      <c r="H697" s="102"/>
      <c r="I697" s="102"/>
      <c r="J697" s="102"/>
      <c r="K697" s="102"/>
      <c r="L697" s="102"/>
    </row>
    <row r="698">
      <c r="A698" s="102" t="str">
        <f>IFERROR(__xludf.DUMMYFUNCTION("""COMPUTED_VALUE"""),"Maliwan")</f>
        <v>Maliwan</v>
      </c>
      <c r="B698" s="102" t="str">
        <f>IFERROR(__xludf.DUMMYFUNCTION("""COMPUTED_VALUE"""),"SMG")</f>
        <v>SMG</v>
      </c>
      <c r="C698" s="103">
        <f>IFERROR(__xludf.DUMMYFUNCTION("""COMPUTED_VALUE"""),12.0)</f>
        <v>12</v>
      </c>
      <c r="D698" s="102" t="str">
        <f>IFERROR(__xludf.DUMMYFUNCTION("""COMPUTED_VALUE"""),"Manufacturer Part")</f>
        <v>Manufacturer Part</v>
      </c>
      <c r="E698" s="102" t="str">
        <f>IFERROR(__xludf.DUMMYFUNCTION("""COMPUTED_VALUE"""),"MAL_SM.part_shield_amp")</f>
        <v>MAL_SM.part_shield_amp</v>
      </c>
      <c r="F698" s="102"/>
      <c r="G698" s="102" t="str">
        <f>IFERROR(__xludf.DUMMYFUNCTION("""COMPUTED_VALUE"""),"Hyperion Amp Shield")</f>
        <v>Hyperion Amp Shield</v>
      </c>
      <c r="H698" s="102"/>
      <c r="I698" s="102"/>
      <c r="J698" s="102"/>
      <c r="K698" s="102"/>
      <c r="L698" s="102"/>
    </row>
    <row r="699">
      <c r="A699" s="102" t="str">
        <f>IFERROR(__xludf.DUMMYFUNCTION("""COMPUTED_VALUE"""),"Maliwan")</f>
        <v>Maliwan</v>
      </c>
      <c r="B699" s="102" t="str">
        <f>IFERROR(__xludf.DUMMYFUNCTION("""COMPUTED_VALUE"""),"SMG")</f>
        <v>SMG</v>
      </c>
      <c r="C699" s="103">
        <f>IFERROR(__xludf.DUMMYFUNCTION("""COMPUTED_VALUE"""),13.0)</f>
        <v>13</v>
      </c>
      <c r="D699" s="102" t="str">
        <f>IFERROR(__xludf.DUMMYFUNCTION("""COMPUTED_VALUE"""),"Magazine")</f>
        <v>Magazine</v>
      </c>
      <c r="E699" s="102" t="str">
        <f>IFERROR(__xludf.DUMMYFUNCTION("""COMPUTED_VALUE"""),"MAL_SM.part_mag_01")</f>
        <v>MAL_SM.part_mag_01</v>
      </c>
      <c r="F699" s="102"/>
      <c r="G699" s="102" t="str">
        <f>IFERROR(__xludf.DUMMYFUNCTION("""COMPUTED_VALUE"""),"2.2s Reload, 28 Shots")</f>
        <v>2.2s Reload, 28 Shots</v>
      </c>
      <c r="H699" s="102"/>
      <c r="I699" s="102"/>
      <c r="J699" s="102"/>
      <c r="K699" s="102"/>
      <c r="L699" s="102"/>
    </row>
    <row r="700">
      <c r="A700" s="102" t="str">
        <f>IFERROR(__xludf.DUMMYFUNCTION("""COMPUTED_VALUE"""),"Maliwan")</f>
        <v>Maliwan</v>
      </c>
      <c r="B700" s="102" t="str">
        <f>IFERROR(__xludf.DUMMYFUNCTION("""COMPUTED_VALUE"""),"SMG")</f>
        <v>SMG</v>
      </c>
      <c r="C700" s="103">
        <f>IFERROR(__xludf.DUMMYFUNCTION("""COMPUTED_VALUE"""),14.0)</f>
        <v>14</v>
      </c>
      <c r="D700" s="102" t="str">
        <f>IFERROR(__xludf.DUMMYFUNCTION("""COMPUTED_VALUE"""),"Magazine")</f>
        <v>Magazine</v>
      </c>
      <c r="E700" s="102" t="str">
        <f>IFERROR(__xludf.DUMMYFUNCTION("""COMPUTED_VALUE"""),"MAL_SM.part_mag_02")</f>
        <v>MAL_SM.part_mag_02</v>
      </c>
      <c r="F700" s="102"/>
      <c r="G700" s="102" t="str">
        <f>IFERROR(__xludf.DUMMYFUNCTION("""COMPUTED_VALUE"""),"2.7s Reload, -Damage, 36 Shots")</f>
        <v>2.7s Reload, -Damage, 36 Shots</v>
      </c>
      <c r="H700" s="102"/>
      <c r="I700" s="102"/>
      <c r="J700" s="102"/>
      <c r="K700" s="102"/>
      <c r="L700" s="102"/>
    </row>
    <row r="701">
      <c r="A701" s="102" t="str">
        <f>IFERROR(__xludf.DUMMYFUNCTION("""COMPUTED_VALUE"""),"Maliwan")</f>
        <v>Maliwan</v>
      </c>
      <c r="B701" s="102" t="str">
        <f>IFERROR(__xludf.DUMMYFUNCTION("""COMPUTED_VALUE"""),"SMG")</f>
        <v>SMG</v>
      </c>
      <c r="C701" s="103">
        <f>IFERROR(__xludf.DUMMYFUNCTION("""COMPUTED_VALUE"""),15.0)</f>
        <v>15</v>
      </c>
      <c r="D701" s="102" t="str">
        <f>IFERROR(__xludf.DUMMYFUNCTION("""COMPUTED_VALUE"""),"Magazine")</f>
        <v>Magazine</v>
      </c>
      <c r="E701" s="102" t="str">
        <f>IFERROR(__xludf.DUMMYFUNCTION("""COMPUTED_VALUE"""),"MAL_SM.part_mag_03_tor")</f>
        <v>MAL_SM.part_mag_03_tor</v>
      </c>
      <c r="F701" s="102"/>
      <c r="G701" s="102" t="str">
        <f>IFERROR(__xludf.DUMMYFUNCTION("""COMPUTED_VALUE"""),"2.4s Reload, +Damage, -Fire Rate, 24 Shots, Torgue")</f>
        <v>2.4s Reload, +Damage, -Fire Rate, 24 Shots, Torgue</v>
      </c>
      <c r="H701" s="102"/>
      <c r="I701" s="102"/>
      <c r="J701" s="102"/>
      <c r="K701" s="102"/>
      <c r="L701" s="102"/>
    </row>
    <row r="702">
      <c r="A702" s="102" t="str">
        <f>IFERROR(__xludf.DUMMYFUNCTION("""COMPUTED_VALUE"""),"Maliwan")</f>
        <v>Maliwan</v>
      </c>
      <c r="B702" s="102" t="str">
        <f>IFERROR(__xludf.DUMMYFUNCTION("""COMPUTED_VALUE"""),"SMG")</f>
        <v>SMG</v>
      </c>
      <c r="C702" s="103">
        <f>IFERROR(__xludf.DUMMYFUNCTION("""COMPUTED_VALUE"""),16.0)</f>
        <v>16</v>
      </c>
      <c r="D702" s="102" t="str">
        <f>IFERROR(__xludf.DUMMYFUNCTION("""COMPUTED_VALUE"""),"Magazine")</f>
        <v>Magazine</v>
      </c>
      <c r="E702" s="102" t="str">
        <f>IFERROR(__xludf.DUMMYFUNCTION("""COMPUTED_VALUE"""),"MAL_SM.part_mag_04_cov")</f>
        <v>MAL_SM.part_mag_04_cov</v>
      </c>
      <c r="F702" s="102"/>
      <c r="G702" s="102" t="str">
        <f>IFERROR(__xludf.DUMMYFUNCTION("""COMPUTED_VALUE"""),"3.4s Reload, +Damage, -Acc, 37 Shots, CoV Mag")</f>
        <v>3.4s Reload, +Damage, -Acc, 37 Shots, CoV Mag</v>
      </c>
      <c r="H702" s="102"/>
      <c r="I702" s="102"/>
      <c r="J702" s="102"/>
      <c r="K702" s="102"/>
      <c r="L702" s="102"/>
    </row>
    <row r="703">
      <c r="A703" s="102" t="str">
        <f>IFERROR(__xludf.DUMMYFUNCTION("""COMPUTED_VALUE"""),"Maliwan")</f>
        <v>Maliwan</v>
      </c>
      <c r="B703" s="102" t="str">
        <f>IFERROR(__xludf.DUMMYFUNCTION("""COMPUTED_VALUE"""),"SMG")</f>
        <v>SMG</v>
      </c>
      <c r="C703" s="103">
        <f>IFERROR(__xludf.DUMMYFUNCTION("""COMPUTED_VALUE"""),17.0)</f>
        <v>17</v>
      </c>
      <c r="D703" s="102" t="str">
        <f>IFERROR(__xludf.DUMMYFUNCTION("""COMPUTED_VALUE"""),"Magazine")</f>
        <v>Magazine</v>
      </c>
      <c r="E703" s="102" t="str">
        <f>IFERROR(__xludf.DUMMYFUNCTION("""COMPUTED_VALUE"""),"MAL_SM.part_mag_05_borg")</f>
        <v>MAL_SM.part_mag_05_borg</v>
      </c>
      <c r="F703" s="102"/>
      <c r="G703" s="102" t="str">
        <f>IFERROR(__xludf.DUMMYFUNCTION("""COMPUTED_VALUE"""),"2.0s Reload, -Damage, -Acc, +Fire Rate, 40 Shots, Ripper Mag")</f>
        <v>2.0s Reload, -Damage, -Acc, +Fire Rate, 40 Shots, Ripper Mag</v>
      </c>
      <c r="H703" s="102"/>
      <c r="I703" s="102"/>
      <c r="J703" s="102"/>
      <c r="K703" s="102"/>
      <c r="L703" s="102"/>
    </row>
    <row r="704">
      <c r="A704" s="102" t="str">
        <f>IFERROR(__xludf.DUMMYFUNCTION("""COMPUTED_VALUE"""),"Maliwan")</f>
        <v>Maliwan</v>
      </c>
      <c r="B704" s="102" t="str">
        <f>IFERROR(__xludf.DUMMYFUNCTION("""COMPUTED_VALUE"""),"SMG")</f>
        <v>SMG</v>
      </c>
      <c r="C704" s="103">
        <f>IFERROR(__xludf.DUMMYFUNCTION("""COMPUTED_VALUE"""),18.0)</f>
        <v>18</v>
      </c>
      <c r="D704" s="102" t="str">
        <f>IFERROR(__xludf.DUMMYFUNCTION("""COMPUTED_VALUE"""),"Manufacturer Part")</f>
        <v>Manufacturer Part</v>
      </c>
      <c r="E704" s="102" t="str">
        <f>IFERROR(__xludf.DUMMYFUNCTION("""COMPUTED_VALUE"""),"MAL_SM.part_mag_torgue_normal")</f>
        <v>MAL_SM.part_mag_torgue_normal</v>
      </c>
      <c r="F704" s="102"/>
      <c r="G704" s="102" t="str">
        <f>IFERROR(__xludf.DUMMYFUNCTION("""COMPUTED_VALUE"""),"Torgue Impact Gyrojets")</f>
        <v>Torgue Impact Gyrojets</v>
      </c>
      <c r="H704" s="102"/>
      <c r="I704" s="102"/>
      <c r="J704" s="102"/>
      <c r="K704" s="102"/>
      <c r="L704" s="102"/>
    </row>
    <row r="705">
      <c r="A705" s="102" t="str">
        <f>IFERROR(__xludf.DUMMYFUNCTION("""COMPUTED_VALUE"""),"Maliwan")</f>
        <v>Maliwan</v>
      </c>
      <c r="B705" s="102" t="str">
        <f>IFERROR(__xludf.DUMMYFUNCTION("""COMPUTED_VALUE"""),"SMG")</f>
        <v>SMG</v>
      </c>
      <c r="C705" s="103">
        <f>IFERROR(__xludf.DUMMYFUNCTION("""COMPUTED_VALUE"""),19.0)</f>
        <v>19</v>
      </c>
      <c r="D705" s="102" t="str">
        <f>IFERROR(__xludf.DUMMYFUNCTION("""COMPUTED_VALUE"""),"Manufacturer Part")</f>
        <v>Manufacturer Part</v>
      </c>
      <c r="E705" s="102" t="str">
        <f>IFERROR(__xludf.DUMMYFUNCTION("""COMPUTED_VALUE"""),"MAL_SM.part_mag_torgue_sticky")</f>
        <v>MAL_SM.part_mag_torgue_sticky</v>
      </c>
      <c r="F705" s="102"/>
      <c r="G705" s="102" t="str">
        <f>IFERROR(__xludf.DUMMYFUNCTION("""COMPUTED_VALUE"""),"Torgue Sticky Gyrojets")</f>
        <v>Torgue Sticky Gyrojets</v>
      </c>
      <c r="H705" s="102"/>
      <c r="I705" s="102"/>
      <c r="J705" s="102"/>
      <c r="K705" s="102"/>
      <c r="L705" s="102"/>
    </row>
    <row r="706">
      <c r="A706" s="102" t="str">
        <f>IFERROR(__xludf.DUMMYFUNCTION("""COMPUTED_VALUE"""),"Maliwan")</f>
        <v>Maliwan</v>
      </c>
      <c r="B706" s="102" t="str">
        <f>IFERROR(__xludf.DUMMYFUNCTION("""COMPUTED_VALUE"""),"SMG")</f>
        <v>SMG</v>
      </c>
      <c r="C706" s="103">
        <f>IFERROR(__xludf.DUMMYFUNCTION("""COMPUTED_VALUE"""),20.0)</f>
        <v>20</v>
      </c>
      <c r="D706" s="102" t="str">
        <f>IFERROR(__xludf.DUMMYFUNCTION("""COMPUTED_VALUE"""),"Stat Modifier")</f>
        <v>Stat Modifier</v>
      </c>
      <c r="E706" s="102" t="str">
        <f>IFERROR(__xludf.DUMMYFUNCTION("""COMPUTED_VALUE"""),"MAL_SM.part_mag_ted_thrown_01")</f>
        <v>MAL_SM.part_mag_ted_thrown_01</v>
      </c>
      <c r="F706" s="102"/>
      <c r="G706" s="102" t="str">
        <f>IFERROR(__xludf.DUMMYFUNCTION("""COMPUTED_VALUE"""),"2.0s Reload")</f>
        <v>2.0s Reload</v>
      </c>
      <c r="H706" s="102"/>
      <c r="I706" s="102"/>
      <c r="J706" s="102"/>
      <c r="K706" s="102"/>
      <c r="L706" s="102"/>
    </row>
    <row r="707">
      <c r="A707" s="102" t="str">
        <f>IFERROR(__xludf.DUMMYFUNCTION("""COMPUTED_VALUE"""),"Maliwan")</f>
        <v>Maliwan</v>
      </c>
      <c r="B707" s="102" t="str">
        <f>IFERROR(__xludf.DUMMYFUNCTION("""COMPUTED_VALUE"""),"SMG")</f>
        <v>SMG</v>
      </c>
      <c r="C707" s="103">
        <f>IFERROR(__xludf.DUMMYFUNCTION("""COMPUTED_VALUE"""),21.0)</f>
        <v>21</v>
      </c>
      <c r="D707" s="102" t="str">
        <f>IFERROR(__xludf.DUMMYFUNCTION("""COMPUTED_VALUE"""),"Stat Modifier")</f>
        <v>Stat Modifier</v>
      </c>
      <c r="E707" s="102" t="str">
        <f>IFERROR(__xludf.DUMMYFUNCTION("""COMPUTED_VALUE"""),"MAL_SM.part_mag_ted_thrown_02")</f>
        <v>MAL_SM.part_mag_ted_thrown_02</v>
      </c>
      <c r="F707" s="102"/>
      <c r="G707" s="102" t="str">
        <f>IFERROR(__xludf.DUMMYFUNCTION("""COMPUTED_VALUE"""),"2.0s Reload")</f>
        <v>2.0s Reload</v>
      </c>
      <c r="H707" s="102"/>
      <c r="I707" s="102"/>
      <c r="J707" s="102"/>
      <c r="K707" s="102"/>
      <c r="L707" s="102"/>
    </row>
    <row r="708">
      <c r="A708" s="102" t="str">
        <f>IFERROR(__xludf.DUMMYFUNCTION("""COMPUTED_VALUE"""),"Maliwan")</f>
        <v>Maliwan</v>
      </c>
      <c r="B708" s="102" t="str">
        <f>IFERROR(__xludf.DUMMYFUNCTION("""COMPUTED_VALUE"""),"SMG")</f>
        <v>SMG</v>
      </c>
      <c r="C708" s="103">
        <f>IFERROR(__xludf.DUMMYFUNCTION("""COMPUTED_VALUE"""),22.0)</f>
        <v>22</v>
      </c>
      <c r="D708" s="102" t="str">
        <f>IFERROR(__xludf.DUMMYFUNCTION("""COMPUTED_VALUE"""),"Stat Modifier")</f>
        <v>Stat Modifier</v>
      </c>
      <c r="E708" s="102" t="str">
        <f>IFERROR(__xludf.DUMMYFUNCTION("""COMPUTED_VALUE"""),"MAL_SM.part_mag_ted_thrown_03_tor")</f>
        <v>MAL_SM.part_mag_ted_thrown_03_tor</v>
      </c>
      <c r="F708" s="102"/>
      <c r="G708" s="102" t="str">
        <f>IFERROR(__xludf.DUMMYFUNCTION("""COMPUTED_VALUE"""),"2.0s Reload")</f>
        <v>2.0s Reload</v>
      </c>
      <c r="H708" s="102"/>
      <c r="I708" s="102"/>
      <c r="J708" s="102"/>
      <c r="K708" s="102"/>
      <c r="L708" s="102"/>
    </row>
    <row r="709">
      <c r="A709" s="102" t="str">
        <f>IFERROR(__xludf.DUMMYFUNCTION("""COMPUTED_VALUE"""),"Maliwan")</f>
        <v>Maliwan</v>
      </c>
      <c r="B709" s="102" t="str">
        <f>IFERROR(__xludf.DUMMYFUNCTION("""COMPUTED_VALUE"""),"SMG")</f>
        <v>SMG</v>
      </c>
      <c r="C709" s="103">
        <f>IFERROR(__xludf.DUMMYFUNCTION("""COMPUTED_VALUE"""),23.0)</f>
        <v>23</v>
      </c>
      <c r="D709" s="102" t="str">
        <f>IFERROR(__xludf.DUMMYFUNCTION("""COMPUTED_VALUE"""),"Stat Modifier")</f>
        <v>Stat Modifier</v>
      </c>
      <c r="E709" s="102" t="str">
        <f>IFERROR(__xludf.DUMMYFUNCTION("""COMPUTED_VALUE"""),"MAL_SM.part_mag_ted_thrown_04_cov")</f>
        <v>MAL_SM.part_mag_ted_thrown_04_cov</v>
      </c>
      <c r="F709" s="102"/>
      <c r="G709" s="102" t="str">
        <f>IFERROR(__xludf.DUMMYFUNCTION("""COMPUTED_VALUE"""),"3.0s Reload")</f>
        <v>3.0s Reload</v>
      </c>
      <c r="H709" s="102"/>
      <c r="I709" s="102"/>
      <c r="J709" s="102"/>
      <c r="K709" s="102"/>
      <c r="L709" s="102"/>
    </row>
    <row r="710">
      <c r="A710" s="102" t="str">
        <f>IFERROR(__xludf.DUMMYFUNCTION("""COMPUTED_VALUE"""),"Maliwan")</f>
        <v>Maliwan</v>
      </c>
      <c r="B710" s="102" t="str">
        <f>IFERROR(__xludf.DUMMYFUNCTION("""COMPUTED_VALUE"""),"SMG")</f>
        <v>SMG</v>
      </c>
      <c r="C710" s="103">
        <f>IFERROR(__xludf.DUMMYFUNCTION("""COMPUTED_VALUE"""),24.0)</f>
        <v>24</v>
      </c>
      <c r="D710" s="102" t="str">
        <f>IFERROR(__xludf.DUMMYFUNCTION("""COMPUTED_VALUE"""),"Stat Modifier")</f>
        <v>Stat Modifier</v>
      </c>
      <c r="E710" s="102" t="str">
        <f>IFERROR(__xludf.DUMMYFUNCTION("""COMPUTED_VALUE"""),"MAL_SM.part_mag_ted_thrown_05_bor")</f>
        <v>MAL_SM.part_mag_ted_thrown_05_bor</v>
      </c>
      <c r="F710" s="102"/>
      <c r="G710" s="102" t="str">
        <f>IFERROR(__xludf.DUMMYFUNCTION("""COMPUTED_VALUE"""),"3.0s Reload")</f>
        <v>3.0s Reload</v>
      </c>
      <c r="H710" s="102"/>
      <c r="I710" s="102"/>
      <c r="J710" s="102"/>
      <c r="K710" s="102"/>
      <c r="L710" s="102"/>
    </row>
    <row r="711">
      <c r="A711" s="102" t="str">
        <f>IFERROR(__xludf.DUMMYFUNCTION("""COMPUTED_VALUE"""),"Maliwan")</f>
        <v>Maliwan</v>
      </c>
      <c r="B711" s="102" t="str">
        <f>IFERROR(__xludf.DUMMYFUNCTION("""COMPUTED_VALUE"""),"SMG")</f>
        <v>SMG</v>
      </c>
      <c r="C711" s="103">
        <f>IFERROR(__xludf.DUMMYFUNCTION("""COMPUTED_VALUE"""),25.0)</f>
        <v>25</v>
      </c>
      <c r="D711" s="102" t="str">
        <f>IFERROR(__xludf.DUMMYFUNCTION("""COMPUTED_VALUE"""),"Scope")</f>
        <v>Scope</v>
      </c>
      <c r="E711" s="102" t="str">
        <f>IFERROR(__xludf.DUMMYFUNCTION("""COMPUTED_VALUE"""),"MAL_SM.part_scope_ironsight")</f>
        <v>MAL_SM.part_scope_ironsight</v>
      </c>
      <c r="F711" s="102"/>
      <c r="G711" s="102" t="str">
        <f>IFERROR(__xludf.DUMMYFUNCTION("""COMPUTED_VALUE"""),"ADS")</f>
        <v>ADS</v>
      </c>
      <c r="H711" s="102"/>
      <c r="I711" s="102"/>
      <c r="J711" s="102"/>
      <c r="K711" s="102"/>
      <c r="L711" s="102"/>
    </row>
    <row r="712">
      <c r="A712" s="102" t="str">
        <f>IFERROR(__xludf.DUMMYFUNCTION("""COMPUTED_VALUE"""),"Maliwan")</f>
        <v>Maliwan</v>
      </c>
      <c r="B712" s="102" t="str">
        <f>IFERROR(__xludf.DUMMYFUNCTION("""COMPUTED_VALUE"""),"SMG")</f>
        <v>SMG</v>
      </c>
      <c r="C712" s="103">
        <f>IFERROR(__xludf.DUMMYFUNCTION("""COMPUTED_VALUE"""),26.0)</f>
        <v>26</v>
      </c>
      <c r="D712" s="102" t="str">
        <f>IFERROR(__xludf.DUMMYFUNCTION("""COMPUTED_VALUE"""),"Scope")</f>
        <v>Scope</v>
      </c>
      <c r="E712" s="102" t="str">
        <f>IFERROR(__xludf.DUMMYFUNCTION("""COMPUTED_VALUE"""),"MAL_SM.part_scope_01_lens_01")</f>
        <v>MAL_SM.part_scope_01_lens_01</v>
      </c>
      <c r="F712" s="102"/>
      <c r="G712" s="102" t="str">
        <f>IFERROR(__xludf.DUMMYFUNCTION("""COMPUTED_VALUE"""),"ADS +Zoom")</f>
        <v>ADS +Zoom</v>
      </c>
      <c r="H712" s="102"/>
      <c r="I712" s="102"/>
      <c r="J712" s="102"/>
      <c r="K712" s="102"/>
      <c r="L712" s="102"/>
    </row>
    <row r="713">
      <c r="A713" s="102" t="str">
        <f>IFERROR(__xludf.DUMMYFUNCTION("""COMPUTED_VALUE"""),"Maliwan")</f>
        <v>Maliwan</v>
      </c>
      <c r="B713" s="102" t="str">
        <f>IFERROR(__xludf.DUMMYFUNCTION("""COMPUTED_VALUE"""),"SMG")</f>
        <v>SMG</v>
      </c>
      <c r="C713" s="103">
        <f>IFERROR(__xludf.DUMMYFUNCTION("""COMPUTED_VALUE"""),27.0)</f>
        <v>27</v>
      </c>
      <c r="D713" s="102" t="str">
        <f>IFERROR(__xludf.DUMMYFUNCTION("""COMPUTED_VALUE"""),"Scope")</f>
        <v>Scope</v>
      </c>
      <c r="E713" s="102" t="str">
        <f>IFERROR(__xludf.DUMMYFUNCTION("""COMPUTED_VALUE"""),"MAL_SM.part_scope_01_lens_02")</f>
        <v>MAL_SM.part_scope_01_lens_02</v>
      </c>
      <c r="F713" s="102"/>
      <c r="G713" s="102" t="str">
        <f>IFERROR(__xludf.DUMMYFUNCTION("""COMPUTED_VALUE"""),"ADS +Zoom")</f>
        <v>ADS +Zoom</v>
      </c>
      <c r="H713" s="102"/>
      <c r="I713" s="102"/>
      <c r="J713" s="102"/>
      <c r="K713" s="102"/>
      <c r="L713" s="102"/>
    </row>
    <row r="714">
      <c r="A714" s="102" t="str">
        <f>IFERROR(__xludf.DUMMYFUNCTION("""COMPUTED_VALUE"""),"Maliwan")</f>
        <v>Maliwan</v>
      </c>
      <c r="B714" s="102" t="str">
        <f>IFERROR(__xludf.DUMMYFUNCTION("""COMPUTED_VALUE"""),"SMG")</f>
        <v>SMG</v>
      </c>
      <c r="C714" s="103">
        <f>IFERROR(__xludf.DUMMYFUNCTION("""COMPUTED_VALUE"""),28.0)</f>
        <v>28</v>
      </c>
      <c r="D714" s="102" t="str">
        <f>IFERROR(__xludf.DUMMYFUNCTION("""COMPUTED_VALUE"""),"Scope")</f>
        <v>Scope</v>
      </c>
      <c r="E714" s="102" t="str">
        <f>IFERROR(__xludf.DUMMYFUNCTION("""COMPUTED_VALUE"""),"MAL_SM.part_scope_02_lens_01")</f>
        <v>MAL_SM.part_scope_02_lens_01</v>
      </c>
      <c r="F714" s="102"/>
      <c r="G714" s="102" t="str">
        <f>IFERROR(__xludf.DUMMYFUNCTION("""COMPUTED_VALUE"""),"ADS ++Zoom")</f>
        <v>ADS ++Zoom</v>
      </c>
      <c r="H714" s="102"/>
      <c r="I714" s="102"/>
      <c r="J714" s="102"/>
      <c r="K714" s="102"/>
      <c r="L714" s="102"/>
    </row>
    <row r="715">
      <c r="A715" s="102" t="str">
        <f>IFERROR(__xludf.DUMMYFUNCTION("""COMPUTED_VALUE"""),"Maliwan")</f>
        <v>Maliwan</v>
      </c>
      <c r="B715" s="102" t="str">
        <f>IFERROR(__xludf.DUMMYFUNCTION("""COMPUTED_VALUE"""),"SMG")</f>
        <v>SMG</v>
      </c>
      <c r="C715" s="103">
        <f>IFERROR(__xludf.DUMMYFUNCTION("""COMPUTED_VALUE"""),29.0)</f>
        <v>29</v>
      </c>
      <c r="D715" s="102" t="str">
        <f>IFERROR(__xludf.DUMMYFUNCTION("""COMPUTED_VALUE"""),"Scope")</f>
        <v>Scope</v>
      </c>
      <c r="E715" s="102" t="str">
        <f>IFERROR(__xludf.DUMMYFUNCTION("""COMPUTED_VALUE"""),"MAL_SM.part_scope_02_lens_02")</f>
        <v>MAL_SM.part_scope_02_lens_02</v>
      </c>
      <c r="F715" s="102"/>
      <c r="G715" s="102" t="str">
        <f>IFERROR(__xludf.DUMMYFUNCTION("""COMPUTED_VALUE"""),"ADS ++Zoom")</f>
        <v>ADS ++Zoom</v>
      </c>
      <c r="H715" s="102"/>
      <c r="I715" s="102"/>
      <c r="J715" s="102"/>
      <c r="K715" s="102"/>
      <c r="L715" s="102"/>
    </row>
    <row r="716">
      <c r="A716" s="102" t="str">
        <f>IFERROR(__xludf.DUMMYFUNCTION("""COMPUTED_VALUE"""),"Maliwan")</f>
        <v>Maliwan</v>
      </c>
      <c r="B716" s="102" t="str">
        <f>IFERROR(__xludf.DUMMYFUNCTION("""COMPUTED_VALUE"""),"SMG")</f>
        <v>SMG</v>
      </c>
      <c r="C716" s="103">
        <f>IFERROR(__xludf.DUMMYFUNCTION("""COMPUTED_VALUE"""),30.0)</f>
        <v>30</v>
      </c>
      <c r="D716" s="102" t="str">
        <f>IFERROR(__xludf.DUMMYFUNCTION("""COMPUTED_VALUE"""),"Scope Accessory")</f>
        <v>Scope Accessory</v>
      </c>
      <c r="E716" s="102" t="str">
        <f>IFERROR(__xludf.DUMMYFUNCTION("""COMPUTED_VALUE"""),"MAL_SM.part_scope_acc_S01_L01_a")</f>
        <v>MAL_SM.part_scope_acc_S01_L01_a</v>
      </c>
      <c r="F716" s="102"/>
      <c r="G716" s="102" t="str">
        <f>IFERROR(__xludf.DUMMYFUNCTION("""COMPUTED_VALUE"""),"+Damage")</f>
        <v>+Damage</v>
      </c>
      <c r="H716" s="102" t="str">
        <f>IFERROR(__xludf.DUMMYFUNCTION("""COMPUTED_VALUE"""),"Mag Counter, Compass")</f>
        <v>Mag Counter, Compass</v>
      </c>
      <c r="I716" s="102"/>
      <c r="J716" s="102"/>
      <c r="K716" s="102"/>
      <c r="L716" s="102"/>
    </row>
    <row r="717">
      <c r="A717" s="102" t="str">
        <f>IFERROR(__xludf.DUMMYFUNCTION("""COMPUTED_VALUE"""),"Maliwan")</f>
        <v>Maliwan</v>
      </c>
      <c r="B717" s="102" t="str">
        <f>IFERROR(__xludf.DUMMYFUNCTION("""COMPUTED_VALUE"""),"SMG")</f>
        <v>SMG</v>
      </c>
      <c r="C717" s="103">
        <f>IFERROR(__xludf.DUMMYFUNCTION("""COMPUTED_VALUE"""),31.0)</f>
        <v>31</v>
      </c>
      <c r="D717" s="102" t="str">
        <f>IFERROR(__xludf.DUMMYFUNCTION("""COMPUTED_VALUE"""),"Scope Accessory")</f>
        <v>Scope Accessory</v>
      </c>
      <c r="E717" s="102" t="str">
        <f>IFERROR(__xludf.DUMMYFUNCTION("""COMPUTED_VALUE"""),"MAL_SM.part_scope_acc_S01_L01_b")</f>
        <v>MAL_SM.part_scope_acc_S01_L01_b</v>
      </c>
      <c r="F717" s="102"/>
      <c r="G717" s="102" t="str">
        <f>IFERROR(__xludf.DUMMYFUNCTION("""COMPUTED_VALUE"""),"-Reload Speed")</f>
        <v>-Reload Speed</v>
      </c>
      <c r="H717" s="102" t="str">
        <f>IFERROR(__xludf.DUMMYFUNCTION("""COMPUTED_VALUE"""),"Antenna")</f>
        <v>Antenna</v>
      </c>
      <c r="I717" s="102"/>
      <c r="J717" s="102"/>
      <c r="K717" s="102"/>
      <c r="L717" s="102"/>
    </row>
    <row r="718">
      <c r="A718" s="102" t="str">
        <f>IFERROR(__xludf.DUMMYFUNCTION("""COMPUTED_VALUE"""),"Maliwan")</f>
        <v>Maliwan</v>
      </c>
      <c r="B718" s="102" t="str">
        <f>IFERROR(__xludf.DUMMYFUNCTION("""COMPUTED_VALUE"""),"SMG")</f>
        <v>SMG</v>
      </c>
      <c r="C718" s="103">
        <f>IFERROR(__xludf.DUMMYFUNCTION("""COMPUTED_VALUE"""),32.0)</f>
        <v>32</v>
      </c>
      <c r="D718" s="102" t="str">
        <f>IFERROR(__xludf.DUMMYFUNCTION("""COMPUTED_VALUE"""),"Scope Accessory")</f>
        <v>Scope Accessory</v>
      </c>
      <c r="E718" s="102" t="str">
        <f>IFERROR(__xludf.DUMMYFUNCTION("""COMPUTED_VALUE"""),"MAL_SM.part_scope_acc_S02_L01_a")</f>
        <v>MAL_SM.part_scope_acc_S02_L01_a</v>
      </c>
      <c r="F718" s="102"/>
      <c r="G718" s="102" t="str">
        <f>IFERROR(__xludf.DUMMYFUNCTION("""COMPUTED_VALUE"""),"No Stat Changes")</f>
        <v>No Stat Changes</v>
      </c>
      <c r="H718" s="102" t="str">
        <f>IFERROR(__xludf.DUMMYFUNCTION("""COMPUTED_VALUE"""),"HUD Elements")</f>
        <v>HUD Elements</v>
      </c>
      <c r="I718" s="102"/>
      <c r="J718" s="102"/>
      <c r="K718" s="102"/>
      <c r="L718" s="102"/>
    </row>
    <row r="719">
      <c r="A719" s="102" t="str">
        <f>IFERROR(__xludf.DUMMYFUNCTION("""COMPUTED_VALUE"""),"Maliwan")</f>
        <v>Maliwan</v>
      </c>
      <c r="B719" s="102" t="str">
        <f>IFERROR(__xludf.DUMMYFUNCTION("""COMPUTED_VALUE"""),"SMG")</f>
        <v>SMG</v>
      </c>
      <c r="C719" s="103">
        <f>IFERROR(__xludf.DUMMYFUNCTION("""COMPUTED_VALUE"""),33.0)</f>
        <v>33</v>
      </c>
      <c r="D719" s="102" t="str">
        <f>IFERROR(__xludf.DUMMYFUNCTION("""COMPUTED_VALUE"""),"Scope Accessory")</f>
        <v>Scope Accessory</v>
      </c>
      <c r="E719" s="102" t="str">
        <f>IFERROR(__xludf.DUMMYFUNCTION("""COMPUTED_VALUE"""),"MAL_SM.part_scope_acc_S02_L01_b")</f>
        <v>MAL_SM.part_scope_acc_S02_L01_b</v>
      </c>
      <c r="F719" s="102"/>
      <c r="G719" s="102" t="str">
        <f>IFERROR(__xludf.DUMMYFUNCTION("""COMPUTED_VALUE"""),"No Stat Changes")</f>
        <v>No Stat Changes</v>
      </c>
      <c r="H719" s="102" t="str">
        <f>IFERROR(__xludf.DUMMYFUNCTION("""COMPUTED_VALUE"""),"Antenna")</f>
        <v>Antenna</v>
      </c>
      <c r="I719" s="102"/>
      <c r="J719" s="102"/>
      <c r="K719" s="102"/>
      <c r="L719" s="102"/>
    </row>
    <row r="720">
      <c r="A720" s="102" t="str">
        <f>IFERROR(__xludf.DUMMYFUNCTION("""COMPUTED_VALUE"""),"Maliwan")</f>
        <v>Maliwan</v>
      </c>
      <c r="B720" s="102" t="str">
        <f>IFERROR(__xludf.DUMMYFUNCTION("""COMPUTED_VALUE"""),"SMG")</f>
        <v>SMG</v>
      </c>
      <c r="C720" s="103">
        <f>IFERROR(__xludf.DUMMYFUNCTION("""COMPUTED_VALUE"""),34.0)</f>
        <v>34</v>
      </c>
      <c r="D720" s="102" t="str">
        <f>IFERROR(__xludf.DUMMYFUNCTION("""COMPUTED_VALUE"""),"Scope Accessory")</f>
        <v>Scope Accessory</v>
      </c>
      <c r="E720" s="102" t="str">
        <f>IFERROR(__xludf.DUMMYFUNCTION("""COMPUTED_VALUE"""),"MAL_SM.part_scope_acc_S01_L02_a")</f>
        <v>MAL_SM.part_scope_acc_S01_L02_a</v>
      </c>
      <c r="F720" s="102"/>
      <c r="G720" s="102" t="str">
        <f>IFERROR(__xludf.DUMMYFUNCTION("""COMPUTED_VALUE"""),"+Damage")</f>
        <v>+Damage</v>
      </c>
      <c r="H720" s="102" t="str">
        <f>IFERROR(__xludf.DUMMYFUNCTION("""COMPUTED_VALUE"""),"Mag/Ammo Counter")</f>
        <v>Mag/Ammo Counter</v>
      </c>
      <c r="I720" s="102"/>
      <c r="J720" s="102"/>
      <c r="K720" s="102"/>
      <c r="L720" s="102"/>
    </row>
    <row r="721">
      <c r="A721" s="102" t="str">
        <f>IFERROR(__xludf.DUMMYFUNCTION("""COMPUTED_VALUE"""),"Maliwan")</f>
        <v>Maliwan</v>
      </c>
      <c r="B721" s="102" t="str">
        <f>IFERROR(__xludf.DUMMYFUNCTION("""COMPUTED_VALUE"""),"SMG")</f>
        <v>SMG</v>
      </c>
      <c r="C721" s="103">
        <f>IFERROR(__xludf.DUMMYFUNCTION("""COMPUTED_VALUE"""),35.0)</f>
        <v>35</v>
      </c>
      <c r="D721" s="102" t="str">
        <f>IFERROR(__xludf.DUMMYFUNCTION("""COMPUTED_VALUE"""),"Scope Accessory")</f>
        <v>Scope Accessory</v>
      </c>
      <c r="E721" s="102" t="str">
        <f>IFERROR(__xludf.DUMMYFUNCTION("""COMPUTED_VALUE"""),"MAL_SM.part_scope_acc_S01_L02_b")</f>
        <v>MAL_SM.part_scope_acc_S01_L02_b</v>
      </c>
      <c r="F721" s="102"/>
      <c r="G721" s="102" t="str">
        <f>IFERROR(__xludf.DUMMYFUNCTION("""COMPUTED_VALUE"""),"-Reload Speed")</f>
        <v>-Reload Speed</v>
      </c>
      <c r="H721" s="102" t="str">
        <f>IFERROR(__xludf.DUMMYFUNCTION("""COMPUTED_VALUE"""),"Antenna")</f>
        <v>Antenna</v>
      </c>
      <c r="I721" s="102"/>
      <c r="J721" s="102"/>
      <c r="K721" s="102"/>
      <c r="L721" s="102"/>
    </row>
    <row r="722">
      <c r="A722" s="102" t="str">
        <f>IFERROR(__xludf.DUMMYFUNCTION("""COMPUTED_VALUE"""),"Maliwan")</f>
        <v>Maliwan</v>
      </c>
      <c r="B722" s="102" t="str">
        <f>IFERROR(__xludf.DUMMYFUNCTION("""COMPUTED_VALUE"""),"SMG")</f>
        <v>SMG</v>
      </c>
      <c r="C722" s="103">
        <f>IFERROR(__xludf.DUMMYFUNCTION("""COMPUTED_VALUE"""),36.0)</f>
        <v>36</v>
      </c>
      <c r="D722" s="102" t="str">
        <f>IFERROR(__xludf.DUMMYFUNCTION("""COMPUTED_VALUE"""),"Scope Accessory")</f>
        <v>Scope Accessory</v>
      </c>
      <c r="E722" s="102" t="str">
        <f>IFERROR(__xludf.DUMMYFUNCTION("""COMPUTED_VALUE"""),"MAL_SM.part_scope_acc_S02_L02_a")</f>
        <v>MAL_SM.part_scope_acc_S02_L02_a</v>
      </c>
      <c r="F722" s="102"/>
      <c r="G722" s="102" t="str">
        <f>IFERROR(__xludf.DUMMYFUNCTION("""COMPUTED_VALUE"""),"No Stat Changes")</f>
        <v>No Stat Changes</v>
      </c>
      <c r="H722" s="102" t="str">
        <f>IFERROR(__xludf.DUMMYFUNCTION("""COMPUTED_VALUE"""),"Mag Counter, Compass")</f>
        <v>Mag Counter, Compass</v>
      </c>
      <c r="I722" s="102"/>
      <c r="J722" s="102"/>
      <c r="K722" s="102"/>
      <c r="L722" s="102"/>
    </row>
    <row r="723">
      <c r="A723" s="102" t="str">
        <f>IFERROR(__xludf.DUMMYFUNCTION("""COMPUTED_VALUE"""),"Maliwan")</f>
        <v>Maliwan</v>
      </c>
      <c r="B723" s="102" t="str">
        <f>IFERROR(__xludf.DUMMYFUNCTION("""COMPUTED_VALUE"""),"SMG")</f>
        <v>SMG</v>
      </c>
      <c r="C723" s="103">
        <f>IFERROR(__xludf.DUMMYFUNCTION("""COMPUTED_VALUE"""),37.0)</f>
        <v>37</v>
      </c>
      <c r="D723" s="102" t="str">
        <f>IFERROR(__xludf.DUMMYFUNCTION("""COMPUTED_VALUE"""),"Scope Accessory")</f>
        <v>Scope Accessory</v>
      </c>
      <c r="E723" s="102" t="str">
        <f>IFERROR(__xludf.DUMMYFUNCTION("""COMPUTED_VALUE"""),"MAL_SM.part_scope_acc_S02_L02_b")</f>
        <v>MAL_SM.part_scope_acc_S02_L02_b</v>
      </c>
      <c r="F723" s="102"/>
      <c r="G723" s="102" t="str">
        <f>IFERROR(__xludf.DUMMYFUNCTION("""COMPUTED_VALUE"""),"No Stat Changes")</f>
        <v>No Stat Changes</v>
      </c>
      <c r="H723" s="102" t="str">
        <f>IFERROR(__xludf.DUMMYFUNCTION("""COMPUTED_VALUE"""),"Antenna")</f>
        <v>Antenna</v>
      </c>
      <c r="I723" s="102"/>
      <c r="J723" s="102"/>
      <c r="K723" s="102"/>
      <c r="L723" s="102"/>
    </row>
    <row r="724">
      <c r="A724" s="102" t="str">
        <f>IFERROR(__xludf.DUMMYFUNCTION("""COMPUTED_VALUE"""),"Maliwan")</f>
        <v>Maliwan</v>
      </c>
      <c r="B724" s="102" t="str">
        <f>IFERROR(__xludf.DUMMYFUNCTION("""COMPUTED_VALUE"""),"SMG")</f>
        <v>SMG</v>
      </c>
      <c r="C724" s="103">
        <f>IFERROR(__xludf.DUMMYFUNCTION("""COMPUTED_VALUE"""),38.0)</f>
        <v>38</v>
      </c>
      <c r="D724" s="102" t="str">
        <f>IFERROR(__xludf.DUMMYFUNCTION("""COMPUTED_VALUE"""),"Grip")</f>
        <v>Grip</v>
      </c>
      <c r="E724" s="102" t="str">
        <f>IFERROR(__xludf.DUMMYFUNCTION("""COMPUTED_VALUE"""),"MAL_SM.part_grip_05c_ted_jav")</f>
        <v>MAL_SM.part_grip_05c_ted_jav</v>
      </c>
      <c r="F724" s="102"/>
      <c r="G724" s="102" t="str">
        <f>IFERROR(__xludf.DUMMYFUNCTION("""COMPUTED_VALUE"""),"Tediore reload modifier: Javelin, no stat changes")</f>
        <v>Tediore reload modifier: Javelin, no stat changes</v>
      </c>
      <c r="H724" s="102"/>
      <c r="I724" s="102"/>
      <c r="J724" s="102"/>
      <c r="K724" s="102"/>
      <c r="L724" s="102"/>
    </row>
    <row r="725">
      <c r="A725" s="102" t="str">
        <f>IFERROR(__xludf.DUMMYFUNCTION("""COMPUTED_VALUE"""),"Maliwan")</f>
        <v>Maliwan</v>
      </c>
      <c r="B725" s="102" t="str">
        <f>IFERROR(__xludf.DUMMYFUNCTION("""COMPUTED_VALUE"""),"SMG")</f>
        <v>SMG</v>
      </c>
      <c r="C725" s="103">
        <f>IFERROR(__xludf.DUMMYFUNCTION("""COMPUTED_VALUE"""),39.0)</f>
        <v>39</v>
      </c>
      <c r="D725" s="102" t="str">
        <f>IFERROR(__xludf.DUMMYFUNCTION("""COMPUTED_VALUE"""),"Grip")</f>
        <v>Grip</v>
      </c>
      <c r="E725" s="102" t="str">
        <f>IFERROR(__xludf.DUMMYFUNCTION("""COMPUTED_VALUE"""),"MAL_SM.part_grip_05b_ted_homing")</f>
        <v>MAL_SM.part_grip_05b_ted_homing</v>
      </c>
      <c r="F725" s="102"/>
      <c r="G725" s="102" t="str">
        <f>IFERROR(__xludf.DUMMYFUNCTION("""COMPUTED_VALUE"""),"Tediore reload modifier: Homing, no stat changes")</f>
        <v>Tediore reload modifier: Homing, no stat changes</v>
      </c>
      <c r="H725" s="102"/>
      <c r="I725" s="102"/>
      <c r="J725" s="102"/>
      <c r="K725" s="102"/>
      <c r="L725" s="102"/>
    </row>
    <row r="726">
      <c r="A726" s="102" t="str">
        <f>IFERROR(__xludf.DUMMYFUNCTION("""COMPUTED_VALUE"""),"Maliwan")</f>
        <v>Maliwan</v>
      </c>
      <c r="B726" s="102" t="str">
        <f>IFERROR(__xludf.DUMMYFUNCTION("""COMPUTED_VALUE"""),"SMG")</f>
        <v>SMG</v>
      </c>
      <c r="C726" s="103">
        <f>IFERROR(__xludf.DUMMYFUNCTION("""COMPUTED_VALUE"""),40.0)</f>
        <v>40</v>
      </c>
      <c r="D726" s="102" t="str">
        <f>IFERROR(__xludf.DUMMYFUNCTION("""COMPUTED_VALUE"""),"Grip")</f>
        <v>Grip</v>
      </c>
      <c r="E726" s="102" t="str">
        <f>IFERROR(__xludf.DUMMYFUNCTION("""COMPUTED_VALUE"""),"MAL_SM.part_grip_05a_ted_legs")</f>
        <v>MAL_SM.part_grip_05a_ted_legs</v>
      </c>
      <c r="F726" s="102"/>
      <c r="G726" s="102" t="str">
        <f>IFERROR(__xludf.DUMMYFUNCTION("""COMPUTED_VALUE"""),"Tediore reload modifier: Legs, no stat changes")</f>
        <v>Tediore reload modifier: Legs, no stat changes</v>
      </c>
      <c r="H726" s="102"/>
      <c r="I726" s="102"/>
      <c r="J726" s="102"/>
      <c r="K726" s="102"/>
      <c r="L726" s="102"/>
    </row>
    <row r="727">
      <c r="A727" s="102" t="str">
        <f>IFERROR(__xludf.DUMMYFUNCTION("""COMPUTED_VALUE"""),"Maliwan")</f>
        <v>Maliwan</v>
      </c>
      <c r="B727" s="102" t="str">
        <f>IFERROR(__xludf.DUMMYFUNCTION("""COMPUTED_VALUE"""),"SMG")</f>
        <v>SMG</v>
      </c>
      <c r="C727" s="103">
        <f>IFERROR(__xludf.DUMMYFUNCTION("""COMPUTED_VALUE"""),41.0)</f>
        <v>41</v>
      </c>
      <c r="D727" s="102" t="str">
        <f>IFERROR(__xludf.DUMMYFUNCTION("""COMPUTED_VALUE"""),"Grip")</f>
        <v>Grip</v>
      </c>
      <c r="E727" s="102" t="str">
        <f>IFERROR(__xludf.DUMMYFUNCTION("""COMPUTED_VALUE"""),"MAL_SM.part_grip_04_hyp")</f>
        <v>MAL_SM.part_grip_04_hyp</v>
      </c>
      <c r="F727" s="102"/>
      <c r="G727" s="102" t="str">
        <f>IFERROR(__xludf.DUMMYFUNCTION("""COMPUTED_VALUE"""),"Hyperion Grip, -Acc, Acc increases with continuous fire")</f>
        <v>Hyperion Grip, -Acc, Acc increases with continuous fire</v>
      </c>
      <c r="H727" s="102"/>
      <c r="I727" s="102"/>
      <c r="J727" s="102"/>
      <c r="K727" s="102"/>
      <c r="L727" s="102"/>
    </row>
    <row r="728">
      <c r="A728" s="102" t="str">
        <f>IFERROR(__xludf.DUMMYFUNCTION("""COMPUTED_VALUE"""),"Maliwan")</f>
        <v>Maliwan</v>
      </c>
      <c r="B728" s="102" t="str">
        <f>IFERROR(__xludf.DUMMYFUNCTION("""COMPUTED_VALUE"""),"SMG")</f>
        <v>SMG</v>
      </c>
      <c r="C728" s="103">
        <f>IFERROR(__xludf.DUMMYFUNCTION("""COMPUTED_VALUE"""),42.0)</f>
        <v>42</v>
      </c>
      <c r="D728" s="102" t="str">
        <f>IFERROR(__xludf.DUMMYFUNCTION("""COMPUTED_VALUE"""),"Grip")</f>
        <v>Grip</v>
      </c>
      <c r="E728" s="102" t="str">
        <f>IFERROR(__xludf.DUMMYFUNCTION("""COMPUTED_VALUE"""),"MAL_SM.part_grip_01")</f>
        <v>MAL_SM.part_grip_01</v>
      </c>
      <c r="F728" s="102"/>
      <c r="G728" s="102" t="str">
        <f>IFERROR(__xludf.DUMMYFUNCTION("""COMPUTED_VALUE"""),"+Damage")</f>
        <v>+Damage</v>
      </c>
      <c r="H728" s="102"/>
      <c r="I728" s="102"/>
      <c r="J728" s="102"/>
      <c r="K728" s="102"/>
      <c r="L728" s="102"/>
    </row>
    <row r="729">
      <c r="A729" s="102" t="str">
        <f>IFERROR(__xludf.DUMMYFUNCTION("""COMPUTED_VALUE"""),"Maliwan")</f>
        <v>Maliwan</v>
      </c>
      <c r="B729" s="102" t="str">
        <f>IFERROR(__xludf.DUMMYFUNCTION("""COMPUTED_VALUE"""),"SMG")</f>
        <v>SMG</v>
      </c>
      <c r="C729" s="103">
        <f>IFERROR(__xludf.DUMMYFUNCTION("""COMPUTED_VALUE"""),43.0)</f>
        <v>43</v>
      </c>
      <c r="D729" s="102" t="str">
        <f>IFERROR(__xludf.DUMMYFUNCTION("""COMPUTED_VALUE"""),"Grip")</f>
        <v>Grip</v>
      </c>
      <c r="E729" s="102" t="str">
        <f>IFERROR(__xludf.DUMMYFUNCTION("""COMPUTED_VALUE"""),"MAL_SM.part_grip_02")</f>
        <v>MAL_SM.part_grip_02</v>
      </c>
      <c r="F729" s="102"/>
      <c r="G729" s="102" t="str">
        <f>IFERROR(__xludf.DUMMYFUNCTION("""COMPUTED_VALUE"""),"+Fire Rate")</f>
        <v>+Fire Rate</v>
      </c>
      <c r="H729" s="102"/>
      <c r="I729" s="102"/>
      <c r="J729" s="102"/>
      <c r="K729" s="102"/>
      <c r="L729" s="102"/>
    </row>
    <row r="730">
      <c r="A730" s="102" t="str">
        <f>IFERROR(__xludf.DUMMYFUNCTION("""COMPUTED_VALUE"""),"Maliwan")</f>
        <v>Maliwan</v>
      </c>
      <c r="B730" s="102" t="str">
        <f>IFERROR(__xludf.DUMMYFUNCTION("""COMPUTED_VALUE"""),"SMG")</f>
        <v>SMG</v>
      </c>
      <c r="C730" s="103">
        <f>IFERROR(__xludf.DUMMYFUNCTION("""COMPUTED_VALUE"""),44.0)</f>
        <v>44</v>
      </c>
      <c r="D730" s="102" t="str">
        <f>IFERROR(__xludf.DUMMYFUNCTION("""COMPUTED_VALUE"""),"Grip")</f>
        <v>Grip</v>
      </c>
      <c r="E730" s="102" t="str">
        <f>IFERROR(__xludf.DUMMYFUNCTION("""COMPUTED_VALUE"""),"MAL_SM.part_grip_03")</f>
        <v>MAL_SM.part_grip_03</v>
      </c>
      <c r="F730" s="102"/>
      <c r="G730" s="102" t="str">
        <f>IFERROR(__xludf.DUMMYFUNCTION("""COMPUTED_VALUE"""),"-Reload Speed")</f>
        <v>-Reload Speed</v>
      </c>
      <c r="H730" s="102"/>
      <c r="I730" s="102"/>
      <c r="J730" s="102"/>
      <c r="K730" s="102"/>
      <c r="L730" s="102"/>
    </row>
    <row r="731">
      <c r="A731" s="102" t="str">
        <f>IFERROR(__xludf.DUMMYFUNCTION("""COMPUTED_VALUE"""),"Maliwan")</f>
        <v>Maliwan</v>
      </c>
      <c r="B731" s="102" t="str">
        <f>IFERROR(__xludf.DUMMYFUNCTION("""COMPUTED_VALUE"""),"SMG")</f>
        <v>SMG</v>
      </c>
      <c r="C731" s="103">
        <f>IFERROR(__xludf.DUMMYFUNCTION("""COMPUTED_VALUE"""),45.0)</f>
        <v>45</v>
      </c>
      <c r="D731" s="102" t="str">
        <f>IFERROR(__xludf.DUMMYFUNCTION("""COMPUTED_VALUE"""),"Underbarrel")</f>
        <v>Underbarrel</v>
      </c>
      <c r="E731" s="102" t="str">
        <f>IFERROR(__xludf.DUMMYFUNCTION("""COMPUTED_VALUE"""),"MAL_SM.part_underbarrel_03_railgun")</f>
        <v>MAL_SM.part_underbarrel_03_railgun</v>
      </c>
      <c r="F731" s="102"/>
      <c r="G731" s="102" t="str">
        <f>IFERROR(__xludf.DUMMYFUNCTION("""COMPUTED_VALUE"""),"Alt Fire - Railgun")</f>
        <v>Alt Fire - Railgun</v>
      </c>
      <c r="H731" s="102" t="str">
        <f>IFERROR(__xludf.DUMMYFUNCTION("""COMPUTED_VALUE"""),"Charge-fires a piercing Railgun shot that deals XXX Damage")</f>
        <v>Charge-fires a piercing Railgun shot that deals XXX Damage</v>
      </c>
      <c r="I731" s="102"/>
      <c r="J731" s="102"/>
      <c r="K731" s="102"/>
      <c r="L731" s="102"/>
    </row>
    <row r="732">
      <c r="A732" s="102" t="str">
        <f>IFERROR(__xludf.DUMMYFUNCTION("""COMPUTED_VALUE"""),"Maliwan")</f>
        <v>Maliwan</v>
      </c>
      <c r="B732" s="102" t="str">
        <f>IFERROR(__xludf.DUMMYFUNCTION("""COMPUTED_VALUE"""),"SMG")</f>
        <v>SMG</v>
      </c>
      <c r="C732" s="103">
        <f>IFERROR(__xludf.DUMMYFUNCTION("""COMPUTED_VALUE"""),46.0)</f>
        <v>46</v>
      </c>
      <c r="D732" s="102" t="str">
        <f>IFERROR(__xludf.DUMMYFUNCTION("""COMPUTED_VALUE"""),"Underbarrel")</f>
        <v>Underbarrel</v>
      </c>
      <c r="E732" s="102" t="str">
        <f>IFERROR(__xludf.DUMMYFUNCTION("""COMPUTED_VALUE"""),"MAL_SM.part_underbarrel_02_overcharge")</f>
        <v>MAL_SM.part_underbarrel_02_overcharge</v>
      </c>
      <c r="F732" s="102"/>
      <c r="G732" s="102" t="str">
        <f>IFERROR(__xludf.DUMMYFUNCTION("""COMPUTED_VALUE"""),"Alt Fire - Energy Discharge")</f>
        <v>Alt Fire - Energy Discharge</v>
      </c>
      <c r="H732" s="102" t="str">
        <f>IFERROR(__xludf.DUMMYFUNCTION("""COMPUTED_VALUE"""),"Charge-fires a Blast that deals XXX Damage")</f>
        <v>Charge-fires a Blast that deals XXX Damage</v>
      </c>
      <c r="I732" s="102"/>
      <c r="J732" s="102"/>
      <c r="K732" s="102"/>
      <c r="L732" s="102"/>
    </row>
    <row r="733">
      <c r="A733" s="102" t="str">
        <f>IFERROR(__xludf.DUMMYFUNCTION("""COMPUTED_VALUE"""),"Maliwan")</f>
        <v>Maliwan</v>
      </c>
      <c r="B733" s="102" t="str">
        <f>IFERROR(__xludf.DUMMYFUNCTION("""COMPUTED_VALUE"""),"SMG")</f>
        <v>SMG</v>
      </c>
      <c r="C733" s="103">
        <f>IFERROR(__xludf.DUMMYFUNCTION("""COMPUTED_VALUE"""),47.0)</f>
        <v>47</v>
      </c>
      <c r="D733" s="102" t="str">
        <f>IFERROR(__xludf.DUMMYFUNCTION("""COMPUTED_VALUE"""),"Underbarrel")</f>
        <v>Underbarrel</v>
      </c>
      <c r="E733" s="102" t="str">
        <f>IFERROR(__xludf.DUMMYFUNCTION("""COMPUTED_VALUE"""),"MAL_SM.part_underbarrel_04_atlas_ball")</f>
        <v>MAL_SM.part_underbarrel_04_atlas_ball</v>
      </c>
      <c r="F733" s="102"/>
      <c r="G733" s="102" t="str">
        <f>IFERROR(__xludf.DUMMYFUNCTION("""COMPUTED_VALUE"""),"Atlas Tracker Grenades")</f>
        <v>Atlas Tracker Grenades</v>
      </c>
      <c r="H733" s="102"/>
      <c r="I733" s="102"/>
      <c r="J733" s="102"/>
      <c r="K733" s="102"/>
      <c r="L733" s="102"/>
    </row>
    <row r="734">
      <c r="A734" s="102" t="str">
        <f>IFERROR(__xludf.DUMMYFUNCTION("""COMPUTED_VALUE"""),"Maliwan")</f>
        <v>Maliwan</v>
      </c>
      <c r="B734" s="102" t="str">
        <f>IFERROR(__xludf.DUMMYFUNCTION("""COMPUTED_VALUE"""),"SMG")</f>
        <v>SMG</v>
      </c>
      <c r="C734" s="103">
        <f>IFERROR(__xludf.DUMMYFUNCTION("""COMPUTED_VALUE"""),48.0)</f>
        <v>48</v>
      </c>
      <c r="D734" s="102" t="str">
        <f>IFERROR(__xludf.DUMMYFUNCTION("""COMPUTED_VALUE"""),"Underbarrel")</f>
        <v>Underbarrel</v>
      </c>
      <c r="E734" s="102" t="str">
        <f>IFERROR(__xludf.DUMMYFUNCTION("""COMPUTED_VALUE"""),"MAL_SM.part_underbarrel_05_ammoswitcher")</f>
        <v>MAL_SM.part_underbarrel_05_ammoswitcher</v>
      </c>
      <c r="F734" s="102"/>
      <c r="G734" s="102" t="str">
        <f>IFERROR(__xludf.DUMMYFUNCTION("""COMPUTED_VALUE"""),"Daedalus Ammo Switch")</f>
        <v>Daedalus Ammo Switch</v>
      </c>
      <c r="H734" s="102" t="str">
        <f>IFERROR(__xludf.DUMMYFUNCTION("""COMPUTED_VALUE"""),"Used for Daedalus Ammo switch")</f>
        <v>Used for Daedalus Ammo switch</v>
      </c>
      <c r="I734" s="102"/>
      <c r="J734" s="102"/>
      <c r="K734" s="102"/>
      <c r="L734" s="102"/>
    </row>
    <row r="735">
      <c r="A735" s="102" t="str">
        <f>IFERROR(__xludf.DUMMYFUNCTION("""COMPUTED_VALUE"""),"Maliwan")</f>
        <v>Maliwan</v>
      </c>
      <c r="B735" s="102" t="str">
        <f>IFERROR(__xludf.DUMMYFUNCTION("""COMPUTED_VALUE"""),"SMG")</f>
        <v>SMG</v>
      </c>
      <c r="C735" s="103">
        <f>IFERROR(__xludf.DUMMYFUNCTION("""COMPUTED_VALUE"""),49.0)</f>
        <v>49</v>
      </c>
      <c r="D735" s="102" t="str">
        <f>IFERROR(__xludf.DUMMYFUNCTION("""COMPUTED_VALUE"""),"Foregrip")</f>
        <v>Foregrip</v>
      </c>
      <c r="E735" s="102" t="str">
        <f>IFERROR(__xludf.DUMMYFUNCTION("""COMPUTED_VALUE"""),"MAL_SM.part_foregrip_02")</f>
        <v>MAL_SM.part_foregrip_02</v>
      </c>
      <c r="F735" s="102"/>
      <c r="G735" s="102" t="str">
        <f>IFERROR(__xludf.DUMMYFUNCTION("""COMPUTED_VALUE"""),"+Fire Rate")</f>
        <v>+Fire Rate</v>
      </c>
      <c r="H735" s="102"/>
      <c r="I735" s="102"/>
      <c r="J735" s="102"/>
      <c r="K735" s="102"/>
      <c r="L735" s="102"/>
    </row>
    <row r="736">
      <c r="A736" s="102" t="str">
        <f>IFERROR(__xludf.DUMMYFUNCTION("""COMPUTED_VALUE"""),"Maliwan")</f>
        <v>Maliwan</v>
      </c>
      <c r="B736" s="102" t="str">
        <f>IFERROR(__xludf.DUMMYFUNCTION("""COMPUTED_VALUE"""),"SMG")</f>
        <v>SMG</v>
      </c>
      <c r="C736" s="103">
        <f>IFERROR(__xludf.DUMMYFUNCTION("""COMPUTED_VALUE"""),50.0)</f>
        <v>50</v>
      </c>
      <c r="D736" s="102" t="str">
        <f>IFERROR(__xludf.DUMMYFUNCTION("""COMPUTED_VALUE"""),"Foregrip")</f>
        <v>Foregrip</v>
      </c>
      <c r="E736" s="102" t="str">
        <f>IFERROR(__xludf.DUMMYFUNCTION("""COMPUTED_VALUE"""),"MAL_SM.part_foregrip_03")</f>
        <v>MAL_SM.part_foregrip_03</v>
      </c>
      <c r="F736" s="102"/>
      <c r="G736" s="102" t="str">
        <f>IFERROR(__xludf.DUMMYFUNCTION("""COMPUTED_VALUE"""),"+Accuracy")</f>
        <v>+Accuracy</v>
      </c>
      <c r="H736" s="102"/>
      <c r="I736" s="102"/>
      <c r="J736" s="102"/>
      <c r="K736" s="102"/>
      <c r="L736" s="102"/>
    </row>
    <row r="737">
      <c r="A737" s="102" t="str">
        <f>IFERROR(__xludf.DUMMYFUNCTION("""COMPUTED_VALUE"""),"Maliwan")</f>
        <v>Maliwan</v>
      </c>
      <c r="B737" s="102" t="str">
        <f>IFERROR(__xludf.DUMMYFUNCTION("""COMPUTED_VALUE"""),"SMG")</f>
        <v>SMG</v>
      </c>
      <c r="C737" s="103">
        <f>IFERROR(__xludf.DUMMYFUNCTION("""COMPUTED_VALUE"""),51.0)</f>
        <v>51</v>
      </c>
      <c r="D737" s="102" t="str">
        <f>IFERROR(__xludf.DUMMYFUNCTION("""COMPUTED_VALUE"""),"Foregrip")</f>
        <v>Foregrip</v>
      </c>
      <c r="E737" s="102" t="str">
        <f>IFERROR(__xludf.DUMMYFUNCTION("""COMPUTED_VALUE"""),"MAL_SM.part_foregrip_01")</f>
        <v>MAL_SM.part_foregrip_01</v>
      </c>
      <c r="F737" s="102"/>
      <c r="G737" s="102" t="str">
        <f>IFERROR(__xludf.DUMMYFUNCTION("""COMPUTED_VALUE"""),"+Damage")</f>
        <v>+Damage</v>
      </c>
      <c r="H737" s="102"/>
      <c r="I737" s="102"/>
      <c r="J737" s="102"/>
      <c r="K737" s="102"/>
      <c r="L737" s="102"/>
    </row>
    <row r="738">
      <c r="A738" s="102" t="str">
        <f>IFERROR(__xludf.DUMMYFUNCTION("""COMPUTED_VALUE"""),"Maliwan")</f>
        <v>Maliwan</v>
      </c>
      <c r="B738" s="102" t="str">
        <f>IFERROR(__xludf.DUMMYFUNCTION("""COMPUTED_VALUE"""),"SMG")</f>
        <v>SMG</v>
      </c>
      <c r="C738" s="103">
        <f>IFERROR(__xludf.DUMMYFUNCTION("""COMPUTED_VALUE"""),52.0)</f>
        <v>52</v>
      </c>
      <c r="D738" s="102" t="str">
        <f>IFERROR(__xludf.DUMMYFUNCTION("""COMPUTED_VALUE"""),"Underbarrel")</f>
        <v>Underbarrel</v>
      </c>
      <c r="E738" s="102" t="str">
        <f>IFERROR(__xludf.DUMMYFUNCTION("""COMPUTED_VALUE"""),"MAL_SM.part_underbarrel_04_atlas")</f>
        <v>MAL_SM.part_underbarrel_04_atlas</v>
      </c>
      <c r="F738" s="102"/>
      <c r="G738" s="102" t="str">
        <f>IFERROR(__xludf.DUMMYFUNCTION("""COMPUTED_VALUE"""),"Atlas Tracker Darts")</f>
        <v>Atlas Tracker Darts</v>
      </c>
      <c r="H738" s="102"/>
      <c r="I738" s="102"/>
      <c r="J738" s="102"/>
      <c r="K738" s="102"/>
      <c r="L738" s="102"/>
    </row>
    <row r="739">
      <c r="A739" s="102" t="str">
        <f>IFERROR(__xludf.DUMMYFUNCTION("""COMPUTED_VALUE"""),"Maliwan")</f>
        <v>Maliwan</v>
      </c>
      <c r="B739" s="102" t="str">
        <f>IFERROR(__xludf.DUMMYFUNCTION("""COMPUTED_VALUE"""),"SMG")</f>
        <v>SMG</v>
      </c>
      <c r="C739" s="103">
        <f>IFERROR(__xludf.DUMMYFUNCTION("""COMPUTED_VALUE"""),53.0)</f>
        <v>53</v>
      </c>
      <c r="D739" s="102" t="str">
        <f>IFERROR(__xludf.DUMMYFUNCTION("""COMPUTED_VALUE"""),"Underbarrel")</f>
        <v>Underbarrel</v>
      </c>
      <c r="E739" s="102" t="str">
        <f>IFERROR(__xludf.DUMMYFUNCTION("""COMPUTED_VALUE"""),"MAL_SM.part_underbarrel_01_laserwire")</f>
        <v>MAL_SM.part_underbarrel_01_laserwire</v>
      </c>
      <c r="F739" s="102"/>
      <c r="G739" s="102" t="str">
        <f>IFERROR(__xludf.DUMMYFUNCTION("""COMPUTED_VALUE"""),"Alt Fire - Laser Wire")</f>
        <v>Alt Fire - Laser Wire</v>
      </c>
      <c r="H739" s="102" t="str">
        <f>IFERROR(__xludf.DUMMYFUNCTION("""COMPUTED_VALUE"""),"Spawns a Laser Wire that deals XXX Damage/s")</f>
        <v>Spawns a Laser Wire that deals XXX Damage/s</v>
      </c>
      <c r="I739" s="102"/>
      <c r="J739" s="102"/>
      <c r="K739" s="102"/>
      <c r="L739" s="102"/>
    </row>
    <row r="740">
      <c r="A740" s="102" t="str">
        <f>IFERROR(__xludf.DUMMYFUNCTION("""COMPUTED_VALUE"""),"Maliwan")</f>
        <v>Maliwan</v>
      </c>
      <c r="B740" s="102" t="str">
        <f>IFERROR(__xludf.DUMMYFUNCTION("""COMPUTED_VALUE"""),"SMG")</f>
        <v>SMG</v>
      </c>
      <c r="C740" s="103">
        <f>IFERROR(__xludf.DUMMYFUNCTION("""COMPUTED_VALUE"""),54.0)</f>
        <v>54</v>
      </c>
      <c r="D740" s="102" t="str">
        <f>IFERROR(__xludf.DUMMYFUNCTION("""COMPUTED_VALUE"""),"Manufacturer Part")</f>
        <v>Manufacturer Part</v>
      </c>
      <c r="E740" s="102" t="str">
        <f>IFERROR(__xludf.DUMMYFUNCTION("""COMPUTED_VALUE"""),"MAL_SM.part_secondary_ammo_sg")</f>
        <v>MAL_SM.part_secondary_ammo_sg</v>
      </c>
      <c r="F740" s="102"/>
      <c r="G740" s="102" t="str">
        <f>IFERROR(__xludf.DUMMYFUNCTION("""COMPUTED_VALUE"""),"Daedalus Shotgun Ammo")</f>
        <v>Daedalus Shotgun Ammo</v>
      </c>
      <c r="H740" s="102"/>
      <c r="I740" s="102"/>
      <c r="J740" s="102"/>
      <c r="K740" s="102"/>
      <c r="L740" s="102"/>
    </row>
    <row r="741">
      <c r="A741" s="102" t="str">
        <f>IFERROR(__xludf.DUMMYFUNCTION("""COMPUTED_VALUE"""),"Maliwan")</f>
        <v>Maliwan</v>
      </c>
      <c r="B741" s="102" t="str">
        <f>IFERROR(__xludf.DUMMYFUNCTION("""COMPUTED_VALUE"""),"SMG")</f>
        <v>SMG</v>
      </c>
      <c r="C741" s="103">
        <f>IFERROR(__xludf.DUMMYFUNCTION("""COMPUTED_VALUE"""),55.0)</f>
        <v>55</v>
      </c>
      <c r="D741" s="102" t="str">
        <f>IFERROR(__xludf.DUMMYFUNCTION("""COMPUTED_VALUE"""),"Manufacturer Part")</f>
        <v>Manufacturer Part</v>
      </c>
      <c r="E741" s="102" t="str">
        <f>IFERROR(__xludf.DUMMYFUNCTION("""COMPUTED_VALUE"""),"MAL_SM.part_secondary_ammo_ar")</f>
        <v>MAL_SM.part_secondary_ammo_ar</v>
      </c>
      <c r="F741" s="102"/>
      <c r="G741" s="102" t="str">
        <f>IFERROR(__xludf.DUMMYFUNCTION("""COMPUTED_VALUE"""),"Daedalus AR Ammo")</f>
        <v>Daedalus AR Ammo</v>
      </c>
      <c r="H741" s="102"/>
      <c r="I741" s="102"/>
      <c r="J741" s="102"/>
      <c r="K741" s="102"/>
      <c r="L741" s="102"/>
    </row>
    <row r="742">
      <c r="A742" s="102" t="str">
        <f>IFERROR(__xludf.DUMMYFUNCTION("""COMPUTED_VALUE"""),"Maliwan")</f>
        <v>Maliwan</v>
      </c>
      <c r="B742" s="102" t="str">
        <f>IFERROR(__xludf.DUMMYFUNCTION("""COMPUTED_VALUE"""),"SMG")</f>
        <v>SMG</v>
      </c>
      <c r="C742" s="103">
        <f>IFERROR(__xludf.DUMMYFUNCTION("""COMPUTED_VALUE"""),56.0)</f>
        <v>56</v>
      </c>
      <c r="D742" s="102" t="str">
        <f>IFERROR(__xludf.DUMMYFUNCTION("""COMPUTED_VALUE"""),"Manufacturer Part")</f>
        <v>Manufacturer Part</v>
      </c>
      <c r="E742" s="102" t="str">
        <f>IFERROR(__xludf.DUMMYFUNCTION("""COMPUTED_VALUE"""),"MAL_SM.part_secondary_ammo_ps")</f>
        <v>MAL_SM.part_secondary_ammo_ps</v>
      </c>
      <c r="F742" s="102"/>
      <c r="G742" s="102" t="str">
        <f>IFERROR(__xludf.DUMMYFUNCTION("""COMPUTED_VALUE"""),"Daedalus Pistol Ammo")</f>
        <v>Daedalus Pistol Ammo</v>
      </c>
      <c r="H742" s="102"/>
      <c r="I742" s="102"/>
      <c r="J742" s="102"/>
      <c r="K742" s="102"/>
      <c r="L742" s="102"/>
    </row>
    <row r="743">
      <c r="A743" s="102" t="str">
        <f>IFERROR(__xludf.DUMMYFUNCTION("""COMPUTED_VALUE"""),"Maliwan")</f>
        <v>Maliwan</v>
      </c>
      <c r="B743" s="102" t="str">
        <f>IFERROR(__xludf.DUMMYFUNCTION("""COMPUTED_VALUE"""),"SMG")</f>
        <v>SMG</v>
      </c>
      <c r="C743" s="103">
        <f>IFERROR(__xludf.DUMMYFUNCTION("""COMPUTED_VALUE"""),57.0)</f>
        <v>57</v>
      </c>
      <c r="D743" s="102" t="str">
        <f>IFERROR(__xludf.DUMMYFUNCTION("""COMPUTED_VALUE"""),"Manufacturer Part")</f>
        <v>Manufacturer Part</v>
      </c>
      <c r="E743" s="102" t="str">
        <f>IFERROR(__xludf.DUMMYFUNCTION("""COMPUTED_VALUE"""),"MAL_SM.part_secondary_ammo_sr")</f>
        <v>MAL_SM.part_secondary_ammo_sr</v>
      </c>
      <c r="F743" s="102"/>
      <c r="G743" s="102" t="str">
        <f>IFERROR(__xludf.DUMMYFUNCTION("""COMPUTED_VALUE"""),"Daedalus SR Ammo")</f>
        <v>Daedalus SR Ammo</v>
      </c>
      <c r="H743" s="102"/>
      <c r="I743" s="102"/>
      <c r="J743" s="102"/>
      <c r="K743" s="102"/>
      <c r="L743" s="102"/>
    </row>
    <row r="744">
      <c r="A744" s="102" t="str">
        <f>IFERROR(__xludf.DUMMYFUNCTION("""COMPUTED_VALUE"""),"Maliwan")</f>
        <v>Maliwan</v>
      </c>
      <c r="B744" s="102" t="str">
        <f>IFERROR(__xludf.DUMMYFUNCTION("""COMPUTED_VALUE"""),"SMG")</f>
        <v>SMG</v>
      </c>
      <c r="C744" s="103">
        <f>IFERROR(__xludf.DUMMYFUNCTION("""COMPUTED_VALUE"""),59.0)</f>
        <v>59</v>
      </c>
      <c r="D744" s="102" t="str">
        <f>IFERROR(__xludf.DUMMYFUNCTION("""COMPUTED_VALUE"""),"Barrel")</f>
        <v>Barrel</v>
      </c>
      <c r="E744" s="102" t="str">
        <f>IFERROR(__xludf.DUMMYFUNCTION("""COMPUTED_VALUE"""),"MAL_SM.part_barrel_01_OhmIGot")</f>
        <v>MAL_SM.part_barrel_01_OhmIGot</v>
      </c>
      <c r="F744" s="102"/>
      <c r="G744" s="102" t="str">
        <f>IFERROR(__xludf.DUMMYFUNCTION("""COMPUTED_VALUE"""),"Ohm I Got, 803 Damage, 100% Acc, 8.0/s FR, 2 Shot")</f>
        <v>Ohm I Got, 803 Damage, 100% Acc, 8.0/s FR, 2 Shot</v>
      </c>
      <c r="H744" s="102" t="str">
        <f>IFERROR(__xludf.DUMMYFUNCTION("""COMPUTED_VALUE"""),"Energy Transfer - When Energy Shield is active, grants +50% Damage by consuming the Shield's energy instead of Ammo. When Overshield is also active, Energy Shield will no deplete")</f>
        <v>Energy Transfer - When Energy Shield is active, grants +50% Damage by consuming the Shield's energy instead of Ammo. When Overshield is also active, Energy Shield will no deplete</v>
      </c>
      <c r="I744" s="102"/>
      <c r="J744" s="102"/>
      <c r="K744" s="102"/>
      <c r="L744" s="102"/>
    </row>
    <row r="745">
      <c r="A745" s="102" t="str">
        <f>IFERROR(__xludf.DUMMYFUNCTION("""COMPUTED_VALUE"""),"Maliwan")</f>
        <v>Maliwan</v>
      </c>
      <c r="B745" s="102" t="str">
        <f>IFERROR(__xludf.DUMMYFUNCTION("""COMPUTED_VALUE"""),"SMG")</f>
        <v>SMG</v>
      </c>
      <c r="C745" s="103">
        <f>IFERROR(__xludf.DUMMYFUNCTION("""COMPUTED_VALUE"""),61.0)</f>
        <v>61</v>
      </c>
      <c r="D745" s="102" t="str">
        <f>IFERROR(__xludf.DUMMYFUNCTION("""COMPUTED_VALUE"""),"Barrel Accessory")</f>
        <v>Barrel Accessory</v>
      </c>
      <c r="E745" s="102" t="str">
        <f>IFERROR(__xludf.DUMMYFUNCTION("""COMPUTED_VALUE"""),"MAL_SM.part_barrel_02_d_PlasmaCoil")</f>
        <v>MAL_SM.part_barrel_02_d_PlasmaCoil</v>
      </c>
      <c r="F745" s="102"/>
      <c r="G745" s="102" t="str">
        <f>IFERROR(__xludf.DUMMYFUNCTION("""COMPUTED_VALUE"""),"+Damage, +Fire Rate, +Ammo")</f>
        <v>+Damage, +Fire Rate, +Ammo</v>
      </c>
      <c r="H745" s="102"/>
      <c r="I745" s="102"/>
      <c r="J745" s="102"/>
      <c r="K745" s="102"/>
      <c r="L745" s="102"/>
    </row>
    <row r="746">
      <c r="A746" s="102" t="str">
        <f>IFERROR(__xludf.DUMMYFUNCTION("""COMPUTED_VALUE"""),"Maliwan")</f>
        <v>Maliwan</v>
      </c>
      <c r="B746" s="102" t="str">
        <f>IFERROR(__xludf.DUMMYFUNCTION("""COMPUTED_VALUE"""),"SMG")</f>
        <v>SMG</v>
      </c>
      <c r="C746" s="103">
        <f>IFERROR(__xludf.DUMMYFUNCTION("""COMPUTED_VALUE"""),62.0)</f>
        <v>62</v>
      </c>
      <c r="D746" s="102" t="str">
        <f>IFERROR(__xludf.DUMMYFUNCTION("""COMPUTED_VALUE"""),"Barrel")</f>
        <v>Barrel</v>
      </c>
      <c r="E746" s="102" t="str">
        <f>IFERROR(__xludf.DUMMYFUNCTION("""COMPUTED_VALUE"""),"MAL_SM.part_barrel_02_PlasmaCoil")</f>
        <v>MAL_SM.part_barrel_02_PlasmaCoil</v>
      </c>
      <c r="F746" s="102"/>
      <c r="G746" s="102" t="str">
        <f>IFERROR(__xludf.DUMMYFUNCTION("""COMPUTED_VALUE"""),"Plasma Coil, 937 Damage, 84% Acc, 7.7/s FR")</f>
        <v>Plasma Coil, 937 Damage, 84% Acc, 7.7/s FR</v>
      </c>
      <c r="H746" s="102" t="str">
        <f>IFERROR(__xludf.DUMMYFUNCTION("""COMPUTED_VALUE"""),"Superheated")</f>
        <v>Superheated</v>
      </c>
      <c r="I746" s="102"/>
      <c r="J746" s="102"/>
      <c r="K746" s="102"/>
      <c r="L746" s="102"/>
    </row>
    <row r="747">
      <c r="A747" s="102" t="str">
        <f>IFERROR(__xludf.DUMMYFUNCTION("""COMPUTED_VALUE"""),"Maliwan")</f>
        <v>Maliwan</v>
      </c>
      <c r="B747" s="102" t="str">
        <f>IFERROR(__xludf.DUMMYFUNCTION("""COMPUTED_VALUE"""),"SMG")</f>
        <v>SMG</v>
      </c>
      <c r="C747" s="103">
        <f>IFERROR(__xludf.DUMMYFUNCTION("""COMPUTED_VALUE"""),65.0)</f>
        <v>65</v>
      </c>
      <c r="D747" s="102" t="str">
        <f>IFERROR(__xludf.DUMMYFUNCTION("""COMPUTED_VALUE"""),"Barrel Accessory")</f>
        <v>Barrel Accessory</v>
      </c>
      <c r="E747" s="102" t="str">
        <f>IFERROR(__xludf.DUMMYFUNCTION("""COMPUTED_VALUE"""),"MAL_SM.part_barrel_01_a")</f>
        <v>MAL_SM.part_barrel_01_a</v>
      </c>
      <c r="F747" s="102"/>
      <c r="G747" s="102" t="str">
        <f>IFERROR(__xludf.DUMMYFUNCTION("""COMPUTED_VALUE"""),"+Damage")</f>
        <v>+Damage</v>
      </c>
      <c r="H747" s="102"/>
      <c r="I747" s="102"/>
      <c r="J747" s="102"/>
      <c r="K747" s="102"/>
      <c r="L747" s="102"/>
    </row>
    <row r="748">
      <c r="A748" s="102" t="str">
        <f>IFERROR(__xludf.DUMMYFUNCTION("""COMPUTED_VALUE"""),"Maliwan")</f>
        <v>Maliwan</v>
      </c>
      <c r="B748" s="102" t="str">
        <f>IFERROR(__xludf.DUMMYFUNCTION("""COMPUTED_VALUE"""),"SMG")</f>
        <v>SMG</v>
      </c>
      <c r="C748" s="103">
        <f>IFERROR(__xludf.DUMMYFUNCTION("""COMPUTED_VALUE"""),66.0)</f>
        <v>66</v>
      </c>
      <c r="D748" s="102" t="str">
        <f>IFERROR(__xludf.DUMMYFUNCTION("""COMPUTED_VALUE"""),"Barrel Accessory")</f>
        <v>Barrel Accessory</v>
      </c>
      <c r="E748" s="102" t="str">
        <f>IFERROR(__xludf.DUMMYFUNCTION("""COMPUTED_VALUE"""),"MAL_SM.part_barrel_01_b")</f>
        <v>MAL_SM.part_barrel_01_b</v>
      </c>
      <c r="F748" s="102"/>
      <c r="G748" s="102" t="str">
        <f>IFERROR(__xludf.DUMMYFUNCTION("""COMPUTED_VALUE"""),"No Stat Changes")</f>
        <v>No Stat Changes</v>
      </c>
      <c r="H748" s="102"/>
      <c r="I748" s="102"/>
      <c r="J748" s="102"/>
      <c r="K748" s="102"/>
      <c r="L748" s="102"/>
    </row>
    <row r="749">
      <c r="A749" s="102" t="str">
        <f>IFERROR(__xludf.DUMMYFUNCTION("""COMPUTED_VALUE"""),"Maliwan")</f>
        <v>Maliwan</v>
      </c>
      <c r="B749" s="102" t="str">
        <f>IFERROR(__xludf.DUMMYFUNCTION("""COMPUTED_VALUE"""),"SMG")</f>
        <v>SMG</v>
      </c>
      <c r="C749" s="103">
        <f>IFERROR(__xludf.DUMMYFUNCTION("""COMPUTED_VALUE"""),67.0)</f>
        <v>67</v>
      </c>
      <c r="D749" s="102" t="str">
        <f>IFERROR(__xludf.DUMMYFUNCTION("""COMPUTED_VALUE"""),"Barrel Accessory")</f>
        <v>Barrel Accessory</v>
      </c>
      <c r="E749" s="102" t="str">
        <f>IFERROR(__xludf.DUMMYFUNCTION("""COMPUTED_VALUE"""),"MAL_SM.part_barrel_01_c")</f>
        <v>MAL_SM.part_barrel_01_c</v>
      </c>
      <c r="F749" s="102"/>
      <c r="G749" s="102" t="str">
        <f>IFERROR(__xludf.DUMMYFUNCTION("""COMPUTED_VALUE"""),"No Stat Changes")</f>
        <v>No Stat Changes</v>
      </c>
      <c r="H749" s="102"/>
      <c r="I749" s="102"/>
      <c r="J749" s="102"/>
      <c r="K749" s="102"/>
      <c r="L749" s="102"/>
    </row>
    <row r="750">
      <c r="A750" s="102" t="str">
        <f>IFERROR(__xludf.DUMMYFUNCTION("""COMPUTED_VALUE"""),"Maliwan")</f>
        <v>Maliwan</v>
      </c>
      <c r="B750" s="102" t="str">
        <f>IFERROR(__xludf.DUMMYFUNCTION("""COMPUTED_VALUE"""),"SMG")</f>
        <v>SMG</v>
      </c>
      <c r="C750" s="103">
        <f>IFERROR(__xludf.DUMMYFUNCTION("""COMPUTED_VALUE"""),68.0)</f>
        <v>68</v>
      </c>
      <c r="D750" s="102" t="str">
        <f>IFERROR(__xludf.DUMMYFUNCTION("""COMPUTED_VALUE"""),"Barrel Accessory")</f>
        <v>Barrel Accessory</v>
      </c>
      <c r="E750" s="102" t="str">
        <f>IFERROR(__xludf.DUMMYFUNCTION("""COMPUTED_VALUE"""),"MAL_SM.part_barrel_01_d")</f>
        <v>MAL_SM.part_barrel_01_d</v>
      </c>
      <c r="F750" s="102"/>
      <c r="G750" s="102" t="str">
        <f>IFERROR(__xludf.DUMMYFUNCTION("""COMPUTED_VALUE"""),"+Accuracy")</f>
        <v>+Accuracy</v>
      </c>
      <c r="H750" s="102"/>
      <c r="I750" s="102"/>
      <c r="J750" s="102"/>
      <c r="K750" s="102"/>
      <c r="L750" s="102"/>
    </row>
    <row r="751">
      <c r="A751" s="102" t="str">
        <f>IFERROR(__xludf.DUMMYFUNCTION("""COMPUTED_VALUE"""),"Maliwan")</f>
        <v>Maliwan</v>
      </c>
      <c r="B751" s="102" t="str">
        <f>IFERROR(__xludf.DUMMYFUNCTION("""COMPUTED_VALUE"""),"SMG")</f>
        <v>SMG</v>
      </c>
      <c r="C751" s="103">
        <f>IFERROR(__xludf.DUMMYFUNCTION("""COMPUTED_VALUE"""),69.0)</f>
        <v>69</v>
      </c>
      <c r="D751" s="102" t="str">
        <f>IFERROR(__xludf.DUMMYFUNCTION("""COMPUTED_VALUE"""),"Barrel Accessory")</f>
        <v>Barrel Accessory</v>
      </c>
      <c r="E751" s="102" t="str">
        <f>IFERROR(__xludf.DUMMYFUNCTION("""COMPUTED_VALUE"""),"MAL_SM.part_barrel_02_a")</f>
        <v>MAL_SM.part_barrel_02_a</v>
      </c>
      <c r="F751" s="102"/>
      <c r="G751" s="102" t="str">
        <f>IFERROR(__xludf.DUMMYFUNCTION("""COMPUTED_VALUE"""),"+Damage")</f>
        <v>+Damage</v>
      </c>
      <c r="H751" s="102"/>
      <c r="I751" s="102"/>
      <c r="J751" s="102"/>
      <c r="K751" s="102"/>
      <c r="L751" s="102"/>
    </row>
    <row r="752">
      <c r="A752" s="102" t="str">
        <f>IFERROR(__xludf.DUMMYFUNCTION("""COMPUTED_VALUE"""),"Maliwan")</f>
        <v>Maliwan</v>
      </c>
      <c r="B752" s="102" t="str">
        <f>IFERROR(__xludf.DUMMYFUNCTION("""COMPUTED_VALUE"""),"SMG")</f>
        <v>SMG</v>
      </c>
      <c r="C752" s="103">
        <f>IFERROR(__xludf.DUMMYFUNCTION("""COMPUTED_VALUE"""),70.0)</f>
        <v>70</v>
      </c>
      <c r="D752" s="102" t="str">
        <f>IFERROR(__xludf.DUMMYFUNCTION("""COMPUTED_VALUE"""),"Barrel Accessory")</f>
        <v>Barrel Accessory</v>
      </c>
      <c r="E752" s="102" t="str">
        <f>IFERROR(__xludf.DUMMYFUNCTION("""COMPUTED_VALUE"""),"MAL_SM.part_barrel_02_b")</f>
        <v>MAL_SM.part_barrel_02_b</v>
      </c>
      <c r="F752" s="102"/>
      <c r="G752" s="102" t="str">
        <f>IFERROR(__xludf.DUMMYFUNCTION("""COMPUTED_VALUE"""),"+Accuracy")</f>
        <v>+Accuracy</v>
      </c>
      <c r="H752" s="102"/>
      <c r="I752" s="102"/>
      <c r="J752" s="102"/>
      <c r="K752" s="102"/>
      <c r="L752" s="102"/>
    </row>
    <row r="753">
      <c r="A753" s="102" t="str">
        <f>IFERROR(__xludf.DUMMYFUNCTION("""COMPUTED_VALUE"""),"Maliwan")</f>
        <v>Maliwan</v>
      </c>
      <c r="B753" s="102" t="str">
        <f>IFERROR(__xludf.DUMMYFUNCTION("""COMPUTED_VALUE"""),"SMG")</f>
        <v>SMG</v>
      </c>
      <c r="C753" s="103">
        <f>IFERROR(__xludf.DUMMYFUNCTION("""COMPUTED_VALUE"""),71.0)</f>
        <v>71</v>
      </c>
      <c r="D753" s="102" t="str">
        <f>IFERROR(__xludf.DUMMYFUNCTION("""COMPUTED_VALUE"""),"Barrel Accessory")</f>
        <v>Barrel Accessory</v>
      </c>
      <c r="E753" s="102" t="str">
        <f>IFERROR(__xludf.DUMMYFUNCTION("""COMPUTED_VALUE"""),"MAL_SM.part_barrel_02_c")</f>
        <v>MAL_SM.part_barrel_02_c</v>
      </c>
      <c r="F753" s="102"/>
      <c r="G753" s="102" t="str">
        <f>IFERROR(__xludf.DUMMYFUNCTION("""COMPUTED_VALUE"""),"+Fire Rate")</f>
        <v>+Fire Rate</v>
      </c>
      <c r="H753" s="102"/>
      <c r="I753" s="102"/>
      <c r="J753" s="102"/>
      <c r="K753" s="102"/>
      <c r="L753" s="102"/>
    </row>
    <row r="754">
      <c r="A754" s="102" t="str">
        <f>IFERROR(__xludf.DUMMYFUNCTION("""COMPUTED_VALUE"""),"Maliwan")</f>
        <v>Maliwan</v>
      </c>
      <c r="B754" s="102" t="str">
        <f>IFERROR(__xludf.DUMMYFUNCTION("""COMPUTED_VALUE"""),"SMG")</f>
        <v>SMG</v>
      </c>
      <c r="C754" s="103">
        <f>IFERROR(__xludf.DUMMYFUNCTION("""COMPUTED_VALUE"""),72.0)</f>
        <v>72</v>
      </c>
      <c r="D754" s="102" t="str">
        <f>IFERROR(__xludf.DUMMYFUNCTION("""COMPUTED_VALUE"""),"Barrel Accessory")</f>
        <v>Barrel Accessory</v>
      </c>
      <c r="E754" s="102" t="str">
        <f>IFERROR(__xludf.DUMMYFUNCTION("""COMPUTED_VALUE"""),"MAL_SM.part_barrel_02_d")</f>
        <v>MAL_SM.part_barrel_02_d</v>
      </c>
      <c r="F754" s="102"/>
      <c r="G754" s="102" t="str">
        <f>IFERROR(__xludf.DUMMYFUNCTION("""COMPUTED_VALUE"""),"+Fire Rate")</f>
        <v>+Fire Rate</v>
      </c>
      <c r="H754" s="102"/>
      <c r="I754" s="102"/>
      <c r="J754" s="102"/>
      <c r="K754" s="102"/>
      <c r="L754" s="102"/>
    </row>
    <row r="755">
      <c r="A755" s="102" t="str">
        <f>IFERROR(__xludf.DUMMYFUNCTION("""COMPUTED_VALUE"""),"Maliwan")</f>
        <v>Maliwan</v>
      </c>
      <c r="B755" s="102" t="str">
        <f>IFERROR(__xludf.DUMMYFUNCTION("""COMPUTED_VALUE"""),"SMG")</f>
        <v>SMG</v>
      </c>
      <c r="C755" s="103">
        <f>IFERROR(__xludf.DUMMYFUNCTION("""COMPUTED_VALUE"""),73.0)</f>
        <v>73</v>
      </c>
      <c r="D755" s="102" t="str">
        <f>IFERROR(__xludf.DUMMYFUNCTION("""COMPUTED_VALUE"""),"Manufacturer Part")</f>
        <v>Manufacturer Part</v>
      </c>
      <c r="E755" s="102" t="str">
        <f>IFERROR(__xludf.DUMMYFUNCTION("""COMPUTED_VALUE"""),"MAL_SM.part_barrel_licensed_jak")</f>
        <v>MAL_SM.part_barrel_licensed_jak</v>
      </c>
      <c r="F755" s="102"/>
      <c r="G755" s="102" t="str">
        <f>IFERROR(__xludf.DUMMYFUNCTION("""COMPUTED_VALUE"""),"Jakobs Ricochet")</f>
        <v>Jakobs Ricochet</v>
      </c>
      <c r="H755" s="102"/>
      <c r="I755" s="102"/>
      <c r="J755" s="102"/>
      <c r="K755" s="102"/>
      <c r="L755" s="102"/>
    </row>
    <row r="756">
      <c r="A756" s="102" t="str">
        <f>IFERROR(__xludf.DUMMYFUNCTION("""COMPUTED_VALUE"""),"Maliwan")</f>
        <v>Maliwan</v>
      </c>
      <c r="B756" s="102" t="str">
        <f>IFERROR(__xludf.DUMMYFUNCTION("""COMPUTED_VALUE"""),"SMG")</f>
        <v>SMG</v>
      </c>
      <c r="C756" s="103">
        <f>IFERROR(__xludf.DUMMYFUNCTION("""COMPUTED_VALUE"""),74.0)</f>
        <v>74</v>
      </c>
      <c r="D756" s="102" t="str">
        <f>IFERROR(__xludf.DUMMYFUNCTION("""COMPUTED_VALUE"""),"Manufacturer Part")</f>
        <v>Manufacturer Part</v>
      </c>
      <c r="E756" s="102" t="str">
        <f>IFERROR(__xludf.DUMMYFUNCTION("""COMPUTED_VALUE"""),"MAL_SM.part_barrel_licensed_ted")</f>
        <v>MAL_SM.part_barrel_licensed_ted</v>
      </c>
      <c r="F756" s="102"/>
      <c r="G756" s="102" t="str">
        <f>IFERROR(__xludf.DUMMYFUNCTION("""COMPUTED_VALUE"""),"Tediore Reload, no stat changes")</f>
        <v>Tediore Reload, no stat changes</v>
      </c>
      <c r="H756" s="102"/>
      <c r="I756" s="102"/>
      <c r="J756" s="102"/>
      <c r="K756" s="102"/>
      <c r="L756" s="102"/>
    </row>
    <row r="757">
      <c r="A757" s="102" t="str">
        <f>IFERROR(__xludf.DUMMYFUNCTION("""COMPUTED_VALUE"""),"Maliwan")</f>
        <v>Maliwan</v>
      </c>
      <c r="B757" s="102" t="str">
        <f>IFERROR(__xludf.DUMMYFUNCTION("""COMPUTED_VALUE"""),"SMG")</f>
        <v>SMG</v>
      </c>
      <c r="C757" s="103">
        <f>IFERROR(__xludf.DUMMYFUNCTION("""COMPUTED_VALUE"""),75.0)</f>
        <v>75</v>
      </c>
      <c r="D757" s="102" t="str">
        <f>IFERROR(__xludf.DUMMYFUNCTION("""COMPUTED_VALUE"""),"Manufacturer Part")</f>
        <v>Manufacturer Part</v>
      </c>
      <c r="E757" s="102" t="str">
        <f>IFERROR(__xludf.DUMMYFUNCTION("""COMPUTED_VALUE"""),"MAL_SM.part_barrel_licensed_ted_shooting")</f>
        <v>MAL_SM.part_barrel_licensed_ted_shooting</v>
      </c>
      <c r="F757" s="102"/>
      <c r="G757" s="102" t="str">
        <f>IFERROR(__xludf.DUMMYFUNCTION("""COMPUTED_VALUE"""),"Tediore Shooting, no stat changes")</f>
        <v>Tediore Shooting, no stat changes</v>
      </c>
      <c r="H757" s="102"/>
      <c r="I757" s="102"/>
      <c r="J757" s="102"/>
      <c r="K757" s="102"/>
      <c r="L757" s="102"/>
    </row>
    <row r="758">
      <c r="A758" s="102" t="str">
        <f>IFERROR(__xludf.DUMMYFUNCTION("""COMPUTED_VALUE"""),"Maliwan")</f>
        <v>Maliwan</v>
      </c>
      <c r="B758" s="102" t="str">
        <f>IFERROR(__xludf.DUMMYFUNCTION("""COMPUTED_VALUE"""),"SMG")</f>
        <v>SMG</v>
      </c>
      <c r="C758" s="103">
        <f>IFERROR(__xludf.DUMMYFUNCTION("""COMPUTED_VALUE"""),76.0)</f>
        <v>76</v>
      </c>
      <c r="D758" s="102" t="str">
        <f>IFERROR(__xludf.DUMMYFUNCTION("""COMPUTED_VALUE"""),"Manufacturer Part")</f>
        <v>Manufacturer Part</v>
      </c>
      <c r="E758" s="102" t="str">
        <f>IFERROR(__xludf.DUMMYFUNCTION("""COMPUTED_VALUE"""),"MAL_SM.part_barrel_licensed_ted_mirv")</f>
        <v>MAL_SM.part_barrel_licensed_ted_mirv</v>
      </c>
      <c r="F758" s="102"/>
      <c r="G758" s="102" t="str">
        <f>IFERROR(__xludf.DUMMYFUNCTION("""COMPUTED_VALUE"""),"Tediore MIRV, no stat changes")</f>
        <v>Tediore MIRV, no stat changes</v>
      </c>
      <c r="H758" s="102"/>
      <c r="I758" s="102"/>
      <c r="J758" s="102"/>
      <c r="K758" s="102"/>
      <c r="L758" s="102"/>
    </row>
    <row r="759">
      <c r="A759" s="102" t="str">
        <f>IFERROR(__xludf.DUMMYFUNCTION("""COMPUTED_VALUE"""),"Maliwan")</f>
        <v>Maliwan</v>
      </c>
      <c r="B759" s="102" t="str">
        <f>IFERROR(__xludf.DUMMYFUNCTION("""COMPUTED_VALUE"""),"SMG")</f>
        <v>SMG</v>
      </c>
      <c r="C759" s="103">
        <f>IFERROR(__xludf.DUMMYFUNCTION("""COMPUTED_VALUE"""),77.0)</f>
        <v>77</v>
      </c>
      <c r="D759" s="102" t="str">
        <f>IFERROR(__xludf.DUMMYFUNCTION("""COMPUTED_VALUE"""),"Manufacturer Part")</f>
        <v>Manufacturer Part</v>
      </c>
      <c r="E759" s="102" t="str">
        <f>IFERROR(__xludf.DUMMYFUNCTION("""COMPUTED_VALUE"""),"MAL_SM.part_barrel_licensed_ted_combo")</f>
        <v>MAL_SM.part_barrel_licensed_ted_combo</v>
      </c>
      <c r="F759" s="102"/>
      <c r="G759" s="102" t="str">
        <f>IFERROR(__xludf.DUMMYFUNCTION("""COMPUTED_VALUE"""),"Tediore Combo, no stat changes")</f>
        <v>Tediore Combo, no stat changes</v>
      </c>
      <c r="H759" s="102"/>
      <c r="I759" s="102"/>
      <c r="J759" s="102"/>
      <c r="K759" s="102"/>
      <c r="L759" s="102"/>
    </row>
    <row r="760">
      <c r="A760" s="102" t="str">
        <f>IFERROR(__xludf.DUMMYFUNCTION("""COMPUTED_VALUE"""),"Maliwan")</f>
        <v>Maliwan</v>
      </c>
      <c r="B760" s="102" t="str">
        <f>IFERROR(__xludf.DUMMYFUNCTION("""COMPUTED_VALUE"""),"SMG")</f>
        <v>SMG</v>
      </c>
      <c r="C760" s="103">
        <f>IFERROR(__xludf.DUMMYFUNCTION("""COMPUTED_VALUE"""),78.0)</f>
        <v>78</v>
      </c>
      <c r="D760" s="102" t="str">
        <f>IFERROR(__xludf.DUMMYFUNCTION("""COMPUTED_VALUE"""),"Manufacturer Part")</f>
        <v>Manufacturer Part</v>
      </c>
      <c r="E760" s="102" t="str">
        <f>IFERROR(__xludf.DUMMYFUNCTION("""COMPUTED_VALUE"""),"MAL_SM.part_barrel_licensed_hyp")</f>
        <v>MAL_SM.part_barrel_licensed_hyp</v>
      </c>
      <c r="F760" s="102"/>
      <c r="G760" s="102" t="str">
        <f>IFERROR(__xludf.DUMMYFUNCTION("""COMPUTED_VALUE"""),"Hyperion Shield visual accessory, no stat changes")</f>
        <v>Hyperion Shield visual accessory, no stat changes</v>
      </c>
      <c r="H760" s="102"/>
      <c r="I760" s="102"/>
      <c r="J760" s="102"/>
      <c r="K760" s="102"/>
      <c r="L760" s="102"/>
    </row>
    <row r="761">
      <c r="A761" s="102" t="str">
        <f>IFERROR(__xludf.DUMMYFUNCTION("""COMPUTED_VALUE"""),"Maliwan")</f>
        <v>Maliwan</v>
      </c>
      <c r="B761" s="102" t="str">
        <f>IFERROR(__xludf.DUMMYFUNCTION("""COMPUTED_VALUE"""),"Sniper")</f>
        <v>Sniper</v>
      </c>
      <c r="C761" s="103">
        <f>IFERROR(__xludf.DUMMYFUNCTION("""COMPUTED_VALUE"""),2.0)</f>
        <v>2</v>
      </c>
      <c r="D761" s="102" t="str">
        <f>IFERROR(__xludf.DUMMYFUNCTION("""COMPUTED_VALUE"""),"Body")</f>
        <v>Body</v>
      </c>
      <c r="E761" s="102" t="str">
        <f>IFERROR(__xludf.DUMMYFUNCTION("""COMPUTED_VALUE"""),"MAL_SR.part_body")</f>
        <v>MAL_SR.part_body</v>
      </c>
      <c r="F761" s="102"/>
      <c r="G761" s="102" t="str">
        <f>IFERROR(__xludf.DUMMYFUNCTION("""COMPUTED_VALUE"""),"No Stat Changes, always present")</f>
        <v>No Stat Changes, always present</v>
      </c>
      <c r="H761" s="102"/>
      <c r="I761" s="102"/>
      <c r="J761" s="102"/>
      <c r="K761" s="102"/>
      <c r="L761" s="102"/>
    </row>
    <row r="762">
      <c r="A762" s="102" t="str">
        <f>IFERROR(__xludf.DUMMYFUNCTION("""COMPUTED_VALUE"""),"Maliwan")</f>
        <v>Maliwan</v>
      </c>
      <c r="B762" s="102" t="str">
        <f>IFERROR(__xludf.DUMMYFUNCTION("""COMPUTED_VALUE"""),"Sniper")</f>
        <v>Sniper</v>
      </c>
      <c r="C762" s="103">
        <f>IFERROR(__xludf.DUMMYFUNCTION("""COMPUTED_VALUE"""),3.0)</f>
        <v>3</v>
      </c>
      <c r="D762" s="102" t="str">
        <f>IFERROR(__xludf.DUMMYFUNCTION("""COMPUTED_VALUE"""),"Body Accessory")</f>
        <v>Body Accessory</v>
      </c>
      <c r="E762" s="102" t="str">
        <f>IFERROR(__xludf.DUMMYFUNCTION("""COMPUTED_VALUE"""),"MAL_SR.part_body_a")</f>
        <v>MAL_SR.part_body_a</v>
      </c>
      <c r="F762" s="102"/>
      <c r="G762" s="102" t="str">
        <f>IFERROR(__xludf.DUMMYFUNCTION("""COMPUTED_VALUE"""),"-Reload Speed")</f>
        <v>-Reload Speed</v>
      </c>
      <c r="H762" s="102"/>
      <c r="I762" s="102"/>
      <c r="J762" s="102"/>
      <c r="K762" s="102"/>
      <c r="L762" s="102"/>
    </row>
    <row r="763">
      <c r="A763" s="102" t="str">
        <f>IFERROR(__xludf.DUMMYFUNCTION("""COMPUTED_VALUE"""),"Maliwan")</f>
        <v>Maliwan</v>
      </c>
      <c r="B763" s="102" t="str">
        <f>IFERROR(__xludf.DUMMYFUNCTION("""COMPUTED_VALUE"""),"Sniper")</f>
        <v>Sniper</v>
      </c>
      <c r="C763" s="103">
        <f>IFERROR(__xludf.DUMMYFUNCTION("""COMPUTED_VALUE"""),4.0)</f>
        <v>4</v>
      </c>
      <c r="D763" s="102" t="str">
        <f>IFERROR(__xludf.DUMMYFUNCTION("""COMPUTED_VALUE"""),"Body Accessory")</f>
        <v>Body Accessory</v>
      </c>
      <c r="E763" s="102" t="str">
        <f>IFERROR(__xludf.DUMMYFUNCTION("""COMPUTED_VALUE"""),"MAL_SR.part_body_b")</f>
        <v>MAL_SR.part_body_b</v>
      </c>
      <c r="F763" s="102"/>
      <c r="G763" s="102" t="str">
        <f>IFERROR(__xludf.DUMMYFUNCTION("""COMPUTED_VALUE"""),"+Ammo")</f>
        <v>+Ammo</v>
      </c>
      <c r="H763" s="102"/>
      <c r="I763" s="102"/>
      <c r="J763" s="102"/>
      <c r="K763" s="102"/>
      <c r="L763" s="102"/>
    </row>
    <row r="764">
      <c r="A764" s="102" t="str">
        <f>IFERROR(__xludf.DUMMYFUNCTION("""COMPUTED_VALUE"""),"Maliwan")</f>
        <v>Maliwan</v>
      </c>
      <c r="B764" s="102" t="str">
        <f>IFERROR(__xludf.DUMMYFUNCTION("""COMPUTED_VALUE"""),"Sniper")</f>
        <v>Sniper</v>
      </c>
      <c r="C764" s="103">
        <f>IFERROR(__xludf.DUMMYFUNCTION("""COMPUTED_VALUE"""),5.0)</f>
        <v>5</v>
      </c>
      <c r="D764" s="102" t="str">
        <f>IFERROR(__xludf.DUMMYFUNCTION("""COMPUTED_VALUE"""),"Body Accessory")</f>
        <v>Body Accessory</v>
      </c>
      <c r="E764" s="102" t="str">
        <f>IFERROR(__xludf.DUMMYFUNCTION("""COMPUTED_VALUE"""),"MAL_SR.part_body_c")</f>
        <v>MAL_SR.part_body_c</v>
      </c>
      <c r="F764" s="102"/>
      <c r="G764" s="102" t="str">
        <f>IFERROR(__xludf.DUMMYFUNCTION("""COMPUTED_VALUE"""),"+Accuracy")</f>
        <v>+Accuracy</v>
      </c>
      <c r="H764" s="102"/>
      <c r="I764" s="102"/>
      <c r="J764" s="102"/>
      <c r="K764" s="102"/>
      <c r="L764" s="102"/>
    </row>
    <row r="765">
      <c r="A765" s="102" t="str">
        <f>IFERROR(__xludf.DUMMYFUNCTION("""COMPUTED_VALUE"""),"Maliwan")</f>
        <v>Maliwan</v>
      </c>
      <c r="B765" s="102" t="str">
        <f>IFERROR(__xludf.DUMMYFUNCTION("""COMPUTED_VALUE"""),"Sniper")</f>
        <v>Sniper</v>
      </c>
      <c r="C765" s="103">
        <f>IFERROR(__xludf.DUMMYFUNCTION("""COMPUTED_VALUE"""),6.0)</f>
        <v>6</v>
      </c>
      <c r="D765" s="102" t="str">
        <f>IFERROR(__xludf.DUMMYFUNCTION("""COMPUTED_VALUE"""),"Body Accessory")</f>
        <v>Body Accessory</v>
      </c>
      <c r="E765" s="102" t="str">
        <f>IFERROR(__xludf.DUMMYFUNCTION("""COMPUTED_VALUE"""),"MAL_SR.part_body_d")</f>
        <v>MAL_SR.part_body_d</v>
      </c>
      <c r="F765" s="102"/>
      <c r="G765" s="102" t="str">
        <f>IFERROR(__xludf.DUMMYFUNCTION("""COMPUTED_VALUE"""),"No Stat Changes")</f>
        <v>No Stat Changes</v>
      </c>
      <c r="H765" s="102"/>
      <c r="I765" s="102"/>
      <c r="J765" s="102"/>
      <c r="K765" s="102"/>
      <c r="L765" s="102"/>
    </row>
    <row r="766">
      <c r="A766" s="102" t="str">
        <f>IFERROR(__xludf.DUMMYFUNCTION("""COMPUTED_VALUE"""),"Maliwan")</f>
        <v>Maliwan</v>
      </c>
      <c r="B766" s="102" t="str">
        <f>IFERROR(__xludf.DUMMYFUNCTION("""COMPUTED_VALUE"""),"Sniper")</f>
        <v>Sniper</v>
      </c>
      <c r="C766" s="103">
        <f>IFERROR(__xludf.DUMMYFUNCTION("""COMPUTED_VALUE"""),7.0)</f>
        <v>7</v>
      </c>
      <c r="D766" s="102" t="str">
        <f>IFERROR(__xludf.DUMMYFUNCTION("""COMPUTED_VALUE"""),"Barrel")</f>
        <v>Barrel</v>
      </c>
      <c r="E766" s="102" t="str">
        <f>IFERROR(__xludf.DUMMYFUNCTION("""COMPUTED_VALUE"""),"MAL_SR.part_barrel_01")</f>
        <v>MAL_SR.part_barrel_01</v>
      </c>
      <c r="F766" s="102"/>
      <c r="G766" s="102" t="str">
        <f>IFERROR(__xludf.DUMMYFUNCTION("""COMPUTED_VALUE"""),"Midheaven, 2483 Damage, 89% Acc, 1.9/s FR")</f>
        <v>Midheaven, 2483 Damage, 89% Acc, 1.9/s FR</v>
      </c>
      <c r="H766" s="102"/>
      <c r="I766" s="102"/>
      <c r="J766" s="102"/>
      <c r="K766" s="102"/>
      <c r="L766" s="102"/>
    </row>
    <row r="767">
      <c r="A767" s="102" t="str">
        <f>IFERROR(__xludf.DUMMYFUNCTION("""COMPUTED_VALUE"""),"Maliwan")</f>
        <v>Maliwan</v>
      </c>
      <c r="B767" s="102" t="str">
        <f>IFERROR(__xludf.DUMMYFUNCTION("""COMPUTED_VALUE"""),"Sniper")</f>
        <v>Sniper</v>
      </c>
      <c r="C767" s="103">
        <f>IFERROR(__xludf.DUMMYFUNCTION("""COMPUTED_VALUE"""),8.0)</f>
        <v>8</v>
      </c>
      <c r="D767" s="102" t="str">
        <f>IFERROR(__xludf.DUMMYFUNCTION("""COMPUTED_VALUE"""),"Barrel")</f>
        <v>Barrel</v>
      </c>
      <c r="E767" s="102" t="str">
        <f>IFERROR(__xludf.DUMMYFUNCTION("""COMPUTED_VALUE"""),"MAL_SR.part_barrel_02")</f>
        <v>MAL_SR.part_barrel_02</v>
      </c>
      <c r="F767" s="102"/>
      <c r="G767" s="102" t="str">
        <f>IFERROR(__xludf.DUMMYFUNCTION("""COMPUTED_VALUE"""),"Transit, 2483 Damage, 92% Acc, 3.0/s FR")</f>
        <v>Transit, 2483 Damage, 92% Acc, 3.0/s FR</v>
      </c>
      <c r="H767" s="102"/>
      <c r="I767" s="102"/>
      <c r="J767" s="102"/>
      <c r="K767" s="102"/>
      <c r="L767" s="102"/>
    </row>
    <row r="768">
      <c r="A768" s="102" t="str">
        <f>IFERROR(__xludf.DUMMYFUNCTION("""COMPUTED_VALUE"""),"Maliwan")</f>
        <v>Maliwan</v>
      </c>
      <c r="B768" s="102" t="str">
        <f>IFERROR(__xludf.DUMMYFUNCTION("""COMPUTED_VALUE"""),"Sniper")</f>
        <v>Sniper</v>
      </c>
      <c r="C768" s="103">
        <f>IFERROR(__xludf.DUMMYFUNCTION("""COMPUTED_VALUE"""),9.0)</f>
        <v>9</v>
      </c>
      <c r="D768" s="102" t="str">
        <f>IFERROR(__xludf.DUMMYFUNCTION("""COMPUTED_VALUE"""),"Manufacturer Part")</f>
        <v>Manufacturer Part</v>
      </c>
      <c r="E768" s="102" t="str">
        <f>IFERROR(__xludf.DUMMYFUNCTION("""COMPUTED_VALUE"""),"MAL_SR.part_shield_default")</f>
        <v>MAL_SR.part_shield_default</v>
      </c>
      <c r="F768" s="102"/>
      <c r="G768" s="102" t="str">
        <f>IFERROR(__xludf.DUMMYFUNCTION("""COMPUTED_VALUE"""),"Hyperion Shield")</f>
        <v>Hyperion Shield</v>
      </c>
      <c r="H768" s="102"/>
      <c r="I768" s="102"/>
      <c r="J768" s="102"/>
      <c r="K768" s="102"/>
      <c r="L768" s="102"/>
    </row>
    <row r="769">
      <c r="A769" s="102" t="str">
        <f>IFERROR(__xludf.DUMMYFUNCTION("""COMPUTED_VALUE"""),"Maliwan")</f>
        <v>Maliwan</v>
      </c>
      <c r="B769" s="102" t="str">
        <f>IFERROR(__xludf.DUMMYFUNCTION("""COMPUTED_VALUE"""),"Sniper")</f>
        <v>Sniper</v>
      </c>
      <c r="C769" s="103">
        <f>IFERROR(__xludf.DUMMYFUNCTION("""COMPUTED_VALUE"""),10.0)</f>
        <v>10</v>
      </c>
      <c r="D769" s="102" t="str">
        <f>IFERROR(__xludf.DUMMYFUNCTION("""COMPUTED_VALUE"""),"Manufacturer Part")</f>
        <v>Manufacturer Part</v>
      </c>
      <c r="E769" s="102" t="str">
        <f>IFERROR(__xludf.DUMMYFUNCTION("""COMPUTED_VALUE"""),"MAL_SR.part_shield_ricochet")</f>
        <v>MAL_SR.part_shield_ricochet</v>
      </c>
      <c r="F769" s="102"/>
      <c r="G769" s="102" t="str">
        <f>IFERROR(__xludf.DUMMYFUNCTION("""COMPUTED_VALUE"""),"Hyperion Ricochet Shield")</f>
        <v>Hyperion Ricochet Shield</v>
      </c>
      <c r="H769" s="102"/>
      <c r="I769" s="102"/>
      <c r="J769" s="102"/>
      <c r="K769" s="102"/>
      <c r="L769" s="102"/>
    </row>
    <row r="770">
      <c r="A770" s="102" t="str">
        <f>IFERROR(__xludf.DUMMYFUNCTION("""COMPUTED_VALUE"""),"Maliwan")</f>
        <v>Maliwan</v>
      </c>
      <c r="B770" s="102" t="str">
        <f>IFERROR(__xludf.DUMMYFUNCTION("""COMPUTED_VALUE"""),"Sniper")</f>
        <v>Sniper</v>
      </c>
      <c r="C770" s="103">
        <f>IFERROR(__xludf.DUMMYFUNCTION("""COMPUTED_VALUE"""),11.0)</f>
        <v>11</v>
      </c>
      <c r="D770" s="102" t="str">
        <f>IFERROR(__xludf.DUMMYFUNCTION("""COMPUTED_VALUE"""),"Manufacturer Part")</f>
        <v>Manufacturer Part</v>
      </c>
      <c r="E770" s="102" t="str">
        <f>IFERROR(__xludf.DUMMYFUNCTION("""COMPUTED_VALUE"""),"MAL_SR.part_shield_ammo")</f>
        <v>MAL_SR.part_shield_ammo</v>
      </c>
      <c r="F770" s="102"/>
      <c r="G770" s="102" t="str">
        <f>IFERROR(__xludf.DUMMYFUNCTION("""COMPUTED_VALUE"""),"Hyperion Absorb Shield")</f>
        <v>Hyperion Absorb Shield</v>
      </c>
      <c r="H770" s="102"/>
      <c r="I770" s="102"/>
      <c r="J770" s="102"/>
      <c r="K770" s="102"/>
      <c r="L770" s="102"/>
    </row>
    <row r="771">
      <c r="A771" s="102" t="str">
        <f>IFERROR(__xludf.DUMMYFUNCTION("""COMPUTED_VALUE"""),"Maliwan")</f>
        <v>Maliwan</v>
      </c>
      <c r="B771" s="102" t="str">
        <f>IFERROR(__xludf.DUMMYFUNCTION("""COMPUTED_VALUE"""),"Sniper")</f>
        <v>Sniper</v>
      </c>
      <c r="C771" s="103">
        <f>IFERROR(__xludf.DUMMYFUNCTION("""COMPUTED_VALUE"""),12.0)</f>
        <v>12</v>
      </c>
      <c r="D771" s="102" t="str">
        <f>IFERROR(__xludf.DUMMYFUNCTION("""COMPUTED_VALUE"""),"Manufacturer Part")</f>
        <v>Manufacturer Part</v>
      </c>
      <c r="E771" s="102" t="str">
        <f>IFERROR(__xludf.DUMMYFUNCTION("""COMPUTED_VALUE"""),"MAL_SR.part_shield_amp")</f>
        <v>MAL_SR.part_shield_amp</v>
      </c>
      <c r="F771" s="102"/>
      <c r="G771" s="102" t="str">
        <f>IFERROR(__xludf.DUMMYFUNCTION("""COMPUTED_VALUE"""),"Hyperion Amp Shield")</f>
        <v>Hyperion Amp Shield</v>
      </c>
      <c r="H771" s="102"/>
      <c r="I771" s="102"/>
      <c r="J771" s="102"/>
      <c r="K771" s="102"/>
      <c r="L771" s="102"/>
    </row>
    <row r="772">
      <c r="A772" s="102" t="str">
        <f>IFERROR(__xludf.DUMMYFUNCTION("""COMPUTED_VALUE"""),"Maliwan")</f>
        <v>Maliwan</v>
      </c>
      <c r="B772" s="102" t="str">
        <f>IFERROR(__xludf.DUMMYFUNCTION("""COMPUTED_VALUE"""),"Sniper")</f>
        <v>Sniper</v>
      </c>
      <c r="C772" s="103">
        <f>IFERROR(__xludf.DUMMYFUNCTION("""COMPUTED_VALUE"""),13.0)</f>
        <v>13</v>
      </c>
      <c r="D772" s="102" t="str">
        <f>IFERROR(__xludf.DUMMYFUNCTION("""COMPUTED_VALUE"""),"Magazine")</f>
        <v>Magazine</v>
      </c>
      <c r="E772" s="102" t="str">
        <f>IFERROR(__xludf.DUMMYFUNCTION("""COMPUTED_VALUE"""),"MAL_SR.part_mag_01")</f>
        <v>MAL_SR.part_mag_01</v>
      </c>
      <c r="F772" s="102"/>
      <c r="G772" s="102" t="str">
        <f>IFERROR(__xludf.DUMMYFUNCTION("""COMPUTED_VALUE"""),"2.7s Reload, 8 Shots")</f>
        <v>2.7s Reload, 8 Shots</v>
      </c>
      <c r="H772" s="102"/>
      <c r="I772" s="102"/>
      <c r="J772" s="102"/>
      <c r="K772" s="102"/>
      <c r="L772" s="102"/>
    </row>
    <row r="773">
      <c r="A773" s="102" t="str">
        <f>IFERROR(__xludf.DUMMYFUNCTION("""COMPUTED_VALUE"""),"Maliwan")</f>
        <v>Maliwan</v>
      </c>
      <c r="B773" s="102" t="str">
        <f>IFERROR(__xludf.DUMMYFUNCTION("""COMPUTED_VALUE"""),"Sniper")</f>
        <v>Sniper</v>
      </c>
      <c r="C773" s="103">
        <f>IFERROR(__xludf.DUMMYFUNCTION("""COMPUTED_VALUE"""),14.0)</f>
        <v>14</v>
      </c>
      <c r="D773" s="102" t="str">
        <f>IFERROR(__xludf.DUMMYFUNCTION("""COMPUTED_VALUE"""),"Magazine")</f>
        <v>Magazine</v>
      </c>
      <c r="E773" s="102" t="str">
        <f>IFERROR(__xludf.DUMMYFUNCTION("""COMPUTED_VALUE"""),"MAL_SR.part_mag_02")</f>
        <v>MAL_SR.part_mag_02</v>
      </c>
      <c r="F773" s="102"/>
      <c r="G773" s="102" t="str">
        <f>IFERROR(__xludf.DUMMYFUNCTION("""COMPUTED_VALUE"""),"3.2s Reload, 10 Shots")</f>
        <v>3.2s Reload, 10 Shots</v>
      </c>
      <c r="H773" s="102"/>
      <c r="I773" s="102"/>
      <c r="J773" s="102"/>
      <c r="K773" s="102"/>
      <c r="L773" s="102"/>
    </row>
    <row r="774">
      <c r="A774" s="102" t="str">
        <f>IFERROR(__xludf.DUMMYFUNCTION("""COMPUTED_VALUE"""),"Maliwan")</f>
        <v>Maliwan</v>
      </c>
      <c r="B774" s="102" t="str">
        <f>IFERROR(__xludf.DUMMYFUNCTION("""COMPUTED_VALUE"""),"Sniper")</f>
        <v>Sniper</v>
      </c>
      <c r="C774" s="103">
        <f>IFERROR(__xludf.DUMMYFUNCTION("""COMPUTED_VALUE"""),15.0)</f>
        <v>15</v>
      </c>
      <c r="D774" s="102" t="str">
        <f>IFERROR(__xludf.DUMMYFUNCTION("""COMPUTED_VALUE"""),"Magazine")</f>
        <v>Magazine</v>
      </c>
      <c r="E774" s="102" t="str">
        <f>IFERROR(__xludf.DUMMYFUNCTION("""COMPUTED_VALUE"""),"MAL_SR.part_mag_03_tor")</f>
        <v>MAL_SR.part_mag_03_tor</v>
      </c>
      <c r="F774" s="102"/>
      <c r="G774" s="102" t="str">
        <f>IFERROR(__xludf.DUMMYFUNCTION("""COMPUTED_VALUE"""),"2.2s Reload, +Damage, -Fire Rate, 6 Shots, Torgue")</f>
        <v>2.2s Reload, +Damage, -Fire Rate, 6 Shots, Torgue</v>
      </c>
      <c r="H774" s="102"/>
      <c r="I774" s="102"/>
      <c r="J774" s="102"/>
      <c r="K774" s="102"/>
      <c r="L774" s="102"/>
    </row>
    <row r="775">
      <c r="A775" s="102" t="str">
        <f>IFERROR(__xludf.DUMMYFUNCTION("""COMPUTED_VALUE"""),"Maliwan")</f>
        <v>Maliwan</v>
      </c>
      <c r="B775" s="102" t="str">
        <f>IFERROR(__xludf.DUMMYFUNCTION("""COMPUTED_VALUE"""),"Sniper")</f>
        <v>Sniper</v>
      </c>
      <c r="C775" s="103">
        <f>IFERROR(__xludf.DUMMYFUNCTION("""COMPUTED_VALUE"""),16.0)</f>
        <v>16</v>
      </c>
      <c r="D775" s="102" t="str">
        <f>IFERROR(__xludf.DUMMYFUNCTION("""COMPUTED_VALUE"""),"Magazine")</f>
        <v>Magazine</v>
      </c>
      <c r="E775" s="102" t="str">
        <f>IFERROR(__xludf.DUMMYFUNCTION("""COMPUTED_VALUE"""),"MAL_SR.part_mag_04_cov")</f>
        <v>MAL_SR.part_mag_04_cov</v>
      </c>
      <c r="F775" s="102"/>
      <c r="G775" s="102" t="str">
        <f>IFERROR(__xludf.DUMMYFUNCTION("""COMPUTED_VALUE"""),"3.8s Reload, -Damage, -Acc, 10 Shots, CoV Mag")</f>
        <v>3.8s Reload, -Damage, -Acc, 10 Shots, CoV Mag</v>
      </c>
      <c r="H775" s="102"/>
      <c r="I775" s="102"/>
      <c r="J775" s="102"/>
      <c r="K775" s="102"/>
      <c r="L775" s="102"/>
    </row>
    <row r="776">
      <c r="A776" s="102" t="str">
        <f>IFERROR(__xludf.DUMMYFUNCTION("""COMPUTED_VALUE"""),"Maliwan")</f>
        <v>Maliwan</v>
      </c>
      <c r="B776" s="102" t="str">
        <f>IFERROR(__xludf.DUMMYFUNCTION("""COMPUTED_VALUE"""),"Sniper")</f>
        <v>Sniper</v>
      </c>
      <c r="C776" s="103">
        <f>IFERROR(__xludf.DUMMYFUNCTION("""COMPUTED_VALUE"""),17.0)</f>
        <v>17</v>
      </c>
      <c r="D776" s="102" t="str">
        <f>IFERROR(__xludf.DUMMYFUNCTION("""COMPUTED_VALUE"""),"Magazine")</f>
        <v>Magazine</v>
      </c>
      <c r="E776" s="102" t="str">
        <f>IFERROR(__xludf.DUMMYFUNCTION("""COMPUTED_VALUE"""),"MAL_SR.part_mag_05_borg")</f>
        <v>MAL_SR.part_mag_05_borg</v>
      </c>
      <c r="F776" s="102"/>
      <c r="G776" s="102" t="str">
        <f>IFERROR(__xludf.DUMMYFUNCTION("""COMPUTED_VALUE"""),"2.1s Reload, +Fire Rate, 12 Shots, Ripper Mag")</f>
        <v>2.1s Reload, +Fire Rate, 12 Shots, Ripper Mag</v>
      </c>
      <c r="H776" s="102"/>
      <c r="I776" s="102"/>
      <c r="J776" s="102"/>
      <c r="K776" s="102"/>
      <c r="L776" s="102"/>
    </row>
    <row r="777">
      <c r="A777" s="102" t="str">
        <f>IFERROR(__xludf.DUMMYFUNCTION("""COMPUTED_VALUE"""),"Maliwan")</f>
        <v>Maliwan</v>
      </c>
      <c r="B777" s="102" t="str">
        <f>IFERROR(__xludf.DUMMYFUNCTION("""COMPUTED_VALUE"""),"Sniper")</f>
        <v>Sniper</v>
      </c>
      <c r="C777" s="103">
        <f>IFERROR(__xludf.DUMMYFUNCTION("""COMPUTED_VALUE"""),18.0)</f>
        <v>18</v>
      </c>
      <c r="D777" s="102" t="str">
        <f>IFERROR(__xludf.DUMMYFUNCTION("""COMPUTED_VALUE"""),"Manufacturer Part")</f>
        <v>Manufacturer Part</v>
      </c>
      <c r="E777" s="102" t="str">
        <f>IFERROR(__xludf.DUMMYFUNCTION("""COMPUTED_VALUE"""),"MAL_SR.part_mag_torgue_normal")</f>
        <v>MAL_SR.part_mag_torgue_normal</v>
      </c>
      <c r="F777" s="102"/>
      <c r="G777" s="102" t="str">
        <f>IFERROR(__xludf.DUMMYFUNCTION("""COMPUTED_VALUE"""),"Torgue Impact Gyrojets")</f>
        <v>Torgue Impact Gyrojets</v>
      </c>
      <c r="H777" s="102"/>
      <c r="I777" s="102"/>
      <c r="J777" s="102"/>
      <c r="K777" s="102"/>
      <c r="L777" s="102"/>
    </row>
    <row r="778">
      <c r="A778" s="102" t="str">
        <f>IFERROR(__xludf.DUMMYFUNCTION("""COMPUTED_VALUE"""),"Maliwan")</f>
        <v>Maliwan</v>
      </c>
      <c r="B778" s="102" t="str">
        <f>IFERROR(__xludf.DUMMYFUNCTION("""COMPUTED_VALUE"""),"Sniper")</f>
        <v>Sniper</v>
      </c>
      <c r="C778" s="103">
        <f>IFERROR(__xludf.DUMMYFUNCTION("""COMPUTED_VALUE"""),19.0)</f>
        <v>19</v>
      </c>
      <c r="D778" s="102" t="str">
        <f>IFERROR(__xludf.DUMMYFUNCTION("""COMPUTED_VALUE"""),"Manufacturer Part")</f>
        <v>Manufacturer Part</v>
      </c>
      <c r="E778" s="102" t="str">
        <f>IFERROR(__xludf.DUMMYFUNCTION("""COMPUTED_VALUE"""),"MAL_SR.part_mag_torgue_sticky")</f>
        <v>MAL_SR.part_mag_torgue_sticky</v>
      </c>
      <c r="F778" s="102"/>
      <c r="G778" s="102" t="str">
        <f>IFERROR(__xludf.DUMMYFUNCTION("""COMPUTED_VALUE"""),"Torgue Sticky Gyrojets")</f>
        <v>Torgue Sticky Gyrojets</v>
      </c>
      <c r="H778" s="102"/>
      <c r="I778" s="102"/>
      <c r="J778" s="102"/>
      <c r="K778" s="102"/>
      <c r="L778" s="102"/>
    </row>
    <row r="779">
      <c r="A779" s="102" t="str">
        <f>IFERROR(__xludf.DUMMYFUNCTION("""COMPUTED_VALUE"""),"Maliwan")</f>
        <v>Maliwan</v>
      </c>
      <c r="B779" s="102" t="str">
        <f>IFERROR(__xludf.DUMMYFUNCTION("""COMPUTED_VALUE"""),"Sniper")</f>
        <v>Sniper</v>
      </c>
      <c r="C779" s="103">
        <f>IFERROR(__xludf.DUMMYFUNCTION("""COMPUTED_VALUE"""),20.0)</f>
        <v>20</v>
      </c>
      <c r="D779" s="102" t="str">
        <f>IFERROR(__xludf.DUMMYFUNCTION("""COMPUTED_VALUE"""),"Barrel")</f>
        <v>Barrel</v>
      </c>
      <c r="E779" s="102" t="str">
        <f>IFERROR(__xludf.DUMMYFUNCTION("""COMPUTED_VALUE"""),"MAL_SR.part_barrel_01_complex_root")</f>
        <v>MAL_SR.part_barrel_01_complex_root</v>
      </c>
      <c r="F779" s="102"/>
      <c r="G779" s="102" t="str">
        <f>IFERROR(__xludf.DUMMYFUNCTION("""COMPUTED_VALUE"""),"Complex Root, 2342 Damage, 85% Acc, 1.2/s FR")</f>
        <v>Complex Root, 2342 Damage, 85% Acc, 1.2/s FR</v>
      </c>
      <c r="H779" s="102" t="str">
        <f>IFERROR(__xludf.DUMMYFUNCTION("""COMPUTED_VALUE"""),"Sierpinski - Spawns additional diverging Projectiles along its path")</f>
        <v>Sierpinski - Spawns additional diverging Projectiles along its path</v>
      </c>
      <c r="I779" s="102"/>
      <c r="J779" s="102"/>
      <c r="K779" s="102"/>
      <c r="L779" s="102"/>
    </row>
    <row r="780">
      <c r="A780" s="102" t="str">
        <f>IFERROR(__xludf.DUMMYFUNCTION("""COMPUTED_VALUE"""),"Maliwan")</f>
        <v>Maliwan</v>
      </c>
      <c r="B780" s="102" t="str">
        <f>IFERROR(__xludf.DUMMYFUNCTION("""COMPUTED_VALUE"""),"Sniper")</f>
        <v>Sniper</v>
      </c>
      <c r="C780" s="103">
        <f>IFERROR(__xludf.DUMMYFUNCTION("""COMPUTED_VALUE"""),21.0)</f>
        <v>21</v>
      </c>
      <c r="D780" s="102" t="str">
        <f>IFERROR(__xludf.DUMMYFUNCTION("""COMPUTED_VALUE"""),"Stat Modifier")</f>
        <v>Stat Modifier</v>
      </c>
      <c r="E780" s="102" t="str">
        <f>IFERROR(__xludf.DUMMYFUNCTION("""COMPUTED_VALUE"""),"MAL_SR.part_mag_ted_thrown_01")</f>
        <v>MAL_SR.part_mag_ted_thrown_01</v>
      </c>
      <c r="F780" s="102"/>
      <c r="G780" s="102" t="str">
        <f>IFERROR(__xludf.DUMMYFUNCTION("""COMPUTED_VALUE"""),"2.0s Reload")</f>
        <v>2.0s Reload</v>
      </c>
      <c r="H780" s="102"/>
      <c r="I780" s="102"/>
      <c r="J780" s="102"/>
      <c r="K780" s="102"/>
      <c r="L780" s="102"/>
    </row>
    <row r="781">
      <c r="A781" s="102" t="str">
        <f>IFERROR(__xludf.DUMMYFUNCTION("""COMPUTED_VALUE"""),"Maliwan")</f>
        <v>Maliwan</v>
      </c>
      <c r="B781" s="102" t="str">
        <f>IFERROR(__xludf.DUMMYFUNCTION("""COMPUTED_VALUE"""),"Sniper")</f>
        <v>Sniper</v>
      </c>
      <c r="C781" s="103">
        <f>IFERROR(__xludf.DUMMYFUNCTION("""COMPUTED_VALUE"""),22.0)</f>
        <v>22</v>
      </c>
      <c r="D781" s="102" t="str">
        <f>IFERROR(__xludf.DUMMYFUNCTION("""COMPUTED_VALUE"""),"Stat Modifier")</f>
        <v>Stat Modifier</v>
      </c>
      <c r="E781" s="102" t="str">
        <f>IFERROR(__xludf.DUMMYFUNCTION("""COMPUTED_VALUE"""),"MAL_SR.part_mag_ted_thrown_02")</f>
        <v>MAL_SR.part_mag_ted_thrown_02</v>
      </c>
      <c r="F781" s="102"/>
      <c r="G781" s="102" t="str">
        <f>IFERROR(__xludf.DUMMYFUNCTION("""COMPUTED_VALUE"""),"2.0s Reload")</f>
        <v>2.0s Reload</v>
      </c>
      <c r="H781" s="102"/>
      <c r="I781" s="102"/>
      <c r="J781" s="102"/>
      <c r="K781" s="102"/>
      <c r="L781" s="102"/>
    </row>
    <row r="782">
      <c r="A782" s="102" t="str">
        <f>IFERROR(__xludf.DUMMYFUNCTION("""COMPUTED_VALUE"""),"Maliwan")</f>
        <v>Maliwan</v>
      </c>
      <c r="B782" s="102" t="str">
        <f>IFERROR(__xludf.DUMMYFUNCTION("""COMPUTED_VALUE"""),"Sniper")</f>
        <v>Sniper</v>
      </c>
      <c r="C782" s="103">
        <f>IFERROR(__xludf.DUMMYFUNCTION("""COMPUTED_VALUE"""),23.0)</f>
        <v>23</v>
      </c>
      <c r="D782" s="102" t="str">
        <f>IFERROR(__xludf.DUMMYFUNCTION("""COMPUTED_VALUE"""),"Stat Modifier")</f>
        <v>Stat Modifier</v>
      </c>
      <c r="E782" s="102" t="str">
        <f>IFERROR(__xludf.DUMMYFUNCTION("""COMPUTED_VALUE"""),"MAL_SR.part_mag_ted_thrown_03_tor")</f>
        <v>MAL_SR.part_mag_ted_thrown_03_tor</v>
      </c>
      <c r="F782" s="102"/>
      <c r="G782" s="102" t="str">
        <f>IFERROR(__xludf.DUMMYFUNCTION("""COMPUTED_VALUE"""),"2.0s Reload")</f>
        <v>2.0s Reload</v>
      </c>
      <c r="H782" s="102"/>
      <c r="I782" s="102"/>
      <c r="J782" s="102"/>
      <c r="K782" s="102"/>
      <c r="L782" s="102"/>
    </row>
    <row r="783">
      <c r="A783" s="102" t="str">
        <f>IFERROR(__xludf.DUMMYFUNCTION("""COMPUTED_VALUE"""),"Maliwan")</f>
        <v>Maliwan</v>
      </c>
      <c r="B783" s="102" t="str">
        <f>IFERROR(__xludf.DUMMYFUNCTION("""COMPUTED_VALUE"""),"Sniper")</f>
        <v>Sniper</v>
      </c>
      <c r="C783" s="103">
        <f>IFERROR(__xludf.DUMMYFUNCTION("""COMPUTED_VALUE"""),24.0)</f>
        <v>24</v>
      </c>
      <c r="D783" s="102" t="str">
        <f>IFERROR(__xludf.DUMMYFUNCTION("""COMPUTED_VALUE"""),"Stat Modifier")</f>
        <v>Stat Modifier</v>
      </c>
      <c r="E783" s="102" t="str">
        <f>IFERROR(__xludf.DUMMYFUNCTION("""COMPUTED_VALUE"""),"MAL_SR.part_mag_ted_thrown_04_cov")</f>
        <v>MAL_SR.part_mag_ted_thrown_04_cov</v>
      </c>
      <c r="F783" s="102"/>
      <c r="G783" s="102" t="str">
        <f>IFERROR(__xludf.DUMMYFUNCTION("""COMPUTED_VALUE"""),"3.0s Reload")</f>
        <v>3.0s Reload</v>
      </c>
      <c r="H783" s="102"/>
      <c r="I783" s="102"/>
      <c r="J783" s="102"/>
      <c r="K783" s="102"/>
      <c r="L783" s="102"/>
    </row>
    <row r="784">
      <c r="A784" s="102" t="str">
        <f>IFERROR(__xludf.DUMMYFUNCTION("""COMPUTED_VALUE"""),"Maliwan")</f>
        <v>Maliwan</v>
      </c>
      <c r="B784" s="102" t="str">
        <f>IFERROR(__xludf.DUMMYFUNCTION("""COMPUTED_VALUE"""),"Sniper")</f>
        <v>Sniper</v>
      </c>
      <c r="C784" s="103">
        <f>IFERROR(__xludf.DUMMYFUNCTION("""COMPUTED_VALUE"""),25.0)</f>
        <v>25</v>
      </c>
      <c r="D784" s="102" t="str">
        <f>IFERROR(__xludf.DUMMYFUNCTION("""COMPUTED_VALUE"""),"Stat Modifier")</f>
        <v>Stat Modifier</v>
      </c>
      <c r="E784" s="102" t="str">
        <f>IFERROR(__xludf.DUMMYFUNCTION("""COMPUTED_VALUE"""),"MAL_SR.part_mag_ted_thrown_05_bor")</f>
        <v>MAL_SR.part_mag_ted_thrown_05_bor</v>
      </c>
      <c r="F784" s="102"/>
      <c r="G784" s="102" t="str">
        <f>IFERROR(__xludf.DUMMYFUNCTION("""COMPUTED_VALUE"""),"3.0s Reload")</f>
        <v>3.0s Reload</v>
      </c>
      <c r="H784" s="102"/>
      <c r="I784" s="102"/>
      <c r="J784" s="102"/>
      <c r="K784" s="102"/>
      <c r="L784" s="102"/>
    </row>
    <row r="785">
      <c r="A785" s="102" t="str">
        <f>IFERROR(__xludf.DUMMYFUNCTION("""COMPUTED_VALUE"""),"Maliwan")</f>
        <v>Maliwan</v>
      </c>
      <c r="B785" s="102" t="str">
        <f>IFERROR(__xludf.DUMMYFUNCTION("""COMPUTED_VALUE"""),"Sniper")</f>
        <v>Sniper</v>
      </c>
      <c r="C785" s="103">
        <f>IFERROR(__xludf.DUMMYFUNCTION("""COMPUTED_VALUE"""),26.0)</f>
        <v>26</v>
      </c>
      <c r="D785" s="102" t="str">
        <f>IFERROR(__xludf.DUMMYFUNCTION("""COMPUTED_VALUE"""),"Scope")</f>
        <v>Scope</v>
      </c>
      <c r="E785" s="102" t="str">
        <f>IFERROR(__xludf.DUMMYFUNCTION("""COMPUTED_VALUE"""),"MAL_SR.part_scope_ironsight")</f>
        <v>MAL_SR.part_scope_ironsight</v>
      </c>
      <c r="F785" s="102"/>
      <c r="G785" s="102" t="str">
        <f>IFERROR(__xludf.DUMMYFUNCTION("""COMPUTED_VALUE"""),"ADS")</f>
        <v>ADS</v>
      </c>
      <c r="H785" s="102"/>
      <c r="I785" s="102"/>
      <c r="J785" s="102"/>
      <c r="K785" s="102"/>
      <c r="L785" s="102"/>
    </row>
    <row r="786">
      <c r="A786" s="102" t="str">
        <f>IFERROR(__xludf.DUMMYFUNCTION("""COMPUTED_VALUE"""),"Maliwan")</f>
        <v>Maliwan</v>
      </c>
      <c r="B786" s="102" t="str">
        <f>IFERROR(__xludf.DUMMYFUNCTION("""COMPUTED_VALUE"""),"Sniper")</f>
        <v>Sniper</v>
      </c>
      <c r="C786" s="103">
        <f>IFERROR(__xludf.DUMMYFUNCTION("""COMPUTED_VALUE"""),27.0)</f>
        <v>27</v>
      </c>
      <c r="D786" s="102" t="str">
        <f>IFERROR(__xludf.DUMMYFUNCTION("""COMPUTED_VALUE"""),"Scope")</f>
        <v>Scope</v>
      </c>
      <c r="E786" s="102" t="str">
        <f>IFERROR(__xludf.DUMMYFUNCTION("""COMPUTED_VALUE"""),"MAL_SR.part_scope_01_lens_01")</f>
        <v>MAL_SR.part_scope_01_lens_01</v>
      </c>
      <c r="F786" s="102"/>
      <c r="G786" s="102" t="str">
        <f>IFERROR(__xludf.DUMMYFUNCTION("""COMPUTED_VALUE"""),"ADS +Zoom")</f>
        <v>ADS +Zoom</v>
      </c>
      <c r="H786" s="102" t="str">
        <f>IFERROR(__xludf.DUMMYFUNCTION("""COMPUTED_VALUE"""),"Sniper Scope")</f>
        <v>Sniper Scope</v>
      </c>
      <c r="I786" s="102"/>
      <c r="J786" s="102"/>
      <c r="K786" s="102"/>
      <c r="L786" s="102"/>
    </row>
    <row r="787">
      <c r="A787" s="102" t="str">
        <f>IFERROR(__xludf.DUMMYFUNCTION("""COMPUTED_VALUE"""),"Maliwan")</f>
        <v>Maliwan</v>
      </c>
      <c r="B787" s="102" t="str">
        <f>IFERROR(__xludf.DUMMYFUNCTION("""COMPUTED_VALUE"""),"Sniper")</f>
        <v>Sniper</v>
      </c>
      <c r="C787" s="103">
        <f>IFERROR(__xludf.DUMMYFUNCTION("""COMPUTED_VALUE"""),28.0)</f>
        <v>28</v>
      </c>
      <c r="D787" s="102" t="str">
        <f>IFERROR(__xludf.DUMMYFUNCTION("""COMPUTED_VALUE"""),"Scope")</f>
        <v>Scope</v>
      </c>
      <c r="E787" s="102" t="str">
        <f>IFERROR(__xludf.DUMMYFUNCTION("""COMPUTED_VALUE"""),"MAL_SR.part_scope_01_lens_02")</f>
        <v>MAL_SR.part_scope_01_lens_02</v>
      </c>
      <c r="F787" s="102"/>
      <c r="G787" s="102" t="str">
        <f>IFERROR(__xludf.DUMMYFUNCTION("""COMPUTED_VALUE"""),"ADS ++Zoom")</f>
        <v>ADS ++Zoom</v>
      </c>
      <c r="H787" s="102" t="str">
        <f>IFERROR(__xludf.DUMMYFUNCTION("""COMPUTED_VALUE"""),"Sniper Scope")</f>
        <v>Sniper Scope</v>
      </c>
      <c r="I787" s="102"/>
      <c r="J787" s="102"/>
      <c r="K787" s="102"/>
      <c r="L787" s="102"/>
    </row>
    <row r="788">
      <c r="A788" s="102" t="str">
        <f>IFERROR(__xludf.DUMMYFUNCTION("""COMPUTED_VALUE"""),"Maliwan")</f>
        <v>Maliwan</v>
      </c>
      <c r="B788" s="102" t="str">
        <f>IFERROR(__xludf.DUMMYFUNCTION("""COMPUTED_VALUE"""),"Sniper")</f>
        <v>Sniper</v>
      </c>
      <c r="C788" s="103">
        <f>IFERROR(__xludf.DUMMYFUNCTION("""COMPUTED_VALUE"""),29.0)</f>
        <v>29</v>
      </c>
      <c r="D788" s="102" t="str">
        <f>IFERROR(__xludf.DUMMYFUNCTION("""COMPUTED_VALUE"""),"Scope")</f>
        <v>Scope</v>
      </c>
      <c r="E788" s="102" t="str">
        <f>IFERROR(__xludf.DUMMYFUNCTION("""COMPUTED_VALUE"""),"MAL_SR.part_scope_02_lens_01")</f>
        <v>MAL_SR.part_scope_02_lens_01</v>
      </c>
      <c r="F788" s="102"/>
      <c r="G788" s="102" t="str">
        <f>IFERROR(__xludf.DUMMYFUNCTION("""COMPUTED_VALUE"""),"ADS +++Zoom")</f>
        <v>ADS +++Zoom</v>
      </c>
      <c r="H788" s="102" t="str">
        <f>IFERROR(__xludf.DUMMYFUNCTION("""COMPUTED_VALUE"""),"Sniper Scope")</f>
        <v>Sniper Scope</v>
      </c>
      <c r="I788" s="102"/>
      <c r="J788" s="102"/>
      <c r="K788" s="102"/>
      <c r="L788" s="102"/>
    </row>
    <row r="789">
      <c r="A789" s="102" t="str">
        <f>IFERROR(__xludf.DUMMYFUNCTION("""COMPUTED_VALUE"""),"Maliwan")</f>
        <v>Maliwan</v>
      </c>
      <c r="B789" s="102" t="str">
        <f>IFERROR(__xludf.DUMMYFUNCTION("""COMPUTED_VALUE"""),"Sniper")</f>
        <v>Sniper</v>
      </c>
      <c r="C789" s="103">
        <f>IFERROR(__xludf.DUMMYFUNCTION("""COMPUTED_VALUE"""),30.0)</f>
        <v>30</v>
      </c>
      <c r="D789" s="102" t="str">
        <f>IFERROR(__xludf.DUMMYFUNCTION("""COMPUTED_VALUE"""),"Scope")</f>
        <v>Scope</v>
      </c>
      <c r="E789" s="102" t="str">
        <f>IFERROR(__xludf.DUMMYFUNCTION("""COMPUTED_VALUE"""),"MAL_SR.part_scope_02_lens_02")</f>
        <v>MAL_SR.part_scope_02_lens_02</v>
      </c>
      <c r="F789" s="102"/>
      <c r="G789" s="102" t="str">
        <f>IFERROR(__xludf.DUMMYFUNCTION("""COMPUTED_VALUE"""),"ADS ++Zoom")</f>
        <v>ADS ++Zoom</v>
      </c>
      <c r="H789" s="102"/>
      <c r="I789" s="102"/>
      <c r="J789" s="102"/>
      <c r="K789" s="102"/>
      <c r="L789" s="102"/>
    </row>
    <row r="790">
      <c r="A790" s="102" t="str">
        <f>IFERROR(__xludf.DUMMYFUNCTION("""COMPUTED_VALUE"""),"Maliwan")</f>
        <v>Maliwan</v>
      </c>
      <c r="B790" s="102" t="str">
        <f>IFERROR(__xludf.DUMMYFUNCTION("""COMPUTED_VALUE"""),"Sniper")</f>
        <v>Sniper</v>
      </c>
      <c r="C790" s="103">
        <f>IFERROR(__xludf.DUMMYFUNCTION("""COMPUTED_VALUE"""),31.0)</f>
        <v>31</v>
      </c>
      <c r="D790" s="102" t="str">
        <f>IFERROR(__xludf.DUMMYFUNCTION("""COMPUTED_VALUE"""),"Scope Accessory")</f>
        <v>Scope Accessory</v>
      </c>
      <c r="E790" s="102" t="str">
        <f>IFERROR(__xludf.DUMMYFUNCTION("""COMPUTED_VALUE"""),"MAL_SR.part_scope_acc_s01_l01_a")</f>
        <v>MAL_SR.part_scope_acc_s01_l01_a</v>
      </c>
      <c r="F790" s="102"/>
      <c r="G790" s="102" t="str">
        <f>IFERROR(__xludf.DUMMYFUNCTION("""COMPUTED_VALUE"""),"+Damage")</f>
        <v>+Damage</v>
      </c>
      <c r="H790" s="102" t="str">
        <f>IFERROR(__xludf.DUMMYFUNCTION("""COMPUTED_VALUE"""),"HUD Elements")</f>
        <v>HUD Elements</v>
      </c>
      <c r="I790" s="102"/>
      <c r="J790" s="102"/>
      <c r="K790" s="102"/>
      <c r="L790" s="102"/>
    </row>
    <row r="791">
      <c r="A791" s="102" t="str">
        <f>IFERROR(__xludf.DUMMYFUNCTION("""COMPUTED_VALUE"""),"Maliwan")</f>
        <v>Maliwan</v>
      </c>
      <c r="B791" s="102" t="str">
        <f>IFERROR(__xludf.DUMMYFUNCTION("""COMPUTED_VALUE"""),"Sniper")</f>
        <v>Sniper</v>
      </c>
      <c r="C791" s="103">
        <f>IFERROR(__xludf.DUMMYFUNCTION("""COMPUTED_VALUE"""),32.0)</f>
        <v>32</v>
      </c>
      <c r="D791" s="102" t="str">
        <f>IFERROR(__xludf.DUMMYFUNCTION("""COMPUTED_VALUE"""),"Scope Accessory")</f>
        <v>Scope Accessory</v>
      </c>
      <c r="E791" s="102" t="str">
        <f>IFERROR(__xludf.DUMMYFUNCTION("""COMPUTED_VALUE"""),"MAL_SR.part_scope_acc_s01_l01_b")</f>
        <v>MAL_SR.part_scope_acc_s01_l01_b</v>
      </c>
      <c r="F791" s="102"/>
      <c r="G791" s="102" t="str">
        <f>IFERROR(__xludf.DUMMYFUNCTION("""COMPUTED_VALUE"""),"-Reload Speed")</f>
        <v>-Reload Speed</v>
      </c>
      <c r="H791" s="102" t="str">
        <f>IFERROR(__xludf.DUMMYFUNCTION("""COMPUTED_VALUE"""),"Mag Counter Gauge, Distance")</f>
        <v>Mag Counter Gauge, Distance</v>
      </c>
      <c r="I791" s="102"/>
      <c r="J791" s="102"/>
      <c r="K791" s="102"/>
      <c r="L791" s="102"/>
    </row>
    <row r="792">
      <c r="A792" s="102" t="str">
        <f>IFERROR(__xludf.DUMMYFUNCTION("""COMPUTED_VALUE"""),"Maliwan")</f>
        <v>Maliwan</v>
      </c>
      <c r="B792" s="102" t="str">
        <f>IFERROR(__xludf.DUMMYFUNCTION("""COMPUTED_VALUE"""),"Sniper")</f>
        <v>Sniper</v>
      </c>
      <c r="C792" s="103">
        <f>IFERROR(__xludf.DUMMYFUNCTION("""COMPUTED_VALUE"""),33.0)</f>
        <v>33</v>
      </c>
      <c r="D792" s="102" t="str">
        <f>IFERROR(__xludf.DUMMYFUNCTION("""COMPUTED_VALUE"""),"Scope Accessory")</f>
        <v>Scope Accessory</v>
      </c>
      <c r="E792" s="102" t="str">
        <f>IFERROR(__xludf.DUMMYFUNCTION("""COMPUTED_VALUE"""),"MAL_SR.part_scope_acc_s02_l01_a")</f>
        <v>MAL_SR.part_scope_acc_s02_l01_a</v>
      </c>
      <c r="F792" s="102"/>
      <c r="G792" s="102" t="str">
        <f>IFERROR(__xludf.DUMMYFUNCTION("""COMPUTED_VALUE"""),"No Stat Changes")</f>
        <v>No Stat Changes</v>
      </c>
      <c r="H792" s="102" t="str">
        <f>IFERROR(__xludf.DUMMYFUNCTION("""COMPUTED_VALUE"""),"HUD Elements")</f>
        <v>HUD Elements</v>
      </c>
      <c r="I792" s="102"/>
      <c r="J792" s="102"/>
      <c r="K792" s="102"/>
      <c r="L792" s="102"/>
    </row>
    <row r="793">
      <c r="A793" s="102" t="str">
        <f>IFERROR(__xludf.DUMMYFUNCTION("""COMPUTED_VALUE"""),"Maliwan")</f>
        <v>Maliwan</v>
      </c>
      <c r="B793" s="102" t="str">
        <f>IFERROR(__xludf.DUMMYFUNCTION("""COMPUTED_VALUE"""),"Sniper")</f>
        <v>Sniper</v>
      </c>
      <c r="C793" s="103">
        <f>IFERROR(__xludf.DUMMYFUNCTION("""COMPUTED_VALUE"""),34.0)</f>
        <v>34</v>
      </c>
      <c r="D793" s="102" t="str">
        <f>IFERROR(__xludf.DUMMYFUNCTION("""COMPUTED_VALUE"""),"Scope Accessory")</f>
        <v>Scope Accessory</v>
      </c>
      <c r="E793" s="102" t="str">
        <f>IFERROR(__xludf.DUMMYFUNCTION("""COMPUTED_VALUE"""),"MAL_SR.part_scope_acc_s02_l01_b")</f>
        <v>MAL_SR.part_scope_acc_s02_l01_b</v>
      </c>
      <c r="F793" s="102"/>
      <c r="G793" s="102" t="str">
        <f>IFERROR(__xludf.DUMMYFUNCTION("""COMPUTED_VALUE"""),"No Stat Changes")</f>
        <v>No Stat Changes</v>
      </c>
      <c r="H793" s="102" t="str">
        <f>IFERROR(__xludf.DUMMYFUNCTION("""COMPUTED_VALUE"""),"Mag Counter Gauge")</f>
        <v>Mag Counter Gauge</v>
      </c>
      <c r="I793" s="102"/>
      <c r="J793" s="102"/>
      <c r="K793" s="102"/>
      <c r="L793" s="102"/>
    </row>
    <row r="794">
      <c r="A794" s="102" t="str">
        <f>IFERROR(__xludf.DUMMYFUNCTION("""COMPUTED_VALUE"""),"Maliwan")</f>
        <v>Maliwan</v>
      </c>
      <c r="B794" s="102" t="str">
        <f>IFERROR(__xludf.DUMMYFUNCTION("""COMPUTED_VALUE"""),"Sniper")</f>
        <v>Sniper</v>
      </c>
      <c r="C794" s="103">
        <f>IFERROR(__xludf.DUMMYFUNCTION("""COMPUTED_VALUE"""),35.0)</f>
        <v>35</v>
      </c>
      <c r="D794" s="102" t="str">
        <f>IFERROR(__xludf.DUMMYFUNCTION("""COMPUTED_VALUE"""),"Scope Accessory")</f>
        <v>Scope Accessory</v>
      </c>
      <c r="E794" s="102" t="str">
        <f>IFERROR(__xludf.DUMMYFUNCTION("""COMPUTED_VALUE"""),"MAL_SR.part_scope_acc_s01_l02_a")</f>
        <v>MAL_SR.part_scope_acc_s01_l02_a</v>
      </c>
      <c r="F794" s="102"/>
      <c r="G794" s="102" t="str">
        <f>IFERROR(__xludf.DUMMYFUNCTION("""COMPUTED_VALUE"""),"+Damage")</f>
        <v>+Damage</v>
      </c>
      <c r="H794" s="102" t="str">
        <f>IFERROR(__xludf.DUMMYFUNCTION("""COMPUTED_VALUE"""),"HUD Elements")</f>
        <v>HUD Elements</v>
      </c>
      <c r="I794" s="102"/>
      <c r="J794" s="102"/>
      <c r="K794" s="102"/>
      <c r="L794" s="102"/>
    </row>
    <row r="795">
      <c r="A795" s="102" t="str">
        <f>IFERROR(__xludf.DUMMYFUNCTION("""COMPUTED_VALUE"""),"Maliwan")</f>
        <v>Maliwan</v>
      </c>
      <c r="B795" s="102" t="str">
        <f>IFERROR(__xludf.DUMMYFUNCTION("""COMPUTED_VALUE"""),"Sniper")</f>
        <v>Sniper</v>
      </c>
      <c r="C795" s="103">
        <f>IFERROR(__xludf.DUMMYFUNCTION("""COMPUTED_VALUE"""),36.0)</f>
        <v>36</v>
      </c>
      <c r="D795" s="102" t="str">
        <f>IFERROR(__xludf.DUMMYFUNCTION("""COMPUTED_VALUE"""),"Scope Accessory")</f>
        <v>Scope Accessory</v>
      </c>
      <c r="E795" s="102" t="str">
        <f>IFERROR(__xludf.DUMMYFUNCTION("""COMPUTED_VALUE"""),"MAL_SR.part_scope_acc_s01_l02_b")</f>
        <v>MAL_SR.part_scope_acc_s01_l02_b</v>
      </c>
      <c r="F795" s="102"/>
      <c r="G795" s="102" t="str">
        <f>IFERROR(__xludf.DUMMYFUNCTION("""COMPUTED_VALUE"""),"-Reload Speed")</f>
        <v>-Reload Speed</v>
      </c>
      <c r="H795" s="102" t="str">
        <f>IFERROR(__xludf.DUMMYFUNCTION("""COMPUTED_VALUE"""),"Mag Counter Gauge")</f>
        <v>Mag Counter Gauge</v>
      </c>
      <c r="I795" s="102"/>
      <c r="J795" s="102"/>
      <c r="K795" s="102"/>
      <c r="L795" s="102"/>
    </row>
    <row r="796">
      <c r="A796" s="102" t="str">
        <f>IFERROR(__xludf.DUMMYFUNCTION("""COMPUTED_VALUE"""),"Maliwan")</f>
        <v>Maliwan</v>
      </c>
      <c r="B796" s="102" t="str">
        <f>IFERROR(__xludf.DUMMYFUNCTION("""COMPUTED_VALUE"""),"Sniper")</f>
        <v>Sniper</v>
      </c>
      <c r="C796" s="103">
        <f>IFERROR(__xludf.DUMMYFUNCTION("""COMPUTED_VALUE"""),37.0)</f>
        <v>37</v>
      </c>
      <c r="D796" s="102" t="str">
        <f>IFERROR(__xludf.DUMMYFUNCTION("""COMPUTED_VALUE"""),"Scope Accessory")</f>
        <v>Scope Accessory</v>
      </c>
      <c r="E796" s="102" t="str">
        <f>IFERROR(__xludf.DUMMYFUNCTION("""COMPUTED_VALUE"""),"MAL_SR.part_scope_acc_s02_l02_a")</f>
        <v>MAL_SR.part_scope_acc_s02_l02_a</v>
      </c>
      <c r="F796" s="102"/>
      <c r="G796" s="102" t="str">
        <f>IFERROR(__xludf.DUMMYFUNCTION("""COMPUTED_VALUE"""),"No Stat Changes")</f>
        <v>No Stat Changes</v>
      </c>
      <c r="H796" s="102" t="str">
        <f>IFERROR(__xludf.DUMMYFUNCTION("""COMPUTED_VALUE"""),"HUD Elements")</f>
        <v>HUD Elements</v>
      </c>
      <c r="I796" s="102"/>
      <c r="J796" s="102"/>
      <c r="K796" s="102"/>
      <c r="L796" s="102"/>
    </row>
    <row r="797">
      <c r="A797" s="102" t="str">
        <f>IFERROR(__xludf.DUMMYFUNCTION("""COMPUTED_VALUE"""),"Maliwan")</f>
        <v>Maliwan</v>
      </c>
      <c r="B797" s="102" t="str">
        <f>IFERROR(__xludf.DUMMYFUNCTION("""COMPUTED_VALUE"""),"Sniper")</f>
        <v>Sniper</v>
      </c>
      <c r="C797" s="103">
        <f>IFERROR(__xludf.DUMMYFUNCTION("""COMPUTED_VALUE"""),38.0)</f>
        <v>38</v>
      </c>
      <c r="D797" s="102" t="str">
        <f>IFERROR(__xludf.DUMMYFUNCTION("""COMPUTED_VALUE"""),"Scope Accessory")</f>
        <v>Scope Accessory</v>
      </c>
      <c r="E797" s="102" t="str">
        <f>IFERROR(__xludf.DUMMYFUNCTION("""COMPUTED_VALUE"""),"MAL_SR.part_scope_acc_s02_l02_b")</f>
        <v>MAL_SR.part_scope_acc_s02_l02_b</v>
      </c>
      <c r="F797" s="102"/>
      <c r="G797" s="102" t="str">
        <f>IFERROR(__xludf.DUMMYFUNCTION("""COMPUTED_VALUE"""),"No Stat Changes")</f>
        <v>No Stat Changes</v>
      </c>
      <c r="H797" s="102" t="str">
        <f>IFERROR(__xludf.DUMMYFUNCTION("""COMPUTED_VALUE"""),"Mag Counter Gauge")</f>
        <v>Mag Counter Gauge</v>
      </c>
      <c r="I797" s="102"/>
      <c r="J797" s="102"/>
      <c r="K797" s="102"/>
      <c r="L797" s="102"/>
    </row>
    <row r="798">
      <c r="A798" s="102" t="str">
        <f>IFERROR(__xludf.DUMMYFUNCTION("""COMPUTED_VALUE"""),"Maliwan")</f>
        <v>Maliwan</v>
      </c>
      <c r="B798" s="102" t="str">
        <f>IFERROR(__xludf.DUMMYFUNCTION("""COMPUTED_VALUE"""),"Sniper")</f>
        <v>Sniper</v>
      </c>
      <c r="C798" s="103">
        <f>IFERROR(__xludf.DUMMYFUNCTION("""COMPUTED_VALUE"""),39.0)</f>
        <v>39</v>
      </c>
      <c r="D798" s="102" t="str">
        <f>IFERROR(__xludf.DUMMYFUNCTION("""COMPUTED_VALUE"""),"Grip")</f>
        <v>Grip</v>
      </c>
      <c r="E798" s="102" t="str">
        <f>IFERROR(__xludf.DUMMYFUNCTION("""COMPUTED_VALUE"""),"MAL_SR.part_grip_05c_ted_jav")</f>
        <v>MAL_SR.part_grip_05c_ted_jav</v>
      </c>
      <c r="F798" s="102"/>
      <c r="G798" s="102" t="str">
        <f>IFERROR(__xludf.DUMMYFUNCTION("""COMPUTED_VALUE"""),"Tediore reload modifier: Javelin, no stat changes")</f>
        <v>Tediore reload modifier: Javelin, no stat changes</v>
      </c>
      <c r="H798" s="102"/>
      <c r="I798" s="102"/>
      <c r="J798" s="102"/>
      <c r="K798" s="102"/>
      <c r="L798" s="102"/>
    </row>
    <row r="799">
      <c r="A799" s="102" t="str">
        <f>IFERROR(__xludf.DUMMYFUNCTION("""COMPUTED_VALUE"""),"Maliwan")</f>
        <v>Maliwan</v>
      </c>
      <c r="B799" s="102" t="str">
        <f>IFERROR(__xludf.DUMMYFUNCTION("""COMPUTED_VALUE"""),"Sniper")</f>
        <v>Sniper</v>
      </c>
      <c r="C799" s="103">
        <f>IFERROR(__xludf.DUMMYFUNCTION("""COMPUTED_VALUE"""),40.0)</f>
        <v>40</v>
      </c>
      <c r="D799" s="102" t="str">
        <f>IFERROR(__xludf.DUMMYFUNCTION("""COMPUTED_VALUE"""),"Grip")</f>
        <v>Grip</v>
      </c>
      <c r="E799" s="102" t="str">
        <f>IFERROR(__xludf.DUMMYFUNCTION("""COMPUTED_VALUE"""),"MAL_SR.part_grip_05b_ted_homing")</f>
        <v>MAL_SR.part_grip_05b_ted_homing</v>
      </c>
      <c r="F799" s="102"/>
      <c r="G799" s="102" t="str">
        <f>IFERROR(__xludf.DUMMYFUNCTION("""COMPUTED_VALUE"""),"Tediore reload modifier: Homing, no stat changes")</f>
        <v>Tediore reload modifier: Homing, no stat changes</v>
      </c>
      <c r="H799" s="102"/>
      <c r="I799" s="102"/>
      <c r="J799" s="102"/>
      <c r="K799" s="102"/>
      <c r="L799" s="102"/>
    </row>
    <row r="800">
      <c r="A800" s="102" t="str">
        <f>IFERROR(__xludf.DUMMYFUNCTION("""COMPUTED_VALUE"""),"Maliwan")</f>
        <v>Maliwan</v>
      </c>
      <c r="B800" s="102" t="str">
        <f>IFERROR(__xludf.DUMMYFUNCTION("""COMPUTED_VALUE"""),"Sniper")</f>
        <v>Sniper</v>
      </c>
      <c r="C800" s="103">
        <f>IFERROR(__xludf.DUMMYFUNCTION("""COMPUTED_VALUE"""),41.0)</f>
        <v>41</v>
      </c>
      <c r="D800" s="102" t="str">
        <f>IFERROR(__xludf.DUMMYFUNCTION("""COMPUTED_VALUE"""),"Grip")</f>
        <v>Grip</v>
      </c>
      <c r="E800" s="102" t="str">
        <f>IFERROR(__xludf.DUMMYFUNCTION("""COMPUTED_VALUE"""),"MAL_SR.part_grip_05a_ted_legs")</f>
        <v>MAL_SR.part_grip_05a_ted_legs</v>
      </c>
      <c r="F800" s="102"/>
      <c r="G800" s="102" t="str">
        <f>IFERROR(__xludf.DUMMYFUNCTION("""COMPUTED_VALUE"""),"Tediore reload modifier: Legs, no stat changes")</f>
        <v>Tediore reload modifier: Legs, no stat changes</v>
      </c>
      <c r="H800" s="102"/>
      <c r="I800" s="102"/>
      <c r="J800" s="102"/>
      <c r="K800" s="102"/>
      <c r="L800" s="102"/>
    </row>
    <row r="801">
      <c r="A801" s="102" t="str">
        <f>IFERROR(__xludf.DUMMYFUNCTION("""COMPUTED_VALUE"""),"Maliwan")</f>
        <v>Maliwan</v>
      </c>
      <c r="B801" s="102" t="str">
        <f>IFERROR(__xludf.DUMMYFUNCTION("""COMPUTED_VALUE"""),"Sniper")</f>
        <v>Sniper</v>
      </c>
      <c r="C801" s="103">
        <f>IFERROR(__xludf.DUMMYFUNCTION("""COMPUTED_VALUE"""),42.0)</f>
        <v>42</v>
      </c>
      <c r="D801" s="102" t="str">
        <f>IFERROR(__xludf.DUMMYFUNCTION("""COMPUTED_VALUE"""),"Grip")</f>
        <v>Grip</v>
      </c>
      <c r="E801" s="102" t="str">
        <f>IFERROR(__xludf.DUMMYFUNCTION("""COMPUTED_VALUE"""),"MAL_SR.part_grip_04_hyp")</f>
        <v>MAL_SR.part_grip_04_hyp</v>
      </c>
      <c r="F801" s="102"/>
      <c r="G801" s="102" t="str">
        <f>IFERROR(__xludf.DUMMYFUNCTION("""COMPUTED_VALUE"""),"Hyperion Grip, -Acc, Acc increases with continuous fire")</f>
        <v>Hyperion Grip, -Acc, Acc increases with continuous fire</v>
      </c>
      <c r="H801" s="102"/>
      <c r="I801" s="102"/>
      <c r="J801" s="102"/>
      <c r="K801" s="102"/>
      <c r="L801" s="102"/>
    </row>
    <row r="802">
      <c r="A802" s="102" t="str">
        <f>IFERROR(__xludf.DUMMYFUNCTION("""COMPUTED_VALUE"""),"Maliwan")</f>
        <v>Maliwan</v>
      </c>
      <c r="B802" s="102" t="str">
        <f>IFERROR(__xludf.DUMMYFUNCTION("""COMPUTED_VALUE"""),"Sniper")</f>
        <v>Sniper</v>
      </c>
      <c r="C802" s="103">
        <f>IFERROR(__xludf.DUMMYFUNCTION("""COMPUTED_VALUE"""),43.0)</f>
        <v>43</v>
      </c>
      <c r="D802" s="102" t="str">
        <f>IFERROR(__xludf.DUMMYFUNCTION("""COMPUTED_VALUE"""),"Grip")</f>
        <v>Grip</v>
      </c>
      <c r="E802" s="102" t="str">
        <f>IFERROR(__xludf.DUMMYFUNCTION("""COMPUTED_VALUE"""),"MAL_SR.part_grip_01")</f>
        <v>MAL_SR.part_grip_01</v>
      </c>
      <c r="F802" s="102"/>
      <c r="G802" s="102" t="str">
        <f>IFERROR(__xludf.DUMMYFUNCTION("""COMPUTED_VALUE"""),"+Damage")</f>
        <v>+Damage</v>
      </c>
      <c r="H802" s="102"/>
      <c r="I802" s="102"/>
      <c r="J802" s="102"/>
      <c r="K802" s="102"/>
      <c r="L802" s="102"/>
    </row>
    <row r="803">
      <c r="A803" s="102" t="str">
        <f>IFERROR(__xludf.DUMMYFUNCTION("""COMPUTED_VALUE"""),"Maliwan")</f>
        <v>Maliwan</v>
      </c>
      <c r="B803" s="102" t="str">
        <f>IFERROR(__xludf.DUMMYFUNCTION("""COMPUTED_VALUE"""),"Sniper")</f>
        <v>Sniper</v>
      </c>
      <c r="C803" s="103">
        <f>IFERROR(__xludf.DUMMYFUNCTION("""COMPUTED_VALUE"""),44.0)</f>
        <v>44</v>
      </c>
      <c r="D803" s="102" t="str">
        <f>IFERROR(__xludf.DUMMYFUNCTION("""COMPUTED_VALUE"""),"Grip")</f>
        <v>Grip</v>
      </c>
      <c r="E803" s="102" t="str">
        <f>IFERROR(__xludf.DUMMYFUNCTION("""COMPUTED_VALUE"""),"MAL_SR.part_grip_02")</f>
        <v>MAL_SR.part_grip_02</v>
      </c>
      <c r="F803" s="102"/>
      <c r="G803" s="102" t="str">
        <f>IFERROR(__xludf.DUMMYFUNCTION("""COMPUTED_VALUE"""),"+Fire Rate")</f>
        <v>+Fire Rate</v>
      </c>
      <c r="H803" s="102"/>
      <c r="I803" s="102"/>
      <c r="J803" s="102"/>
      <c r="K803" s="102"/>
      <c r="L803" s="102"/>
    </row>
    <row r="804">
      <c r="A804" s="102" t="str">
        <f>IFERROR(__xludf.DUMMYFUNCTION("""COMPUTED_VALUE"""),"Maliwan")</f>
        <v>Maliwan</v>
      </c>
      <c r="B804" s="102" t="str">
        <f>IFERROR(__xludf.DUMMYFUNCTION("""COMPUTED_VALUE"""),"Sniper")</f>
        <v>Sniper</v>
      </c>
      <c r="C804" s="103">
        <f>IFERROR(__xludf.DUMMYFUNCTION("""COMPUTED_VALUE"""),45.0)</f>
        <v>45</v>
      </c>
      <c r="D804" s="102" t="str">
        <f>IFERROR(__xludf.DUMMYFUNCTION("""COMPUTED_VALUE"""),"Grip")</f>
        <v>Grip</v>
      </c>
      <c r="E804" s="102" t="str">
        <f>IFERROR(__xludf.DUMMYFUNCTION("""COMPUTED_VALUE"""),"MAL_SR.part_grip_03")</f>
        <v>MAL_SR.part_grip_03</v>
      </c>
      <c r="F804" s="102"/>
      <c r="G804" s="102" t="str">
        <f>IFERROR(__xludf.DUMMYFUNCTION("""COMPUTED_VALUE"""),"-Reload Speed")</f>
        <v>-Reload Speed</v>
      </c>
      <c r="H804" s="102"/>
      <c r="I804" s="102"/>
      <c r="J804" s="102"/>
      <c r="K804" s="102"/>
      <c r="L804" s="102"/>
    </row>
    <row r="805">
      <c r="A805" s="102" t="str">
        <f>IFERROR(__xludf.DUMMYFUNCTION("""COMPUTED_VALUE"""),"Maliwan")</f>
        <v>Maliwan</v>
      </c>
      <c r="B805" s="102" t="str">
        <f>IFERROR(__xludf.DUMMYFUNCTION("""COMPUTED_VALUE"""),"Sniper")</f>
        <v>Sniper</v>
      </c>
      <c r="C805" s="103">
        <f>IFERROR(__xludf.DUMMYFUNCTION("""COMPUTED_VALUE"""),46.0)</f>
        <v>46</v>
      </c>
      <c r="D805" s="102" t="str">
        <f>IFERROR(__xludf.DUMMYFUNCTION("""COMPUTED_VALUE"""),"Underbarrel")</f>
        <v>Underbarrel</v>
      </c>
      <c r="E805" s="102" t="str">
        <f>IFERROR(__xludf.DUMMYFUNCTION("""COMPUTED_VALUE"""),"MAL_SR.part_underbarrel_05_ammoswitcher")</f>
        <v>MAL_SR.part_underbarrel_05_ammoswitcher</v>
      </c>
      <c r="F805" s="102"/>
      <c r="G805" s="102" t="str">
        <f>IFERROR(__xludf.DUMMYFUNCTION("""COMPUTED_VALUE"""),"Daedalus Ammo Switch")</f>
        <v>Daedalus Ammo Switch</v>
      </c>
      <c r="H805" s="102" t="str">
        <f>IFERROR(__xludf.DUMMYFUNCTION("""COMPUTED_VALUE"""),"Used for Daedalus Ammo switch")</f>
        <v>Used for Daedalus Ammo switch</v>
      </c>
      <c r="I805" s="102"/>
      <c r="J805" s="102"/>
      <c r="K805" s="102"/>
      <c r="L805" s="102"/>
    </row>
    <row r="806">
      <c r="A806" s="102" t="str">
        <f>IFERROR(__xludf.DUMMYFUNCTION("""COMPUTED_VALUE"""),"Maliwan")</f>
        <v>Maliwan</v>
      </c>
      <c r="B806" s="102" t="str">
        <f>IFERROR(__xludf.DUMMYFUNCTION("""COMPUTED_VALUE"""),"Sniper")</f>
        <v>Sniper</v>
      </c>
      <c r="C806" s="103">
        <f>IFERROR(__xludf.DUMMYFUNCTION("""COMPUTED_VALUE"""),47.0)</f>
        <v>47</v>
      </c>
      <c r="D806" s="102" t="str">
        <f>IFERROR(__xludf.DUMMYFUNCTION("""COMPUTED_VALUE"""),"Underbarrel")</f>
        <v>Underbarrel</v>
      </c>
      <c r="E806" s="102" t="str">
        <f>IFERROR(__xludf.DUMMYFUNCTION("""COMPUTED_VALUE"""),"MAL_SR.part_underbarrel_04_atlas_ball")</f>
        <v>MAL_SR.part_underbarrel_04_atlas_ball</v>
      </c>
      <c r="F806" s="102"/>
      <c r="G806" s="102" t="str">
        <f>IFERROR(__xludf.DUMMYFUNCTION("""COMPUTED_VALUE"""),"Atlas Tracker Grenades")</f>
        <v>Atlas Tracker Grenades</v>
      </c>
      <c r="H806" s="102"/>
      <c r="I806" s="102"/>
      <c r="J806" s="102"/>
      <c r="K806" s="102"/>
      <c r="L806" s="102"/>
    </row>
    <row r="807">
      <c r="A807" s="102" t="str">
        <f>IFERROR(__xludf.DUMMYFUNCTION("""COMPUTED_VALUE"""),"Maliwan")</f>
        <v>Maliwan</v>
      </c>
      <c r="B807" s="102" t="str">
        <f>IFERROR(__xludf.DUMMYFUNCTION("""COMPUTED_VALUE"""),"Sniper")</f>
        <v>Sniper</v>
      </c>
      <c r="C807" s="103">
        <f>IFERROR(__xludf.DUMMYFUNCTION("""COMPUTED_VALUE"""),48.0)</f>
        <v>48</v>
      </c>
      <c r="D807" s="102" t="str">
        <f>IFERROR(__xludf.DUMMYFUNCTION("""COMPUTED_VALUE"""),"Underbarrel")</f>
        <v>Underbarrel</v>
      </c>
      <c r="E807" s="102" t="str">
        <f>IFERROR(__xludf.DUMMYFUNCTION("""COMPUTED_VALUE"""),"MAL_SR.part_underbarrel_02_multitaser")</f>
        <v>MAL_SR.part_underbarrel_02_multitaser</v>
      </c>
      <c r="F807" s="102"/>
      <c r="G807" s="102" t="str">
        <f>IFERROR(__xludf.DUMMYFUNCTION("""COMPUTED_VALUE"""),"Alt Fire - Shock Field")</f>
        <v>Alt Fire - Shock Field</v>
      </c>
      <c r="H807" s="102" t="str">
        <f>IFERROR(__xludf.DUMMYFUNCTION("""COMPUTED_VALUE"""),"On impact, creates a Shock Field that deals XXX Damage/s")</f>
        <v>On impact, creates a Shock Field that deals XXX Damage/s</v>
      </c>
      <c r="I807" s="102"/>
      <c r="J807" s="102"/>
      <c r="K807" s="102"/>
      <c r="L807" s="102"/>
    </row>
    <row r="808">
      <c r="A808" s="102" t="str">
        <f>IFERROR(__xludf.DUMMYFUNCTION("""COMPUTED_VALUE"""),"Maliwan")</f>
        <v>Maliwan</v>
      </c>
      <c r="B808" s="102" t="str">
        <f>IFERROR(__xludf.DUMMYFUNCTION("""COMPUTED_VALUE"""),"Sniper")</f>
        <v>Sniper</v>
      </c>
      <c r="C808" s="103">
        <f>IFERROR(__xludf.DUMMYFUNCTION("""COMPUTED_VALUE"""),49.0)</f>
        <v>49</v>
      </c>
      <c r="D808" s="102" t="str">
        <f>IFERROR(__xludf.DUMMYFUNCTION("""COMPUTED_VALUE"""),"Underbarrel")</f>
        <v>Underbarrel</v>
      </c>
      <c r="E808" s="102" t="str">
        <f>IFERROR(__xludf.DUMMYFUNCTION("""COMPUTED_VALUE"""),"MAL_SR.part_underbarrel_01_singularity")</f>
        <v>MAL_SR.part_underbarrel_01_singularity</v>
      </c>
      <c r="F808" s="102"/>
      <c r="G808" s="102" t="str">
        <f>IFERROR(__xludf.DUMMYFUNCTION("""COMPUTED_VALUE"""),"Alt Fire - Singularity Grenade Launcher")</f>
        <v>Alt Fire - Singularity Grenade Launcher</v>
      </c>
      <c r="H808" s="102" t="str">
        <f>IFERROR(__xludf.DUMMYFUNCTION("""COMPUTED_VALUE"""),"Fires a Singularity that deals XXX Damage/s")</f>
        <v>Fires a Singularity that deals XXX Damage/s</v>
      </c>
      <c r="I808" s="102"/>
      <c r="J808" s="102"/>
      <c r="K808" s="102"/>
      <c r="L808" s="102"/>
    </row>
    <row r="809">
      <c r="A809" s="102" t="str">
        <f>IFERROR(__xludf.DUMMYFUNCTION("""COMPUTED_VALUE"""),"Maliwan")</f>
        <v>Maliwan</v>
      </c>
      <c r="B809" s="102" t="str">
        <f>IFERROR(__xludf.DUMMYFUNCTION("""COMPUTED_VALUE"""),"Sniper")</f>
        <v>Sniper</v>
      </c>
      <c r="C809" s="103">
        <f>IFERROR(__xludf.DUMMYFUNCTION("""COMPUTED_VALUE"""),50.0)</f>
        <v>50</v>
      </c>
      <c r="D809" s="102" t="str">
        <f>IFERROR(__xludf.DUMMYFUNCTION("""COMPUTED_VALUE"""),"Foregrip")</f>
        <v>Foregrip</v>
      </c>
      <c r="E809" s="102" t="str">
        <f>IFERROR(__xludf.DUMMYFUNCTION("""COMPUTED_VALUE"""),"MAL_SR.part_foregrip_02")</f>
        <v>MAL_SR.part_foregrip_02</v>
      </c>
      <c r="F809" s="102"/>
      <c r="G809" s="102" t="str">
        <f>IFERROR(__xludf.DUMMYFUNCTION("""COMPUTED_VALUE"""),"+Fire Rate")</f>
        <v>+Fire Rate</v>
      </c>
      <c r="H809" s="102"/>
      <c r="I809" s="102"/>
      <c r="J809" s="102"/>
      <c r="K809" s="102"/>
      <c r="L809" s="102"/>
    </row>
    <row r="810">
      <c r="A810" s="102" t="str">
        <f>IFERROR(__xludf.DUMMYFUNCTION("""COMPUTED_VALUE"""),"Maliwan")</f>
        <v>Maliwan</v>
      </c>
      <c r="B810" s="102" t="str">
        <f>IFERROR(__xludf.DUMMYFUNCTION("""COMPUTED_VALUE"""),"Sniper")</f>
        <v>Sniper</v>
      </c>
      <c r="C810" s="103">
        <f>IFERROR(__xludf.DUMMYFUNCTION("""COMPUTED_VALUE"""),51.0)</f>
        <v>51</v>
      </c>
      <c r="D810" s="102" t="str">
        <f>IFERROR(__xludf.DUMMYFUNCTION("""COMPUTED_VALUE"""),"Foregrip")</f>
        <v>Foregrip</v>
      </c>
      <c r="E810" s="102" t="str">
        <f>IFERROR(__xludf.DUMMYFUNCTION("""COMPUTED_VALUE"""),"MAL_SR.part_foregrip_03")</f>
        <v>MAL_SR.part_foregrip_03</v>
      </c>
      <c r="F810" s="102"/>
      <c r="G810" s="102" t="str">
        <f>IFERROR(__xludf.DUMMYFUNCTION("""COMPUTED_VALUE"""),"+Accuracy")</f>
        <v>+Accuracy</v>
      </c>
      <c r="H810" s="102"/>
      <c r="I810" s="102"/>
      <c r="J810" s="102"/>
      <c r="K810" s="102"/>
      <c r="L810" s="102"/>
    </row>
    <row r="811">
      <c r="A811" s="102" t="str">
        <f>IFERROR(__xludf.DUMMYFUNCTION("""COMPUTED_VALUE"""),"Maliwan")</f>
        <v>Maliwan</v>
      </c>
      <c r="B811" s="102" t="str">
        <f>IFERROR(__xludf.DUMMYFUNCTION("""COMPUTED_VALUE"""),"Sniper")</f>
        <v>Sniper</v>
      </c>
      <c r="C811" s="103">
        <f>IFERROR(__xludf.DUMMYFUNCTION("""COMPUTED_VALUE"""),52.0)</f>
        <v>52</v>
      </c>
      <c r="D811" s="102" t="str">
        <f>IFERROR(__xludf.DUMMYFUNCTION("""COMPUTED_VALUE"""),"Foregrip")</f>
        <v>Foregrip</v>
      </c>
      <c r="E811" s="102" t="str">
        <f>IFERROR(__xludf.DUMMYFUNCTION("""COMPUTED_VALUE"""),"MAL_SR.part_foregrip_01")</f>
        <v>MAL_SR.part_foregrip_01</v>
      </c>
      <c r="F811" s="102"/>
      <c r="G811" s="102" t="str">
        <f>IFERROR(__xludf.DUMMYFUNCTION("""COMPUTED_VALUE"""),"+Damage")</f>
        <v>+Damage</v>
      </c>
      <c r="H811" s="102"/>
      <c r="I811" s="102"/>
      <c r="J811" s="102"/>
      <c r="K811" s="102"/>
      <c r="L811" s="102"/>
    </row>
    <row r="812">
      <c r="A812" s="102" t="str">
        <f>IFERROR(__xludf.DUMMYFUNCTION("""COMPUTED_VALUE"""),"Maliwan")</f>
        <v>Maliwan</v>
      </c>
      <c r="B812" s="102" t="str">
        <f>IFERROR(__xludf.DUMMYFUNCTION("""COMPUTED_VALUE"""),"Sniper")</f>
        <v>Sniper</v>
      </c>
      <c r="C812" s="103">
        <f>IFERROR(__xludf.DUMMYFUNCTION("""COMPUTED_VALUE"""),53.0)</f>
        <v>53</v>
      </c>
      <c r="D812" s="102" t="str">
        <f>IFERROR(__xludf.DUMMYFUNCTION("""COMPUTED_VALUE"""),"Underbarrel")</f>
        <v>Underbarrel</v>
      </c>
      <c r="E812" s="102" t="str">
        <f>IFERROR(__xludf.DUMMYFUNCTION("""COMPUTED_VALUE"""),"MAL_SR.part_underbarrel_03_rocketpod")</f>
        <v>MAL_SR.part_underbarrel_03_rocketpod</v>
      </c>
      <c r="F812" s="102"/>
      <c r="G812" s="102" t="str">
        <f>IFERROR(__xludf.DUMMYFUNCTION("""COMPUTED_VALUE"""),"Alt Fire - Rocket Pod")</f>
        <v>Alt Fire - Rocket Pod</v>
      </c>
      <c r="H812" s="102" t="str">
        <f>IFERROR(__xludf.DUMMYFUNCTION("""COMPUTED_VALUE"""),"Fires a salvo of Homing Rockets that deal XXX x 4 Damage")</f>
        <v>Fires a salvo of Homing Rockets that deal XXX x 4 Damage</v>
      </c>
      <c r="I812" s="102"/>
      <c r="J812" s="102"/>
      <c r="K812" s="102"/>
      <c r="L812" s="102"/>
    </row>
    <row r="813">
      <c r="A813" s="102" t="str">
        <f>IFERROR(__xludf.DUMMYFUNCTION("""COMPUTED_VALUE"""),"Maliwan")</f>
        <v>Maliwan</v>
      </c>
      <c r="B813" s="102" t="str">
        <f>IFERROR(__xludf.DUMMYFUNCTION("""COMPUTED_VALUE"""),"Sniper")</f>
        <v>Sniper</v>
      </c>
      <c r="C813" s="103">
        <f>IFERROR(__xludf.DUMMYFUNCTION("""COMPUTED_VALUE"""),54.0)</f>
        <v>54</v>
      </c>
      <c r="D813" s="102" t="str">
        <f>IFERROR(__xludf.DUMMYFUNCTION("""COMPUTED_VALUE"""),"Underbarrel")</f>
        <v>Underbarrel</v>
      </c>
      <c r="E813" s="102" t="str">
        <f>IFERROR(__xludf.DUMMYFUNCTION("""COMPUTED_VALUE"""),"MAL_SR.part_underbarrel_04_atlas")</f>
        <v>MAL_SR.part_underbarrel_04_atlas</v>
      </c>
      <c r="F813" s="102"/>
      <c r="G813" s="102" t="str">
        <f>IFERROR(__xludf.DUMMYFUNCTION("""COMPUTED_VALUE"""),"Atlas Tracker Darts")</f>
        <v>Atlas Tracker Darts</v>
      </c>
      <c r="H813" s="102"/>
      <c r="I813" s="102"/>
      <c r="J813" s="102"/>
      <c r="K813" s="102"/>
      <c r="L813" s="102"/>
    </row>
    <row r="814">
      <c r="A814" s="102" t="str">
        <f>IFERROR(__xludf.DUMMYFUNCTION("""COMPUTED_VALUE"""),"Maliwan")</f>
        <v>Maliwan</v>
      </c>
      <c r="B814" s="102" t="str">
        <f>IFERROR(__xludf.DUMMYFUNCTION("""COMPUTED_VALUE"""),"Sniper")</f>
        <v>Sniper</v>
      </c>
      <c r="C814" s="103">
        <f>IFERROR(__xludf.DUMMYFUNCTION("""COMPUTED_VALUE"""),55.0)</f>
        <v>55</v>
      </c>
      <c r="D814" s="102" t="str">
        <f>IFERROR(__xludf.DUMMYFUNCTION("""COMPUTED_VALUE"""),"Manufacturer Part")</f>
        <v>Manufacturer Part</v>
      </c>
      <c r="E814" s="102" t="str">
        <f>IFERROR(__xludf.DUMMYFUNCTION("""COMPUTED_VALUE"""),"MAL_SR.part_secondary_ammo_smg")</f>
        <v>MAL_SR.part_secondary_ammo_smg</v>
      </c>
      <c r="F814" s="102"/>
      <c r="G814" s="102" t="str">
        <f>IFERROR(__xludf.DUMMYFUNCTION("""COMPUTED_VALUE"""),"Daedalus SMG Ammo")</f>
        <v>Daedalus SMG Ammo</v>
      </c>
      <c r="H814" s="102"/>
      <c r="I814" s="102"/>
      <c r="J814" s="102"/>
      <c r="K814" s="102"/>
      <c r="L814" s="102"/>
    </row>
    <row r="815">
      <c r="A815" s="102" t="str">
        <f>IFERROR(__xludf.DUMMYFUNCTION("""COMPUTED_VALUE"""),"Maliwan")</f>
        <v>Maliwan</v>
      </c>
      <c r="B815" s="102" t="str">
        <f>IFERROR(__xludf.DUMMYFUNCTION("""COMPUTED_VALUE"""),"Sniper")</f>
        <v>Sniper</v>
      </c>
      <c r="C815" s="103">
        <f>IFERROR(__xludf.DUMMYFUNCTION("""COMPUTED_VALUE"""),56.0)</f>
        <v>56</v>
      </c>
      <c r="D815" s="102" t="str">
        <f>IFERROR(__xludf.DUMMYFUNCTION("""COMPUTED_VALUE"""),"Manufacturer Part")</f>
        <v>Manufacturer Part</v>
      </c>
      <c r="E815" s="102" t="str">
        <f>IFERROR(__xludf.DUMMYFUNCTION("""COMPUTED_VALUE"""),"MAL_SR.part_secondary_ammo_sg")</f>
        <v>MAL_SR.part_secondary_ammo_sg</v>
      </c>
      <c r="F815" s="102"/>
      <c r="G815" s="102" t="str">
        <f>IFERROR(__xludf.DUMMYFUNCTION("""COMPUTED_VALUE"""),"Daedalus Shotgun Ammo")</f>
        <v>Daedalus Shotgun Ammo</v>
      </c>
      <c r="H815" s="102"/>
      <c r="I815" s="102"/>
      <c r="J815" s="102"/>
      <c r="K815" s="102"/>
      <c r="L815" s="102"/>
    </row>
    <row r="816">
      <c r="A816" s="102" t="str">
        <f>IFERROR(__xludf.DUMMYFUNCTION("""COMPUTED_VALUE"""),"Maliwan")</f>
        <v>Maliwan</v>
      </c>
      <c r="B816" s="102" t="str">
        <f>IFERROR(__xludf.DUMMYFUNCTION("""COMPUTED_VALUE"""),"Sniper")</f>
        <v>Sniper</v>
      </c>
      <c r="C816" s="103">
        <f>IFERROR(__xludf.DUMMYFUNCTION("""COMPUTED_VALUE"""),57.0)</f>
        <v>57</v>
      </c>
      <c r="D816" s="102" t="str">
        <f>IFERROR(__xludf.DUMMYFUNCTION("""COMPUTED_VALUE"""),"Manufacturer Part")</f>
        <v>Manufacturer Part</v>
      </c>
      <c r="E816" s="102" t="str">
        <f>IFERROR(__xludf.DUMMYFUNCTION("""COMPUTED_VALUE"""),"MAL_SR.part_secondary_ammo_ar")</f>
        <v>MAL_SR.part_secondary_ammo_ar</v>
      </c>
      <c r="F816" s="102"/>
      <c r="G816" s="102" t="str">
        <f>IFERROR(__xludf.DUMMYFUNCTION("""COMPUTED_VALUE"""),"Daedalus AR Ammo")</f>
        <v>Daedalus AR Ammo</v>
      </c>
      <c r="H816" s="102"/>
      <c r="I816" s="102"/>
      <c r="J816" s="102"/>
      <c r="K816" s="102"/>
      <c r="L816" s="102"/>
    </row>
    <row r="817">
      <c r="A817" s="102" t="str">
        <f>IFERROR(__xludf.DUMMYFUNCTION("""COMPUTED_VALUE"""),"Maliwan")</f>
        <v>Maliwan</v>
      </c>
      <c r="B817" s="102" t="str">
        <f>IFERROR(__xludf.DUMMYFUNCTION("""COMPUTED_VALUE"""),"Sniper")</f>
        <v>Sniper</v>
      </c>
      <c r="C817" s="103">
        <f>IFERROR(__xludf.DUMMYFUNCTION("""COMPUTED_VALUE"""),58.0)</f>
        <v>58</v>
      </c>
      <c r="D817" s="102" t="str">
        <f>IFERROR(__xludf.DUMMYFUNCTION("""COMPUTED_VALUE"""),"Manufacturer Part")</f>
        <v>Manufacturer Part</v>
      </c>
      <c r="E817" s="102" t="str">
        <f>IFERROR(__xludf.DUMMYFUNCTION("""COMPUTED_VALUE"""),"MAL_SR.part_secondary_ammo_ps")</f>
        <v>MAL_SR.part_secondary_ammo_ps</v>
      </c>
      <c r="F817" s="102"/>
      <c r="G817" s="102" t="str">
        <f>IFERROR(__xludf.DUMMYFUNCTION("""COMPUTED_VALUE"""),"Daedalus Pistol Ammo")</f>
        <v>Daedalus Pistol Ammo</v>
      </c>
      <c r="H817" s="102"/>
      <c r="I817" s="102"/>
      <c r="J817" s="102"/>
      <c r="K817" s="102"/>
      <c r="L817" s="102"/>
    </row>
    <row r="818">
      <c r="A818" s="102" t="str">
        <f>IFERROR(__xludf.DUMMYFUNCTION("""COMPUTED_VALUE"""),"Maliwan")</f>
        <v>Maliwan</v>
      </c>
      <c r="B818" s="102" t="str">
        <f>IFERROR(__xludf.DUMMYFUNCTION("""COMPUTED_VALUE"""),"Sniper")</f>
        <v>Sniper</v>
      </c>
      <c r="C818" s="103">
        <f>IFERROR(__xludf.DUMMYFUNCTION("""COMPUTED_VALUE"""),60.0)</f>
        <v>60</v>
      </c>
      <c r="D818" s="102" t="str">
        <f>IFERROR(__xludf.DUMMYFUNCTION("""COMPUTED_VALUE"""),"Barrel")</f>
        <v>Barrel</v>
      </c>
      <c r="E818" s="102" t="str">
        <f>IFERROR(__xludf.DUMMYFUNCTION("""COMPUTED_VALUE"""),"MAL_SR.part_barrel_02_katagawa")</f>
        <v>MAL_SR.part_barrel_02_katagawa</v>
      </c>
      <c r="F818" s="102"/>
      <c r="G818" s="102" t="str">
        <f>IFERROR(__xludf.DUMMYFUNCTION("""COMPUTED_VALUE"""),"Katagawa's Revenge, 1522 Damage, 89% Acc, 1.5/s FR")</f>
        <v>Katagawa's Revenge, 1522 Damage, 89% Acc, 1.5/s FR</v>
      </c>
      <c r="H818" s="102" t="str">
        <f>IFERROR(__xludf.DUMMYFUNCTION("""COMPUTED_VALUE"""),"Stormcloud")</f>
        <v>Stormcloud</v>
      </c>
      <c r="I818" s="102"/>
      <c r="J818" s="102"/>
      <c r="K818" s="102"/>
      <c r="L818" s="102"/>
    </row>
    <row r="819">
      <c r="A819" s="102" t="str">
        <f>IFERROR(__xludf.DUMMYFUNCTION("""COMPUTED_VALUE"""),"Maliwan")</f>
        <v>Maliwan</v>
      </c>
      <c r="B819" s="102" t="str">
        <f>IFERROR(__xludf.DUMMYFUNCTION("""COMPUTED_VALUE"""),"Sniper")</f>
        <v>Sniper</v>
      </c>
      <c r="C819" s="103">
        <f>IFERROR(__xludf.DUMMYFUNCTION("""COMPUTED_VALUE"""),62.0)</f>
        <v>62</v>
      </c>
      <c r="D819" s="102" t="str">
        <f>IFERROR(__xludf.DUMMYFUNCTION("""COMPUTED_VALUE"""),"Foregrip")</f>
        <v>Foregrip</v>
      </c>
      <c r="E819" s="102" t="str">
        <f>IFERROR(__xludf.DUMMYFUNCTION("""COMPUTED_VALUE"""),"MAL_SR.part_foregrip_04")</f>
        <v>MAL_SR.part_foregrip_04</v>
      </c>
      <c r="F819" s="102"/>
      <c r="G819" s="102" t="str">
        <f>IFERROR(__xludf.DUMMYFUNCTION("""COMPUTED_VALUE"""),"No Stat Changes")</f>
        <v>No Stat Changes</v>
      </c>
      <c r="H819" s="102"/>
      <c r="I819" s="102"/>
      <c r="J819" s="102"/>
      <c r="K819" s="102"/>
      <c r="L819" s="102"/>
    </row>
    <row r="820">
      <c r="A820" s="102" t="str">
        <f>IFERROR(__xludf.DUMMYFUNCTION("""COMPUTED_VALUE"""),"Maliwan")</f>
        <v>Maliwan</v>
      </c>
      <c r="B820" s="102" t="str">
        <f>IFERROR(__xludf.DUMMYFUNCTION("""COMPUTED_VALUE"""),"Sniper")</f>
        <v>Sniper</v>
      </c>
      <c r="C820" s="103">
        <f>IFERROR(__xludf.DUMMYFUNCTION("""COMPUTED_VALUE"""),63.0)</f>
        <v>63</v>
      </c>
      <c r="D820" s="102" t="str">
        <f>IFERROR(__xludf.DUMMYFUNCTION("""COMPUTED_VALUE"""),"Stat Modifier")</f>
        <v>Stat Modifier</v>
      </c>
      <c r="E820" s="102" t="str">
        <f>IFERROR(__xludf.DUMMYFUNCTION("""COMPUTED_VALUE"""),"MAL_SR.part_mag_05_borg_barrel_02")</f>
        <v>MAL_SR.part_mag_05_borg_barrel_02</v>
      </c>
      <c r="F820" s="102"/>
      <c r="G820" s="102" t="str">
        <f>IFERROR(__xludf.DUMMYFUNCTION("""COMPUTED_VALUE"""),"2.4s Reload")</f>
        <v>2.4s Reload</v>
      </c>
      <c r="H820" s="102" t="str">
        <f>IFERROR(__xludf.DUMMYFUNCTION("""COMPUTED_VALUE"""),"-Damage, -Acc, +Fire Rate - Pairs with barrel_02???")</f>
        <v>-Damage, -Acc, +Fire Rate - Pairs with barrel_02???</v>
      </c>
      <c r="I820" s="102"/>
      <c r="J820" s="102"/>
      <c r="K820" s="102"/>
      <c r="L820" s="102"/>
    </row>
    <row r="821">
      <c r="A821" s="102" t="str">
        <f>IFERROR(__xludf.DUMMYFUNCTION("""COMPUTED_VALUE"""),"Maliwan")</f>
        <v>Maliwan</v>
      </c>
      <c r="B821" s="102" t="str">
        <f>IFERROR(__xludf.DUMMYFUNCTION("""COMPUTED_VALUE"""),"Sniper")</f>
        <v>Sniper</v>
      </c>
      <c r="C821" s="103">
        <f>IFERROR(__xludf.DUMMYFUNCTION("""COMPUTED_VALUE"""),64.0)</f>
        <v>64</v>
      </c>
      <c r="D821" s="102" t="str">
        <f>IFERROR(__xludf.DUMMYFUNCTION("""COMPUTED_VALUE"""),"Stat Modifier")</f>
        <v>Stat Modifier</v>
      </c>
      <c r="E821" s="102" t="str">
        <f>IFERROR(__xludf.DUMMYFUNCTION("""COMPUTED_VALUE"""),"MAL_SR.part_mag_05_borg_barrel_01")</f>
        <v>MAL_SR.part_mag_05_borg_barrel_01</v>
      </c>
      <c r="F821" s="102"/>
      <c r="G821" s="102" t="str">
        <f>IFERROR(__xludf.DUMMYFUNCTION("""COMPUTED_VALUE"""),"2.4s Reload")</f>
        <v>2.4s Reload</v>
      </c>
      <c r="H821" s="102" t="str">
        <f>IFERROR(__xludf.DUMMYFUNCTION("""COMPUTED_VALUE"""),"-Damage, -Acc, -Fire Rate - Pairs with barrel_01???")</f>
        <v>-Damage, -Acc, -Fire Rate - Pairs with barrel_01???</v>
      </c>
      <c r="I821" s="102"/>
      <c r="J821" s="102"/>
      <c r="K821" s="102"/>
      <c r="L821" s="102"/>
    </row>
    <row r="822">
      <c r="A822" s="102" t="str">
        <f>IFERROR(__xludf.DUMMYFUNCTION("""COMPUTED_VALUE"""),"Maliwan")</f>
        <v>Maliwan</v>
      </c>
      <c r="B822" s="102" t="str">
        <f>IFERROR(__xludf.DUMMYFUNCTION("""COMPUTED_VALUE"""),"Sniper")</f>
        <v>Sniper</v>
      </c>
      <c r="C822" s="103">
        <f>IFERROR(__xludf.DUMMYFUNCTION("""COMPUTED_VALUE"""),65.0)</f>
        <v>65</v>
      </c>
      <c r="D822" s="102" t="str">
        <f>IFERROR(__xludf.DUMMYFUNCTION("""COMPUTED_VALUE"""),"Barrel Accessory")</f>
        <v>Barrel Accessory</v>
      </c>
      <c r="E822" s="102" t="str">
        <f>IFERROR(__xludf.DUMMYFUNCTION("""COMPUTED_VALUE"""),"MAL_SR.part_barrel_01_a")</f>
        <v>MAL_SR.part_barrel_01_a</v>
      </c>
      <c r="F822" s="102"/>
      <c r="G822" s="102" t="str">
        <f>IFERROR(__xludf.DUMMYFUNCTION("""COMPUTED_VALUE"""),"+Damage")</f>
        <v>+Damage</v>
      </c>
      <c r="H822" s="102"/>
      <c r="I822" s="102"/>
      <c r="J822" s="102"/>
      <c r="K822" s="102"/>
      <c r="L822" s="102"/>
    </row>
    <row r="823">
      <c r="A823" s="102" t="str">
        <f>IFERROR(__xludf.DUMMYFUNCTION("""COMPUTED_VALUE"""),"Maliwan")</f>
        <v>Maliwan</v>
      </c>
      <c r="B823" s="102" t="str">
        <f>IFERROR(__xludf.DUMMYFUNCTION("""COMPUTED_VALUE"""),"Sniper")</f>
        <v>Sniper</v>
      </c>
      <c r="C823" s="103">
        <f>IFERROR(__xludf.DUMMYFUNCTION("""COMPUTED_VALUE"""),66.0)</f>
        <v>66</v>
      </c>
      <c r="D823" s="102" t="str">
        <f>IFERROR(__xludf.DUMMYFUNCTION("""COMPUTED_VALUE"""),"Barrel Accessory")</f>
        <v>Barrel Accessory</v>
      </c>
      <c r="E823" s="102" t="str">
        <f>IFERROR(__xludf.DUMMYFUNCTION("""COMPUTED_VALUE"""),"MAL_SR.part_barrel_01_b")</f>
        <v>MAL_SR.part_barrel_01_b</v>
      </c>
      <c r="F823" s="102"/>
      <c r="G823" s="102" t="str">
        <f>IFERROR(__xludf.DUMMYFUNCTION("""COMPUTED_VALUE"""),"No Stat Changes")</f>
        <v>No Stat Changes</v>
      </c>
      <c r="H823" s="102"/>
      <c r="I823" s="102"/>
      <c r="J823" s="102"/>
      <c r="K823" s="102"/>
      <c r="L823" s="102"/>
    </row>
    <row r="824">
      <c r="A824" s="102" t="str">
        <f>IFERROR(__xludf.DUMMYFUNCTION("""COMPUTED_VALUE"""),"Maliwan")</f>
        <v>Maliwan</v>
      </c>
      <c r="B824" s="102" t="str">
        <f>IFERROR(__xludf.DUMMYFUNCTION("""COMPUTED_VALUE"""),"Sniper")</f>
        <v>Sniper</v>
      </c>
      <c r="C824" s="103">
        <f>IFERROR(__xludf.DUMMYFUNCTION("""COMPUTED_VALUE"""),67.0)</f>
        <v>67</v>
      </c>
      <c r="D824" s="102" t="str">
        <f>IFERROR(__xludf.DUMMYFUNCTION("""COMPUTED_VALUE"""),"Barrel Accessory")</f>
        <v>Barrel Accessory</v>
      </c>
      <c r="E824" s="102" t="str">
        <f>IFERROR(__xludf.DUMMYFUNCTION("""COMPUTED_VALUE"""),"MAL_SR.part_barrel_01_c")</f>
        <v>MAL_SR.part_barrel_01_c</v>
      </c>
      <c r="F824" s="102"/>
      <c r="G824" s="102" t="str">
        <f>IFERROR(__xludf.DUMMYFUNCTION("""COMPUTED_VALUE"""),"No Stat Changes")</f>
        <v>No Stat Changes</v>
      </c>
      <c r="H824" s="102"/>
      <c r="I824" s="102"/>
      <c r="J824" s="102"/>
      <c r="K824" s="102"/>
      <c r="L824" s="102"/>
    </row>
    <row r="825">
      <c r="A825" s="102" t="str">
        <f>IFERROR(__xludf.DUMMYFUNCTION("""COMPUTED_VALUE"""),"Maliwan")</f>
        <v>Maliwan</v>
      </c>
      <c r="B825" s="102" t="str">
        <f>IFERROR(__xludf.DUMMYFUNCTION("""COMPUTED_VALUE"""),"Sniper")</f>
        <v>Sniper</v>
      </c>
      <c r="C825" s="103">
        <f>IFERROR(__xludf.DUMMYFUNCTION("""COMPUTED_VALUE"""),68.0)</f>
        <v>68</v>
      </c>
      <c r="D825" s="102" t="str">
        <f>IFERROR(__xludf.DUMMYFUNCTION("""COMPUTED_VALUE"""),"Barrel Accessory")</f>
        <v>Barrel Accessory</v>
      </c>
      <c r="E825" s="102" t="str">
        <f>IFERROR(__xludf.DUMMYFUNCTION("""COMPUTED_VALUE"""),"MAL_SR.part_barrel_01_d")</f>
        <v>MAL_SR.part_barrel_01_d</v>
      </c>
      <c r="F825" s="102"/>
      <c r="G825" s="102" t="str">
        <f>IFERROR(__xludf.DUMMYFUNCTION("""COMPUTED_VALUE"""),"+Accuracy")</f>
        <v>+Accuracy</v>
      </c>
      <c r="H825" s="102"/>
      <c r="I825" s="102"/>
      <c r="J825" s="102"/>
      <c r="K825" s="102"/>
      <c r="L825" s="102"/>
    </row>
    <row r="826">
      <c r="A826" s="102" t="str">
        <f>IFERROR(__xludf.DUMMYFUNCTION("""COMPUTED_VALUE"""),"Maliwan")</f>
        <v>Maliwan</v>
      </c>
      <c r="B826" s="102" t="str">
        <f>IFERROR(__xludf.DUMMYFUNCTION("""COMPUTED_VALUE"""),"Sniper")</f>
        <v>Sniper</v>
      </c>
      <c r="C826" s="103">
        <f>IFERROR(__xludf.DUMMYFUNCTION("""COMPUTED_VALUE"""),69.0)</f>
        <v>69</v>
      </c>
      <c r="D826" s="102" t="str">
        <f>IFERROR(__xludf.DUMMYFUNCTION("""COMPUTED_VALUE"""),"Barrel Accessory")</f>
        <v>Barrel Accessory</v>
      </c>
      <c r="E826" s="102" t="str">
        <f>IFERROR(__xludf.DUMMYFUNCTION("""COMPUTED_VALUE"""),"MAL_SR.part_barrel_02_a")</f>
        <v>MAL_SR.part_barrel_02_a</v>
      </c>
      <c r="F826" s="102"/>
      <c r="G826" s="102" t="str">
        <f>IFERROR(__xludf.DUMMYFUNCTION("""COMPUTED_VALUE"""),"+Damage")</f>
        <v>+Damage</v>
      </c>
      <c r="H826" s="102"/>
      <c r="I826" s="102"/>
      <c r="J826" s="102"/>
      <c r="K826" s="102"/>
      <c r="L826" s="102"/>
    </row>
    <row r="827">
      <c r="A827" s="102" t="str">
        <f>IFERROR(__xludf.DUMMYFUNCTION("""COMPUTED_VALUE"""),"Maliwan")</f>
        <v>Maliwan</v>
      </c>
      <c r="B827" s="102" t="str">
        <f>IFERROR(__xludf.DUMMYFUNCTION("""COMPUTED_VALUE"""),"Sniper")</f>
        <v>Sniper</v>
      </c>
      <c r="C827" s="103">
        <f>IFERROR(__xludf.DUMMYFUNCTION("""COMPUTED_VALUE"""),70.0)</f>
        <v>70</v>
      </c>
      <c r="D827" s="102" t="str">
        <f>IFERROR(__xludf.DUMMYFUNCTION("""COMPUTED_VALUE"""),"Barrel Accessory")</f>
        <v>Barrel Accessory</v>
      </c>
      <c r="E827" s="102" t="str">
        <f>IFERROR(__xludf.DUMMYFUNCTION("""COMPUTED_VALUE"""),"MAL_SR.part_barrel_02_b")</f>
        <v>MAL_SR.part_barrel_02_b</v>
      </c>
      <c r="F827" s="102"/>
      <c r="G827" s="102" t="str">
        <f>IFERROR(__xludf.DUMMYFUNCTION("""COMPUTED_VALUE"""),"No Stat Changes")</f>
        <v>No Stat Changes</v>
      </c>
      <c r="H827" s="102"/>
      <c r="I827" s="102"/>
      <c r="J827" s="102"/>
      <c r="K827" s="102"/>
      <c r="L827" s="102"/>
    </row>
    <row r="828">
      <c r="A828" s="102" t="str">
        <f>IFERROR(__xludf.DUMMYFUNCTION("""COMPUTED_VALUE"""),"Maliwan")</f>
        <v>Maliwan</v>
      </c>
      <c r="B828" s="102" t="str">
        <f>IFERROR(__xludf.DUMMYFUNCTION("""COMPUTED_VALUE"""),"Sniper")</f>
        <v>Sniper</v>
      </c>
      <c r="C828" s="103">
        <f>IFERROR(__xludf.DUMMYFUNCTION("""COMPUTED_VALUE"""),71.0)</f>
        <v>71</v>
      </c>
      <c r="D828" s="102" t="str">
        <f>IFERROR(__xludf.DUMMYFUNCTION("""COMPUTED_VALUE"""),"Barrel Accessory")</f>
        <v>Barrel Accessory</v>
      </c>
      <c r="E828" s="102" t="str">
        <f>IFERROR(__xludf.DUMMYFUNCTION("""COMPUTED_VALUE"""),"MAL_SR.part_barrel_02_c")</f>
        <v>MAL_SR.part_barrel_02_c</v>
      </c>
      <c r="F828" s="102"/>
      <c r="G828" s="102" t="str">
        <f>IFERROR(__xludf.DUMMYFUNCTION("""COMPUTED_VALUE"""),"+Fire Rate")</f>
        <v>+Fire Rate</v>
      </c>
      <c r="H828" s="102"/>
      <c r="I828" s="102"/>
      <c r="J828" s="102"/>
      <c r="K828" s="102"/>
      <c r="L828" s="102"/>
    </row>
    <row r="829">
      <c r="A829" s="102" t="str">
        <f>IFERROR(__xludf.DUMMYFUNCTION("""COMPUTED_VALUE"""),"Maliwan")</f>
        <v>Maliwan</v>
      </c>
      <c r="B829" s="102" t="str">
        <f>IFERROR(__xludf.DUMMYFUNCTION("""COMPUTED_VALUE"""),"Sniper")</f>
        <v>Sniper</v>
      </c>
      <c r="C829" s="103">
        <f>IFERROR(__xludf.DUMMYFUNCTION("""COMPUTED_VALUE"""),72.0)</f>
        <v>72</v>
      </c>
      <c r="D829" s="102" t="str">
        <f>IFERROR(__xludf.DUMMYFUNCTION("""COMPUTED_VALUE"""),"Barrel Accessory")</f>
        <v>Barrel Accessory</v>
      </c>
      <c r="E829" s="102" t="str">
        <f>IFERROR(__xludf.DUMMYFUNCTION("""COMPUTED_VALUE"""),"MAL_SR.part_barrel_02_d")</f>
        <v>MAL_SR.part_barrel_02_d</v>
      </c>
      <c r="F829" s="102"/>
      <c r="G829" s="102" t="str">
        <f>IFERROR(__xludf.DUMMYFUNCTION("""COMPUTED_VALUE"""),"+Fire Rate")</f>
        <v>+Fire Rate</v>
      </c>
      <c r="H829" s="102"/>
      <c r="I829" s="102"/>
      <c r="J829" s="102"/>
      <c r="K829" s="102"/>
      <c r="L829" s="102"/>
    </row>
    <row r="830">
      <c r="A830" s="102" t="str">
        <f>IFERROR(__xludf.DUMMYFUNCTION("""COMPUTED_VALUE"""),"Maliwan")</f>
        <v>Maliwan</v>
      </c>
      <c r="B830" s="102" t="str">
        <f>IFERROR(__xludf.DUMMYFUNCTION("""COMPUTED_VALUE"""),"Sniper")</f>
        <v>Sniper</v>
      </c>
      <c r="C830" s="103">
        <f>IFERROR(__xludf.DUMMYFUNCTION("""COMPUTED_VALUE"""),73.0)</f>
        <v>73</v>
      </c>
      <c r="D830" s="102" t="str">
        <f>IFERROR(__xludf.DUMMYFUNCTION("""COMPUTED_VALUE"""),"Manufacturer Part")</f>
        <v>Manufacturer Part</v>
      </c>
      <c r="E830" s="102" t="str">
        <f>IFERROR(__xludf.DUMMYFUNCTION("""COMPUTED_VALUE"""),"MAL_SR.part_barrel_licensed_jak")</f>
        <v>MAL_SR.part_barrel_licensed_jak</v>
      </c>
      <c r="F830" s="102"/>
      <c r="G830" s="102" t="str">
        <f>IFERROR(__xludf.DUMMYFUNCTION("""COMPUTED_VALUE"""),"+Crit Damage")</f>
        <v>+Crit Damage</v>
      </c>
      <c r="H830" s="102"/>
      <c r="I830" s="102"/>
      <c r="J830" s="102"/>
      <c r="K830" s="102"/>
      <c r="L830" s="102"/>
    </row>
    <row r="831">
      <c r="A831" s="102" t="str">
        <f>IFERROR(__xludf.DUMMYFUNCTION("""COMPUTED_VALUE"""),"Maliwan")</f>
        <v>Maliwan</v>
      </c>
      <c r="B831" s="102" t="str">
        <f>IFERROR(__xludf.DUMMYFUNCTION("""COMPUTED_VALUE"""),"Sniper")</f>
        <v>Sniper</v>
      </c>
      <c r="C831" s="103">
        <f>IFERROR(__xludf.DUMMYFUNCTION("""COMPUTED_VALUE"""),74.0)</f>
        <v>74</v>
      </c>
      <c r="D831" s="102" t="str">
        <f>IFERROR(__xludf.DUMMYFUNCTION("""COMPUTED_VALUE"""),"Manufacturer Part")</f>
        <v>Manufacturer Part</v>
      </c>
      <c r="E831" s="102" t="str">
        <f>IFERROR(__xludf.DUMMYFUNCTION("""COMPUTED_VALUE"""),"MAL_SR.part_barrel_licensed_ted")</f>
        <v>MAL_SR.part_barrel_licensed_ted</v>
      </c>
      <c r="F831" s="102"/>
      <c r="G831" s="102" t="str">
        <f>IFERROR(__xludf.DUMMYFUNCTION("""COMPUTED_VALUE"""),"Tediore Reload, no stat changes")</f>
        <v>Tediore Reload, no stat changes</v>
      </c>
      <c r="H831" s="102"/>
      <c r="I831" s="102"/>
      <c r="J831" s="102"/>
      <c r="K831" s="102"/>
      <c r="L831" s="102"/>
    </row>
    <row r="832">
      <c r="A832" s="102" t="str">
        <f>IFERROR(__xludf.DUMMYFUNCTION("""COMPUTED_VALUE"""),"Maliwan")</f>
        <v>Maliwan</v>
      </c>
      <c r="B832" s="102" t="str">
        <f>IFERROR(__xludf.DUMMYFUNCTION("""COMPUTED_VALUE"""),"Sniper")</f>
        <v>Sniper</v>
      </c>
      <c r="C832" s="103">
        <f>IFERROR(__xludf.DUMMYFUNCTION("""COMPUTED_VALUE"""),75.0)</f>
        <v>75</v>
      </c>
      <c r="D832" s="102" t="str">
        <f>IFERROR(__xludf.DUMMYFUNCTION("""COMPUTED_VALUE"""),"Manufacturer Part")</f>
        <v>Manufacturer Part</v>
      </c>
      <c r="E832" s="102" t="str">
        <f>IFERROR(__xludf.DUMMYFUNCTION("""COMPUTED_VALUE"""),"MAL_SR.part_barrel_licensed_ted_shooting")</f>
        <v>MAL_SR.part_barrel_licensed_ted_shooting</v>
      </c>
      <c r="F832" s="102"/>
      <c r="G832" s="102" t="str">
        <f>IFERROR(__xludf.DUMMYFUNCTION("""COMPUTED_VALUE"""),"Tediore Shooting, no stat changes")</f>
        <v>Tediore Shooting, no stat changes</v>
      </c>
      <c r="H832" s="102"/>
      <c r="I832" s="102"/>
      <c r="J832" s="102"/>
      <c r="K832" s="102"/>
      <c r="L832" s="102"/>
    </row>
    <row r="833">
      <c r="A833" s="102" t="str">
        <f>IFERROR(__xludf.DUMMYFUNCTION("""COMPUTED_VALUE"""),"Maliwan")</f>
        <v>Maliwan</v>
      </c>
      <c r="B833" s="102" t="str">
        <f>IFERROR(__xludf.DUMMYFUNCTION("""COMPUTED_VALUE"""),"Sniper")</f>
        <v>Sniper</v>
      </c>
      <c r="C833" s="103">
        <f>IFERROR(__xludf.DUMMYFUNCTION("""COMPUTED_VALUE"""),76.0)</f>
        <v>76</v>
      </c>
      <c r="D833" s="102" t="str">
        <f>IFERROR(__xludf.DUMMYFUNCTION("""COMPUTED_VALUE"""),"Manufacturer Part")</f>
        <v>Manufacturer Part</v>
      </c>
      <c r="E833" s="102" t="str">
        <f>IFERROR(__xludf.DUMMYFUNCTION("""COMPUTED_VALUE"""),"MAL_SR.part_barrel_licensed_ted_mirv")</f>
        <v>MAL_SR.part_barrel_licensed_ted_mirv</v>
      </c>
      <c r="F833" s="102"/>
      <c r="G833" s="102" t="str">
        <f>IFERROR(__xludf.DUMMYFUNCTION("""COMPUTED_VALUE"""),"Tediore MIRV, no stat changes")</f>
        <v>Tediore MIRV, no stat changes</v>
      </c>
      <c r="H833" s="102"/>
      <c r="I833" s="102"/>
      <c r="J833" s="102"/>
      <c r="K833" s="102"/>
      <c r="L833" s="102"/>
    </row>
    <row r="834">
      <c r="A834" s="102" t="str">
        <f>IFERROR(__xludf.DUMMYFUNCTION("""COMPUTED_VALUE"""),"Maliwan")</f>
        <v>Maliwan</v>
      </c>
      <c r="B834" s="102" t="str">
        <f>IFERROR(__xludf.DUMMYFUNCTION("""COMPUTED_VALUE"""),"Sniper")</f>
        <v>Sniper</v>
      </c>
      <c r="C834" s="103">
        <f>IFERROR(__xludf.DUMMYFUNCTION("""COMPUTED_VALUE"""),77.0)</f>
        <v>77</v>
      </c>
      <c r="D834" s="102" t="str">
        <f>IFERROR(__xludf.DUMMYFUNCTION("""COMPUTED_VALUE"""),"Manufacturer Part")</f>
        <v>Manufacturer Part</v>
      </c>
      <c r="E834" s="102" t="str">
        <f>IFERROR(__xludf.DUMMYFUNCTION("""COMPUTED_VALUE"""),"MAL_SR.part_barrel_licensed_ted_combo")</f>
        <v>MAL_SR.part_barrel_licensed_ted_combo</v>
      </c>
      <c r="F834" s="102"/>
      <c r="G834" s="102" t="str">
        <f>IFERROR(__xludf.DUMMYFUNCTION("""COMPUTED_VALUE"""),"Tediore Combo, no stat changes")</f>
        <v>Tediore Combo, no stat changes</v>
      </c>
      <c r="H834" s="102"/>
      <c r="I834" s="102"/>
      <c r="J834" s="102"/>
      <c r="K834" s="102"/>
      <c r="L834" s="102"/>
    </row>
    <row r="835">
      <c r="A835" s="102" t="str">
        <f>IFERROR(__xludf.DUMMYFUNCTION("""COMPUTED_VALUE"""),"Maliwan")</f>
        <v>Maliwan</v>
      </c>
      <c r="B835" s="102" t="str">
        <f>IFERROR(__xludf.DUMMYFUNCTION("""COMPUTED_VALUE"""),"Sniper")</f>
        <v>Sniper</v>
      </c>
      <c r="C835" s="103">
        <f>IFERROR(__xludf.DUMMYFUNCTION("""COMPUTED_VALUE"""),78.0)</f>
        <v>78</v>
      </c>
      <c r="D835" s="102" t="str">
        <f>IFERROR(__xludf.DUMMYFUNCTION("""COMPUTED_VALUE"""),"Manufacturer Part")</f>
        <v>Manufacturer Part</v>
      </c>
      <c r="E835" s="102" t="str">
        <f>IFERROR(__xludf.DUMMYFUNCTION("""COMPUTED_VALUE"""),"MAL_SR.part_barrel_licensed_hyp")</f>
        <v>MAL_SR.part_barrel_licensed_hyp</v>
      </c>
      <c r="F835" s="102"/>
      <c r="G835" s="102" t="str">
        <f>IFERROR(__xludf.DUMMYFUNCTION("""COMPUTED_VALUE"""),"Hyperion Shield visual accessory, no stat changes")</f>
        <v>Hyperion Shield visual accessory, no stat changes</v>
      </c>
      <c r="H835" s="102"/>
      <c r="I835" s="102"/>
      <c r="J835" s="102"/>
      <c r="K835" s="102"/>
      <c r="L835" s="102"/>
    </row>
    <row r="836">
      <c r="A836" s="102" t="str">
        <f>IFERROR(__xludf.DUMMYFUNCTION("""COMPUTED_VALUE"""),"Maliwan")</f>
        <v>Maliwan</v>
      </c>
      <c r="B836" s="102" t="str">
        <f>IFERROR(__xludf.DUMMYFUNCTION("""COMPUTED_VALUE"""),"Sniper")</f>
        <v>Sniper</v>
      </c>
      <c r="C836" s="103">
        <f>IFERROR(__xludf.DUMMYFUNCTION("""COMPUTED_VALUE"""),79.0)</f>
        <v>79</v>
      </c>
      <c r="D836" s="102" t="str">
        <f>IFERROR(__xludf.DUMMYFUNCTION("""COMPUTED_VALUE"""),"Barrel")</f>
        <v>Barrel</v>
      </c>
      <c r="E836" s="102" t="str">
        <f>IFERROR(__xludf.DUMMYFUNCTION("""COMPUTED_VALUE"""),"MAL_SR.part_barrel_01_asher")</f>
        <v>MAL_SR.part_barrel_01_asher</v>
      </c>
      <c r="F836" s="102"/>
      <c r="G836" s="102" t="str">
        <f>IFERROR(__xludf.DUMMYFUNCTION("""COMPUTED_VALUE"""),"Asher's Rise, 1522 Damage, 89% Acc, 6.6/s FR")</f>
        <v>Asher's Rise, 1522 Damage, 89% Acc, 6.6/s FR</v>
      </c>
      <c r="H836" s="102" t="str">
        <f>IFERROR(__xludf.DUMMYFUNCTION("""COMPUTED_VALUE"""),"Slow Burn - Critical Hits apply Status Effects instead of increased impact Damage")</f>
        <v>Slow Burn - Critical Hits apply Status Effects instead of increased impact Damage</v>
      </c>
      <c r="I836" s="102"/>
      <c r="J836" s="102"/>
      <c r="K836" s="102"/>
      <c r="L836" s="102"/>
    </row>
    <row r="837">
      <c r="A837" s="102" t="str">
        <f>IFERROR(__xludf.DUMMYFUNCTION("""COMPUTED_VALUE"""),"Order")</f>
        <v>Order</v>
      </c>
      <c r="B837" s="102" t="str">
        <f>IFERROR(__xludf.DUMMYFUNCTION("""COMPUTED_VALUE"""),"Assault Rifle")</f>
        <v>Assault Rifle</v>
      </c>
      <c r="C837" s="103">
        <f>IFERROR(__xludf.DUMMYFUNCTION("""COMPUTED_VALUE"""),1.0)</f>
        <v>1</v>
      </c>
      <c r="D837" s="102" t="str">
        <f>IFERROR(__xludf.DUMMYFUNCTION("""COMPUTED_VALUE"""),"Scope")</f>
        <v>Scope</v>
      </c>
      <c r="E837" s="102" t="str">
        <f>IFERROR(__xludf.DUMMYFUNCTION("""COMPUTED_VALUE"""),"ORD_AR.part_scope_02_lens_02_gmr")</f>
        <v>ORD_AR.part_scope_02_lens_02_gmr</v>
      </c>
      <c r="F837" s="102"/>
      <c r="G837" s="102" t="str">
        <f>IFERROR(__xludf.DUMMYFUNCTION("""COMPUTED_VALUE"""),"ADS +++Zoom")</f>
        <v>ADS +++Zoom</v>
      </c>
      <c r="H837" s="102"/>
      <c r="I837" s="102"/>
      <c r="J837" s="102"/>
      <c r="K837" s="102"/>
      <c r="L837" s="102"/>
    </row>
    <row r="838">
      <c r="A838" s="102" t="str">
        <f>IFERROR(__xludf.DUMMYFUNCTION("""COMPUTED_VALUE"""),"Order")</f>
        <v>Order</v>
      </c>
      <c r="B838" s="102" t="str">
        <f>IFERROR(__xludf.DUMMYFUNCTION("""COMPUTED_VALUE"""),"Assault Rifle")</f>
        <v>Assault Rifle</v>
      </c>
      <c r="C838" s="103">
        <f>IFERROR(__xludf.DUMMYFUNCTION("""COMPUTED_VALUE"""),2.0)</f>
        <v>2</v>
      </c>
      <c r="D838" s="102" t="str">
        <f>IFERROR(__xludf.DUMMYFUNCTION("""COMPUTED_VALUE"""),"Barrel")</f>
        <v>Barrel</v>
      </c>
      <c r="E838" s="102" t="str">
        <f>IFERROR(__xludf.DUMMYFUNCTION("""COMPUTED_VALUE"""),"ORD_AR.part_barrel_02_gmr")</f>
        <v>ORD_AR.part_barrel_02_gmr</v>
      </c>
      <c r="F838" s="102"/>
      <c r="G838" s="102" t="str">
        <f>IFERROR(__xludf.DUMMYFUNCTION("""COMPUTED_VALUE"""),"G.M.R., 1785 Damage, 65% Acc, 4.0/s FR")</f>
        <v>G.M.R., 1785 Damage, 65% Acc, 4.0/s FR</v>
      </c>
      <c r="H838" s="102" t="str">
        <f>IFERROR(__xludf.DUMMYFUNCTION("""COMPUTED_VALUE"""),"Big Name Hunter - When Zoomed In, Damage increases by +100%, Shot Cost increases by +100%, and Fire Rate decreases by -50%")</f>
        <v>Big Name Hunter - When Zoomed In, Damage increases by +100%, Shot Cost increases by +100%, and Fire Rate decreases by -50%</v>
      </c>
      <c r="I838" s="102"/>
      <c r="J838" s="102"/>
      <c r="K838" s="102"/>
      <c r="L838" s="102"/>
    </row>
    <row r="839">
      <c r="A839" s="102" t="str">
        <f>IFERROR(__xludf.DUMMYFUNCTION("""COMPUTED_VALUE"""),"Order")</f>
        <v>Order</v>
      </c>
      <c r="B839" s="102" t="str">
        <f>IFERROR(__xludf.DUMMYFUNCTION("""COMPUTED_VALUE"""),"Assault Rifle")</f>
        <v>Assault Rifle</v>
      </c>
      <c r="C839" s="103">
        <f>IFERROR(__xludf.DUMMYFUNCTION("""COMPUTED_VALUE"""),3.0)</f>
        <v>3</v>
      </c>
      <c r="D839" s="102" t="str">
        <f>IFERROR(__xludf.DUMMYFUNCTION("""COMPUTED_VALUE"""),"Body Accessory")</f>
        <v>Body Accessory</v>
      </c>
      <c r="E839" s="102" t="str">
        <f>IFERROR(__xludf.DUMMYFUNCTION("""COMPUTED_VALUE"""),"ORD_AR.part_body_a")</f>
        <v>ORD_AR.part_body_a</v>
      </c>
      <c r="F839" s="102"/>
      <c r="G839" s="102" t="str">
        <f>IFERROR(__xludf.DUMMYFUNCTION("""COMPUTED_VALUE"""),"-Reload Speed")</f>
        <v>-Reload Speed</v>
      </c>
      <c r="H839" s="102"/>
      <c r="I839" s="102"/>
      <c r="J839" s="102"/>
      <c r="K839" s="102"/>
      <c r="L839" s="102"/>
    </row>
    <row r="840">
      <c r="A840" s="102" t="str">
        <f>IFERROR(__xludf.DUMMYFUNCTION("""COMPUTED_VALUE"""),"Order")</f>
        <v>Order</v>
      </c>
      <c r="B840" s="102" t="str">
        <f>IFERROR(__xludf.DUMMYFUNCTION("""COMPUTED_VALUE"""),"Assault Rifle")</f>
        <v>Assault Rifle</v>
      </c>
      <c r="C840" s="103">
        <f>IFERROR(__xludf.DUMMYFUNCTION("""COMPUTED_VALUE"""),4.0)</f>
        <v>4</v>
      </c>
      <c r="D840" s="102" t="str">
        <f>IFERROR(__xludf.DUMMYFUNCTION("""COMPUTED_VALUE"""),"Body Accessory")</f>
        <v>Body Accessory</v>
      </c>
      <c r="E840" s="102" t="str">
        <f>IFERROR(__xludf.DUMMYFUNCTION("""COMPUTED_VALUE"""),"ORD_AR.part_body_b")</f>
        <v>ORD_AR.part_body_b</v>
      </c>
      <c r="F840" s="102"/>
      <c r="G840" s="102" t="str">
        <f>IFERROR(__xludf.DUMMYFUNCTION("""COMPUTED_VALUE"""),"+Damage")</f>
        <v>+Damage</v>
      </c>
      <c r="H840" s="102"/>
      <c r="I840" s="102"/>
      <c r="J840" s="102"/>
      <c r="K840" s="102"/>
      <c r="L840" s="102"/>
    </row>
    <row r="841">
      <c r="A841" s="102" t="str">
        <f>IFERROR(__xludf.DUMMYFUNCTION("""COMPUTED_VALUE"""),"Order")</f>
        <v>Order</v>
      </c>
      <c r="B841" s="102" t="str">
        <f>IFERROR(__xludf.DUMMYFUNCTION("""COMPUTED_VALUE"""),"Assault Rifle")</f>
        <v>Assault Rifle</v>
      </c>
      <c r="C841" s="103">
        <f>IFERROR(__xludf.DUMMYFUNCTION("""COMPUTED_VALUE"""),5.0)</f>
        <v>5</v>
      </c>
      <c r="D841" s="102" t="str">
        <f>IFERROR(__xludf.DUMMYFUNCTION("""COMPUTED_VALUE"""),"Body Accessory")</f>
        <v>Body Accessory</v>
      </c>
      <c r="E841" s="102" t="str">
        <f>IFERROR(__xludf.DUMMYFUNCTION("""COMPUTED_VALUE"""),"ORD_AR.part_body_c")</f>
        <v>ORD_AR.part_body_c</v>
      </c>
      <c r="F841" s="102"/>
      <c r="G841" s="104" t="str">
        <f>IFERROR(__xludf.DUMMYFUNCTION("""COMPUTED_VALUE"""),"+Accuracy")</f>
        <v>+Accuracy</v>
      </c>
      <c r="H841" s="102"/>
      <c r="I841" s="102"/>
      <c r="J841" s="102"/>
      <c r="K841" s="102"/>
      <c r="L841" s="102"/>
    </row>
    <row r="842">
      <c r="A842" s="102" t="str">
        <f>IFERROR(__xludf.DUMMYFUNCTION("""COMPUTED_VALUE"""),"Order")</f>
        <v>Order</v>
      </c>
      <c r="B842" s="102" t="str">
        <f>IFERROR(__xludf.DUMMYFUNCTION("""COMPUTED_VALUE"""),"Assault Rifle")</f>
        <v>Assault Rifle</v>
      </c>
      <c r="C842" s="103">
        <f>IFERROR(__xludf.DUMMYFUNCTION("""COMPUTED_VALUE"""),6.0)</f>
        <v>6</v>
      </c>
      <c r="D842" s="102" t="str">
        <f>IFERROR(__xludf.DUMMYFUNCTION("""COMPUTED_VALUE"""),"Body Accessory")</f>
        <v>Body Accessory</v>
      </c>
      <c r="E842" s="102" t="str">
        <f>IFERROR(__xludf.DUMMYFUNCTION("""COMPUTED_VALUE"""),"ORD_AR.part_body_d")</f>
        <v>ORD_AR.part_body_d</v>
      </c>
      <c r="F842" s="102"/>
      <c r="G842" s="102" t="str">
        <f>IFERROR(__xludf.DUMMYFUNCTION("""COMPUTED_VALUE"""),"+Crit Damage")</f>
        <v>+Crit Damage</v>
      </c>
      <c r="H842" s="102"/>
      <c r="I842" s="102"/>
      <c r="J842" s="102"/>
      <c r="K842" s="102"/>
      <c r="L842" s="102"/>
    </row>
    <row r="843">
      <c r="A843" s="102" t="str">
        <f>IFERROR(__xludf.DUMMYFUNCTION("""COMPUTED_VALUE"""),"Order")</f>
        <v>Order</v>
      </c>
      <c r="B843" s="102" t="str">
        <f>IFERROR(__xludf.DUMMYFUNCTION("""COMPUTED_VALUE"""),"Assault Rifle")</f>
        <v>Assault Rifle</v>
      </c>
      <c r="C843" s="103">
        <f>IFERROR(__xludf.DUMMYFUNCTION("""COMPUTED_VALUE"""),7.0)</f>
        <v>7</v>
      </c>
      <c r="D843" s="102" t="str">
        <f>IFERROR(__xludf.DUMMYFUNCTION("""COMPUTED_VALUE"""),"Barrel")</f>
        <v>Barrel</v>
      </c>
      <c r="E843" s="102" t="str">
        <f>IFERROR(__xludf.DUMMYFUNCTION("""COMPUTED_VALUE"""),"ORD_AR.part_barrel_01")</f>
        <v>ORD_AR.part_barrel_01</v>
      </c>
      <c r="F843" s="102"/>
      <c r="G843" s="102" t="str">
        <f>IFERROR(__xludf.DUMMYFUNCTION("""COMPUTED_VALUE"""),"Indiction, 1115 Damage, 89% Acc, 5.5/s FR")</f>
        <v>Indiction, 1115 Damage, 89% Acc, 5.5/s FR</v>
      </c>
      <c r="H843" s="102"/>
      <c r="I843" s="102"/>
      <c r="J843" s="102"/>
      <c r="K843" s="102"/>
      <c r="L843" s="102"/>
    </row>
    <row r="844">
      <c r="A844" s="102" t="str">
        <f>IFERROR(__xludf.DUMMYFUNCTION("""COMPUTED_VALUE"""),"Order")</f>
        <v>Order</v>
      </c>
      <c r="B844" s="102" t="str">
        <f>IFERROR(__xludf.DUMMYFUNCTION("""COMPUTED_VALUE"""),"Assault Rifle")</f>
        <v>Assault Rifle</v>
      </c>
      <c r="C844" s="103">
        <f>IFERROR(__xludf.DUMMYFUNCTION("""COMPUTED_VALUE"""),8.0)</f>
        <v>8</v>
      </c>
      <c r="D844" s="102" t="str">
        <f>IFERROR(__xludf.DUMMYFUNCTION("""COMPUTED_VALUE"""),"Barrel")</f>
        <v>Barrel</v>
      </c>
      <c r="E844" s="102" t="str">
        <f>IFERROR(__xludf.DUMMYFUNCTION("""COMPUTED_VALUE"""),"ORD_AR.part_barrel_02")</f>
        <v>ORD_AR.part_barrel_02</v>
      </c>
      <c r="F844" s="102"/>
      <c r="G844" s="102" t="str">
        <f>IFERROR(__xludf.DUMMYFUNCTION("""COMPUTED_VALUE"""),"Schema, 982 Damage, 88% Acc, 6.5/s FR")</f>
        <v>Schema, 982 Damage, 88% Acc, 6.5/s FR</v>
      </c>
      <c r="H844" s="102"/>
      <c r="I844" s="102"/>
      <c r="J844" s="102"/>
      <c r="K844" s="102"/>
      <c r="L844" s="102"/>
    </row>
    <row r="845">
      <c r="A845" s="102" t="str">
        <f>IFERROR(__xludf.DUMMYFUNCTION("""COMPUTED_VALUE"""),"Order")</f>
        <v>Order</v>
      </c>
      <c r="B845" s="102" t="str">
        <f>IFERROR(__xludf.DUMMYFUNCTION("""COMPUTED_VALUE"""),"Assault Rifle")</f>
        <v>Assault Rifle</v>
      </c>
      <c r="C845" s="103">
        <f>IFERROR(__xludf.DUMMYFUNCTION("""COMPUTED_VALUE"""),9.0)</f>
        <v>9</v>
      </c>
      <c r="D845" s="102" t="str">
        <f>IFERROR(__xludf.DUMMYFUNCTION("""COMPUTED_VALUE"""),"Manufacturer Part")</f>
        <v>Manufacturer Part</v>
      </c>
      <c r="E845" s="102" t="str">
        <f>IFERROR(__xludf.DUMMYFUNCTION("""COMPUTED_VALUE"""),"ORD_AR.part_shield_default")</f>
        <v>ORD_AR.part_shield_default</v>
      </c>
      <c r="F845" s="102"/>
      <c r="G845" s="102" t="str">
        <f>IFERROR(__xludf.DUMMYFUNCTION("""COMPUTED_VALUE"""),"Hyperion Shield")</f>
        <v>Hyperion Shield</v>
      </c>
      <c r="H845" s="102"/>
      <c r="I845" s="102"/>
      <c r="J845" s="102"/>
      <c r="K845" s="102"/>
      <c r="L845" s="102"/>
    </row>
    <row r="846">
      <c r="A846" s="102" t="str">
        <f>IFERROR(__xludf.DUMMYFUNCTION("""COMPUTED_VALUE"""),"Order")</f>
        <v>Order</v>
      </c>
      <c r="B846" s="102" t="str">
        <f>IFERROR(__xludf.DUMMYFUNCTION("""COMPUTED_VALUE"""),"Assault Rifle")</f>
        <v>Assault Rifle</v>
      </c>
      <c r="C846" s="103">
        <f>IFERROR(__xludf.DUMMYFUNCTION("""COMPUTED_VALUE"""),10.0)</f>
        <v>10</v>
      </c>
      <c r="D846" s="102" t="str">
        <f>IFERROR(__xludf.DUMMYFUNCTION("""COMPUTED_VALUE"""),"Manufacturer Part")</f>
        <v>Manufacturer Part</v>
      </c>
      <c r="E846" s="102" t="str">
        <f>IFERROR(__xludf.DUMMYFUNCTION("""COMPUTED_VALUE"""),"ORD_AR.part_shield_ricochet")</f>
        <v>ORD_AR.part_shield_ricochet</v>
      </c>
      <c r="F846" s="102"/>
      <c r="G846" s="104" t="str">
        <f>IFERROR(__xludf.DUMMYFUNCTION("""COMPUTED_VALUE"""),"Hyperion Ricochet Shield")</f>
        <v>Hyperion Ricochet Shield</v>
      </c>
      <c r="H846" s="102"/>
      <c r="I846" s="102"/>
      <c r="J846" s="102"/>
      <c r="K846" s="102"/>
      <c r="L846" s="102"/>
    </row>
    <row r="847">
      <c r="A847" s="102" t="str">
        <f>IFERROR(__xludf.DUMMYFUNCTION("""COMPUTED_VALUE"""),"Order")</f>
        <v>Order</v>
      </c>
      <c r="B847" s="102" t="str">
        <f>IFERROR(__xludf.DUMMYFUNCTION("""COMPUTED_VALUE"""),"Assault Rifle")</f>
        <v>Assault Rifle</v>
      </c>
      <c r="C847" s="103">
        <f>IFERROR(__xludf.DUMMYFUNCTION("""COMPUTED_VALUE"""),11.0)</f>
        <v>11</v>
      </c>
      <c r="D847" s="102" t="str">
        <f>IFERROR(__xludf.DUMMYFUNCTION("""COMPUTED_VALUE"""),"Manufacturer Part")</f>
        <v>Manufacturer Part</v>
      </c>
      <c r="E847" s="102" t="str">
        <f>IFERROR(__xludf.DUMMYFUNCTION("""COMPUTED_VALUE"""),"ORD_AR.part_shield_ammo")</f>
        <v>ORD_AR.part_shield_ammo</v>
      </c>
      <c r="F847" s="102"/>
      <c r="G847" s="104" t="str">
        <f>IFERROR(__xludf.DUMMYFUNCTION("""COMPUTED_VALUE"""),"Hyperion Absorb Shield")</f>
        <v>Hyperion Absorb Shield</v>
      </c>
      <c r="H847" s="102"/>
      <c r="I847" s="102"/>
      <c r="J847" s="102"/>
      <c r="K847" s="102"/>
      <c r="L847" s="102"/>
    </row>
    <row r="848">
      <c r="A848" s="102" t="str">
        <f>IFERROR(__xludf.DUMMYFUNCTION("""COMPUTED_VALUE"""),"Order")</f>
        <v>Order</v>
      </c>
      <c r="B848" s="102" t="str">
        <f>IFERROR(__xludf.DUMMYFUNCTION("""COMPUTED_VALUE"""),"Assault Rifle")</f>
        <v>Assault Rifle</v>
      </c>
      <c r="C848" s="103">
        <f>IFERROR(__xludf.DUMMYFUNCTION("""COMPUTED_VALUE"""),12.0)</f>
        <v>12</v>
      </c>
      <c r="D848" s="102" t="str">
        <f>IFERROR(__xludf.DUMMYFUNCTION("""COMPUTED_VALUE"""),"Manufacturer Part")</f>
        <v>Manufacturer Part</v>
      </c>
      <c r="E848" s="102" t="str">
        <f>IFERROR(__xludf.DUMMYFUNCTION("""COMPUTED_VALUE"""),"ORD_AR.part_shield_amp")</f>
        <v>ORD_AR.part_shield_amp</v>
      </c>
      <c r="F848" s="102"/>
      <c r="G848" s="102" t="str">
        <f>IFERROR(__xludf.DUMMYFUNCTION("""COMPUTED_VALUE"""),"Hyperion Amp Shield")</f>
        <v>Hyperion Amp Shield</v>
      </c>
      <c r="H848" s="102"/>
      <c r="I848" s="102"/>
      <c r="J848" s="102"/>
      <c r="K848" s="102"/>
      <c r="L848" s="102"/>
    </row>
    <row r="849">
      <c r="A849" s="102" t="str">
        <f>IFERROR(__xludf.DUMMYFUNCTION("""COMPUTED_VALUE"""),"Order")</f>
        <v>Order</v>
      </c>
      <c r="B849" s="102" t="str">
        <f>IFERROR(__xludf.DUMMYFUNCTION("""COMPUTED_VALUE"""),"Assault Rifle")</f>
        <v>Assault Rifle</v>
      </c>
      <c r="C849" s="103">
        <f>IFERROR(__xludf.DUMMYFUNCTION("""COMPUTED_VALUE"""),13.0)</f>
        <v>13</v>
      </c>
      <c r="D849" s="102" t="str">
        <f>IFERROR(__xludf.DUMMYFUNCTION("""COMPUTED_VALUE"""),"Magazine")</f>
        <v>Magazine</v>
      </c>
      <c r="E849" s="102" t="str">
        <f>IFERROR(__xludf.DUMMYFUNCTION("""COMPUTED_VALUE"""),"ORD_AR.part_mag_01")</f>
        <v>ORD_AR.part_mag_01</v>
      </c>
      <c r="F849" s="102"/>
      <c r="G849" s="102" t="str">
        <f>IFERROR(__xludf.DUMMYFUNCTION("""COMPUTED_VALUE"""),"1.9s Reload, 18 Shots")</f>
        <v>1.9s Reload, 18 Shots</v>
      </c>
      <c r="H849" s="102"/>
      <c r="I849" s="102"/>
      <c r="J849" s="102"/>
      <c r="K849" s="102"/>
      <c r="L849" s="102"/>
    </row>
    <row r="850">
      <c r="A850" s="102" t="str">
        <f>IFERROR(__xludf.DUMMYFUNCTION("""COMPUTED_VALUE"""),"Order")</f>
        <v>Order</v>
      </c>
      <c r="B850" s="102" t="str">
        <f>IFERROR(__xludf.DUMMYFUNCTION("""COMPUTED_VALUE"""),"Assault Rifle")</f>
        <v>Assault Rifle</v>
      </c>
      <c r="C850" s="103">
        <f>IFERROR(__xludf.DUMMYFUNCTION("""COMPUTED_VALUE"""),14.0)</f>
        <v>14</v>
      </c>
      <c r="D850" s="102" t="str">
        <f>IFERROR(__xludf.DUMMYFUNCTION("""COMPUTED_VALUE"""),"Magazine")</f>
        <v>Magazine</v>
      </c>
      <c r="E850" s="102" t="str">
        <f>IFERROR(__xludf.DUMMYFUNCTION("""COMPUTED_VALUE"""),"ORD_AR.part_mag_02")</f>
        <v>ORD_AR.part_mag_02</v>
      </c>
      <c r="F850" s="102"/>
      <c r="G850" s="102" t="str">
        <f>IFERROR(__xludf.DUMMYFUNCTION("""COMPUTED_VALUE"""),"2.3s Reload, -Damage, 24 Shots")</f>
        <v>2.3s Reload, -Damage, 24 Shots</v>
      </c>
      <c r="H850" s="102"/>
      <c r="I850" s="102"/>
      <c r="J850" s="102"/>
      <c r="K850" s="102"/>
      <c r="L850" s="102"/>
    </row>
    <row r="851">
      <c r="A851" s="102" t="str">
        <f>IFERROR(__xludf.DUMMYFUNCTION("""COMPUTED_VALUE"""),"Order")</f>
        <v>Order</v>
      </c>
      <c r="B851" s="102" t="str">
        <f>IFERROR(__xludf.DUMMYFUNCTION("""COMPUTED_VALUE"""),"Assault Rifle")</f>
        <v>Assault Rifle</v>
      </c>
      <c r="C851" s="103">
        <f>IFERROR(__xludf.DUMMYFUNCTION("""COMPUTED_VALUE"""),15.0)</f>
        <v>15</v>
      </c>
      <c r="D851" s="102" t="str">
        <f>IFERROR(__xludf.DUMMYFUNCTION("""COMPUTED_VALUE"""),"Magazine")</f>
        <v>Magazine</v>
      </c>
      <c r="E851" s="102" t="str">
        <f>IFERROR(__xludf.DUMMYFUNCTION("""COMPUTED_VALUE"""),"ORD_AR.part_mag_04_cov")</f>
        <v>ORD_AR.part_mag_04_cov</v>
      </c>
      <c r="F851" s="102"/>
      <c r="G851" s="102" t="str">
        <f>IFERROR(__xludf.DUMMYFUNCTION("""COMPUTED_VALUE"""),"3.7s Reload, +Damage, -Acc, 34 Shots, CoV Mag")</f>
        <v>3.7s Reload, +Damage, -Acc, 34 Shots, CoV Mag</v>
      </c>
      <c r="H851" s="102"/>
      <c r="I851" s="102"/>
      <c r="J851" s="102"/>
      <c r="K851" s="102"/>
      <c r="L851" s="102"/>
    </row>
    <row r="852">
      <c r="A852" s="102" t="str">
        <f>IFERROR(__xludf.DUMMYFUNCTION("""COMPUTED_VALUE"""),"Order")</f>
        <v>Order</v>
      </c>
      <c r="B852" s="102" t="str">
        <f>IFERROR(__xludf.DUMMYFUNCTION("""COMPUTED_VALUE"""),"Assault Rifle")</f>
        <v>Assault Rifle</v>
      </c>
      <c r="C852" s="103">
        <f>IFERROR(__xludf.DUMMYFUNCTION("""COMPUTED_VALUE"""),16.0)</f>
        <v>16</v>
      </c>
      <c r="D852" s="102" t="str">
        <f>IFERROR(__xludf.DUMMYFUNCTION("""COMPUTED_VALUE"""),"Magazine")</f>
        <v>Magazine</v>
      </c>
      <c r="E852" s="102" t="str">
        <f>IFERROR(__xludf.DUMMYFUNCTION("""COMPUTED_VALUE"""),"ORD_AR.part_mag_05_borg")</f>
        <v>ORD_AR.part_mag_05_borg</v>
      </c>
      <c r="F852" s="102"/>
      <c r="G852" s="102" t="str">
        <f>IFERROR(__xludf.DUMMYFUNCTION("""COMPUTED_VALUE"""),"2.3s Reload, -Damage, +Fire Rate, 30 Shots, RIpper Mag")</f>
        <v>2.3s Reload, -Damage, +Fire Rate, 30 Shots, RIpper Mag</v>
      </c>
      <c r="H852" s="102"/>
      <c r="I852" s="102"/>
      <c r="J852" s="102"/>
      <c r="K852" s="102"/>
      <c r="L852" s="102"/>
    </row>
    <row r="853">
      <c r="A853" s="102" t="str">
        <f>IFERROR(__xludf.DUMMYFUNCTION("""COMPUTED_VALUE"""),"Order")</f>
        <v>Order</v>
      </c>
      <c r="B853" s="102" t="str">
        <f>IFERROR(__xludf.DUMMYFUNCTION("""COMPUTED_VALUE"""),"Assault Rifle")</f>
        <v>Assault Rifle</v>
      </c>
      <c r="C853" s="103">
        <f>IFERROR(__xludf.DUMMYFUNCTION("""COMPUTED_VALUE"""),17.0)</f>
        <v>17</v>
      </c>
      <c r="D853" s="102" t="str">
        <f>IFERROR(__xludf.DUMMYFUNCTION("""COMPUTED_VALUE"""),"Stat Modifier")</f>
        <v>Stat Modifier</v>
      </c>
      <c r="E853" s="102" t="str">
        <f>IFERROR(__xludf.DUMMYFUNCTION("""COMPUTED_VALUE"""),"ORD_AR.part_mag_ted_thrown_01")</f>
        <v>ORD_AR.part_mag_ted_thrown_01</v>
      </c>
      <c r="F853" s="102"/>
      <c r="G853" s="102" t="str">
        <f>IFERROR(__xludf.DUMMYFUNCTION("""COMPUTED_VALUE"""),"2.0s Reload")</f>
        <v>2.0s Reload</v>
      </c>
      <c r="H853" s="102"/>
      <c r="I853" s="102"/>
      <c r="J853" s="102"/>
      <c r="K853" s="102"/>
      <c r="L853" s="102"/>
    </row>
    <row r="854">
      <c r="A854" s="102" t="str">
        <f>IFERROR(__xludf.DUMMYFUNCTION("""COMPUTED_VALUE"""),"Order")</f>
        <v>Order</v>
      </c>
      <c r="B854" s="102" t="str">
        <f>IFERROR(__xludf.DUMMYFUNCTION("""COMPUTED_VALUE"""),"Assault Rifle")</f>
        <v>Assault Rifle</v>
      </c>
      <c r="C854" s="103">
        <f>IFERROR(__xludf.DUMMYFUNCTION("""COMPUTED_VALUE"""),18.0)</f>
        <v>18</v>
      </c>
      <c r="D854" s="102" t="str">
        <f>IFERROR(__xludf.DUMMYFUNCTION("""COMPUTED_VALUE"""),"Stat Modifier")</f>
        <v>Stat Modifier</v>
      </c>
      <c r="E854" s="102" t="str">
        <f>IFERROR(__xludf.DUMMYFUNCTION("""COMPUTED_VALUE"""),"ORD_AR.part_mag_ted_thrown_02")</f>
        <v>ORD_AR.part_mag_ted_thrown_02</v>
      </c>
      <c r="F854" s="102"/>
      <c r="G854" s="102" t="str">
        <f>IFERROR(__xludf.DUMMYFUNCTION("""COMPUTED_VALUE"""),"2.0s Reload")</f>
        <v>2.0s Reload</v>
      </c>
      <c r="H854" s="102"/>
      <c r="I854" s="102"/>
      <c r="J854" s="102"/>
      <c r="K854" s="102"/>
      <c r="L854" s="102"/>
    </row>
    <row r="855">
      <c r="A855" s="102" t="str">
        <f>IFERROR(__xludf.DUMMYFUNCTION("""COMPUTED_VALUE"""),"Order")</f>
        <v>Order</v>
      </c>
      <c r="B855" s="102" t="str">
        <f>IFERROR(__xludf.DUMMYFUNCTION("""COMPUTED_VALUE"""),"Assault Rifle")</f>
        <v>Assault Rifle</v>
      </c>
      <c r="C855" s="103">
        <f>IFERROR(__xludf.DUMMYFUNCTION("""COMPUTED_VALUE"""),19.0)</f>
        <v>19</v>
      </c>
      <c r="D855" s="102" t="str">
        <f>IFERROR(__xludf.DUMMYFUNCTION("""COMPUTED_VALUE"""),"Stat Modifier")</f>
        <v>Stat Modifier</v>
      </c>
      <c r="E855" s="102" t="str">
        <f>IFERROR(__xludf.DUMMYFUNCTION("""COMPUTED_VALUE"""),"ORD_AR.part_mag_ted_thrown_03_tor")</f>
        <v>ORD_AR.part_mag_ted_thrown_03_tor</v>
      </c>
      <c r="F855" s="102"/>
      <c r="G855" s="102" t="str">
        <f>IFERROR(__xludf.DUMMYFUNCTION("""COMPUTED_VALUE"""),"2.0s Reload")</f>
        <v>2.0s Reload</v>
      </c>
      <c r="H855" s="102"/>
      <c r="I855" s="102"/>
      <c r="J855" s="102"/>
      <c r="K855" s="102"/>
      <c r="L855" s="102"/>
    </row>
    <row r="856">
      <c r="A856" s="102" t="str">
        <f>IFERROR(__xludf.DUMMYFUNCTION("""COMPUTED_VALUE"""),"Order")</f>
        <v>Order</v>
      </c>
      <c r="B856" s="102" t="str">
        <f>IFERROR(__xludf.DUMMYFUNCTION("""COMPUTED_VALUE"""),"Assault Rifle")</f>
        <v>Assault Rifle</v>
      </c>
      <c r="C856" s="103">
        <f>IFERROR(__xludf.DUMMYFUNCTION("""COMPUTED_VALUE"""),20.0)</f>
        <v>20</v>
      </c>
      <c r="D856" s="102" t="str">
        <f>IFERROR(__xludf.DUMMYFUNCTION("""COMPUTED_VALUE"""),"Stat Modifier")</f>
        <v>Stat Modifier</v>
      </c>
      <c r="E856" s="102" t="str">
        <f>IFERROR(__xludf.DUMMYFUNCTION("""COMPUTED_VALUE"""),"ORD_AR.part_mag_ted_thrown_04_cov")</f>
        <v>ORD_AR.part_mag_ted_thrown_04_cov</v>
      </c>
      <c r="F856" s="102"/>
      <c r="G856" s="102" t="str">
        <f>IFERROR(__xludf.DUMMYFUNCTION("""COMPUTED_VALUE"""),"3.0s Reload")</f>
        <v>3.0s Reload</v>
      </c>
      <c r="H856" s="102"/>
      <c r="I856" s="102"/>
      <c r="J856" s="102"/>
      <c r="K856" s="102"/>
      <c r="L856" s="102"/>
    </row>
    <row r="857">
      <c r="A857" s="102" t="str">
        <f>IFERROR(__xludf.DUMMYFUNCTION("""COMPUTED_VALUE"""),"Order")</f>
        <v>Order</v>
      </c>
      <c r="B857" s="102" t="str">
        <f>IFERROR(__xludf.DUMMYFUNCTION("""COMPUTED_VALUE"""),"Assault Rifle")</f>
        <v>Assault Rifle</v>
      </c>
      <c r="C857" s="103">
        <f>IFERROR(__xludf.DUMMYFUNCTION("""COMPUTED_VALUE"""),21.0)</f>
        <v>21</v>
      </c>
      <c r="D857" s="102" t="str">
        <f>IFERROR(__xludf.DUMMYFUNCTION("""COMPUTED_VALUE"""),"Stat Modifier")</f>
        <v>Stat Modifier</v>
      </c>
      <c r="E857" s="102" t="str">
        <f>IFERROR(__xludf.DUMMYFUNCTION("""COMPUTED_VALUE"""),"ORD_AR.part_mag_ted_thrown_05_bor")</f>
        <v>ORD_AR.part_mag_ted_thrown_05_bor</v>
      </c>
      <c r="F857" s="102"/>
      <c r="G857" s="102" t="str">
        <f>IFERROR(__xludf.DUMMYFUNCTION("""COMPUTED_VALUE"""),"3.0s Reload")</f>
        <v>3.0s Reload</v>
      </c>
      <c r="H857" s="102"/>
      <c r="I857" s="102"/>
      <c r="J857" s="102"/>
      <c r="K857" s="102"/>
      <c r="L857" s="102"/>
    </row>
    <row r="858">
      <c r="A858" s="102" t="str">
        <f>IFERROR(__xludf.DUMMYFUNCTION("""COMPUTED_VALUE"""),"Order")</f>
        <v>Order</v>
      </c>
      <c r="B858" s="102" t="str">
        <f>IFERROR(__xludf.DUMMYFUNCTION("""COMPUTED_VALUE"""),"Assault Rifle")</f>
        <v>Assault Rifle</v>
      </c>
      <c r="C858" s="103">
        <f>IFERROR(__xludf.DUMMYFUNCTION("""COMPUTED_VALUE"""),22.0)</f>
        <v>22</v>
      </c>
      <c r="D858" s="102" t="str">
        <f>IFERROR(__xludf.DUMMYFUNCTION("""COMPUTED_VALUE"""),"Scope")</f>
        <v>Scope</v>
      </c>
      <c r="E858" s="102" t="str">
        <f>IFERROR(__xludf.DUMMYFUNCTION("""COMPUTED_VALUE"""),"ORD_AR.part_scope_02_lens_02")</f>
        <v>ORD_AR.part_scope_02_lens_02</v>
      </c>
      <c r="F858" s="102"/>
      <c r="G858" s="102" t="str">
        <f>IFERROR(__xludf.DUMMYFUNCTION("""COMPUTED_VALUE"""),"ADS +++Zoom")</f>
        <v>ADS +++Zoom</v>
      </c>
      <c r="H858" s="102"/>
      <c r="I858" s="102"/>
      <c r="J858" s="102"/>
      <c r="K858" s="102"/>
      <c r="L858" s="102"/>
    </row>
    <row r="859">
      <c r="A859" s="102" t="str">
        <f>IFERROR(__xludf.DUMMYFUNCTION("""COMPUTED_VALUE"""),"Order")</f>
        <v>Order</v>
      </c>
      <c r="B859" s="102" t="str">
        <f>IFERROR(__xludf.DUMMYFUNCTION("""COMPUTED_VALUE"""),"Assault Rifle")</f>
        <v>Assault Rifle</v>
      </c>
      <c r="C859" s="103">
        <f>IFERROR(__xludf.DUMMYFUNCTION("""COMPUTED_VALUE"""),23.0)</f>
        <v>23</v>
      </c>
      <c r="D859" s="102" t="str">
        <f>IFERROR(__xludf.DUMMYFUNCTION("""COMPUTED_VALUE"""),"Scope")</f>
        <v>Scope</v>
      </c>
      <c r="E859" s="102" t="str">
        <f>IFERROR(__xludf.DUMMYFUNCTION("""COMPUTED_VALUE"""),"ORD_AR.part_scope_02_lens_01")</f>
        <v>ORD_AR.part_scope_02_lens_01</v>
      </c>
      <c r="F859" s="102"/>
      <c r="G859" s="102" t="str">
        <f>IFERROR(__xludf.DUMMYFUNCTION("""COMPUTED_VALUE"""),"ADS +++Zoom")</f>
        <v>ADS +++Zoom</v>
      </c>
      <c r="H859" s="102"/>
      <c r="I859" s="102"/>
      <c r="J859" s="102"/>
      <c r="K859" s="102"/>
      <c r="L859" s="102"/>
    </row>
    <row r="860">
      <c r="A860" s="102" t="str">
        <f>IFERROR(__xludf.DUMMYFUNCTION("""COMPUTED_VALUE"""),"Order")</f>
        <v>Order</v>
      </c>
      <c r="B860" s="102" t="str">
        <f>IFERROR(__xludf.DUMMYFUNCTION("""COMPUTED_VALUE"""),"Assault Rifle")</f>
        <v>Assault Rifle</v>
      </c>
      <c r="C860" s="103">
        <f>IFERROR(__xludf.DUMMYFUNCTION("""COMPUTED_VALUE"""),24.0)</f>
        <v>24</v>
      </c>
      <c r="D860" s="102" t="str">
        <f>IFERROR(__xludf.DUMMYFUNCTION("""COMPUTED_VALUE"""),"Scope")</f>
        <v>Scope</v>
      </c>
      <c r="E860" s="102" t="str">
        <f>IFERROR(__xludf.DUMMYFUNCTION("""COMPUTED_VALUE"""),"ORD_AR.part_scope_01_lens_02")</f>
        <v>ORD_AR.part_scope_01_lens_02</v>
      </c>
      <c r="F860" s="102"/>
      <c r="G860" s="102" t="str">
        <f>IFERROR(__xludf.DUMMYFUNCTION("""COMPUTED_VALUE"""),"ADS ++Zoom")</f>
        <v>ADS ++Zoom</v>
      </c>
      <c r="H860" s="102"/>
      <c r="I860" s="102"/>
      <c r="J860" s="102"/>
      <c r="K860" s="102"/>
      <c r="L860" s="102"/>
    </row>
    <row r="861">
      <c r="A861" s="102" t="str">
        <f>IFERROR(__xludf.DUMMYFUNCTION("""COMPUTED_VALUE"""),"Order")</f>
        <v>Order</v>
      </c>
      <c r="B861" s="102" t="str">
        <f>IFERROR(__xludf.DUMMYFUNCTION("""COMPUTED_VALUE"""),"Assault Rifle")</f>
        <v>Assault Rifle</v>
      </c>
      <c r="C861" s="103">
        <f>IFERROR(__xludf.DUMMYFUNCTION("""COMPUTED_VALUE"""),25.0)</f>
        <v>25</v>
      </c>
      <c r="D861" s="102" t="str">
        <f>IFERROR(__xludf.DUMMYFUNCTION("""COMPUTED_VALUE"""),"Scope")</f>
        <v>Scope</v>
      </c>
      <c r="E861" s="102" t="str">
        <f>IFERROR(__xludf.DUMMYFUNCTION("""COMPUTED_VALUE"""),"ORD_AR.part_scope_01_lens_01")</f>
        <v>ORD_AR.part_scope_01_lens_01</v>
      </c>
      <c r="F861" s="102"/>
      <c r="G861" s="102" t="str">
        <f>IFERROR(__xludf.DUMMYFUNCTION("""COMPUTED_VALUE"""),"ADS +Zoom")</f>
        <v>ADS +Zoom</v>
      </c>
      <c r="H861" s="102"/>
      <c r="I861" s="102"/>
      <c r="J861" s="102"/>
      <c r="K861" s="102"/>
      <c r="L861" s="102"/>
    </row>
    <row r="862">
      <c r="A862" s="102" t="str">
        <f>IFERROR(__xludf.DUMMYFUNCTION("""COMPUTED_VALUE"""),"Order")</f>
        <v>Order</v>
      </c>
      <c r="B862" s="102" t="str">
        <f>IFERROR(__xludf.DUMMYFUNCTION("""COMPUTED_VALUE"""),"Assault Rifle")</f>
        <v>Assault Rifle</v>
      </c>
      <c r="C862" s="103">
        <f>IFERROR(__xludf.DUMMYFUNCTION("""COMPUTED_VALUE"""),26.0)</f>
        <v>26</v>
      </c>
      <c r="D862" s="102" t="str">
        <f>IFERROR(__xludf.DUMMYFUNCTION("""COMPUTED_VALUE"""),"Scope")</f>
        <v>Scope</v>
      </c>
      <c r="E862" s="102" t="str">
        <f>IFERROR(__xludf.DUMMYFUNCTION("""COMPUTED_VALUE"""),"ORD_AR.part_scope_ironsight")</f>
        <v>ORD_AR.part_scope_ironsight</v>
      </c>
      <c r="F862" s="102"/>
      <c r="G862" s="102" t="str">
        <f>IFERROR(__xludf.DUMMYFUNCTION("""COMPUTED_VALUE"""),"ADS")</f>
        <v>ADS</v>
      </c>
      <c r="H862" s="102"/>
      <c r="I862" s="102"/>
      <c r="J862" s="102"/>
      <c r="K862" s="102"/>
      <c r="L862" s="102"/>
    </row>
    <row r="863">
      <c r="A863" s="102" t="str">
        <f>IFERROR(__xludf.DUMMYFUNCTION("""COMPUTED_VALUE"""),"Order")</f>
        <v>Order</v>
      </c>
      <c r="B863" s="102" t="str">
        <f>IFERROR(__xludf.DUMMYFUNCTION("""COMPUTED_VALUE"""),"Assault Rifle")</f>
        <v>Assault Rifle</v>
      </c>
      <c r="C863" s="103">
        <f>IFERROR(__xludf.DUMMYFUNCTION("""COMPUTED_VALUE"""),27.0)</f>
        <v>27</v>
      </c>
      <c r="D863" s="102" t="str">
        <f>IFERROR(__xludf.DUMMYFUNCTION("""COMPUTED_VALUE"""),"Scope Accessory")</f>
        <v>Scope Accessory</v>
      </c>
      <c r="E863" s="102" t="str">
        <f>IFERROR(__xludf.DUMMYFUNCTION("""COMPUTED_VALUE"""),"ORD_AR.part_scope_acc_s01_l01_a")</f>
        <v>ORD_AR.part_scope_acc_s01_l01_a</v>
      </c>
      <c r="F863" s="102"/>
      <c r="G863" s="102" t="str">
        <f>IFERROR(__xludf.DUMMYFUNCTION("""COMPUTED_VALUE"""),"+Damage")</f>
        <v>+Damage</v>
      </c>
      <c r="H863" s="102" t="str">
        <f>IFERROR(__xludf.DUMMYFUNCTION("""COMPUTED_VALUE"""),"HUD Elements")</f>
        <v>HUD Elements</v>
      </c>
      <c r="I863" s="102"/>
      <c r="J863" s="102"/>
      <c r="K863" s="102"/>
      <c r="L863" s="102"/>
    </row>
    <row r="864">
      <c r="A864" s="102" t="str">
        <f>IFERROR(__xludf.DUMMYFUNCTION("""COMPUTED_VALUE"""),"Order")</f>
        <v>Order</v>
      </c>
      <c r="B864" s="102" t="str">
        <f>IFERROR(__xludf.DUMMYFUNCTION("""COMPUTED_VALUE"""),"Assault Rifle")</f>
        <v>Assault Rifle</v>
      </c>
      <c r="C864" s="103">
        <f>IFERROR(__xludf.DUMMYFUNCTION("""COMPUTED_VALUE"""),28.0)</f>
        <v>28</v>
      </c>
      <c r="D864" s="102" t="str">
        <f>IFERROR(__xludf.DUMMYFUNCTION("""COMPUTED_VALUE"""),"Scope Accessory")</f>
        <v>Scope Accessory</v>
      </c>
      <c r="E864" s="102" t="str">
        <f>IFERROR(__xludf.DUMMYFUNCTION("""COMPUTED_VALUE"""),"ORD_AR.part_scope_acc_s01_l01_b")</f>
        <v>ORD_AR.part_scope_acc_s01_l01_b</v>
      </c>
      <c r="F864" s="102"/>
      <c r="G864" s="102" t="str">
        <f>IFERROR(__xludf.DUMMYFUNCTION("""COMPUTED_VALUE"""),"-Reload Speed")</f>
        <v>-Reload Speed</v>
      </c>
      <c r="H864" s="102" t="str">
        <f>IFERROR(__xludf.DUMMYFUNCTION("""COMPUTED_VALUE"""),"Scope Hood")</f>
        <v>Scope Hood</v>
      </c>
      <c r="I864" s="102"/>
      <c r="J864" s="102"/>
      <c r="K864" s="102"/>
      <c r="L864" s="102"/>
    </row>
    <row r="865">
      <c r="A865" s="102" t="str">
        <f>IFERROR(__xludf.DUMMYFUNCTION("""COMPUTED_VALUE"""),"Order")</f>
        <v>Order</v>
      </c>
      <c r="B865" s="102" t="str">
        <f>IFERROR(__xludf.DUMMYFUNCTION("""COMPUTED_VALUE"""),"Assault Rifle")</f>
        <v>Assault Rifle</v>
      </c>
      <c r="C865" s="103">
        <f>IFERROR(__xludf.DUMMYFUNCTION("""COMPUTED_VALUE"""),29.0)</f>
        <v>29</v>
      </c>
      <c r="D865" s="102" t="str">
        <f>IFERROR(__xludf.DUMMYFUNCTION("""COMPUTED_VALUE"""),"Scope Accessory")</f>
        <v>Scope Accessory</v>
      </c>
      <c r="E865" s="102" t="str">
        <f>IFERROR(__xludf.DUMMYFUNCTION("""COMPUTED_VALUE"""),"ORD_AR.part_scope_acc_s02_l01_a")</f>
        <v>ORD_AR.part_scope_acc_s02_l01_a</v>
      </c>
      <c r="F865" s="102"/>
      <c r="G865" s="102" t="str">
        <f>IFERROR(__xludf.DUMMYFUNCTION("""COMPUTED_VALUE"""),"No Stat Changes")</f>
        <v>No Stat Changes</v>
      </c>
      <c r="H865" s="102" t="str">
        <f>IFERROR(__xludf.DUMMYFUNCTION("""COMPUTED_VALUE"""),"HUD Elements")</f>
        <v>HUD Elements</v>
      </c>
      <c r="I865" s="102"/>
      <c r="J865" s="102"/>
      <c r="K865" s="102"/>
      <c r="L865" s="102"/>
    </row>
    <row r="866">
      <c r="A866" s="102" t="str">
        <f>IFERROR(__xludf.DUMMYFUNCTION("""COMPUTED_VALUE"""),"Order")</f>
        <v>Order</v>
      </c>
      <c r="B866" s="102" t="str">
        <f>IFERROR(__xludf.DUMMYFUNCTION("""COMPUTED_VALUE"""),"Assault Rifle")</f>
        <v>Assault Rifle</v>
      </c>
      <c r="C866" s="103">
        <f>IFERROR(__xludf.DUMMYFUNCTION("""COMPUTED_VALUE"""),30.0)</f>
        <v>30</v>
      </c>
      <c r="D866" s="102" t="str">
        <f>IFERROR(__xludf.DUMMYFUNCTION("""COMPUTED_VALUE"""),"Scope Accessory")</f>
        <v>Scope Accessory</v>
      </c>
      <c r="E866" s="102" t="str">
        <f>IFERROR(__xludf.DUMMYFUNCTION("""COMPUTED_VALUE"""),"ORD_AR.part_scope_acc_s02_l01_b")</f>
        <v>ORD_AR.part_scope_acc_s02_l01_b</v>
      </c>
      <c r="F866" s="102"/>
      <c r="G866" s="102" t="str">
        <f>IFERROR(__xludf.DUMMYFUNCTION("""COMPUTED_VALUE"""),"+Crit Damage")</f>
        <v>+Crit Damage</v>
      </c>
      <c r="H866" s="102" t="str">
        <f>IFERROR(__xludf.DUMMYFUNCTION("""COMPUTED_VALUE"""),"HUD Elements")</f>
        <v>HUD Elements</v>
      </c>
      <c r="I866" s="102"/>
      <c r="J866" s="102"/>
      <c r="K866" s="102"/>
      <c r="L866" s="102"/>
    </row>
    <row r="867">
      <c r="A867" s="102" t="str">
        <f>IFERROR(__xludf.DUMMYFUNCTION("""COMPUTED_VALUE"""),"Order")</f>
        <v>Order</v>
      </c>
      <c r="B867" s="102" t="str">
        <f>IFERROR(__xludf.DUMMYFUNCTION("""COMPUTED_VALUE"""),"Assault Rifle")</f>
        <v>Assault Rifle</v>
      </c>
      <c r="C867" s="103">
        <f>IFERROR(__xludf.DUMMYFUNCTION("""COMPUTED_VALUE"""),31.0)</f>
        <v>31</v>
      </c>
      <c r="D867" s="102" t="str">
        <f>IFERROR(__xludf.DUMMYFUNCTION("""COMPUTED_VALUE"""),"Scope Accessory")</f>
        <v>Scope Accessory</v>
      </c>
      <c r="E867" s="102" t="str">
        <f>IFERROR(__xludf.DUMMYFUNCTION("""COMPUTED_VALUE"""),"ORD_AR.part_scope_acc_s01_l02_a")</f>
        <v>ORD_AR.part_scope_acc_s01_l02_a</v>
      </c>
      <c r="F867" s="102"/>
      <c r="G867" s="102" t="str">
        <f>IFERROR(__xludf.DUMMYFUNCTION("""COMPUTED_VALUE"""),"+Damage")</f>
        <v>+Damage</v>
      </c>
      <c r="H867" s="102" t="str">
        <f>IFERROR(__xludf.DUMMYFUNCTION("""COMPUTED_VALUE"""),"HUD Elements")</f>
        <v>HUD Elements</v>
      </c>
      <c r="I867" s="102"/>
      <c r="J867" s="102"/>
      <c r="K867" s="102"/>
      <c r="L867" s="102"/>
    </row>
    <row r="868">
      <c r="A868" s="102" t="str">
        <f>IFERROR(__xludf.DUMMYFUNCTION("""COMPUTED_VALUE"""),"Order")</f>
        <v>Order</v>
      </c>
      <c r="B868" s="102" t="str">
        <f>IFERROR(__xludf.DUMMYFUNCTION("""COMPUTED_VALUE"""),"Assault Rifle")</f>
        <v>Assault Rifle</v>
      </c>
      <c r="C868" s="103">
        <f>IFERROR(__xludf.DUMMYFUNCTION("""COMPUTED_VALUE"""),32.0)</f>
        <v>32</v>
      </c>
      <c r="D868" s="102" t="str">
        <f>IFERROR(__xludf.DUMMYFUNCTION("""COMPUTED_VALUE"""),"Scope Accessory")</f>
        <v>Scope Accessory</v>
      </c>
      <c r="E868" s="102" t="str">
        <f>IFERROR(__xludf.DUMMYFUNCTION("""COMPUTED_VALUE"""),"ORD_AR.part_scope_acc_s01_l02_b")</f>
        <v>ORD_AR.part_scope_acc_s01_l02_b</v>
      </c>
      <c r="F868" s="102"/>
      <c r="G868" s="102" t="str">
        <f>IFERROR(__xludf.DUMMYFUNCTION("""COMPUTED_VALUE"""),"-Reload Speed")</f>
        <v>-Reload Speed</v>
      </c>
      <c r="H868" s="102" t="str">
        <f>IFERROR(__xludf.DUMMYFUNCTION("""COMPUTED_VALUE"""),"Scope Hood")</f>
        <v>Scope Hood</v>
      </c>
      <c r="I868" s="102"/>
      <c r="J868" s="102"/>
      <c r="K868" s="102"/>
      <c r="L868" s="102"/>
    </row>
    <row r="869">
      <c r="A869" s="102" t="str">
        <f>IFERROR(__xludf.DUMMYFUNCTION("""COMPUTED_VALUE"""),"Order")</f>
        <v>Order</v>
      </c>
      <c r="B869" s="102" t="str">
        <f>IFERROR(__xludf.DUMMYFUNCTION("""COMPUTED_VALUE"""),"Assault Rifle")</f>
        <v>Assault Rifle</v>
      </c>
      <c r="C869" s="103">
        <f>IFERROR(__xludf.DUMMYFUNCTION("""COMPUTED_VALUE"""),33.0)</f>
        <v>33</v>
      </c>
      <c r="D869" s="102" t="str">
        <f>IFERROR(__xludf.DUMMYFUNCTION("""COMPUTED_VALUE"""),"Scope Accessory")</f>
        <v>Scope Accessory</v>
      </c>
      <c r="E869" s="102" t="str">
        <f>IFERROR(__xludf.DUMMYFUNCTION("""COMPUTED_VALUE"""),"ORD_AR.part_scope_acc_s02_l02_a")</f>
        <v>ORD_AR.part_scope_acc_s02_l02_a</v>
      </c>
      <c r="F869" s="102"/>
      <c r="G869" s="102" t="str">
        <f>IFERROR(__xludf.DUMMYFUNCTION("""COMPUTED_VALUE"""),"No Stat Changes")</f>
        <v>No Stat Changes</v>
      </c>
      <c r="H869" s="102" t="str">
        <f>IFERROR(__xludf.DUMMYFUNCTION("""COMPUTED_VALUE"""),"HUD Elements")</f>
        <v>HUD Elements</v>
      </c>
      <c r="I869" s="102"/>
      <c r="J869" s="102"/>
      <c r="K869" s="102"/>
      <c r="L869" s="102"/>
    </row>
    <row r="870">
      <c r="A870" s="102" t="str">
        <f>IFERROR(__xludf.DUMMYFUNCTION("""COMPUTED_VALUE"""),"Order")</f>
        <v>Order</v>
      </c>
      <c r="B870" s="102" t="str">
        <f>IFERROR(__xludf.DUMMYFUNCTION("""COMPUTED_VALUE"""),"Assault Rifle")</f>
        <v>Assault Rifle</v>
      </c>
      <c r="C870" s="103">
        <f>IFERROR(__xludf.DUMMYFUNCTION("""COMPUTED_VALUE"""),34.0)</f>
        <v>34</v>
      </c>
      <c r="D870" s="102" t="str">
        <f>IFERROR(__xludf.DUMMYFUNCTION("""COMPUTED_VALUE"""),"Scope Accessory")</f>
        <v>Scope Accessory</v>
      </c>
      <c r="E870" s="102" t="str">
        <f>IFERROR(__xludf.DUMMYFUNCTION("""COMPUTED_VALUE"""),"ORD_AR.part_scope_acc_s02_l02_b")</f>
        <v>ORD_AR.part_scope_acc_s02_l02_b</v>
      </c>
      <c r="F870" s="102"/>
      <c r="G870" s="102" t="str">
        <f>IFERROR(__xludf.DUMMYFUNCTION("""COMPUTED_VALUE"""),"+Crit Damage")</f>
        <v>+Crit Damage</v>
      </c>
      <c r="H870" s="102" t="str">
        <f>IFERROR(__xludf.DUMMYFUNCTION("""COMPUTED_VALUE"""),"HUD Elements")</f>
        <v>HUD Elements</v>
      </c>
      <c r="I870" s="102"/>
      <c r="J870" s="102"/>
      <c r="K870" s="102"/>
      <c r="L870" s="102"/>
    </row>
    <row r="871">
      <c r="A871" s="102" t="str">
        <f>IFERROR(__xludf.DUMMYFUNCTION("""COMPUTED_VALUE"""),"Order")</f>
        <v>Order</v>
      </c>
      <c r="B871" s="102" t="str">
        <f>IFERROR(__xludf.DUMMYFUNCTION("""COMPUTED_VALUE"""),"Assault Rifle")</f>
        <v>Assault Rifle</v>
      </c>
      <c r="C871" s="103">
        <f>IFERROR(__xludf.DUMMYFUNCTION("""COMPUTED_VALUE"""),35.0)</f>
        <v>35</v>
      </c>
      <c r="D871" s="102" t="str">
        <f>IFERROR(__xludf.DUMMYFUNCTION("""COMPUTED_VALUE"""),"Grip")</f>
        <v>Grip</v>
      </c>
      <c r="E871" s="102" t="str">
        <f>IFERROR(__xludf.DUMMYFUNCTION("""COMPUTED_VALUE"""),"ORD_AR.part_grip_05a_ted_legs")</f>
        <v>ORD_AR.part_grip_05a_ted_legs</v>
      </c>
      <c r="F871" s="102"/>
      <c r="G871" s="102" t="str">
        <f>IFERROR(__xludf.DUMMYFUNCTION("""COMPUTED_VALUE"""),"Tediore reload modifier: Legs, no stat changes")</f>
        <v>Tediore reload modifier: Legs, no stat changes</v>
      </c>
      <c r="H871" s="102"/>
      <c r="I871" s="102"/>
      <c r="J871" s="102"/>
      <c r="K871" s="102"/>
      <c r="L871" s="102"/>
    </row>
    <row r="872">
      <c r="A872" s="102" t="str">
        <f>IFERROR(__xludf.DUMMYFUNCTION("""COMPUTED_VALUE"""),"Order")</f>
        <v>Order</v>
      </c>
      <c r="B872" s="102" t="str">
        <f>IFERROR(__xludf.DUMMYFUNCTION("""COMPUTED_VALUE"""),"Assault Rifle")</f>
        <v>Assault Rifle</v>
      </c>
      <c r="C872" s="103">
        <f>IFERROR(__xludf.DUMMYFUNCTION("""COMPUTED_VALUE"""),36.0)</f>
        <v>36</v>
      </c>
      <c r="D872" s="102" t="str">
        <f>IFERROR(__xludf.DUMMYFUNCTION("""COMPUTED_VALUE"""),"Grip")</f>
        <v>Grip</v>
      </c>
      <c r="E872" s="102" t="str">
        <f>IFERROR(__xludf.DUMMYFUNCTION("""COMPUTED_VALUE"""),"ORD_AR.part_grip_05c_ted_jav")</f>
        <v>ORD_AR.part_grip_05c_ted_jav</v>
      </c>
      <c r="F872" s="102"/>
      <c r="G872" s="102" t="str">
        <f>IFERROR(__xludf.DUMMYFUNCTION("""COMPUTED_VALUE"""),"Tediore reload modifier: Javelin, no stat changes")</f>
        <v>Tediore reload modifier: Javelin, no stat changes</v>
      </c>
      <c r="H872" s="102"/>
      <c r="I872" s="102"/>
      <c r="J872" s="102"/>
      <c r="K872" s="102"/>
      <c r="L872" s="102"/>
    </row>
    <row r="873">
      <c r="A873" s="102" t="str">
        <f>IFERROR(__xludf.DUMMYFUNCTION("""COMPUTED_VALUE"""),"Order")</f>
        <v>Order</v>
      </c>
      <c r="B873" s="102" t="str">
        <f>IFERROR(__xludf.DUMMYFUNCTION("""COMPUTED_VALUE"""),"Assault Rifle")</f>
        <v>Assault Rifle</v>
      </c>
      <c r="C873" s="103">
        <f>IFERROR(__xludf.DUMMYFUNCTION("""COMPUTED_VALUE"""),37.0)</f>
        <v>37</v>
      </c>
      <c r="D873" s="102" t="str">
        <f>IFERROR(__xludf.DUMMYFUNCTION("""COMPUTED_VALUE"""),"Grip")</f>
        <v>Grip</v>
      </c>
      <c r="E873" s="102" t="str">
        <f>IFERROR(__xludf.DUMMYFUNCTION("""COMPUTED_VALUE"""),"ORD_AR.part_grip_05b_ted_homing")</f>
        <v>ORD_AR.part_grip_05b_ted_homing</v>
      </c>
      <c r="F873" s="102"/>
      <c r="G873" s="102" t="str">
        <f>IFERROR(__xludf.DUMMYFUNCTION("""COMPUTED_VALUE"""),"Tediore reload modifier: Homing, no stat changes")</f>
        <v>Tediore reload modifier: Homing, no stat changes</v>
      </c>
      <c r="H873" s="102"/>
      <c r="I873" s="102"/>
      <c r="J873" s="102"/>
      <c r="K873" s="102"/>
      <c r="L873" s="102"/>
    </row>
    <row r="874">
      <c r="A874" s="102" t="str">
        <f>IFERROR(__xludf.DUMMYFUNCTION("""COMPUTED_VALUE"""),"Order")</f>
        <v>Order</v>
      </c>
      <c r="B874" s="102" t="str">
        <f>IFERROR(__xludf.DUMMYFUNCTION("""COMPUTED_VALUE"""),"Assault Rifle")</f>
        <v>Assault Rifle</v>
      </c>
      <c r="C874" s="103">
        <f>IFERROR(__xludf.DUMMYFUNCTION("""COMPUTED_VALUE"""),38.0)</f>
        <v>38</v>
      </c>
      <c r="D874" s="102" t="str">
        <f>IFERROR(__xludf.DUMMYFUNCTION("""COMPUTED_VALUE"""),"Grip")</f>
        <v>Grip</v>
      </c>
      <c r="E874" s="102" t="str">
        <f>IFERROR(__xludf.DUMMYFUNCTION("""COMPUTED_VALUE"""),"ORD_AR.part_grip_04_hyp")</f>
        <v>ORD_AR.part_grip_04_hyp</v>
      </c>
      <c r="F874" s="102"/>
      <c r="G874" s="102" t="str">
        <f>IFERROR(__xludf.DUMMYFUNCTION("""COMPUTED_VALUE"""),"Hyperion Grip, -Acc, Acc increases with continuous fire")</f>
        <v>Hyperion Grip, -Acc, Acc increases with continuous fire</v>
      </c>
      <c r="H874" s="102"/>
      <c r="I874" s="102"/>
      <c r="J874" s="102"/>
      <c r="K874" s="102"/>
      <c r="L874" s="102"/>
    </row>
    <row r="875">
      <c r="A875" s="102" t="str">
        <f>IFERROR(__xludf.DUMMYFUNCTION("""COMPUTED_VALUE"""),"Order")</f>
        <v>Order</v>
      </c>
      <c r="B875" s="102" t="str">
        <f>IFERROR(__xludf.DUMMYFUNCTION("""COMPUTED_VALUE"""),"Assault Rifle")</f>
        <v>Assault Rifle</v>
      </c>
      <c r="C875" s="103">
        <f>IFERROR(__xludf.DUMMYFUNCTION("""COMPUTED_VALUE"""),39.0)</f>
        <v>39</v>
      </c>
      <c r="D875" s="102" t="str">
        <f>IFERROR(__xludf.DUMMYFUNCTION("""COMPUTED_VALUE"""),"Grip")</f>
        <v>Grip</v>
      </c>
      <c r="E875" s="102" t="str">
        <f>IFERROR(__xludf.DUMMYFUNCTION("""COMPUTED_VALUE"""),"ORD_AR.part_grip_01")</f>
        <v>ORD_AR.part_grip_01</v>
      </c>
      <c r="F875" s="102"/>
      <c r="G875" s="102" t="str">
        <f>IFERROR(__xludf.DUMMYFUNCTION("""COMPUTED_VALUE"""),"+Damage")</f>
        <v>+Damage</v>
      </c>
      <c r="H875" s="102"/>
      <c r="I875" s="102"/>
      <c r="J875" s="102"/>
      <c r="K875" s="102"/>
      <c r="L875" s="102"/>
    </row>
    <row r="876">
      <c r="A876" s="102" t="str">
        <f>IFERROR(__xludf.DUMMYFUNCTION("""COMPUTED_VALUE"""),"Order")</f>
        <v>Order</v>
      </c>
      <c r="B876" s="102" t="str">
        <f>IFERROR(__xludf.DUMMYFUNCTION("""COMPUTED_VALUE"""),"Assault Rifle")</f>
        <v>Assault Rifle</v>
      </c>
      <c r="C876" s="103">
        <f>IFERROR(__xludf.DUMMYFUNCTION("""COMPUTED_VALUE"""),40.0)</f>
        <v>40</v>
      </c>
      <c r="D876" s="102" t="str">
        <f>IFERROR(__xludf.DUMMYFUNCTION("""COMPUTED_VALUE"""),"Grip")</f>
        <v>Grip</v>
      </c>
      <c r="E876" s="102" t="str">
        <f>IFERROR(__xludf.DUMMYFUNCTION("""COMPUTED_VALUE"""),"ORD_AR.part_grip_02")</f>
        <v>ORD_AR.part_grip_02</v>
      </c>
      <c r="F876" s="102"/>
      <c r="G876" s="102" t="str">
        <f>IFERROR(__xludf.DUMMYFUNCTION("""COMPUTED_VALUE"""),"+Fire Rate")</f>
        <v>+Fire Rate</v>
      </c>
      <c r="H876" s="102"/>
      <c r="I876" s="102"/>
      <c r="J876" s="102"/>
      <c r="K876" s="102"/>
      <c r="L876" s="102"/>
    </row>
    <row r="877">
      <c r="A877" s="102" t="str">
        <f>IFERROR(__xludf.DUMMYFUNCTION("""COMPUTED_VALUE"""),"Order")</f>
        <v>Order</v>
      </c>
      <c r="B877" s="102" t="str">
        <f>IFERROR(__xludf.DUMMYFUNCTION("""COMPUTED_VALUE"""),"Assault Rifle")</f>
        <v>Assault Rifle</v>
      </c>
      <c r="C877" s="103">
        <f>IFERROR(__xludf.DUMMYFUNCTION("""COMPUTED_VALUE"""),41.0)</f>
        <v>41</v>
      </c>
      <c r="D877" s="102" t="str">
        <f>IFERROR(__xludf.DUMMYFUNCTION("""COMPUTED_VALUE"""),"Grip")</f>
        <v>Grip</v>
      </c>
      <c r="E877" s="102" t="str">
        <f>IFERROR(__xludf.DUMMYFUNCTION("""COMPUTED_VALUE"""),"ORD_AR.part_grip_03")</f>
        <v>ORD_AR.part_grip_03</v>
      </c>
      <c r="F877" s="102"/>
      <c r="G877" s="102" t="str">
        <f>IFERROR(__xludf.DUMMYFUNCTION("""COMPUTED_VALUE"""),"-Reload Speed")</f>
        <v>-Reload Speed</v>
      </c>
      <c r="H877" s="102"/>
      <c r="I877" s="102"/>
      <c r="J877" s="102"/>
      <c r="K877" s="102"/>
      <c r="L877" s="102"/>
    </row>
    <row r="878">
      <c r="A878" s="102" t="str">
        <f>IFERROR(__xludf.DUMMYFUNCTION("""COMPUTED_VALUE"""),"Order")</f>
        <v>Order</v>
      </c>
      <c r="B878" s="102" t="str">
        <f>IFERROR(__xludf.DUMMYFUNCTION("""COMPUTED_VALUE"""),"Assault Rifle")</f>
        <v>Assault Rifle</v>
      </c>
      <c r="C878" s="103">
        <f>IFERROR(__xludf.DUMMYFUNCTION("""COMPUTED_VALUE"""),42.0)</f>
        <v>42</v>
      </c>
      <c r="D878" s="102" t="str">
        <f>IFERROR(__xludf.DUMMYFUNCTION("""COMPUTED_VALUE"""),"Underbarrel")</f>
        <v>Underbarrel</v>
      </c>
      <c r="E878" s="102" t="str">
        <f>IFERROR(__xludf.DUMMYFUNCTION("""COMPUTED_VALUE"""),"ORD_AR.part_underbarrel_01_seeker")</f>
        <v>ORD_AR.part_underbarrel_01_seeker</v>
      </c>
      <c r="F878" s="102"/>
      <c r="G878" s="102" t="str">
        <f>IFERROR(__xludf.DUMMYFUNCTION("""COMPUTED_VALUE"""),"Alt Fire - Seeker Missles")</f>
        <v>Alt Fire - Seeker Missles</v>
      </c>
      <c r="H878" s="102"/>
      <c r="I878" s="102"/>
      <c r="J878" s="102"/>
      <c r="K878" s="102"/>
      <c r="L878" s="102"/>
    </row>
    <row r="879">
      <c r="A879" s="102" t="str">
        <f>IFERROR(__xludf.DUMMYFUNCTION("""COMPUTED_VALUE"""),"Order")</f>
        <v>Order</v>
      </c>
      <c r="B879" s="102" t="str">
        <f>IFERROR(__xludf.DUMMYFUNCTION("""COMPUTED_VALUE"""),"Assault Rifle")</f>
        <v>Assault Rifle</v>
      </c>
      <c r="C879" s="103">
        <f>IFERROR(__xludf.DUMMYFUNCTION("""COMPUTED_VALUE"""),43.0)</f>
        <v>43</v>
      </c>
      <c r="D879" s="102" t="str">
        <f>IFERROR(__xludf.DUMMYFUNCTION("""COMPUTED_VALUE"""),"Underbarrel")</f>
        <v>Underbarrel</v>
      </c>
      <c r="E879" s="102" t="str">
        <f>IFERROR(__xludf.DUMMYFUNCTION("""COMPUTED_VALUE"""),"ORD_AR.part_underbarrel_03_killdrone")</f>
        <v>ORD_AR.part_underbarrel_03_killdrone</v>
      </c>
      <c r="F879" s="102"/>
      <c r="G879" s="102" t="str">
        <f>IFERROR(__xludf.DUMMYFUNCTION("""COMPUTED_VALUE"""),"Alt Fire - Kill Drone")</f>
        <v>Alt Fire - Kill Drone</v>
      </c>
      <c r="H879" s="102" t="str">
        <f>IFERROR(__xludf.DUMMYFUNCTION("""COMPUTED_VALUE"""),"Launches a Drone that fires at enemies for XXX Damage per shot, before exploding for XXX Damage")</f>
        <v>Launches a Drone that fires at enemies for XXX Damage per shot, before exploding for XXX Damage</v>
      </c>
      <c r="I879" s="102"/>
      <c r="J879" s="102"/>
      <c r="K879" s="102"/>
      <c r="L879" s="102"/>
    </row>
    <row r="880">
      <c r="A880" s="102" t="str">
        <f>IFERROR(__xludf.DUMMYFUNCTION("""COMPUTED_VALUE"""),"Order")</f>
        <v>Order</v>
      </c>
      <c r="B880" s="102" t="str">
        <f>IFERROR(__xludf.DUMMYFUNCTION("""COMPUTED_VALUE"""),"Assault Rifle")</f>
        <v>Assault Rifle</v>
      </c>
      <c r="C880" s="103">
        <f>IFERROR(__xludf.DUMMYFUNCTION("""COMPUTED_VALUE"""),44.0)</f>
        <v>44</v>
      </c>
      <c r="D880" s="102" t="str">
        <f>IFERROR(__xludf.DUMMYFUNCTION("""COMPUTED_VALUE"""),"Underbarrel")</f>
        <v>Underbarrel</v>
      </c>
      <c r="E880" s="102" t="str">
        <f>IFERROR(__xludf.DUMMYFUNCTION("""COMPUTED_VALUE"""),"ORD_AR.part_underbarrel_04_atlas_ball")</f>
        <v>ORD_AR.part_underbarrel_04_atlas_ball</v>
      </c>
      <c r="F880" s="102"/>
      <c r="G880" s="102" t="str">
        <f>IFERROR(__xludf.DUMMYFUNCTION("""COMPUTED_VALUE"""),"Atlas Tracker Grenades")</f>
        <v>Atlas Tracker Grenades</v>
      </c>
      <c r="H880" s="102"/>
      <c r="I880" s="102"/>
      <c r="J880" s="102"/>
      <c r="K880" s="102"/>
      <c r="L880" s="102"/>
    </row>
    <row r="881">
      <c r="A881" s="102" t="str">
        <f>IFERROR(__xludf.DUMMYFUNCTION("""COMPUTED_VALUE"""),"Order")</f>
        <v>Order</v>
      </c>
      <c r="B881" s="102" t="str">
        <f>IFERROR(__xludf.DUMMYFUNCTION("""COMPUTED_VALUE"""),"Assault Rifle")</f>
        <v>Assault Rifle</v>
      </c>
      <c r="C881" s="103">
        <f>IFERROR(__xludf.DUMMYFUNCTION("""COMPUTED_VALUE"""),45.0)</f>
        <v>45</v>
      </c>
      <c r="D881" s="102" t="str">
        <f>IFERROR(__xludf.DUMMYFUNCTION("""COMPUTED_VALUE"""),"Underbarrel")</f>
        <v>Underbarrel</v>
      </c>
      <c r="E881" s="102" t="str">
        <f>IFERROR(__xludf.DUMMYFUNCTION("""COMPUTED_VALUE"""),"ORD_AR.part_underbarrel_04_atlas")</f>
        <v>ORD_AR.part_underbarrel_04_atlas</v>
      </c>
      <c r="F881" s="102"/>
      <c r="G881" s="102" t="str">
        <f>IFERROR(__xludf.DUMMYFUNCTION("""COMPUTED_VALUE"""),"Atlas Tracker Darts")</f>
        <v>Atlas Tracker Darts</v>
      </c>
      <c r="H881" s="102"/>
      <c r="I881" s="102"/>
      <c r="J881" s="102"/>
      <c r="K881" s="102"/>
      <c r="L881" s="102"/>
    </row>
    <row r="882">
      <c r="A882" s="102" t="str">
        <f>IFERROR(__xludf.DUMMYFUNCTION("""COMPUTED_VALUE"""),"Order")</f>
        <v>Order</v>
      </c>
      <c r="B882" s="102" t="str">
        <f>IFERROR(__xludf.DUMMYFUNCTION("""COMPUTED_VALUE"""),"Assault Rifle")</f>
        <v>Assault Rifle</v>
      </c>
      <c r="C882" s="103">
        <f>IFERROR(__xludf.DUMMYFUNCTION("""COMPUTED_VALUE"""),46.0)</f>
        <v>46</v>
      </c>
      <c r="D882" s="102" t="str">
        <f>IFERROR(__xludf.DUMMYFUNCTION("""COMPUTED_VALUE"""),"Foregrip")</f>
        <v>Foregrip</v>
      </c>
      <c r="E882" s="102" t="str">
        <f>IFERROR(__xludf.DUMMYFUNCTION("""COMPUTED_VALUE"""),"ORD_AR.part_foregrip_02")</f>
        <v>ORD_AR.part_foregrip_02</v>
      </c>
      <c r="F882" s="102"/>
      <c r="G882" s="102" t="str">
        <f>IFERROR(__xludf.DUMMYFUNCTION("""COMPUTED_VALUE"""),"+Crit Damage")</f>
        <v>+Crit Damage</v>
      </c>
      <c r="H882" s="102"/>
      <c r="I882" s="102"/>
      <c r="J882" s="102"/>
      <c r="K882" s="102"/>
      <c r="L882" s="102"/>
    </row>
    <row r="883">
      <c r="A883" s="102" t="str">
        <f>IFERROR(__xludf.DUMMYFUNCTION("""COMPUTED_VALUE"""),"Order")</f>
        <v>Order</v>
      </c>
      <c r="B883" s="102" t="str">
        <f>IFERROR(__xludf.DUMMYFUNCTION("""COMPUTED_VALUE"""),"Assault Rifle")</f>
        <v>Assault Rifle</v>
      </c>
      <c r="C883" s="103">
        <f>IFERROR(__xludf.DUMMYFUNCTION("""COMPUTED_VALUE"""),47.0)</f>
        <v>47</v>
      </c>
      <c r="D883" s="102" t="str">
        <f>IFERROR(__xludf.DUMMYFUNCTION("""COMPUTED_VALUE"""),"Foregrip")</f>
        <v>Foregrip</v>
      </c>
      <c r="E883" s="102" t="str">
        <f>IFERROR(__xludf.DUMMYFUNCTION("""COMPUTED_VALUE"""),"ORD_AR.part_foregrip_03")</f>
        <v>ORD_AR.part_foregrip_03</v>
      </c>
      <c r="F883" s="102"/>
      <c r="G883" s="102" t="str">
        <f>IFERROR(__xludf.DUMMYFUNCTION("""COMPUTED_VALUE"""),"+Accuracy")</f>
        <v>+Accuracy</v>
      </c>
      <c r="H883" s="102"/>
      <c r="I883" s="102"/>
      <c r="J883" s="102"/>
      <c r="K883" s="102"/>
      <c r="L883" s="102"/>
    </row>
    <row r="884">
      <c r="A884" s="102" t="str">
        <f>IFERROR(__xludf.DUMMYFUNCTION("""COMPUTED_VALUE"""),"Order")</f>
        <v>Order</v>
      </c>
      <c r="B884" s="102" t="str">
        <f>IFERROR(__xludf.DUMMYFUNCTION("""COMPUTED_VALUE"""),"Assault Rifle")</f>
        <v>Assault Rifle</v>
      </c>
      <c r="C884" s="103">
        <f>IFERROR(__xludf.DUMMYFUNCTION("""COMPUTED_VALUE"""),48.0)</f>
        <v>48</v>
      </c>
      <c r="D884" s="102" t="str">
        <f>IFERROR(__xludf.DUMMYFUNCTION("""COMPUTED_VALUE"""),"Manufacturer Part")</f>
        <v>Manufacturer Part</v>
      </c>
      <c r="E884" s="102" t="str">
        <f>IFERROR(__xludf.DUMMYFUNCTION("""COMPUTED_VALUE"""),"ORD_AR.part_secondary_ammo_sm")</f>
        <v>ORD_AR.part_secondary_ammo_sm</v>
      </c>
      <c r="F884" s="102"/>
      <c r="G884" s="102" t="str">
        <f>IFERROR(__xludf.DUMMYFUNCTION("""COMPUTED_VALUE"""),"Daedalus SMG Ammo")</f>
        <v>Daedalus SMG Ammo</v>
      </c>
      <c r="H884" s="102"/>
      <c r="I884" s="102"/>
      <c r="J884" s="102"/>
      <c r="K884" s="102"/>
      <c r="L884" s="102"/>
    </row>
    <row r="885">
      <c r="A885" s="102" t="str">
        <f>IFERROR(__xludf.DUMMYFUNCTION("""COMPUTED_VALUE"""),"Order")</f>
        <v>Order</v>
      </c>
      <c r="B885" s="102" t="str">
        <f>IFERROR(__xludf.DUMMYFUNCTION("""COMPUTED_VALUE"""),"Assault Rifle")</f>
        <v>Assault Rifle</v>
      </c>
      <c r="C885" s="103">
        <f>IFERROR(__xludf.DUMMYFUNCTION("""COMPUTED_VALUE"""),49.0)</f>
        <v>49</v>
      </c>
      <c r="D885" s="102" t="str">
        <f>IFERROR(__xludf.DUMMYFUNCTION("""COMPUTED_VALUE"""),"Manufacturer Part")</f>
        <v>Manufacturer Part</v>
      </c>
      <c r="E885" s="102" t="str">
        <f>IFERROR(__xludf.DUMMYFUNCTION("""COMPUTED_VALUE"""),"ORD_AR.part_secondary_ammo_sg")</f>
        <v>ORD_AR.part_secondary_ammo_sg</v>
      </c>
      <c r="F885" s="102"/>
      <c r="G885" s="102" t="str">
        <f>IFERROR(__xludf.DUMMYFUNCTION("""COMPUTED_VALUE"""),"Daedalus Shotgun Ammo")</f>
        <v>Daedalus Shotgun Ammo</v>
      </c>
      <c r="H885" s="102"/>
      <c r="I885" s="102"/>
      <c r="J885" s="102"/>
      <c r="K885" s="102"/>
      <c r="L885" s="102"/>
    </row>
    <row r="886">
      <c r="A886" s="102" t="str">
        <f>IFERROR(__xludf.DUMMYFUNCTION("""COMPUTED_VALUE"""),"Order")</f>
        <v>Order</v>
      </c>
      <c r="B886" s="102" t="str">
        <f>IFERROR(__xludf.DUMMYFUNCTION("""COMPUTED_VALUE"""),"Assault Rifle")</f>
        <v>Assault Rifle</v>
      </c>
      <c r="C886" s="103">
        <f>IFERROR(__xludf.DUMMYFUNCTION("""COMPUTED_VALUE"""),50.0)</f>
        <v>50</v>
      </c>
      <c r="D886" s="102" t="str">
        <f>IFERROR(__xludf.DUMMYFUNCTION("""COMPUTED_VALUE"""),"Manufacturer Part")</f>
        <v>Manufacturer Part</v>
      </c>
      <c r="E886" s="102" t="str">
        <f>IFERROR(__xludf.DUMMYFUNCTION("""COMPUTED_VALUE"""),"ORD_AR.part_secondary_ammo_ps")</f>
        <v>ORD_AR.part_secondary_ammo_ps</v>
      </c>
      <c r="F886" s="102"/>
      <c r="G886" s="102" t="str">
        <f>IFERROR(__xludf.DUMMYFUNCTION("""COMPUTED_VALUE"""),"Daedalus Pistol Ammo")</f>
        <v>Daedalus Pistol Ammo</v>
      </c>
      <c r="H886" s="102"/>
      <c r="I886" s="102"/>
      <c r="J886" s="102"/>
      <c r="K886" s="102"/>
      <c r="L886" s="102"/>
    </row>
    <row r="887">
      <c r="A887" s="102" t="str">
        <f>IFERROR(__xludf.DUMMYFUNCTION("""COMPUTED_VALUE"""),"Order")</f>
        <v>Order</v>
      </c>
      <c r="B887" s="102" t="str">
        <f>IFERROR(__xludf.DUMMYFUNCTION("""COMPUTED_VALUE"""),"Assault Rifle")</f>
        <v>Assault Rifle</v>
      </c>
      <c r="C887" s="103">
        <f>IFERROR(__xludf.DUMMYFUNCTION("""COMPUTED_VALUE"""),51.0)</f>
        <v>51</v>
      </c>
      <c r="D887" s="102" t="str">
        <f>IFERROR(__xludf.DUMMYFUNCTION("""COMPUTED_VALUE"""),"Manufacturer Part")</f>
        <v>Manufacturer Part</v>
      </c>
      <c r="E887" s="102" t="str">
        <f>IFERROR(__xludf.DUMMYFUNCTION("""COMPUTED_VALUE"""),"ORD_AR.part_secondary_ammo_sr")</f>
        <v>ORD_AR.part_secondary_ammo_sr</v>
      </c>
      <c r="F887" s="102"/>
      <c r="G887" s="102" t="str">
        <f>IFERROR(__xludf.DUMMYFUNCTION("""COMPUTED_VALUE"""),"Daedalus SR Ammo")</f>
        <v>Daedalus SR Ammo</v>
      </c>
      <c r="H887" s="102"/>
      <c r="I887" s="102"/>
      <c r="J887" s="102"/>
      <c r="K887" s="102"/>
      <c r="L887" s="102"/>
    </row>
    <row r="888">
      <c r="A888" s="102" t="str">
        <f>IFERROR(__xludf.DUMMYFUNCTION("""COMPUTED_VALUE"""),"Order")</f>
        <v>Order</v>
      </c>
      <c r="B888" s="102" t="str">
        <f>IFERROR(__xludf.DUMMYFUNCTION("""COMPUTED_VALUE"""),"Assault Rifle")</f>
        <v>Assault Rifle</v>
      </c>
      <c r="C888" s="103">
        <f>IFERROR(__xludf.DUMMYFUNCTION("""COMPUTED_VALUE"""),52.0)</f>
        <v>52</v>
      </c>
      <c r="D888" s="102" t="str">
        <f>IFERROR(__xludf.DUMMYFUNCTION("""COMPUTED_VALUE"""),"Barrel Accessory")</f>
        <v>Barrel Accessory</v>
      </c>
      <c r="E888" s="102" t="str">
        <f>IFERROR(__xludf.DUMMYFUNCTION("""COMPUTED_VALUE"""),"ORD_AR.part_barrel_01_a")</f>
        <v>ORD_AR.part_barrel_01_a</v>
      </c>
      <c r="F888" s="102"/>
      <c r="G888" s="102" t="str">
        <f>IFERROR(__xludf.DUMMYFUNCTION("""COMPUTED_VALUE"""),"+Damage")</f>
        <v>+Damage</v>
      </c>
      <c r="H888" s="102"/>
      <c r="I888" s="102"/>
      <c r="J888" s="102"/>
      <c r="K888" s="102"/>
      <c r="L888" s="102"/>
    </row>
    <row r="889">
      <c r="A889" s="102" t="str">
        <f>IFERROR(__xludf.DUMMYFUNCTION("""COMPUTED_VALUE"""),"Order")</f>
        <v>Order</v>
      </c>
      <c r="B889" s="102" t="str">
        <f>IFERROR(__xludf.DUMMYFUNCTION("""COMPUTED_VALUE"""),"Assault Rifle")</f>
        <v>Assault Rifle</v>
      </c>
      <c r="C889" s="103">
        <f>IFERROR(__xludf.DUMMYFUNCTION("""COMPUTED_VALUE"""),53.0)</f>
        <v>53</v>
      </c>
      <c r="D889" s="102" t="str">
        <f>IFERROR(__xludf.DUMMYFUNCTION("""COMPUTED_VALUE"""),"Barrel Accessory")</f>
        <v>Barrel Accessory</v>
      </c>
      <c r="E889" s="102" t="str">
        <f>IFERROR(__xludf.DUMMYFUNCTION("""COMPUTED_VALUE"""),"ORD_AR.part_barrel_01_b")</f>
        <v>ORD_AR.part_barrel_01_b</v>
      </c>
      <c r="F889" s="102"/>
      <c r="G889" s="102" t="str">
        <f>IFERROR(__xludf.DUMMYFUNCTION("""COMPUTED_VALUE"""),"+Crit Damage")</f>
        <v>+Crit Damage</v>
      </c>
      <c r="H889" s="102"/>
      <c r="I889" s="102"/>
      <c r="J889" s="102"/>
      <c r="K889" s="102"/>
      <c r="L889" s="102"/>
    </row>
    <row r="890">
      <c r="A890" s="102" t="str">
        <f>IFERROR(__xludf.DUMMYFUNCTION("""COMPUTED_VALUE"""),"Order")</f>
        <v>Order</v>
      </c>
      <c r="B890" s="102" t="str">
        <f>IFERROR(__xludf.DUMMYFUNCTION("""COMPUTED_VALUE"""),"Assault Rifle")</f>
        <v>Assault Rifle</v>
      </c>
      <c r="C890" s="103">
        <f>IFERROR(__xludf.DUMMYFUNCTION("""COMPUTED_VALUE"""),54.0)</f>
        <v>54</v>
      </c>
      <c r="D890" s="102" t="str">
        <f>IFERROR(__xludf.DUMMYFUNCTION("""COMPUTED_VALUE"""),"Barrel Accessory")</f>
        <v>Barrel Accessory</v>
      </c>
      <c r="E890" s="102" t="str">
        <f>IFERROR(__xludf.DUMMYFUNCTION("""COMPUTED_VALUE"""),"ORD_AR.part_barrel_01_c")</f>
        <v>ORD_AR.part_barrel_01_c</v>
      </c>
      <c r="F890" s="102"/>
      <c r="G890" s="102" t="str">
        <f>IFERROR(__xludf.DUMMYFUNCTION("""COMPUTED_VALUE"""),"+Accuracy")</f>
        <v>+Accuracy</v>
      </c>
      <c r="H890" s="102"/>
      <c r="I890" s="102"/>
      <c r="J890" s="102"/>
      <c r="K890" s="102"/>
      <c r="L890" s="102"/>
    </row>
    <row r="891">
      <c r="A891" s="102" t="str">
        <f>IFERROR(__xludf.DUMMYFUNCTION("""COMPUTED_VALUE"""),"Order")</f>
        <v>Order</v>
      </c>
      <c r="B891" s="102" t="str">
        <f>IFERROR(__xludf.DUMMYFUNCTION("""COMPUTED_VALUE"""),"Assault Rifle")</f>
        <v>Assault Rifle</v>
      </c>
      <c r="C891" s="103">
        <f>IFERROR(__xludf.DUMMYFUNCTION("""COMPUTED_VALUE"""),55.0)</f>
        <v>55</v>
      </c>
      <c r="D891" s="102" t="str">
        <f>IFERROR(__xludf.DUMMYFUNCTION("""COMPUTED_VALUE"""),"Barrel Accessory")</f>
        <v>Barrel Accessory</v>
      </c>
      <c r="E891" s="102" t="str">
        <f>IFERROR(__xludf.DUMMYFUNCTION("""COMPUTED_VALUE"""),"ORD_AR.part_barrel_01_d")</f>
        <v>ORD_AR.part_barrel_01_d</v>
      </c>
      <c r="F891" s="102"/>
      <c r="G891" s="102" t="str">
        <f>IFERROR(__xludf.DUMMYFUNCTION("""COMPUTED_VALUE"""),"+Accuracy")</f>
        <v>+Accuracy</v>
      </c>
      <c r="H891" s="102"/>
      <c r="I891" s="102"/>
      <c r="J891" s="102"/>
      <c r="K891" s="102"/>
      <c r="L891" s="102"/>
    </row>
    <row r="892">
      <c r="A892" s="102" t="str">
        <f>IFERROR(__xludf.DUMMYFUNCTION("""COMPUTED_VALUE"""),"Order")</f>
        <v>Order</v>
      </c>
      <c r="B892" s="102" t="str">
        <f>IFERROR(__xludf.DUMMYFUNCTION("""COMPUTED_VALUE"""),"Assault Rifle")</f>
        <v>Assault Rifle</v>
      </c>
      <c r="C892" s="103">
        <f>IFERROR(__xludf.DUMMYFUNCTION("""COMPUTED_VALUE"""),56.0)</f>
        <v>56</v>
      </c>
      <c r="D892" s="102" t="str">
        <f>IFERROR(__xludf.DUMMYFUNCTION("""COMPUTED_VALUE"""),"Barrel Accessory")</f>
        <v>Barrel Accessory</v>
      </c>
      <c r="E892" s="102" t="str">
        <f>IFERROR(__xludf.DUMMYFUNCTION("""COMPUTED_VALUE"""),"ORD_AR.part_barrel_02_a")</f>
        <v>ORD_AR.part_barrel_02_a</v>
      </c>
      <c r="F892" s="102"/>
      <c r="G892" s="102" t="str">
        <f>IFERROR(__xludf.DUMMYFUNCTION("""COMPUTED_VALUE"""),"+Damage")</f>
        <v>+Damage</v>
      </c>
      <c r="H892" s="102"/>
      <c r="I892" s="102"/>
      <c r="J892" s="102"/>
      <c r="K892" s="102"/>
      <c r="L892" s="102"/>
    </row>
    <row r="893">
      <c r="A893" s="102" t="str">
        <f>IFERROR(__xludf.DUMMYFUNCTION("""COMPUTED_VALUE"""),"Order")</f>
        <v>Order</v>
      </c>
      <c r="B893" s="102" t="str">
        <f>IFERROR(__xludf.DUMMYFUNCTION("""COMPUTED_VALUE"""),"Assault Rifle")</f>
        <v>Assault Rifle</v>
      </c>
      <c r="C893" s="103">
        <f>IFERROR(__xludf.DUMMYFUNCTION("""COMPUTED_VALUE"""),57.0)</f>
        <v>57</v>
      </c>
      <c r="D893" s="102" t="str">
        <f>IFERROR(__xludf.DUMMYFUNCTION("""COMPUTED_VALUE"""),"Barrel Accessory")</f>
        <v>Barrel Accessory</v>
      </c>
      <c r="E893" s="102" t="str">
        <f>IFERROR(__xludf.DUMMYFUNCTION("""COMPUTED_VALUE"""),"ORD_AR.part_barrel_02_b")</f>
        <v>ORD_AR.part_barrel_02_b</v>
      </c>
      <c r="F893" s="102"/>
      <c r="G893" s="102" t="str">
        <f>IFERROR(__xludf.DUMMYFUNCTION("""COMPUTED_VALUE"""),"+Accuracy")</f>
        <v>+Accuracy</v>
      </c>
      <c r="H893" s="102"/>
      <c r="I893" s="102"/>
      <c r="J893" s="102"/>
      <c r="K893" s="102"/>
      <c r="L893" s="102"/>
    </row>
    <row r="894">
      <c r="A894" s="102" t="str">
        <f>IFERROR(__xludf.DUMMYFUNCTION("""COMPUTED_VALUE"""),"Order")</f>
        <v>Order</v>
      </c>
      <c r="B894" s="102" t="str">
        <f>IFERROR(__xludf.DUMMYFUNCTION("""COMPUTED_VALUE"""),"Assault Rifle")</f>
        <v>Assault Rifle</v>
      </c>
      <c r="C894" s="103">
        <f>IFERROR(__xludf.DUMMYFUNCTION("""COMPUTED_VALUE"""),58.0)</f>
        <v>58</v>
      </c>
      <c r="D894" s="102" t="str">
        <f>IFERROR(__xludf.DUMMYFUNCTION("""COMPUTED_VALUE"""),"Barrel Accessory")</f>
        <v>Barrel Accessory</v>
      </c>
      <c r="E894" s="102" t="str">
        <f>IFERROR(__xludf.DUMMYFUNCTION("""COMPUTED_VALUE"""),"ORD_AR.part_barrel_02_c")</f>
        <v>ORD_AR.part_barrel_02_c</v>
      </c>
      <c r="F894" s="102"/>
      <c r="G894" s="102" t="str">
        <f>IFERROR(__xludf.DUMMYFUNCTION("""COMPUTED_VALUE"""),"+Fire Rate")</f>
        <v>+Fire Rate</v>
      </c>
      <c r="H894" s="102"/>
      <c r="I894" s="102"/>
      <c r="J894" s="102"/>
      <c r="K894" s="102"/>
      <c r="L894" s="102"/>
    </row>
    <row r="895">
      <c r="A895" s="102" t="str">
        <f>IFERROR(__xludf.DUMMYFUNCTION("""COMPUTED_VALUE"""),"Order")</f>
        <v>Order</v>
      </c>
      <c r="B895" s="102" t="str">
        <f>IFERROR(__xludf.DUMMYFUNCTION("""COMPUTED_VALUE"""),"Assault Rifle")</f>
        <v>Assault Rifle</v>
      </c>
      <c r="C895" s="103">
        <f>IFERROR(__xludf.DUMMYFUNCTION("""COMPUTED_VALUE"""),59.0)</f>
        <v>59</v>
      </c>
      <c r="D895" s="102" t="str">
        <f>IFERROR(__xludf.DUMMYFUNCTION("""COMPUTED_VALUE"""),"Barrel Accessory")</f>
        <v>Barrel Accessory</v>
      </c>
      <c r="E895" s="102" t="str">
        <f>IFERROR(__xludf.DUMMYFUNCTION("""COMPUTED_VALUE"""),"ORD_AR.part_barrel_02_d")</f>
        <v>ORD_AR.part_barrel_02_d</v>
      </c>
      <c r="F895" s="102"/>
      <c r="G895" s="102" t="str">
        <f>IFERROR(__xludf.DUMMYFUNCTION("""COMPUTED_VALUE"""),"+Fire Rate")</f>
        <v>+Fire Rate</v>
      </c>
      <c r="H895" s="102"/>
      <c r="I895" s="102"/>
      <c r="J895" s="102"/>
      <c r="K895" s="102"/>
      <c r="L895" s="102"/>
    </row>
    <row r="896">
      <c r="A896" s="102" t="str">
        <f>IFERROR(__xludf.DUMMYFUNCTION("""COMPUTED_VALUE"""),"Order")</f>
        <v>Order</v>
      </c>
      <c r="B896" s="102" t="str">
        <f>IFERROR(__xludf.DUMMYFUNCTION("""COMPUTED_VALUE"""),"Assault Rifle")</f>
        <v>Assault Rifle</v>
      </c>
      <c r="C896" s="103">
        <f>IFERROR(__xludf.DUMMYFUNCTION("""COMPUTED_VALUE"""),60.0)</f>
        <v>60</v>
      </c>
      <c r="D896" s="102" t="str">
        <f>IFERROR(__xludf.DUMMYFUNCTION("""COMPUTED_VALUE"""),"Manufacturer Part")</f>
        <v>Manufacturer Part</v>
      </c>
      <c r="E896" s="102" t="str">
        <f>IFERROR(__xludf.DUMMYFUNCTION("""COMPUTED_VALUE"""),"ORD_AR.part_barrel_licensed_jak")</f>
        <v>ORD_AR.part_barrel_licensed_jak</v>
      </c>
      <c r="F896" s="102"/>
      <c r="G896" s="102" t="str">
        <f>IFERROR(__xludf.DUMMYFUNCTION("""COMPUTED_VALUE"""),"Jakobs Ricochet")</f>
        <v>Jakobs Ricochet</v>
      </c>
      <c r="H896" s="102"/>
      <c r="I896" s="102"/>
      <c r="J896" s="102"/>
      <c r="K896" s="102"/>
      <c r="L896" s="102"/>
    </row>
    <row r="897">
      <c r="A897" s="102" t="str">
        <f>IFERROR(__xludf.DUMMYFUNCTION("""COMPUTED_VALUE"""),"Order")</f>
        <v>Order</v>
      </c>
      <c r="B897" s="102" t="str">
        <f>IFERROR(__xludf.DUMMYFUNCTION("""COMPUTED_VALUE"""),"Assault Rifle")</f>
        <v>Assault Rifle</v>
      </c>
      <c r="C897" s="103">
        <f>IFERROR(__xludf.DUMMYFUNCTION("""COMPUTED_VALUE"""),61.0)</f>
        <v>61</v>
      </c>
      <c r="D897" s="102" t="str">
        <f>IFERROR(__xludf.DUMMYFUNCTION("""COMPUTED_VALUE"""),"Manufacturer Part")</f>
        <v>Manufacturer Part</v>
      </c>
      <c r="E897" s="102" t="str">
        <f>IFERROR(__xludf.DUMMYFUNCTION("""COMPUTED_VALUE"""),"ORD_AR.part_barrel_licensed_ted")</f>
        <v>ORD_AR.part_barrel_licensed_ted</v>
      </c>
      <c r="F897" s="102"/>
      <c r="G897" s="102" t="str">
        <f>IFERROR(__xludf.DUMMYFUNCTION("""COMPUTED_VALUE"""),"Tediore Reload, no stat changes")</f>
        <v>Tediore Reload, no stat changes</v>
      </c>
      <c r="H897" s="102"/>
      <c r="I897" s="102"/>
      <c r="J897" s="102"/>
      <c r="K897" s="102"/>
      <c r="L897" s="102"/>
    </row>
    <row r="898">
      <c r="A898" s="102" t="str">
        <f>IFERROR(__xludf.DUMMYFUNCTION("""COMPUTED_VALUE"""),"Order")</f>
        <v>Order</v>
      </c>
      <c r="B898" s="102" t="str">
        <f>IFERROR(__xludf.DUMMYFUNCTION("""COMPUTED_VALUE"""),"Assault Rifle")</f>
        <v>Assault Rifle</v>
      </c>
      <c r="C898" s="103">
        <f>IFERROR(__xludf.DUMMYFUNCTION("""COMPUTED_VALUE"""),62.0)</f>
        <v>62</v>
      </c>
      <c r="D898" s="102" t="str">
        <f>IFERROR(__xludf.DUMMYFUNCTION("""COMPUTED_VALUE"""),"Manufacturer Part")</f>
        <v>Manufacturer Part</v>
      </c>
      <c r="E898" s="102" t="str">
        <f>IFERROR(__xludf.DUMMYFUNCTION("""COMPUTED_VALUE"""),"ORD_AR.part_barrel_licensed_ted_shooting")</f>
        <v>ORD_AR.part_barrel_licensed_ted_shooting</v>
      </c>
      <c r="F898" s="102"/>
      <c r="G898" s="102" t="str">
        <f>IFERROR(__xludf.DUMMYFUNCTION("""COMPUTED_VALUE"""),"Tediore Shooting, no stat changes")</f>
        <v>Tediore Shooting, no stat changes</v>
      </c>
      <c r="H898" s="102"/>
      <c r="I898" s="102"/>
      <c r="J898" s="102"/>
      <c r="K898" s="102"/>
      <c r="L898" s="102"/>
    </row>
    <row r="899">
      <c r="A899" s="102" t="str">
        <f>IFERROR(__xludf.DUMMYFUNCTION("""COMPUTED_VALUE"""),"Order")</f>
        <v>Order</v>
      </c>
      <c r="B899" s="102" t="str">
        <f>IFERROR(__xludf.DUMMYFUNCTION("""COMPUTED_VALUE"""),"Assault Rifle")</f>
        <v>Assault Rifle</v>
      </c>
      <c r="C899" s="103">
        <f>IFERROR(__xludf.DUMMYFUNCTION("""COMPUTED_VALUE"""),63.0)</f>
        <v>63</v>
      </c>
      <c r="D899" s="102" t="str">
        <f>IFERROR(__xludf.DUMMYFUNCTION("""COMPUTED_VALUE"""),"Manufacturer Part")</f>
        <v>Manufacturer Part</v>
      </c>
      <c r="E899" s="102" t="str">
        <f>IFERROR(__xludf.DUMMYFUNCTION("""COMPUTED_VALUE"""),"ORD_AR.part_barrel_licensed_ted_mirv")</f>
        <v>ORD_AR.part_barrel_licensed_ted_mirv</v>
      </c>
      <c r="F899" s="102"/>
      <c r="G899" s="102" t="str">
        <f>IFERROR(__xludf.DUMMYFUNCTION("""COMPUTED_VALUE"""),"Tediore MIRV, no stat changes")</f>
        <v>Tediore MIRV, no stat changes</v>
      </c>
      <c r="H899" s="102"/>
      <c r="I899" s="102"/>
      <c r="J899" s="102"/>
      <c r="K899" s="102"/>
      <c r="L899" s="102"/>
    </row>
    <row r="900">
      <c r="A900" s="102" t="str">
        <f>IFERROR(__xludf.DUMMYFUNCTION("""COMPUTED_VALUE"""),"Order")</f>
        <v>Order</v>
      </c>
      <c r="B900" s="102" t="str">
        <f>IFERROR(__xludf.DUMMYFUNCTION("""COMPUTED_VALUE"""),"Assault Rifle")</f>
        <v>Assault Rifle</v>
      </c>
      <c r="C900" s="103">
        <f>IFERROR(__xludf.DUMMYFUNCTION("""COMPUTED_VALUE"""),64.0)</f>
        <v>64</v>
      </c>
      <c r="D900" s="102" t="str">
        <f>IFERROR(__xludf.DUMMYFUNCTION("""COMPUTED_VALUE"""),"Manufacturer Part")</f>
        <v>Manufacturer Part</v>
      </c>
      <c r="E900" s="102" t="str">
        <f>IFERROR(__xludf.DUMMYFUNCTION("""COMPUTED_VALUE"""),"ORD_AR.part_barrel_licensed_ted_combo")</f>
        <v>ORD_AR.part_barrel_licensed_ted_combo</v>
      </c>
      <c r="F900" s="102"/>
      <c r="G900" s="102" t="str">
        <f>IFERROR(__xludf.DUMMYFUNCTION("""COMPUTED_VALUE"""),"Tediore Combo, no stat changes")</f>
        <v>Tediore Combo, no stat changes</v>
      </c>
      <c r="H900" s="102"/>
      <c r="I900" s="102"/>
      <c r="J900" s="102"/>
      <c r="K900" s="102"/>
      <c r="L900" s="102"/>
    </row>
    <row r="901">
      <c r="A901" s="102" t="str">
        <f>IFERROR(__xludf.DUMMYFUNCTION("""COMPUTED_VALUE"""),"Order")</f>
        <v>Order</v>
      </c>
      <c r="B901" s="102" t="str">
        <f>IFERROR(__xludf.DUMMYFUNCTION("""COMPUTED_VALUE"""),"Assault Rifle")</f>
        <v>Assault Rifle</v>
      </c>
      <c r="C901" s="103">
        <f>IFERROR(__xludf.DUMMYFUNCTION("""COMPUTED_VALUE"""),65.0)</f>
        <v>65</v>
      </c>
      <c r="D901" s="102" t="str">
        <f>IFERROR(__xludf.DUMMYFUNCTION("""COMPUTED_VALUE"""),"Manufacturer Part")</f>
        <v>Manufacturer Part</v>
      </c>
      <c r="E901" s="102" t="str">
        <f>IFERROR(__xludf.DUMMYFUNCTION("""COMPUTED_VALUE"""),"ORD_AR.part_barrel_licensed_hyp")</f>
        <v>ORD_AR.part_barrel_licensed_hyp</v>
      </c>
      <c r="F901" s="102"/>
      <c r="G901" s="102" t="str">
        <f>IFERROR(__xludf.DUMMYFUNCTION("""COMPUTED_VALUE"""),"Hyperion Shield visual accessory, no stat changes")</f>
        <v>Hyperion Shield visual accessory, no stat changes</v>
      </c>
      <c r="H901" s="102"/>
      <c r="I901" s="102"/>
      <c r="J901" s="102"/>
      <c r="K901" s="102"/>
      <c r="L901" s="102"/>
    </row>
    <row r="902">
      <c r="A902" s="102" t="str">
        <f>IFERROR(__xludf.DUMMYFUNCTION("""COMPUTED_VALUE"""),"Order")</f>
        <v>Order</v>
      </c>
      <c r="B902" s="102" t="str">
        <f>IFERROR(__xludf.DUMMYFUNCTION("""COMPUTED_VALUE"""),"Assault Rifle")</f>
        <v>Assault Rifle</v>
      </c>
      <c r="C902" s="103">
        <f>IFERROR(__xludf.DUMMYFUNCTION("""COMPUTED_VALUE"""),66.0)</f>
        <v>66</v>
      </c>
      <c r="D902" s="102" t="str">
        <f>IFERROR(__xludf.DUMMYFUNCTION("""COMPUTED_VALUE"""),"Manufacturer Part")</f>
        <v>Manufacturer Part</v>
      </c>
      <c r="E902" s="102" t="str">
        <f>IFERROR(__xludf.DUMMYFUNCTION("""COMPUTED_VALUE"""),"ORD_AR.part_mag_torgue_normal")</f>
        <v>ORD_AR.part_mag_torgue_normal</v>
      </c>
      <c r="F902" s="102"/>
      <c r="G902" s="102" t="str">
        <f>IFERROR(__xludf.DUMMYFUNCTION("""COMPUTED_VALUE"""),"Torgue Impact Gyrojets")</f>
        <v>Torgue Impact Gyrojets</v>
      </c>
      <c r="H902" s="102"/>
      <c r="I902" s="102"/>
      <c r="J902" s="102"/>
      <c r="K902" s="102"/>
      <c r="L902" s="102"/>
    </row>
    <row r="903">
      <c r="A903" s="102" t="str">
        <f>IFERROR(__xludf.DUMMYFUNCTION("""COMPUTED_VALUE"""),"Order")</f>
        <v>Order</v>
      </c>
      <c r="B903" s="102" t="str">
        <f>IFERROR(__xludf.DUMMYFUNCTION("""COMPUTED_VALUE"""),"Assault Rifle")</f>
        <v>Assault Rifle</v>
      </c>
      <c r="C903" s="103">
        <f>IFERROR(__xludf.DUMMYFUNCTION("""COMPUTED_VALUE"""),67.0)</f>
        <v>67</v>
      </c>
      <c r="D903" s="102" t="str">
        <f>IFERROR(__xludf.DUMMYFUNCTION("""COMPUTED_VALUE"""),"Manufacturer Part")</f>
        <v>Manufacturer Part</v>
      </c>
      <c r="E903" s="102" t="str">
        <f>IFERROR(__xludf.DUMMYFUNCTION("""COMPUTED_VALUE"""),"ORD_AR.part_mag_torgue_sticky")</f>
        <v>ORD_AR.part_mag_torgue_sticky</v>
      </c>
      <c r="F903" s="102"/>
      <c r="G903" s="102" t="str">
        <f>IFERROR(__xludf.DUMMYFUNCTION("""COMPUTED_VALUE"""),"Torgue Sticky Gyrojets")</f>
        <v>Torgue Sticky Gyrojets</v>
      </c>
      <c r="H903" s="102"/>
      <c r="I903" s="102"/>
      <c r="J903" s="102"/>
      <c r="K903" s="102"/>
      <c r="L903" s="102"/>
    </row>
    <row r="904">
      <c r="A904" s="102" t="str">
        <f>IFERROR(__xludf.DUMMYFUNCTION("""COMPUTED_VALUE"""),"Order")</f>
        <v>Order</v>
      </c>
      <c r="B904" s="102" t="str">
        <f>IFERROR(__xludf.DUMMYFUNCTION("""COMPUTED_VALUE"""),"Assault Rifle")</f>
        <v>Assault Rifle</v>
      </c>
      <c r="C904" s="103">
        <f>IFERROR(__xludf.DUMMYFUNCTION("""COMPUTED_VALUE"""),68.0)</f>
        <v>68</v>
      </c>
      <c r="D904" s="102" t="str">
        <f>IFERROR(__xludf.DUMMYFUNCTION("""COMPUTED_VALUE"""),"Underbarrel")</f>
        <v>Underbarrel</v>
      </c>
      <c r="E904" s="102" t="str">
        <f>IFERROR(__xludf.DUMMYFUNCTION("""COMPUTED_VALUE"""),"ORD_AR.part_underbarrel_02_deathsphere")</f>
        <v>ORD_AR.part_underbarrel_02_deathsphere</v>
      </c>
      <c r="F904" s="102"/>
      <c r="G904" s="102" t="str">
        <f>IFERROR(__xludf.DUMMYFUNCTION("""COMPUTED_VALUE"""),"Alt Fire - Death Sphere")</f>
        <v>Alt Fire - Death Sphere</v>
      </c>
      <c r="H904" s="102" t="str">
        <f>IFERROR(__xludf.DUMMYFUNCTION("""COMPUTED_VALUE"""),"Launches a Death Sphere that deals XXX Damage/s to nearby enemies")</f>
        <v>Launches a Death Sphere that deals XXX Damage/s to nearby enemies</v>
      </c>
      <c r="I904" s="102"/>
      <c r="J904" s="102"/>
      <c r="K904" s="102"/>
      <c r="L904" s="102"/>
    </row>
    <row r="905">
      <c r="A905" s="102" t="str">
        <f>IFERROR(__xludf.DUMMYFUNCTION("""COMPUTED_VALUE"""),"Order")</f>
        <v>Order</v>
      </c>
      <c r="B905" s="102" t="str">
        <f>IFERROR(__xludf.DUMMYFUNCTION("""COMPUTED_VALUE"""),"Assault Rifle")</f>
        <v>Assault Rifle</v>
      </c>
      <c r="C905" s="103">
        <f>IFERROR(__xludf.DUMMYFUNCTION("""COMPUTED_VALUE"""),69.0)</f>
        <v>69</v>
      </c>
      <c r="D905" s="102" t="str">
        <f>IFERROR(__xludf.DUMMYFUNCTION("""COMPUTED_VALUE"""),"Underbarrel")</f>
        <v>Underbarrel</v>
      </c>
      <c r="E905" s="102" t="str">
        <f>IFERROR(__xludf.DUMMYFUNCTION("""COMPUTED_VALUE"""),"ORD_AR.part_underbarrel_05_ammoswitcher")</f>
        <v>ORD_AR.part_underbarrel_05_ammoswitcher</v>
      </c>
      <c r="F905" s="102"/>
      <c r="G905" s="102" t="str">
        <f>IFERROR(__xludf.DUMMYFUNCTION("""COMPUTED_VALUE"""),"Daedalus Ammo Switch")</f>
        <v>Daedalus Ammo Switch</v>
      </c>
      <c r="H905" s="102" t="str">
        <f>IFERROR(__xludf.DUMMYFUNCTION("""COMPUTED_VALUE"""),"Used for Daedalus Ammo switch")</f>
        <v>Used for Daedalus Ammo switch</v>
      </c>
      <c r="I905" s="102"/>
      <c r="J905" s="102"/>
      <c r="K905" s="102"/>
      <c r="L905" s="102"/>
    </row>
    <row r="906">
      <c r="A906" s="102" t="str">
        <f>IFERROR(__xludf.DUMMYFUNCTION("""COMPUTED_VALUE"""),"Order")</f>
        <v>Order</v>
      </c>
      <c r="B906" s="102" t="str">
        <f>IFERROR(__xludf.DUMMYFUNCTION("""COMPUTED_VALUE"""),"Assault Rifle")</f>
        <v>Assault Rifle</v>
      </c>
      <c r="C906" s="103">
        <f>IFERROR(__xludf.DUMMYFUNCTION("""COMPUTED_VALUE"""),70.0)</f>
        <v>70</v>
      </c>
      <c r="D906" s="102" t="str">
        <f>IFERROR(__xludf.DUMMYFUNCTION("""COMPUTED_VALUE"""),"Foregrip")</f>
        <v>Foregrip</v>
      </c>
      <c r="E906" s="102" t="str">
        <f>IFERROR(__xludf.DUMMYFUNCTION("""COMPUTED_VALUE"""),"ORD_AR.part_foregrip_01")</f>
        <v>ORD_AR.part_foregrip_01</v>
      </c>
      <c r="F906" s="102"/>
      <c r="G906" s="102" t="str">
        <f>IFERROR(__xludf.DUMMYFUNCTION("""COMPUTED_VALUE"""),"+Damage")</f>
        <v>+Damage</v>
      </c>
      <c r="H906" s="102"/>
      <c r="I906" s="102"/>
      <c r="J906" s="102"/>
      <c r="K906" s="102"/>
      <c r="L906" s="102"/>
    </row>
    <row r="907">
      <c r="A907" s="102" t="str">
        <f>IFERROR(__xludf.DUMMYFUNCTION("""COMPUTED_VALUE"""),"Order")</f>
        <v>Order</v>
      </c>
      <c r="B907" s="102" t="str">
        <f>IFERROR(__xludf.DUMMYFUNCTION("""COMPUTED_VALUE"""),"Assault Rifle")</f>
        <v>Assault Rifle</v>
      </c>
      <c r="C907" s="103">
        <f>IFERROR(__xludf.DUMMYFUNCTION("""COMPUTED_VALUE"""),71.0)</f>
        <v>71</v>
      </c>
      <c r="D907" s="102" t="str">
        <f>IFERROR(__xludf.DUMMYFUNCTION("""COMPUTED_VALUE"""),"Magazine")</f>
        <v>Magazine</v>
      </c>
      <c r="E907" s="102" t="str">
        <f>IFERROR(__xludf.DUMMYFUNCTION("""COMPUTED_VALUE"""),"ORD_AR.part_mag_03_tor")</f>
        <v>ORD_AR.part_mag_03_tor</v>
      </c>
      <c r="F907" s="102"/>
      <c r="G907" s="102" t="str">
        <f>IFERROR(__xludf.DUMMYFUNCTION("""COMPUTED_VALUE"""),"2.1s Reload, +Damage, -Fire Rate, 15 Shots, Torgue")</f>
        <v>2.1s Reload, +Damage, -Fire Rate, 15 Shots, Torgue</v>
      </c>
      <c r="H907" s="102"/>
      <c r="I907" s="102"/>
      <c r="J907" s="102"/>
      <c r="K907" s="102"/>
      <c r="L907" s="102"/>
    </row>
    <row r="908">
      <c r="A908" s="102" t="str">
        <f>IFERROR(__xludf.DUMMYFUNCTION("""COMPUTED_VALUE"""),"Order")</f>
        <v>Order</v>
      </c>
      <c r="B908" s="102" t="str">
        <f>IFERROR(__xludf.DUMMYFUNCTION("""COMPUTED_VALUE"""),"Assault Rifle")</f>
        <v>Assault Rifle</v>
      </c>
      <c r="C908" s="103">
        <f>IFERROR(__xludf.DUMMYFUNCTION("""COMPUTED_VALUE"""),72.0)</f>
        <v>72</v>
      </c>
      <c r="D908" s="102" t="str">
        <f>IFERROR(__xludf.DUMMYFUNCTION("""COMPUTED_VALUE"""),"Barrel")</f>
        <v>Barrel</v>
      </c>
      <c r="E908" s="102" t="str">
        <f>IFERROR(__xludf.DUMMYFUNCTION("""COMPUTED_VALUE"""),"ORD_AR.part_barrel_02_goalkeeper")</f>
        <v>ORD_AR.part_barrel_02_goalkeeper</v>
      </c>
      <c r="F908" s="102"/>
      <c r="G908" s="102" t="str">
        <f>IFERROR(__xludf.DUMMYFUNCTION("""COMPUTED_VALUE"""),"Goalkeeper, 1785 Damage, 84% Acc, 7.0/s FR")</f>
        <v>Goalkeeper, 1785 Damage, 84% Acc, 7.0/s FR</v>
      </c>
      <c r="H908" s="102" t="str">
        <f>IFERROR(__xludf.DUMMYFUNCTION("""COMPUTED_VALUE"""),"Amper Camper - When Gun Shield is depleted, grants +50% Damage for 15s")</f>
        <v>Amper Camper - When Gun Shield is depleted, grants +50% Damage for 15s</v>
      </c>
      <c r="I908" s="102"/>
      <c r="J908" s="102"/>
      <c r="K908" s="102"/>
      <c r="L908" s="102"/>
    </row>
    <row r="909">
      <c r="A909" s="102" t="str">
        <f>IFERROR(__xludf.DUMMYFUNCTION("""COMPUTED_VALUE"""),"Order")</f>
        <v>Order</v>
      </c>
      <c r="B909" s="102" t="str">
        <f>IFERROR(__xludf.DUMMYFUNCTION("""COMPUTED_VALUE"""),"Assault Rifle")</f>
        <v>Assault Rifle</v>
      </c>
      <c r="C909" s="103">
        <f>IFERROR(__xludf.DUMMYFUNCTION("""COMPUTED_VALUE"""),74.0)</f>
        <v>74</v>
      </c>
      <c r="D909" s="102" t="str">
        <f>IFERROR(__xludf.DUMMYFUNCTION("""COMPUTED_VALUE"""),"Body")</f>
        <v>Body</v>
      </c>
      <c r="E909" s="102" t="str">
        <f>IFERROR(__xludf.DUMMYFUNCTION("""COMPUTED_VALUE"""),"ORD_AR.part_body")</f>
        <v>ORD_AR.part_body</v>
      </c>
      <c r="F909" s="102"/>
      <c r="G909" s="102" t="str">
        <f>IFERROR(__xludf.DUMMYFUNCTION("""COMPUTED_VALUE"""),"No Stat Changes, always present")</f>
        <v>No Stat Changes, always present</v>
      </c>
      <c r="H909" s="102"/>
      <c r="I909" s="102"/>
      <c r="J909" s="102"/>
      <c r="K909" s="102"/>
      <c r="L909" s="102"/>
    </row>
    <row r="910">
      <c r="A910" s="102" t="str">
        <f>IFERROR(__xludf.DUMMYFUNCTION("""COMPUTED_VALUE"""),"Order")</f>
        <v>Order</v>
      </c>
      <c r="B910" s="102" t="str">
        <f>IFERROR(__xludf.DUMMYFUNCTION("""COMPUTED_VALUE"""),"Pistol")</f>
        <v>Pistol</v>
      </c>
      <c r="C910" s="103">
        <f>IFERROR(__xludf.DUMMYFUNCTION("""COMPUTED_VALUE"""),1.0)</f>
        <v>1</v>
      </c>
      <c r="D910" s="102" t="str">
        <f>IFERROR(__xludf.DUMMYFUNCTION("""COMPUTED_VALUE"""),"Magazine")</f>
        <v>Magazine</v>
      </c>
      <c r="E910" s="102" t="str">
        <f>IFERROR(__xludf.DUMMYFUNCTION("""COMPUTED_VALUE"""),"ORD_PS.part_mag_03_rocketreload")</f>
        <v>ORD_PS.part_mag_03_rocketreload</v>
      </c>
      <c r="F910" s="102"/>
      <c r="G910" s="102" t="str">
        <f>IFERROR(__xludf.DUMMYFUNCTION("""COMPUTED_VALUE"""),"1.9s Reload, 6 Shots")</f>
        <v>1.9s Reload, 6 Shots</v>
      </c>
      <c r="H910" s="102" t="str">
        <f>IFERROR(__xludf.DUMMYFUNCTION("""COMPUTED_VALUE"""),"Lucky Clover Mag")</f>
        <v>Lucky Clover Mag</v>
      </c>
      <c r="I910" s="102"/>
      <c r="J910" s="102"/>
      <c r="K910" s="102"/>
      <c r="L910" s="102"/>
    </row>
    <row r="911">
      <c r="A911" s="102" t="str">
        <f>IFERROR(__xludf.DUMMYFUNCTION("""COMPUTED_VALUE"""),"Order")</f>
        <v>Order</v>
      </c>
      <c r="B911" s="102" t="str">
        <f>IFERROR(__xludf.DUMMYFUNCTION("""COMPUTED_VALUE"""),"Pistol")</f>
        <v>Pistol</v>
      </c>
      <c r="C911" s="103">
        <f>IFERROR(__xludf.DUMMYFUNCTION("""COMPUTED_VALUE"""),2.0)</f>
        <v>2</v>
      </c>
      <c r="D911" s="102" t="str">
        <f>IFERROR(__xludf.DUMMYFUNCTION("""COMPUTED_VALUE"""),"Body")</f>
        <v>Body</v>
      </c>
      <c r="E911" s="102" t="str">
        <f>IFERROR(__xludf.DUMMYFUNCTION("""COMPUTED_VALUE"""),"ORD_PS.part_body")</f>
        <v>ORD_PS.part_body</v>
      </c>
      <c r="F911" s="102"/>
      <c r="G911" s="104" t="str">
        <f>IFERROR(__xludf.DUMMYFUNCTION("""COMPUTED_VALUE"""),"No Stat Changes, always present")</f>
        <v>No Stat Changes, always present</v>
      </c>
      <c r="H911" s="102"/>
      <c r="I911" s="102"/>
      <c r="J911" s="102"/>
      <c r="K911" s="102"/>
      <c r="L911" s="102"/>
    </row>
    <row r="912">
      <c r="A912" s="102" t="str">
        <f>IFERROR(__xludf.DUMMYFUNCTION("""COMPUTED_VALUE"""),"Order")</f>
        <v>Order</v>
      </c>
      <c r="B912" s="102" t="str">
        <f>IFERROR(__xludf.DUMMYFUNCTION("""COMPUTED_VALUE"""),"Pistol")</f>
        <v>Pistol</v>
      </c>
      <c r="C912" s="103">
        <f>IFERROR(__xludf.DUMMYFUNCTION("""COMPUTED_VALUE"""),3.0)</f>
        <v>3</v>
      </c>
      <c r="D912" s="102" t="str">
        <f>IFERROR(__xludf.DUMMYFUNCTION("""COMPUTED_VALUE"""),"Body Accessory")</f>
        <v>Body Accessory</v>
      </c>
      <c r="E912" s="102" t="str">
        <f>IFERROR(__xludf.DUMMYFUNCTION("""COMPUTED_VALUE"""),"ORD_PS.part_body_a")</f>
        <v>ORD_PS.part_body_a</v>
      </c>
      <c r="F912" s="102"/>
      <c r="G912" s="102" t="str">
        <f>IFERROR(__xludf.DUMMYFUNCTION("""COMPUTED_VALUE"""),"-Reload Speed")</f>
        <v>-Reload Speed</v>
      </c>
      <c r="H912" s="102"/>
      <c r="I912" s="102"/>
      <c r="J912" s="102"/>
      <c r="K912" s="102"/>
      <c r="L912" s="102"/>
    </row>
    <row r="913">
      <c r="A913" s="102" t="str">
        <f>IFERROR(__xludf.DUMMYFUNCTION("""COMPUTED_VALUE"""),"Order")</f>
        <v>Order</v>
      </c>
      <c r="B913" s="102" t="str">
        <f>IFERROR(__xludf.DUMMYFUNCTION("""COMPUTED_VALUE"""),"Pistol")</f>
        <v>Pistol</v>
      </c>
      <c r="C913" s="103">
        <f>IFERROR(__xludf.DUMMYFUNCTION("""COMPUTED_VALUE"""),4.0)</f>
        <v>4</v>
      </c>
      <c r="D913" s="102" t="str">
        <f>IFERROR(__xludf.DUMMYFUNCTION("""COMPUTED_VALUE"""),"Body Accessory")</f>
        <v>Body Accessory</v>
      </c>
      <c r="E913" s="102" t="str">
        <f>IFERROR(__xludf.DUMMYFUNCTION("""COMPUTED_VALUE"""),"ORD_PS.part_body_b")</f>
        <v>ORD_PS.part_body_b</v>
      </c>
      <c r="F913" s="102"/>
      <c r="G913" s="102" t="str">
        <f>IFERROR(__xludf.DUMMYFUNCTION("""COMPUTED_VALUE"""),"+Damage")</f>
        <v>+Damage</v>
      </c>
      <c r="H913" s="102"/>
      <c r="I913" s="102"/>
      <c r="J913" s="102"/>
      <c r="K913" s="102"/>
      <c r="L913" s="102"/>
    </row>
    <row r="914">
      <c r="A914" s="102" t="str">
        <f>IFERROR(__xludf.DUMMYFUNCTION("""COMPUTED_VALUE"""),"Order")</f>
        <v>Order</v>
      </c>
      <c r="B914" s="102" t="str">
        <f>IFERROR(__xludf.DUMMYFUNCTION("""COMPUTED_VALUE"""),"Pistol")</f>
        <v>Pistol</v>
      </c>
      <c r="C914" s="103">
        <f>IFERROR(__xludf.DUMMYFUNCTION("""COMPUTED_VALUE"""),5.0)</f>
        <v>5</v>
      </c>
      <c r="D914" s="102" t="str">
        <f>IFERROR(__xludf.DUMMYFUNCTION("""COMPUTED_VALUE"""),"Body Accessory")</f>
        <v>Body Accessory</v>
      </c>
      <c r="E914" s="102" t="str">
        <f>IFERROR(__xludf.DUMMYFUNCTION("""COMPUTED_VALUE"""),"ORD_PS.part_body_c")</f>
        <v>ORD_PS.part_body_c</v>
      </c>
      <c r="F914" s="102"/>
      <c r="G914" s="102" t="str">
        <f>IFERROR(__xludf.DUMMYFUNCTION("""COMPUTED_VALUE"""),"+Accuracy")</f>
        <v>+Accuracy</v>
      </c>
      <c r="H914" s="102"/>
      <c r="I914" s="102"/>
      <c r="J914" s="102"/>
      <c r="K914" s="102"/>
      <c r="L914" s="102"/>
    </row>
    <row r="915">
      <c r="A915" s="102" t="str">
        <f>IFERROR(__xludf.DUMMYFUNCTION("""COMPUTED_VALUE"""),"Order")</f>
        <v>Order</v>
      </c>
      <c r="B915" s="102" t="str">
        <f>IFERROR(__xludf.DUMMYFUNCTION("""COMPUTED_VALUE"""),"Pistol")</f>
        <v>Pistol</v>
      </c>
      <c r="C915" s="103">
        <f>IFERROR(__xludf.DUMMYFUNCTION("""COMPUTED_VALUE"""),6.0)</f>
        <v>6</v>
      </c>
      <c r="D915" s="102" t="str">
        <f>IFERROR(__xludf.DUMMYFUNCTION("""COMPUTED_VALUE"""),"Body Accessory")</f>
        <v>Body Accessory</v>
      </c>
      <c r="E915" s="102" t="str">
        <f>IFERROR(__xludf.DUMMYFUNCTION("""COMPUTED_VALUE"""),"ORD_PS.part_body_d")</f>
        <v>ORD_PS.part_body_d</v>
      </c>
      <c r="F915" s="102"/>
      <c r="G915" s="102" t="str">
        <f>IFERROR(__xludf.DUMMYFUNCTION("""COMPUTED_VALUE"""),"+Crit Damage")</f>
        <v>+Crit Damage</v>
      </c>
      <c r="H915" s="102"/>
      <c r="I915" s="102"/>
      <c r="J915" s="102"/>
      <c r="K915" s="102"/>
      <c r="L915" s="102"/>
    </row>
    <row r="916">
      <c r="A916" s="102" t="str">
        <f>IFERROR(__xludf.DUMMYFUNCTION("""COMPUTED_VALUE"""),"Order")</f>
        <v>Order</v>
      </c>
      <c r="B916" s="102" t="str">
        <f>IFERROR(__xludf.DUMMYFUNCTION("""COMPUTED_VALUE"""),"Pistol")</f>
        <v>Pistol</v>
      </c>
      <c r="C916" s="103">
        <f>IFERROR(__xludf.DUMMYFUNCTION("""COMPUTED_VALUE"""),7.0)</f>
        <v>7</v>
      </c>
      <c r="D916" s="102" t="str">
        <f>IFERROR(__xludf.DUMMYFUNCTION("""COMPUTED_VALUE"""),"Barrel")</f>
        <v>Barrel</v>
      </c>
      <c r="E916" s="102" t="str">
        <f>IFERROR(__xludf.DUMMYFUNCTION("""COMPUTED_VALUE"""),"ORD_PS.part_barrel_01")</f>
        <v>ORD_PS.part_barrel_01</v>
      </c>
      <c r="F916" s="102"/>
      <c r="G916" s="102" t="str">
        <f>IFERROR(__xludf.DUMMYFUNCTION("""COMPUTED_VALUE"""),"Punct, 825 Damage, 76% Acc, 8.0/s FR")</f>
        <v>Punct, 825 Damage, 76% Acc, 8.0/s FR</v>
      </c>
      <c r="H916" s="102"/>
      <c r="I916" s="102"/>
      <c r="J916" s="102"/>
      <c r="K916" s="102"/>
      <c r="L916" s="102"/>
    </row>
    <row r="917">
      <c r="A917" s="102" t="str">
        <f>IFERROR(__xludf.DUMMYFUNCTION("""COMPUTED_VALUE"""),"Order")</f>
        <v>Order</v>
      </c>
      <c r="B917" s="102" t="str">
        <f>IFERROR(__xludf.DUMMYFUNCTION("""COMPUTED_VALUE"""),"Pistol")</f>
        <v>Pistol</v>
      </c>
      <c r="C917" s="103">
        <f>IFERROR(__xludf.DUMMYFUNCTION("""COMPUTED_VALUE"""),8.0)</f>
        <v>8</v>
      </c>
      <c r="D917" s="102" t="str">
        <f>IFERROR(__xludf.DUMMYFUNCTION("""COMPUTED_VALUE"""),"Barrel")</f>
        <v>Barrel</v>
      </c>
      <c r="E917" s="102" t="str">
        <f>IFERROR(__xludf.DUMMYFUNCTION("""COMPUTED_VALUE"""),"ORD_PS.part_barrel_02")</f>
        <v>ORD_PS.part_barrel_02</v>
      </c>
      <c r="F917" s="102"/>
      <c r="G917" s="102" t="str">
        <f>IFERROR(__xludf.DUMMYFUNCTION("""COMPUTED_VALUE"""),"Lemma, 892 Damage, 76% Acc, 6.5/s FR")</f>
        <v>Lemma, 892 Damage, 76% Acc, 6.5/s FR</v>
      </c>
      <c r="H917" s="102"/>
      <c r="I917" s="102"/>
      <c r="J917" s="102"/>
      <c r="K917" s="102"/>
      <c r="L917" s="102"/>
    </row>
    <row r="918">
      <c r="A918" s="102" t="str">
        <f>IFERROR(__xludf.DUMMYFUNCTION("""COMPUTED_VALUE"""),"Order")</f>
        <v>Order</v>
      </c>
      <c r="B918" s="102" t="str">
        <f>IFERROR(__xludf.DUMMYFUNCTION("""COMPUTED_VALUE"""),"Pistol")</f>
        <v>Pistol</v>
      </c>
      <c r="C918" s="103">
        <f>IFERROR(__xludf.DUMMYFUNCTION("""COMPUTED_VALUE"""),9.0)</f>
        <v>9</v>
      </c>
      <c r="D918" s="102" t="str">
        <f>IFERROR(__xludf.DUMMYFUNCTION("""COMPUTED_VALUE"""),"Manufacturer Part")</f>
        <v>Manufacturer Part</v>
      </c>
      <c r="E918" s="102" t="str">
        <f>IFERROR(__xludf.DUMMYFUNCTION("""COMPUTED_VALUE"""),"ORD_PS.part_shield_default")</f>
        <v>ORD_PS.part_shield_default</v>
      </c>
      <c r="F918" s="102"/>
      <c r="G918" s="102" t="str">
        <f>IFERROR(__xludf.DUMMYFUNCTION("""COMPUTED_VALUE"""),"Hyperion Shield")</f>
        <v>Hyperion Shield</v>
      </c>
      <c r="H918" s="102"/>
      <c r="I918" s="102"/>
      <c r="J918" s="102"/>
      <c r="K918" s="102"/>
      <c r="L918" s="102"/>
    </row>
    <row r="919">
      <c r="A919" s="102" t="str">
        <f>IFERROR(__xludf.DUMMYFUNCTION("""COMPUTED_VALUE"""),"Order")</f>
        <v>Order</v>
      </c>
      <c r="B919" s="102" t="str">
        <f>IFERROR(__xludf.DUMMYFUNCTION("""COMPUTED_VALUE"""),"Pistol")</f>
        <v>Pistol</v>
      </c>
      <c r="C919" s="103">
        <f>IFERROR(__xludf.DUMMYFUNCTION("""COMPUTED_VALUE"""),10.0)</f>
        <v>10</v>
      </c>
      <c r="D919" s="102" t="str">
        <f>IFERROR(__xludf.DUMMYFUNCTION("""COMPUTED_VALUE"""),"Manufacturer Part")</f>
        <v>Manufacturer Part</v>
      </c>
      <c r="E919" s="102" t="str">
        <f>IFERROR(__xludf.DUMMYFUNCTION("""COMPUTED_VALUE"""),"ORD_PS.part_shield_ricochet")</f>
        <v>ORD_PS.part_shield_ricochet</v>
      </c>
      <c r="F919" s="102"/>
      <c r="G919" s="102" t="str">
        <f>IFERROR(__xludf.DUMMYFUNCTION("""COMPUTED_VALUE"""),"Hyperion Ricochet Shield")</f>
        <v>Hyperion Ricochet Shield</v>
      </c>
      <c r="H919" s="102"/>
      <c r="I919" s="102"/>
      <c r="J919" s="102"/>
      <c r="K919" s="102"/>
      <c r="L919" s="102"/>
    </row>
    <row r="920">
      <c r="A920" s="102" t="str">
        <f>IFERROR(__xludf.DUMMYFUNCTION("""COMPUTED_VALUE"""),"Order")</f>
        <v>Order</v>
      </c>
      <c r="B920" s="102" t="str">
        <f>IFERROR(__xludf.DUMMYFUNCTION("""COMPUTED_VALUE"""),"Pistol")</f>
        <v>Pistol</v>
      </c>
      <c r="C920" s="103">
        <f>IFERROR(__xludf.DUMMYFUNCTION("""COMPUTED_VALUE"""),11.0)</f>
        <v>11</v>
      </c>
      <c r="D920" s="102" t="str">
        <f>IFERROR(__xludf.DUMMYFUNCTION("""COMPUTED_VALUE"""),"Manufacturer Part")</f>
        <v>Manufacturer Part</v>
      </c>
      <c r="E920" s="102" t="str">
        <f>IFERROR(__xludf.DUMMYFUNCTION("""COMPUTED_VALUE"""),"ORD_PS.part_shield_ammo")</f>
        <v>ORD_PS.part_shield_ammo</v>
      </c>
      <c r="F920" s="102"/>
      <c r="G920" s="102" t="str">
        <f>IFERROR(__xludf.DUMMYFUNCTION("""COMPUTED_VALUE"""),"Hyperion Absorb Shield")</f>
        <v>Hyperion Absorb Shield</v>
      </c>
      <c r="H920" s="102"/>
      <c r="I920" s="102"/>
      <c r="J920" s="102"/>
      <c r="K920" s="102"/>
      <c r="L920" s="102"/>
    </row>
    <row r="921">
      <c r="A921" s="102" t="str">
        <f>IFERROR(__xludf.DUMMYFUNCTION("""COMPUTED_VALUE"""),"Order")</f>
        <v>Order</v>
      </c>
      <c r="B921" s="102" t="str">
        <f>IFERROR(__xludf.DUMMYFUNCTION("""COMPUTED_VALUE"""),"Pistol")</f>
        <v>Pistol</v>
      </c>
      <c r="C921" s="103">
        <f>IFERROR(__xludf.DUMMYFUNCTION("""COMPUTED_VALUE"""),12.0)</f>
        <v>12</v>
      </c>
      <c r="D921" s="102" t="str">
        <f>IFERROR(__xludf.DUMMYFUNCTION("""COMPUTED_VALUE"""),"Manufacturer Part")</f>
        <v>Manufacturer Part</v>
      </c>
      <c r="E921" s="102" t="str">
        <f>IFERROR(__xludf.DUMMYFUNCTION("""COMPUTED_VALUE"""),"ORD_PS.part_shield_amp")</f>
        <v>ORD_PS.part_shield_amp</v>
      </c>
      <c r="F921" s="102"/>
      <c r="G921" s="102" t="str">
        <f>IFERROR(__xludf.DUMMYFUNCTION("""COMPUTED_VALUE"""),"Hyperion Amp Shield")</f>
        <v>Hyperion Amp Shield</v>
      </c>
      <c r="H921" s="102"/>
      <c r="I921" s="102"/>
      <c r="J921" s="102"/>
      <c r="K921" s="102"/>
      <c r="L921" s="102"/>
    </row>
    <row r="922">
      <c r="A922" s="102" t="str">
        <f>IFERROR(__xludf.DUMMYFUNCTION("""COMPUTED_VALUE"""),"Order")</f>
        <v>Order</v>
      </c>
      <c r="B922" s="102" t="str">
        <f>IFERROR(__xludf.DUMMYFUNCTION("""COMPUTED_VALUE"""),"Pistol")</f>
        <v>Pistol</v>
      </c>
      <c r="C922" s="103">
        <f>IFERROR(__xludf.DUMMYFUNCTION("""COMPUTED_VALUE"""),13.0)</f>
        <v>13</v>
      </c>
      <c r="D922" s="102" t="str">
        <f>IFERROR(__xludf.DUMMYFUNCTION("""COMPUTED_VALUE"""),"Magazine")</f>
        <v>Magazine</v>
      </c>
      <c r="E922" s="102" t="str">
        <f>IFERROR(__xludf.DUMMYFUNCTION("""COMPUTED_VALUE"""),"ORD_PS.part_mag_01")</f>
        <v>ORD_PS.part_mag_01</v>
      </c>
      <c r="F922" s="102"/>
      <c r="G922" s="102" t="str">
        <f>IFERROR(__xludf.DUMMYFUNCTION("""COMPUTED_VALUE"""),"1.9s Reload, 15 Shots")</f>
        <v>1.9s Reload, 15 Shots</v>
      </c>
      <c r="H922" s="102"/>
      <c r="I922" s="102"/>
      <c r="J922" s="102"/>
      <c r="K922" s="102"/>
      <c r="L922" s="102"/>
    </row>
    <row r="923">
      <c r="A923" s="102" t="str">
        <f>IFERROR(__xludf.DUMMYFUNCTION("""COMPUTED_VALUE"""),"Order")</f>
        <v>Order</v>
      </c>
      <c r="B923" s="102" t="str">
        <f>IFERROR(__xludf.DUMMYFUNCTION("""COMPUTED_VALUE"""),"Pistol")</f>
        <v>Pistol</v>
      </c>
      <c r="C923" s="103">
        <f>IFERROR(__xludf.DUMMYFUNCTION("""COMPUTED_VALUE"""),14.0)</f>
        <v>14</v>
      </c>
      <c r="D923" s="102" t="str">
        <f>IFERROR(__xludf.DUMMYFUNCTION("""COMPUTED_VALUE"""),"Magazine")</f>
        <v>Magazine</v>
      </c>
      <c r="E923" s="102" t="str">
        <f>IFERROR(__xludf.DUMMYFUNCTION("""COMPUTED_VALUE"""),"ORD_PS.part_mag_02")</f>
        <v>ORD_PS.part_mag_02</v>
      </c>
      <c r="F923" s="102"/>
      <c r="G923" s="102" t="str">
        <f>IFERROR(__xludf.DUMMYFUNCTION("""COMPUTED_VALUE"""),"2.8s Reload, -Damage, 18 Shots")</f>
        <v>2.8s Reload, -Damage, 18 Shots</v>
      </c>
      <c r="H923" s="102"/>
      <c r="I923" s="102"/>
      <c r="J923" s="102"/>
      <c r="K923" s="102"/>
      <c r="L923" s="102"/>
    </row>
    <row r="924">
      <c r="A924" s="102" t="str">
        <f>IFERROR(__xludf.DUMMYFUNCTION("""COMPUTED_VALUE"""),"Order")</f>
        <v>Order</v>
      </c>
      <c r="B924" s="102" t="str">
        <f>IFERROR(__xludf.DUMMYFUNCTION("""COMPUTED_VALUE"""),"Pistol")</f>
        <v>Pistol</v>
      </c>
      <c r="C924" s="103">
        <f>IFERROR(__xludf.DUMMYFUNCTION("""COMPUTED_VALUE"""),15.0)</f>
        <v>15</v>
      </c>
      <c r="D924" s="102" t="str">
        <f>IFERROR(__xludf.DUMMYFUNCTION("""COMPUTED_VALUE"""),"Magazine")</f>
        <v>Magazine</v>
      </c>
      <c r="E924" s="102" t="str">
        <f>IFERROR(__xludf.DUMMYFUNCTION("""COMPUTED_VALUE"""),"ORD_PS.part_mag_04_cov")</f>
        <v>ORD_PS.part_mag_04_cov</v>
      </c>
      <c r="F924" s="102"/>
      <c r="G924" s="102" t="str">
        <f>IFERROR(__xludf.DUMMYFUNCTION("""COMPUTED_VALUE"""),"2.9s Reload, -Damage, -Acc, 20 Shots, CoV Mag")</f>
        <v>2.9s Reload, -Damage, -Acc, 20 Shots, CoV Mag</v>
      </c>
      <c r="H924" s="102"/>
      <c r="I924" s="102"/>
      <c r="J924" s="102"/>
      <c r="K924" s="102"/>
      <c r="L924" s="102"/>
    </row>
    <row r="925">
      <c r="A925" s="102" t="str">
        <f>IFERROR(__xludf.DUMMYFUNCTION("""COMPUTED_VALUE"""),"Order")</f>
        <v>Order</v>
      </c>
      <c r="B925" s="102" t="str">
        <f>IFERROR(__xludf.DUMMYFUNCTION("""COMPUTED_VALUE"""),"Pistol")</f>
        <v>Pistol</v>
      </c>
      <c r="C925" s="103">
        <f>IFERROR(__xludf.DUMMYFUNCTION("""COMPUTED_VALUE"""),16.0)</f>
        <v>16</v>
      </c>
      <c r="D925" s="102" t="str">
        <f>IFERROR(__xludf.DUMMYFUNCTION("""COMPUTED_VALUE"""),"Magazine")</f>
        <v>Magazine</v>
      </c>
      <c r="E925" s="102" t="str">
        <f>IFERROR(__xludf.DUMMYFUNCTION("""COMPUTED_VALUE"""),"ORD_PS.part_mag_05_borg")</f>
        <v>ORD_PS.part_mag_05_borg</v>
      </c>
      <c r="F925" s="102"/>
      <c r="G925" s="102" t="str">
        <f>IFERROR(__xludf.DUMMYFUNCTION("""COMPUTED_VALUE"""),"2.3s Reload, +Fire Rate, 24 Shots, Ripper Mag")</f>
        <v>2.3s Reload, +Fire Rate, 24 Shots, Ripper Mag</v>
      </c>
      <c r="H925" s="102"/>
      <c r="I925" s="102"/>
      <c r="J925" s="102"/>
      <c r="K925" s="102"/>
      <c r="L925" s="102"/>
    </row>
    <row r="926">
      <c r="A926" s="102" t="str">
        <f>IFERROR(__xludf.DUMMYFUNCTION("""COMPUTED_VALUE"""),"Order")</f>
        <v>Order</v>
      </c>
      <c r="B926" s="102" t="str">
        <f>IFERROR(__xludf.DUMMYFUNCTION("""COMPUTED_VALUE"""),"Pistol")</f>
        <v>Pistol</v>
      </c>
      <c r="C926" s="103">
        <f>IFERROR(__xludf.DUMMYFUNCTION("""COMPUTED_VALUE"""),17.0)</f>
        <v>17</v>
      </c>
      <c r="D926" s="102" t="str">
        <f>IFERROR(__xludf.DUMMYFUNCTION("""COMPUTED_VALUE"""),"Stat Modifier")</f>
        <v>Stat Modifier</v>
      </c>
      <c r="E926" s="102" t="str">
        <f>IFERROR(__xludf.DUMMYFUNCTION("""COMPUTED_VALUE"""),"ORD_PS.part_mag_ted_thrown_01")</f>
        <v>ORD_PS.part_mag_ted_thrown_01</v>
      </c>
      <c r="F926" s="102"/>
      <c r="G926" s="102" t="str">
        <f>IFERROR(__xludf.DUMMYFUNCTION("""COMPUTED_VALUE"""),"2.0s Reload")</f>
        <v>2.0s Reload</v>
      </c>
      <c r="H926" s="102"/>
      <c r="I926" s="102"/>
      <c r="J926" s="102"/>
      <c r="K926" s="102"/>
      <c r="L926" s="102"/>
    </row>
    <row r="927">
      <c r="A927" s="102" t="str">
        <f>IFERROR(__xludf.DUMMYFUNCTION("""COMPUTED_VALUE"""),"Order")</f>
        <v>Order</v>
      </c>
      <c r="B927" s="102" t="str">
        <f>IFERROR(__xludf.DUMMYFUNCTION("""COMPUTED_VALUE"""),"Pistol")</f>
        <v>Pistol</v>
      </c>
      <c r="C927" s="103">
        <f>IFERROR(__xludf.DUMMYFUNCTION("""COMPUTED_VALUE"""),18.0)</f>
        <v>18</v>
      </c>
      <c r="D927" s="102" t="str">
        <f>IFERROR(__xludf.DUMMYFUNCTION("""COMPUTED_VALUE"""),"Stat Modifier")</f>
        <v>Stat Modifier</v>
      </c>
      <c r="E927" s="102" t="str">
        <f>IFERROR(__xludf.DUMMYFUNCTION("""COMPUTED_VALUE"""),"ORD_PS.part_mag_ted_thrown_02")</f>
        <v>ORD_PS.part_mag_ted_thrown_02</v>
      </c>
      <c r="F927" s="102"/>
      <c r="G927" s="102" t="str">
        <f>IFERROR(__xludf.DUMMYFUNCTION("""COMPUTED_VALUE"""),"2.0s Reload")</f>
        <v>2.0s Reload</v>
      </c>
      <c r="H927" s="102"/>
      <c r="I927" s="102"/>
      <c r="J927" s="102"/>
      <c r="K927" s="102"/>
      <c r="L927" s="102"/>
    </row>
    <row r="928">
      <c r="A928" s="102" t="str">
        <f>IFERROR(__xludf.DUMMYFUNCTION("""COMPUTED_VALUE"""),"Order")</f>
        <v>Order</v>
      </c>
      <c r="B928" s="102" t="str">
        <f>IFERROR(__xludf.DUMMYFUNCTION("""COMPUTED_VALUE"""),"Pistol")</f>
        <v>Pistol</v>
      </c>
      <c r="C928" s="103">
        <f>IFERROR(__xludf.DUMMYFUNCTION("""COMPUTED_VALUE"""),19.0)</f>
        <v>19</v>
      </c>
      <c r="D928" s="102" t="str">
        <f>IFERROR(__xludf.DUMMYFUNCTION("""COMPUTED_VALUE"""),"Stat Modifier")</f>
        <v>Stat Modifier</v>
      </c>
      <c r="E928" s="102" t="str">
        <f>IFERROR(__xludf.DUMMYFUNCTION("""COMPUTED_VALUE"""),"ORD_PS.part_mag_ted_thrown_03_tor")</f>
        <v>ORD_PS.part_mag_ted_thrown_03_tor</v>
      </c>
      <c r="F928" s="102"/>
      <c r="G928" s="102" t="str">
        <f>IFERROR(__xludf.DUMMYFUNCTION("""COMPUTED_VALUE"""),"2.0s Reload")</f>
        <v>2.0s Reload</v>
      </c>
      <c r="H928" s="102"/>
      <c r="I928" s="102"/>
      <c r="J928" s="102"/>
      <c r="K928" s="102"/>
      <c r="L928" s="102"/>
    </row>
    <row r="929">
      <c r="A929" s="102" t="str">
        <f>IFERROR(__xludf.DUMMYFUNCTION("""COMPUTED_VALUE"""),"Order")</f>
        <v>Order</v>
      </c>
      <c r="B929" s="102" t="str">
        <f>IFERROR(__xludf.DUMMYFUNCTION("""COMPUTED_VALUE"""),"Pistol")</f>
        <v>Pistol</v>
      </c>
      <c r="C929" s="103">
        <f>IFERROR(__xludf.DUMMYFUNCTION("""COMPUTED_VALUE"""),20.0)</f>
        <v>20</v>
      </c>
      <c r="D929" s="102" t="str">
        <f>IFERROR(__xludf.DUMMYFUNCTION("""COMPUTED_VALUE"""),"Stat Modifier")</f>
        <v>Stat Modifier</v>
      </c>
      <c r="E929" s="102" t="str">
        <f>IFERROR(__xludf.DUMMYFUNCTION("""COMPUTED_VALUE"""),"ORD_PS.part_mag_ted_thrown_04_cov")</f>
        <v>ORD_PS.part_mag_ted_thrown_04_cov</v>
      </c>
      <c r="F929" s="102"/>
      <c r="G929" s="102" t="str">
        <f>IFERROR(__xludf.DUMMYFUNCTION("""COMPUTED_VALUE"""),"3.0s Reload")</f>
        <v>3.0s Reload</v>
      </c>
      <c r="H929" s="102"/>
      <c r="I929" s="102"/>
      <c r="J929" s="102"/>
      <c r="K929" s="102"/>
      <c r="L929" s="102"/>
    </row>
    <row r="930">
      <c r="A930" s="102" t="str">
        <f>IFERROR(__xludf.DUMMYFUNCTION("""COMPUTED_VALUE"""),"Order")</f>
        <v>Order</v>
      </c>
      <c r="B930" s="102" t="str">
        <f>IFERROR(__xludf.DUMMYFUNCTION("""COMPUTED_VALUE"""),"Pistol")</f>
        <v>Pistol</v>
      </c>
      <c r="C930" s="103">
        <f>IFERROR(__xludf.DUMMYFUNCTION("""COMPUTED_VALUE"""),21.0)</f>
        <v>21</v>
      </c>
      <c r="D930" s="102" t="str">
        <f>IFERROR(__xludf.DUMMYFUNCTION("""COMPUTED_VALUE"""),"Stat Modifier")</f>
        <v>Stat Modifier</v>
      </c>
      <c r="E930" s="102" t="str">
        <f>IFERROR(__xludf.DUMMYFUNCTION("""COMPUTED_VALUE"""),"ORD_PS.part_mag_ted_thrown_05_bor")</f>
        <v>ORD_PS.part_mag_ted_thrown_05_bor</v>
      </c>
      <c r="F930" s="102"/>
      <c r="G930" s="102" t="str">
        <f>IFERROR(__xludf.DUMMYFUNCTION("""COMPUTED_VALUE"""),"3.0s Reload")</f>
        <v>3.0s Reload</v>
      </c>
      <c r="H930" s="102"/>
      <c r="I930" s="102"/>
      <c r="J930" s="102"/>
      <c r="K930" s="102"/>
      <c r="L930" s="102"/>
    </row>
    <row r="931">
      <c r="A931" s="102" t="str">
        <f>IFERROR(__xludf.DUMMYFUNCTION("""COMPUTED_VALUE"""),"Order")</f>
        <v>Order</v>
      </c>
      <c r="B931" s="102" t="str">
        <f>IFERROR(__xludf.DUMMYFUNCTION("""COMPUTED_VALUE"""),"Pistol")</f>
        <v>Pistol</v>
      </c>
      <c r="C931" s="103">
        <f>IFERROR(__xludf.DUMMYFUNCTION("""COMPUTED_VALUE"""),22.0)</f>
        <v>22</v>
      </c>
      <c r="D931" s="102" t="str">
        <f>IFERROR(__xludf.DUMMYFUNCTION("""COMPUTED_VALUE"""),"Scope")</f>
        <v>Scope</v>
      </c>
      <c r="E931" s="102" t="str">
        <f>IFERROR(__xludf.DUMMYFUNCTION("""COMPUTED_VALUE"""),"ORD_PS.part_scope_ironsight")</f>
        <v>ORD_PS.part_scope_ironsight</v>
      </c>
      <c r="F931" s="102"/>
      <c r="G931" s="102" t="str">
        <f>IFERROR(__xludf.DUMMYFUNCTION("""COMPUTED_VALUE"""),"ADS")</f>
        <v>ADS</v>
      </c>
      <c r="H931" s="102"/>
      <c r="I931" s="102"/>
      <c r="J931" s="102"/>
      <c r="K931" s="102"/>
      <c r="L931" s="102"/>
    </row>
    <row r="932">
      <c r="A932" s="102" t="str">
        <f>IFERROR(__xludf.DUMMYFUNCTION("""COMPUTED_VALUE"""),"Order")</f>
        <v>Order</v>
      </c>
      <c r="B932" s="102" t="str">
        <f>IFERROR(__xludf.DUMMYFUNCTION("""COMPUTED_VALUE"""),"Pistol")</f>
        <v>Pistol</v>
      </c>
      <c r="C932" s="103">
        <f>IFERROR(__xludf.DUMMYFUNCTION("""COMPUTED_VALUE"""),23.0)</f>
        <v>23</v>
      </c>
      <c r="D932" s="102" t="str">
        <f>IFERROR(__xludf.DUMMYFUNCTION("""COMPUTED_VALUE"""),"Scope")</f>
        <v>Scope</v>
      </c>
      <c r="E932" s="102" t="str">
        <f>IFERROR(__xludf.DUMMYFUNCTION("""COMPUTED_VALUE"""),"ORD_PS.part_scope_01_lens_01")</f>
        <v>ORD_PS.part_scope_01_lens_01</v>
      </c>
      <c r="F932" s="102"/>
      <c r="G932" s="102" t="str">
        <f>IFERROR(__xludf.DUMMYFUNCTION("""COMPUTED_VALUE"""),"ADS +Zoom")</f>
        <v>ADS +Zoom</v>
      </c>
      <c r="H932" s="102"/>
      <c r="I932" s="102"/>
      <c r="J932" s="102"/>
      <c r="K932" s="102"/>
      <c r="L932" s="102"/>
    </row>
    <row r="933">
      <c r="A933" s="102" t="str">
        <f>IFERROR(__xludf.DUMMYFUNCTION("""COMPUTED_VALUE"""),"Order")</f>
        <v>Order</v>
      </c>
      <c r="B933" s="102" t="str">
        <f>IFERROR(__xludf.DUMMYFUNCTION("""COMPUTED_VALUE"""),"Pistol")</f>
        <v>Pistol</v>
      </c>
      <c r="C933" s="103">
        <f>IFERROR(__xludf.DUMMYFUNCTION("""COMPUTED_VALUE"""),24.0)</f>
        <v>24</v>
      </c>
      <c r="D933" s="102" t="str">
        <f>IFERROR(__xludf.DUMMYFUNCTION("""COMPUTED_VALUE"""),"Scope")</f>
        <v>Scope</v>
      </c>
      <c r="E933" s="102" t="str">
        <f>IFERROR(__xludf.DUMMYFUNCTION("""COMPUTED_VALUE"""),"ORD_PS.part_scope_01_lens_02")</f>
        <v>ORD_PS.part_scope_01_lens_02</v>
      </c>
      <c r="F933" s="102"/>
      <c r="G933" s="102" t="str">
        <f>IFERROR(__xludf.DUMMYFUNCTION("""COMPUTED_VALUE"""),"ADS ++Zoom")</f>
        <v>ADS ++Zoom</v>
      </c>
      <c r="H933" s="102"/>
      <c r="I933" s="102"/>
      <c r="J933" s="102"/>
      <c r="K933" s="102"/>
      <c r="L933" s="102"/>
    </row>
    <row r="934">
      <c r="A934" s="102" t="str">
        <f>IFERROR(__xludf.DUMMYFUNCTION("""COMPUTED_VALUE"""),"Order")</f>
        <v>Order</v>
      </c>
      <c r="B934" s="102" t="str">
        <f>IFERROR(__xludf.DUMMYFUNCTION("""COMPUTED_VALUE"""),"Pistol")</f>
        <v>Pistol</v>
      </c>
      <c r="C934" s="103">
        <f>IFERROR(__xludf.DUMMYFUNCTION("""COMPUTED_VALUE"""),25.0)</f>
        <v>25</v>
      </c>
      <c r="D934" s="102" t="str">
        <f>IFERROR(__xludf.DUMMYFUNCTION("""COMPUTED_VALUE"""),"Scope")</f>
        <v>Scope</v>
      </c>
      <c r="E934" s="102" t="str">
        <f>IFERROR(__xludf.DUMMYFUNCTION("""COMPUTED_VALUE"""),"ORD_PS.part_scope_02_lens_01")</f>
        <v>ORD_PS.part_scope_02_lens_01</v>
      </c>
      <c r="F934" s="102"/>
      <c r="G934" s="102" t="str">
        <f>IFERROR(__xludf.DUMMYFUNCTION("""COMPUTED_VALUE"""),"ADS ++Zoom")</f>
        <v>ADS ++Zoom</v>
      </c>
      <c r="H934" s="102" t="str">
        <f>IFERROR(__xludf.DUMMYFUNCTION("""COMPUTED_VALUE"""),"Sniper Scope")</f>
        <v>Sniper Scope</v>
      </c>
      <c r="I934" s="102"/>
      <c r="J934" s="102"/>
      <c r="K934" s="102"/>
      <c r="L934" s="102"/>
    </row>
    <row r="935">
      <c r="A935" s="102" t="str">
        <f>IFERROR(__xludf.DUMMYFUNCTION("""COMPUTED_VALUE"""),"Order")</f>
        <v>Order</v>
      </c>
      <c r="B935" s="102" t="str">
        <f>IFERROR(__xludf.DUMMYFUNCTION("""COMPUTED_VALUE"""),"Pistol")</f>
        <v>Pistol</v>
      </c>
      <c r="C935" s="103">
        <f>IFERROR(__xludf.DUMMYFUNCTION("""COMPUTED_VALUE"""),26.0)</f>
        <v>26</v>
      </c>
      <c r="D935" s="102" t="str">
        <f>IFERROR(__xludf.DUMMYFUNCTION("""COMPUTED_VALUE"""),"Scope")</f>
        <v>Scope</v>
      </c>
      <c r="E935" s="102" t="str">
        <f>IFERROR(__xludf.DUMMYFUNCTION("""COMPUTED_VALUE"""),"ORD_PS.part_scope_02_lens_02")</f>
        <v>ORD_PS.part_scope_02_lens_02</v>
      </c>
      <c r="F935" s="102"/>
      <c r="G935" s="102" t="str">
        <f>IFERROR(__xludf.DUMMYFUNCTION("""COMPUTED_VALUE"""),"ADS +++Zoom")</f>
        <v>ADS +++Zoom</v>
      </c>
      <c r="H935" s="102" t="str">
        <f>IFERROR(__xludf.DUMMYFUNCTION("""COMPUTED_VALUE"""),"Sniper Scope")</f>
        <v>Sniper Scope</v>
      </c>
      <c r="I935" s="102"/>
      <c r="J935" s="102"/>
      <c r="K935" s="102"/>
      <c r="L935" s="102"/>
    </row>
    <row r="936">
      <c r="A936" s="102" t="str">
        <f>IFERROR(__xludf.DUMMYFUNCTION("""COMPUTED_VALUE"""),"Order")</f>
        <v>Order</v>
      </c>
      <c r="B936" s="102" t="str">
        <f>IFERROR(__xludf.DUMMYFUNCTION("""COMPUTED_VALUE"""),"Pistol")</f>
        <v>Pistol</v>
      </c>
      <c r="C936" s="103">
        <f>IFERROR(__xludf.DUMMYFUNCTION("""COMPUTED_VALUE"""),27.0)</f>
        <v>27</v>
      </c>
      <c r="D936" s="102" t="str">
        <f>IFERROR(__xludf.DUMMYFUNCTION("""COMPUTED_VALUE"""),"Scope Accessory")</f>
        <v>Scope Accessory</v>
      </c>
      <c r="E936" s="102" t="str">
        <f>IFERROR(__xludf.DUMMYFUNCTION("""COMPUTED_VALUE"""),"ORD_PS.part_scope_acc_s01_l01_a")</f>
        <v>ORD_PS.part_scope_acc_s01_l01_a</v>
      </c>
      <c r="F936" s="102"/>
      <c r="G936" s="102" t="str">
        <f>IFERROR(__xludf.DUMMYFUNCTION("""COMPUTED_VALUE"""),"+Damage")</f>
        <v>+Damage</v>
      </c>
      <c r="H936" s="102" t="str">
        <f>IFERROR(__xludf.DUMMYFUNCTION("""COMPUTED_VALUE"""),"HUD Elements")</f>
        <v>HUD Elements</v>
      </c>
      <c r="I936" s="102"/>
      <c r="J936" s="102"/>
      <c r="K936" s="102"/>
      <c r="L936" s="102"/>
    </row>
    <row r="937">
      <c r="A937" s="102" t="str">
        <f>IFERROR(__xludf.DUMMYFUNCTION("""COMPUTED_VALUE"""),"Order")</f>
        <v>Order</v>
      </c>
      <c r="B937" s="102" t="str">
        <f>IFERROR(__xludf.DUMMYFUNCTION("""COMPUTED_VALUE"""),"Pistol")</f>
        <v>Pistol</v>
      </c>
      <c r="C937" s="103">
        <f>IFERROR(__xludf.DUMMYFUNCTION("""COMPUTED_VALUE"""),28.0)</f>
        <v>28</v>
      </c>
      <c r="D937" s="102" t="str">
        <f>IFERROR(__xludf.DUMMYFUNCTION("""COMPUTED_VALUE"""),"Scope Accessory")</f>
        <v>Scope Accessory</v>
      </c>
      <c r="E937" s="102" t="str">
        <f>IFERROR(__xludf.DUMMYFUNCTION("""COMPUTED_VALUE"""),"ORD_PS.part_scope_acc_s01_l01_b")</f>
        <v>ORD_PS.part_scope_acc_s01_l01_b</v>
      </c>
      <c r="F937" s="102"/>
      <c r="G937" s="102" t="str">
        <f>IFERROR(__xludf.DUMMYFUNCTION("""COMPUTED_VALUE"""),"-Reload Speed")</f>
        <v>-Reload Speed</v>
      </c>
      <c r="H937" s="102" t="str">
        <f>IFERROR(__xludf.DUMMYFUNCTION("""COMPUTED_VALUE"""),"HUD Elements")</f>
        <v>HUD Elements</v>
      </c>
      <c r="I937" s="102"/>
      <c r="J937" s="102"/>
      <c r="K937" s="102"/>
      <c r="L937" s="102"/>
    </row>
    <row r="938">
      <c r="A938" s="102" t="str">
        <f>IFERROR(__xludf.DUMMYFUNCTION("""COMPUTED_VALUE"""),"Order")</f>
        <v>Order</v>
      </c>
      <c r="B938" s="102" t="str">
        <f>IFERROR(__xludf.DUMMYFUNCTION("""COMPUTED_VALUE"""),"Pistol")</f>
        <v>Pistol</v>
      </c>
      <c r="C938" s="103">
        <f>IFERROR(__xludf.DUMMYFUNCTION("""COMPUTED_VALUE"""),29.0)</f>
        <v>29</v>
      </c>
      <c r="D938" s="102" t="str">
        <f>IFERROR(__xludf.DUMMYFUNCTION("""COMPUTED_VALUE"""),"Scope Accessory")</f>
        <v>Scope Accessory</v>
      </c>
      <c r="E938" s="102" t="str">
        <f>IFERROR(__xludf.DUMMYFUNCTION("""COMPUTED_VALUE"""),"ORD_PS.part_scope_acc_s02_l01_a")</f>
        <v>ORD_PS.part_scope_acc_s02_l01_a</v>
      </c>
      <c r="F938" s="102"/>
      <c r="G938" s="102" t="str">
        <f>IFERROR(__xludf.DUMMYFUNCTION("""COMPUTED_VALUE"""),"No Stat Changes")</f>
        <v>No Stat Changes</v>
      </c>
      <c r="H938" s="102" t="str">
        <f>IFERROR(__xludf.DUMMYFUNCTION("""COMPUTED_VALUE"""),"HUD Elements")</f>
        <v>HUD Elements</v>
      </c>
      <c r="I938" s="102"/>
      <c r="J938" s="102"/>
      <c r="K938" s="102"/>
      <c r="L938" s="102"/>
    </row>
    <row r="939">
      <c r="A939" s="102" t="str">
        <f>IFERROR(__xludf.DUMMYFUNCTION("""COMPUTED_VALUE"""),"Order")</f>
        <v>Order</v>
      </c>
      <c r="B939" s="102" t="str">
        <f>IFERROR(__xludf.DUMMYFUNCTION("""COMPUTED_VALUE"""),"Pistol")</f>
        <v>Pistol</v>
      </c>
      <c r="C939" s="103">
        <f>IFERROR(__xludf.DUMMYFUNCTION("""COMPUTED_VALUE"""),30.0)</f>
        <v>30</v>
      </c>
      <c r="D939" s="102" t="str">
        <f>IFERROR(__xludf.DUMMYFUNCTION("""COMPUTED_VALUE"""),"Scope Accessory")</f>
        <v>Scope Accessory</v>
      </c>
      <c r="E939" s="102" t="str">
        <f>IFERROR(__xludf.DUMMYFUNCTION("""COMPUTED_VALUE"""),"ORD_PS.part_scope_acc_s02_l01_b")</f>
        <v>ORD_PS.part_scope_acc_s02_l01_b</v>
      </c>
      <c r="F939" s="102"/>
      <c r="G939" s="102" t="str">
        <f>IFERROR(__xludf.DUMMYFUNCTION("""COMPUTED_VALUE"""),"+Crit Damage")</f>
        <v>+Crit Damage</v>
      </c>
      <c r="H939" s="102" t="str">
        <f>IFERROR(__xludf.DUMMYFUNCTION("""COMPUTED_VALUE"""),"HUD Elements")</f>
        <v>HUD Elements</v>
      </c>
      <c r="I939" s="102"/>
      <c r="J939" s="102"/>
      <c r="K939" s="102"/>
      <c r="L939" s="102"/>
    </row>
    <row r="940">
      <c r="A940" s="102" t="str">
        <f>IFERROR(__xludf.DUMMYFUNCTION("""COMPUTED_VALUE"""),"Order")</f>
        <v>Order</v>
      </c>
      <c r="B940" s="102" t="str">
        <f>IFERROR(__xludf.DUMMYFUNCTION("""COMPUTED_VALUE"""),"Pistol")</f>
        <v>Pistol</v>
      </c>
      <c r="C940" s="103">
        <f>IFERROR(__xludf.DUMMYFUNCTION("""COMPUTED_VALUE"""),31.0)</f>
        <v>31</v>
      </c>
      <c r="D940" s="102" t="str">
        <f>IFERROR(__xludf.DUMMYFUNCTION("""COMPUTED_VALUE"""),"Scope Accessory")</f>
        <v>Scope Accessory</v>
      </c>
      <c r="E940" s="102" t="str">
        <f>IFERROR(__xludf.DUMMYFUNCTION("""COMPUTED_VALUE"""),"ORD_PS.part_scope_acc_s01_l02_a")</f>
        <v>ORD_PS.part_scope_acc_s01_l02_a</v>
      </c>
      <c r="F940" s="102"/>
      <c r="G940" s="102" t="str">
        <f>IFERROR(__xludf.DUMMYFUNCTION("""COMPUTED_VALUE"""),"+Damage")</f>
        <v>+Damage</v>
      </c>
      <c r="H940" s="102" t="str">
        <f>IFERROR(__xludf.DUMMYFUNCTION("""COMPUTED_VALUE"""),"HUD Elements")</f>
        <v>HUD Elements</v>
      </c>
      <c r="I940" s="102"/>
      <c r="J940" s="102"/>
      <c r="K940" s="102"/>
      <c r="L940" s="102"/>
    </row>
    <row r="941">
      <c r="A941" s="102" t="str">
        <f>IFERROR(__xludf.DUMMYFUNCTION("""COMPUTED_VALUE"""),"Order")</f>
        <v>Order</v>
      </c>
      <c r="B941" s="102" t="str">
        <f>IFERROR(__xludf.DUMMYFUNCTION("""COMPUTED_VALUE"""),"Pistol")</f>
        <v>Pistol</v>
      </c>
      <c r="C941" s="103">
        <f>IFERROR(__xludf.DUMMYFUNCTION("""COMPUTED_VALUE"""),32.0)</f>
        <v>32</v>
      </c>
      <c r="D941" s="102" t="str">
        <f>IFERROR(__xludf.DUMMYFUNCTION("""COMPUTED_VALUE"""),"Scope Accessory")</f>
        <v>Scope Accessory</v>
      </c>
      <c r="E941" s="102" t="str">
        <f>IFERROR(__xludf.DUMMYFUNCTION("""COMPUTED_VALUE"""),"ORD_PS.part_scope_acc_s01_l02_b")</f>
        <v>ORD_PS.part_scope_acc_s01_l02_b</v>
      </c>
      <c r="F941" s="102"/>
      <c r="G941" s="102" t="str">
        <f>IFERROR(__xludf.DUMMYFUNCTION("""COMPUTED_VALUE"""),"-Reload Speed")</f>
        <v>-Reload Speed</v>
      </c>
      <c r="H941" s="102" t="str">
        <f>IFERROR(__xludf.DUMMYFUNCTION("""COMPUTED_VALUE"""),"HUD Elements")</f>
        <v>HUD Elements</v>
      </c>
      <c r="I941" s="102"/>
      <c r="J941" s="102"/>
      <c r="K941" s="102"/>
      <c r="L941" s="102"/>
    </row>
    <row r="942">
      <c r="A942" s="102" t="str">
        <f>IFERROR(__xludf.DUMMYFUNCTION("""COMPUTED_VALUE"""),"Order")</f>
        <v>Order</v>
      </c>
      <c r="B942" s="102" t="str">
        <f>IFERROR(__xludf.DUMMYFUNCTION("""COMPUTED_VALUE"""),"Pistol")</f>
        <v>Pistol</v>
      </c>
      <c r="C942" s="103">
        <f>IFERROR(__xludf.DUMMYFUNCTION("""COMPUTED_VALUE"""),33.0)</f>
        <v>33</v>
      </c>
      <c r="D942" s="102" t="str">
        <f>IFERROR(__xludf.DUMMYFUNCTION("""COMPUTED_VALUE"""),"Scope Accessory")</f>
        <v>Scope Accessory</v>
      </c>
      <c r="E942" s="102" t="str">
        <f>IFERROR(__xludf.DUMMYFUNCTION("""COMPUTED_VALUE"""),"ORD_PS.part_scope_acc_s02_l02_a")</f>
        <v>ORD_PS.part_scope_acc_s02_l02_a</v>
      </c>
      <c r="F942" s="102"/>
      <c r="G942" s="102" t="str">
        <f>IFERROR(__xludf.DUMMYFUNCTION("""COMPUTED_VALUE"""),"No Stat Changes")</f>
        <v>No Stat Changes</v>
      </c>
      <c r="H942" s="102" t="str">
        <f>IFERROR(__xludf.DUMMYFUNCTION("""COMPUTED_VALUE"""),"HUD Elements")</f>
        <v>HUD Elements</v>
      </c>
      <c r="I942" s="102"/>
      <c r="J942" s="102"/>
      <c r="K942" s="102"/>
      <c r="L942" s="102"/>
    </row>
    <row r="943">
      <c r="A943" s="102" t="str">
        <f>IFERROR(__xludf.DUMMYFUNCTION("""COMPUTED_VALUE"""),"Order")</f>
        <v>Order</v>
      </c>
      <c r="B943" s="102" t="str">
        <f>IFERROR(__xludf.DUMMYFUNCTION("""COMPUTED_VALUE"""),"Pistol")</f>
        <v>Pistol</v>
      </c>
      <c r="C943" s="103">
        <f>IFERROR(__xludf.DUMMYFUNCTION("""COMPUTED_VALUE"""),34.0)</f>
        <v>34</v>
      </c>
      <c r="D943" s="102" t="str">
        <f>IFERROR(__xludf.DUMMYFUNCTION("""COMPUTED_VALUE"""),"Scope Accessory")</f>
        <v>Scope Accessory</v>
      </c>
      <c r="E943" s="102" t="str">
        <f>IFERROR(__xludf.DUMMYFUNCTION("""COMPUTED_VALUE"""),"ORD_PS.part_scope_acc_s02_l02_b")</f>
        <v>ORD_PS.part_scope_acc_s02_l02_b</v>
      </c>
      <c r="F943" s="102"/>
      <c r="G943" s="102" t="str">
        <f>IFERROR(__xludf.DUMMYFUNCTION("""COMPUTED_VALUE"""),"+Crit Damage")</f>
        <v>+Crit Damage</v>
      </c>
      <c r="H943" s="102" t="str">
        <f>IFERROR(__xludf.DUMMYFUNCTION("""COMPUTED_VALUE"""),"HUD Elements")</f>
        <v>HUD Elements</v>
      </c>
      <c r="I943" s="102"/>
      <c r="J943" s="102"/>
      <c r="K943" s="102"/>
      <c r="L943" s="102"/>
    </row>
    <row r="944">
      <c r="A944" s="102" t="str">
        <f>IFERROR(__xludf.DUMMYFUNCTION("""COMPUTED_VALUE"""),"Order")</f>
        <v>Order</v>
      </c>
      <c r="B944" s="102" t="str">
        <f>IFERROR(__xludf.DUMMYFUNCTION("""COMPUTED_VALUE"""),"Pistol")</f>
        <v>Pistol</v>
      </c>
      <c r="C944" s="103">
        <f>IFERROR(__xludf.DUMMYFUNCTION("""COMPUTED_VALUE"""),35.0)</f>
        <v>35</v>
      </c>
      <c r="D944" s="102" t="str">
        <f>IFERROR(__xludf.DUMMYFUNCTION("""COMPUTED_VALUE"""),"Grip")</f>
        <v>Grip</v>
      </c>
      <c r="E944" s="102" t="str">
        <f>IFERROR(__xludf.DUMMYFUNCTION("""COMPUTED_VALUE"""),"ORD_PS.part_grip_05c_ted_jav")</f>
        <v>ORD_PS.part_grip_05c_ted_jav</v>
      </c>
      <c r="F944" s="102"/>
      <c r="G944" s="102" t="str">
        <f>IFERROR(__xludf.DUMMYFUNCTION("""COMPUTED_VALUE"""),"Tediore reload modifier: Javelin, no stat changes")</f>
        <v>Tediore reload modifier: Javelin, no stat changes</v>
      </c>
      <c r="H944" s="102"/>
      <c r="I944" s="102"/>
      <c r="J944" s="102"/>
      <c r="K944" s="102"/>
      <c r="L944" s="102"/>
    </row>
    <row r="945">
      <c r="A945" s="102" t="str">
        <f>IFERROR(__xludf.DUMMYFUNCTION("""COMPUTED_VALUE"""),"Order")</f>
        <v>Order</v>
      </c>
      <c r="B945" s="102" t="str">
        <f>IFERROR(__xludf.DUMMYFUNCTION("""COMPUTED_VALUE"""),"Pistol")</f>
        <v>Pistol</v>
      </c>
      <c r="C945" s="103">
        <f>IFERROR(__xludf.DUMMYFUNCTION("""COMPUTED_VALUE"""),36.0)</f>
        <v>36</v>
      </c>
      <c r="D945" s="102" t="str">
        <f>IFERROR(__xludf.DUMMYFUNCTION("""COMPUTED_VALUE"""),"Grip")</f>
        <v>Grip</v>
      </c>
      <c r="E945" s="102" t="str">
        <f>IFERROR(__xludf.DUMMYFUNCTION("""COMPUTED_VALUE"""),"ORD_PS.part_grip_05b_ted_homing")</f>
        <v>ORD_PS.part_grip_05b_ted_homing</v>
      </c>
      <c r="F945" s="102"/>
      <c r="G945" s="102" t="str">
        <f>IFERROR(__xludf.DUMMYFUNCTION("""COMPUTED_VALUE"""),"Tediore reload modifier: Homing, no stat changes")</f>
        <v>Tediore reload modifier: Homing, no stat changes</v>
      </c>
      <c r="H945" s="102"/>
      <c r="I945" s="102"/>
      <c r="J945" s="102"/>
      <c r="K945" s="102"/>
      <c r="L945" s="102"/>
    </row>
    <row r="946">
      <c r="A946" s="102" t="str">
        <f>IFERROR(__xludf.DUMMYFUNCTION("""COMPUTED_VALUE"""),"Order")</f>
        <v>Order</v>
      </c>
      <c r="B946" s="102" t="str">
        <f>IFERROR(__xludf.DUMMYFUNCTION("""COMPUTED_VALUE"""),"Pistol")</f>
        <v>Pistol</v>
      </c>
      <c r="C946" s="103">
        <f>IFERROR(__xludf.DUMMYFUNCTION("""COMPUTED_VALUE"""),37.0)</f>
        <v>37</v>
      </c>
      <c r="D946" s="102" t="str">
        <f>IFERROR(__xludf.DUMMYFUNCTION("""COMPUTED_VALUE"""),"Grip")</f>
        <v>Grip</v>
      </c>
      <c r="E946" s="102" t="str">
        <f>IFERROR(__xludf.DUMMYFUNCTION("""COMPUTED_VALUE"""),"ORD_PS.part_grip_05a_ted_legs")</f>
        <v>ORD_PS.part_grip_05a_ted_legs</v>
      </c>
      <c r="F946" s="102"/>
      <c r="G946" s="102" t="str">
        <f>IFERROR(__xludf.DUMMYFUNCTION("""COMPUTED_VALUE"""),"Tediore reload modifier: Legs, no stat changes")</f>
        <v>Tediore reload modifier: Legs, no stat changes</v>
      </c>
      <c r="H946" s="102"/>
      <c r="I946" s="102"/>
      <c r="J946" s="102"/>
      <c r="K946" s="102"/>
      <c r="L946" s="102"/>
    </row>
    <row r="947">
      <c r="A947" s="102" t="str">
        <f>IFERROR(__xludf.DUMMYFUNCTION("""COMPUTED_VALUE"""),"Order")</f>
        <v>Order</v>
      </c>
      <c r="B947" s="102" t="str">
        <f>IFERROR(__xludf.DUMMYFUNCTION("""COMPUTED_VALUE"""),"Pistol")</f>
        <v>Pistol</v>
      </c>
      <c r="C947" s="103">
        <f>IFERROR(__xludf.DUMMYFUNCTION("""COMPUTED_VALUE"""),38.0)</f>
        <v>38</v>
      </c>
      <c r="D947" s="102" t="str">
        <f>IFERROR(__xludf.DUMMYFUNCTION("""COMPUTED_VALUE"""),"Grip")</f>
        <v>Grip</v>
      </c>
      <c r="E947" s="102" t="str">
        <f>IFERROR(__xludf.DUMMYFUNCTION("""COMPUTED_VALUE"""),"ORD_PS.part_grip_04_hyp")</f>
        <v>ORD_PS.part_grip_04_hyp</v>
      </c>
      <c r="F947" s="102"/>
      <c r="G947" s="102" t="str">
        <f>IFERROR(__xludf.DUMMYFUNCTION("""COMPUTED_VALUE"""),"Hyperion Grip, -Acc, Acc increases with continuous fire")</f>
        <v>Hyperion Grip, -Acc, Acc increases with continuous fire</v>
      </c>
      <c r="H947" s="102"/>
      <c r="I947" s="102"/>
      <c r="J947" s="102"/>
      <c r="K947" s="102"/>
      <c r="L947" s="102"/>
    </row>
    <row r="948">
      <c r="A948" s="102" t="str">
        <f>IFERROR(__xludf.DUMMYFUNCTION("""COMPUTED_VALUE"""),"Order")</f>
        <v>Order</v>
      </c>
      <c r="B948" s="102" t="str">
        <f>IFERROR(__xludf.DUMMYFUNCTION("""COMPUTED_VALUE"""),"Pistol")</f>
        <v>Pistol</v>
      </c>
      <c r="C948" s="103">
        <f>IFERROR(__xludf.DUMMYFUNCTION("""COMPUTED_VALUE"""),39.0)</f>
        <v>39</v>
      </c>
      <c r="D948" s="102" t="str">
        <f>IFERROR(__xludf.DUMMYFUNCTION("""COMPUTED_VALUE"""),"Grip")</f>
        <v>Grip</v>
      </c>
      <c r="E948" s="102" t="str">
        <f>IFERROR(__xludf.DUMMYFUNCTION("""COMPUTED_VALUE"""),"ORD_PS.part_grip_01")</f>
        <v>ORD_PS.part_grip_01</v>
      </c>
      <c r="F948" s="102"/>
      <c r="G948" s="102" t="str">
        <f>IFERROR(__xludf.DUMMYFUNCTION("""COMPUTED_VALUE"""),"+Damage")</f>
        <v>+Damage</v>
      </c>
      <c r="H948" s="102"/>
      <c r="I948" s="102"/>
      <c r="J948" s="102"/>
      <c r="K948" s="102"/>
      <c r="L948" s="102"/>
    </row>
    <row r="949">
      <c r="A949" s="102" t="str">
        <f>IFERROR(__xludf.DUMMYFUNCTION("""COMPUTED_VALUE"""),"Order")</f>
        <v>Order</v>
      </c>
      <c r="B949" s="102" t="str">
        <f>IFERROR(__xludf.DUMMYFUNCTION("""COMPUTED_VALUE"""),"Pistol")</f>
        <v>Pistol</v>
      </c>
      <c r="C949" s="103">
        <f>IFERROR(__xludf.DUMMYFUNCTION("""COMPUTED_VALUE"""),40.0)</f>
        <v>40</v>
      </c>
      <c r="D949" s="102" t="str">
        <f>IFERROR(__xludf.DUMMYFUNCTION("""COMPUTED_VALUE"""),"Grip")</f>
        <v>Grip</v>
      </c>
      <c r="E949" s="102" t="str">
        <f>IFERROR(__xludf.DUMMYFUNCTION("""COMPUTED_VALUE"""),"ORD_PS.part_grip_02")</f>
        <v>ORD_PS.part_grip_02</v>
      </c>
      <c r="F949" s="102"/>
      <c r="G949" s="102" t="str">
        <f>IFERROR(__xludf.DUMMYFUNCTION("""COMPUTED_VALUE"""),"+Fire Rate")</f>
        <v>+Fire Rate</v>
      </c>
      <c r="H949" s="102"/>
      <c r="I949" s="102"/>
      <c r="J949" s="102"/>
      <c r="K949" s="102"/>
      <c r="L949" s="102"/>
    </row>
    <row r="950">
      <c r="A950" s="102" t="str">
        <f>IFERROR(__xludf.DUMMYFUNCTION("""COMPUTED_VALUE"""),"Order")</f>
        <v>Order</v>
      </c>
      <c r="B950" s="102" t="str">
        <f>IFERROR(__xludf.DUMMYFUNCTION("""COMPUTED_VALUE"""),"Pistol")</f>
        <v>Pistol</v>
      </c>
      <c r="C950" s="103">
        <f>IFERROR(__xludf.DUMMYFUNCTION("""COMPUTED_VALUE"""),41.0)</f>
        <v>41</v>
      </c>
      <c r="D950" s="102" t="str">
        <f>IFERROR(__xludf.DUMMYFUNCTION("""COMPUTED_VALUE"""),"Grip")</f>
        <v>Grip</v>
      </c>
      <c r="E950" s="102" t="str">
        <f>IFERROR(__xludf.DUMMYFUNCTION("""COMPUTED_VALUE"""),"ORD_PS.part_grip_03")</f>
        <v>ORD_PS.part_grip_03</v>
      </c>
      <c r="F950" s="102"/>
      <c r="G950" s="102" t="str">
        <f>IFERROR(__xludf.DUMMYFUNCTION("""COMPUTED_VALUE"""),"-Reload Speed")</f>
        <v>-Reload Speed</v>
      </c>
      <c r="H950" s="102"/>
      <c r="I950" s="102"/>
      <c r="J950" s="102"/>
      <c r="K950" s="102"/>
      <c r="L950" s="102"/>
    </row>
    <row r="951">
      <c r="A951" s="102" t="str">
        <f>IFERROR(__xludf.DUMMYFUNCTION("""COMPUTED_VALUE"""),"Order")</f>
        <v>Order</v>
      </c>
      <c r="B951" s="102" t="str">
        <f>IFERROR(__xludf.DUMMYFUNCTION("""COMPUTED_VALUE"""),"Pistol")</f>
        <v>Pistol</v>
      </c>
      <c r="C951" s="103">
        <f>IFERROR(__xludf.DUMMYFUNCTION("""COMPUTED_VALUE"""),42.0)</f>
        <v>42</v>
      </c>
      <c r="D951" s="102" t="str">
        <f>IFERROR(__xludf.DUMMYFUNCTION("""COMPUTED_VALUE"""),"Underbarrel")</f>
        <v>Underbarrel</v>
      </c>
      <c r="E951" s="102" t="str">
        <f>IFERROR(__xludf.DUMMYFUNCTION("""COMPUTED_VALUE"""),"ORD_PS.part_underbarrel_05_ammoswitcher")</f>
        <v>ORD_PS.part_underbarrel_05_ammoswitcher</v>
      </c>
      <c r="F951" s="102"/>
      <c r="G951" s="102" t="str">
        <f>IFERROR(__xludf.DUMMYFUNCTION("""COMPUTED_VALUE"""),"Daedalus Ammo Switch")</f>
        <v>Daedalus Ammo Switch</v>
      </c>
      <c r="H951" s="102" t="str">
        <f>IFERROR(__xludf.DUMMYFUNCTION("""COMPUTED_VALUE"""),"Used for Daedalus Ammo switch")</f>
        <v>Used for Daedalus Ammo switch</v>
      </c>
      <c r="I951" s="102"/>
      <c r="J951" s="102"/>
      <c r="K951" s="102"/>
      <c r="L951" s="102"/>
    </row>
    <row r="952">
      <c r="A952" s="102" t="str">
        <f>IFERROR(__xludf.DUMMYFUNCTION("""COMPUTED_VALUE"""),"Order")</f>
        <v>Order</v>
      </c>
      <c r="B952" s="102" t="str">
        <f>IFERROR(__xludf.DUMMYFUNCTION("""COMPUTED_VALUE"""),"Pistol")</f>
        <v>Pistol</v>
      </c>
      <c r="C952" s="103">
        <f>IFERROR(__xludf.DUMMYFUNCTION("""COMPUTED_VALUE"""),43.0)</f>
        <v>43</v>
      </c>
      <c r="D952" s="102" t="str">
        <f>IFERROR(__xludf.DUMMYFUNCTION("""COMPUTED_VALUE"""),"Underbarrel")</f>
        <v>Underbarrel</v>
      </c>
      <c r="E952" s="102" t="str">
        <f>IFERROR(__xludf.DUMMYFUNCTION("""COMPUTED_VALUE"""),"ORD_PS.part_underbarrel_03_rockets")</f>
        <v>ORD_PS.part_underbarrel_03_rockets</v>
      </c>
      <c r="F952" s="102"/>
      <c r="G952" s="102" t="str">
        <f>IFERROR(__xludf.DUMMYFUNCTION("""COMPUTED_VALUE"""),"Alt Fire - Micro-Rockets")</f>
        <v>Alt Fire - Micro-Rockets</v>
      </c>
      <c r="H952" s="102" t="str">
        <f>IFERROR(__xludf.DUMMYFUNCTION("""COMPUTED_VALUE"""),"Charge-fires up to 6 Micro-Rockets that deal XXX Damage each")</f>
        <v>Charge-fires up to 6 Micro-Rockets that deal XXX Damage each</v>
      </c>
      <c r="I952" s="102"/>
      <c r="J952" s="102"/>
      <c r="K952" s="102"/>
      <c r="L952" s="102"/>
    </row>
    <row r="953">
      <c r="A953" s="102" t="str">
        <f>IFERROR(__xludf.DUMMYFUNCTION("""COMPUTED_VALUE"""),"Order")</f>
        <v>Order</v>
      </c>
      <c r="B953" s="102" t="str">
        <f>IFERROR(__xludf.DUMMYFUNCTION("""COMPUTED_VALUE"""),"Pistol")</f>
        <v>Pistol</v>
      </c>
      <c r="C953" s="103">
        <f>IFERROR(__xludf.DUMMYFUNCTION("""COMPUTED_VALUE"""),44.0)</f>
        <v>44</v>
      </c>
      <c r="D953" s="102" t="str">
        <f>IFERROR(__xludf.DUMMYFUNCTION("""COMPUTED_VALUE"""),"Underbarrel")</f>
        <v>Underbarrel</v>
      </c>
      <c r="E953" s="102" t="str">
        <f>IFERROR(__xludf.DUMMYFUNCTION("""COMPUTED_VALUE"""),"ORD_PS.part_underbarrel_01_energyburst")</f>
        <v>ORD_PS.part_underbarrel_01_energyburst</v>
      </c>
      <c r="F953" s="102"/>
      <c r="G953" s="102" t="str">
        <f>IFERROR(__xludf.DUMMYFUNCTION("""COMPUTED_VALUE"""),"Alt Fire - Energy Burst")</f>
        <v>Alt Fire - Energy Burst</v>
      </c>
      <c r="H953" s="102" t="str">
        <f>IFERROR(__xludf.DUMMYFUNCTION("""COMPUTED_VALUE"""),"Charge-fires an Energy Burst, that deals up to XXX Damage to nearby enemies")</f>
        <v>Charge-fires an Energy Burst, that deals up to XXX Damage to nearby enemies</v>
      </c>
      <c r="I953" s="102"/>
      <c r="J953" s="102"/>
      <c r="K953" s="102"/>
      <c r="L953" s="102"/>
    </row>
    <row r="954">
      <c r="A954" s="102" t="str">
        <f>IFERROR(__xludf.DUMMYFUNCTION("""COMPUTED_VALUE"""),"Order")</f>
        <v>Order</v>
      </c>
      <c r="B954" s="102" t="str">
        <f>IFERROR(__xludf.DUMMYFUNCTION("""COMPUTED_VALUE"""),"Pistol")</f>
        <v>Pistol</v>
      </c>
      <c r="C954" s="103">
        <f>IFERROR(__xludf.DUMMYFUNCTION("""COMPUTED_VALUE"""),45.0)</f>
        <v>45</v>
      </c>
      <c r="D954" s="102" t="str">
        <f>IFERROR(__xludf.DUMMYFUNCTION("""COMPUTED_VALUE"""),"Underbarrel")</f>
        <v>Underbarrel</v>
      </c>
      <c r="E954" s="102" t="str">
        <f>IFERROR(__xludf.DUMMYFUNCTION("""COMPUTED_VALUE"""),"ORD_PS.part_underbarrel_04_atlas")</f>
        <v>ORD_PS.part_underbarrel_04_atlas</v>
      </c>
      <c r="F954" s="102"/>
      <c r="G954" s="102" t="str">
        <f>IFERROR(__xludf.DUMMYFUNCTION("""COMPUTED_VALUE"""),"Atlas Tracker Darts")</f>
        <v>Atlas Tracker Darts</v>
      </c>
      <c r="H954" s="102"/>
      <c r="I954" s="102"/>
      <c r="J954" s="102"/>
      <c r="K954" s="102"/>
      <c r="L954" s="102"/>
    </row>
    <row r="955">
      <c r="A955" s="102" t="str">
        <f>IFERROR(__xludf.DUMMYFUNCTION("""COMPUTED_VALUE"""),"Order")</f>
        <v>Order</v>
      </c>
      <c r="B955" s="102" t="str">
        <f>IFERROR(__xludf.DUMMYFUNCTION("""COMPUTED_VALUE"""),"Pistol")</f>
        <v>Pistol</v>
      </c>
      <c r="C955" s="103">
        <f>IFERROR(__xludf.DUMMYFUNCTION("""COMPUTED_VALUE"""),46.0)</f>
        <v>46</v>
      </c>
      <c r="D955" s="102" t="str">
        <f>IFERROR(__xludf.DUMMYFUNCTION("""COMPUTED_VALUE"""),"Underbarrel")</f>
        <v>Underbarrel</v>
      </c>
      <c r="E955" s="102" t="str">
        <f>IFERROR(__xludf.DUMMYFUNCTION("""COMPUTED_VALUE"""),"ORD_PS.part_underbarrel_04_atlas_ball")</f>
        <v>ORD_PS.part_underbarrel_04_atlas_ball</v>
      </c>
      <c r="F955" s="102"/>
      <c r="G955" s="102" t="str">
        <f>IFERROR(__xludf.DUMMYFUNCTION("""COMPUTED_VALUE"""),"Atlas Tracker Grenades")</f>
        <v>Atlas Tracker Grenades</v>
      </c>
      <c r="H955" s="102"/>
      <c r="I955" s="102"/>
      <c r="J955" s="102"/>
      <c r="K955" s="102"/>
      <c r="L955" s="102"/>
    </row>
    <row r="956">
      <c r="A956" s="102" t="str">
        <f>IFERROR(__xludf.DUMMYFUNCTION("""COMPUTED_VALUE"""),"Order")</f>
        <v>Order</v>
      </c>
      <c r="B956" s="102" t="str">
        <f>IFERROR(__xludf.DUMMYFUNCTION("""COMPUTED_VALUE"""),"Pistol")</f>
        <v>Pistol</v>
      </c>
      <c r="C956" s="103">
        <f>IFERROR(__xludf.DUMMYFUNCTION("""COMPUTED_VALUE"""),47.0)</f>
        <v>47</v>
      </c>
      <c r="D956" s="102" t="str">
        <f>IFERROR(__xludf.DUMMYFUNCTION("""COMPUTED_VALUE"""),"Foregrip")</f>
        <v>Foregrip</v>
      </c>
      <c r="E956" s="102" t="str">
        <f>IFERROR(__xludf.DUMMYFUNCTION("""COMPUTED_VALUE"""),"ORD_PS.part_foregrip_02")</f>
        <v>ORD_PS.part_foregrip_02</v>
      </c>
      <c r="F956" s="102"/>
      <c r="G956" s="102" t="str">
        <f>IFERROR(__xludf.DUMMYFUNCTION("""COMPUTED_VALUE"""),"+Crit Damage")</f>
        <v>+Crit Damage</v>
      </c>
      <c r="H956" s="102"/>
      <c r="I956" s="102"/>
      <c r="J956" s="102"/>
      <c r="K956" s="102"/>
      <c r="L956" s="102"/>
    </row>
    <row r="957">
      <c r="A957" s="102" t="str">
        <f>IFERROR(__xludf.DUMMYFUNCTION("""COMPUTED_VALUE"""),"Order")</f>
        <v>Order</v>
      </c>
      <c r="B957" s="102" t="str">
        <f>IFERROR(__xludf.DUMMYFUNCTION("""COMPUTED_VALUE"""),"Pistol")</f>
        <v>Pistol</v>
      </c>
      <c r="C957" s="103">
        <f>IFERROR(__xludf.DUMMYFUNCTION("""COMPUTED_VALUE"""),48.0)</f>
        <v>48</v>
      </c>
      <c r="D957" s="102" t="str">
        <f>IFERROR(__xludf.DUMMYFUNCTION("""COMPUTED_VALUE"""),"Foregrip")</f>
        <v>Foregrip</v>
      </c>
      <c r="E957" s="102" t="str">
        <f>IFERROR(__xludf.DUMMYFUNCTION("""COMPUTED_VALUE"""),"ORD_PS.part_foregrip_03")</f>
        <v>ORD_PS.part_foregrip_03</v>
      </c>
      <c r="F957" s="102"/>
      <c r="G957" s="102" t="str">
        <f>IFERROR(__xludf.DUMMYFUNCTION("""COMPUTED_VALUE"""),"+Accuracy")</f>
        <v>+Accuracy</v>
      </c>
      <c r="H957" s="102"/>
      <c r="I957" s="102"/>
      <c r="J957" s="102"/>
      <c r="K957" s="102"/>
      <c r="L957" s="102"/>
    </row>
    <row r="958">
      <c r="A958" s="102" t="str">
        <f>IFERROR(__xludf.DUMMYFUNCTION("""COMPUTED_VALUE"""),"Order")</f>
        <v>Order</v>
      </c>
      <c r="B958" s="102" t="str">
        <f>IFERROR(__xludf.DUMMYFUNCTION("""COMPUTED_VALUE"""),"Pistol")</f>
        <v>Pistol</v>
      </c>
      <c r="C958" s="103">
        <f>IFERROR(__xludf.DUMMYFUNCTION("""COMPUTED_VALUE"""),49.0)</f>
        <v>49</v>
      </c>
      <c r="D958" s="102" t="str">
        <f>IFERROR(__xludf.DUMMYFUNCTION("""COMPUTED_VALUE"""),"Manufacturer Part")</f>
        <v>Manufacturer Part</v>
      </c>
      <c r="E958" s="102" t="str">
        <f>IFERROR(__xludf.DUMMYFUNCTION("""COMPUTED_VALUE"""),"ORD_PS.part_secondary_ammo_sm")</f>
        <v>ORD_PS.part_secondary_ammo_sm</v>
      </c>
      <c r="F958" s="102"/>
      <c r="G958" s="102" t="str">
        <f>IFERROR(__xludf.DUMMYFUNCTION("""COMPUTED_VALUE"""),"Daedalus SMG Ammo")</f>
        <v>Daedalus SMG Ammo</v>
      </c>
      <c r="H958" s="102"/>
      <c r="I958" s="102"/>
      <c r="J958" s="102"/>
      <c r="K958" s="102"/>
      <c r="L958" s="102"/>
    </row>
    <row r="959">
      <c r="A959" s="102" t="str">
        <f>IFERROR(__xludf.DUMMYFUNCTION("""COMPUTED_VALUE"""),"Order")</f>
        <v>Order</v>
      </c>
      <c r="B959" s="102" t="str">
        <f>IFERROR(__xludf.DUMMYFUNCTION("""COMPUTED_VALUE"""),"Pistol")</f>
        <v>Pistol</v>
      </c>
      <c r="C959" s="103">
        <f>IFERROR(__xludf.DUMMYFUNCTION("""COMPUTED_VALUE"""),50.0)</f>
        <v>50</v>
      </c>
      <c r="D959" s="102" t="str">
        <f>IFERROR(__xludf.DUMMYFUNCTION("""COMPUTED_VALUE"""),"Manufacturer Part")</f>
        <v>Manufacturer Part</v>
      </c>
      <c r="E959" s="102" t="str">
        <f>IFERROR(__xludf.DUMMYFUNCTION("""COMPUTED_VALUE"""),"ORD_PS.part_secondary_ammo_sg")</f>
        <v>ORD_PS.part_secondary_ammo_sg</v>
      </c>
      <c r="F959" s="102"/>
      <c r="G959" s="102" t="str">
        <f>IFERROR(__xludf.DUMMYFUNCTION("""COMPUTED_VALUE"""),"Daedalus Shotgun Ammo")</f>
        <v>Daedalus Shotgun Ammo</v>
      </c>
      <c r="H959" s="102"/>
      <c r="I959" s="102"/>
      <c r="J959" s="102"/>
      <c r="K959" s="102"/>
      <c r="L959" s="102"/>
    </row>
    <row r="960">
      <c r="A960" s="102" t="str">
        <f>IFERROR(__xludf.DUMMYFUNCTION("""COMPUTED_VALUE"""),"Order")</f>
        <v>Order</v>
      </c>
      <c r="B960" s="102" t="str">
        <f>IFERROR(__xludf.DUMMYFUNCTION("""COMPUTED_VALUE"""),"Pistol")</f>
        <v>Pistol</v>
      </c>
      <c r="C960" s="103">
        <f>IFERROR(__xludf.DUMMYFUNCTION("""COMPUTED_VALUE"""),51.0)</f>
        <v>51</v>
      </c>
      <c r="D960" s="102" t="str">
        <f>IFERROR(__xludf.DUMMYFUNCTION("""COMPUTED_VALUE"""),"Manufacturer Part")</f>
        <v>Manufacturer Part</v>
      </c>
      <c r="E960" s="102" t="str">
        <f>IFERROR(__xludf.DUMMYFUNCTION("""COMPUTED_VALUE"""),"ORD_PS.part_secondary_ammo_ar")</f>
        <v>ORD_PS.part_secondary_ammo_ar</v>
      </c>
      <c r="F960" s="102"/>
      <c r="G960" s="102" t="str">
        <f>IFERROR(__xludf.DUMMYFUNCTION("""COMPUTED_VALUE"""),"Daedalus AR Ammo")</f>
        <v>Daedalus AR Ammo</v>
      </c>
      <c r="H960" s="102"/>
      <c r="I960" s="102"/>
      <c r="J960" s="102"/>
      <c r="K960" s="102"/>
      <c r="L960" s="102"/>
    </row>
    <row r="961">
      <c r="A961" s="102" t="str">
        <f>IFERROR(__xludf.DUMMYFUNCTION("""COMPUTED_VALUE"""),"Order")</f>
        <v>Order</v>
      </c>
      <c r="B961" s="102" t="str">
        <f>IFERROR(__xludf.DUMMYFUNCTION("""COMPUTED_VALUE"""),"Pistol")</f>
        <v>Pistol</v>
      </c>
      <c r="C961" s="103">
        <f>IFERROR(__xludf.DUMMYFUNCTION("""COMPUTED_VALUE"""),52.0)</f>
        <v>52</v>
      </c>
      <c r="D961" s="102" t="str">
        <f>IFERROR(__xludf.DUMMYFUNCTION("""COMPUTED_VALUE"""),"Manufacturer Part")</f>
        <v>Manufacturer Part</v>
      </c>
      <c r="E961" s="102" t="str">
        <f>IFERROR(__xludf.DUMMYFUNCTION("""COMPUTED_VALUE"""),"ORD_PS.part_secondary_ammo_sr")</f>
        <v>ORD_PS.part_secondary_ammo_sr</v>
      </c>
      <c r="F961" s="102"/>
      <c r="G961" s="102" t="str">
        <f>IFERROR(__xludf.DUMMYFUNCTION("""COMPUTED_VALUE"""),"Daedalus SR Ammo")</f>
        <v>Daedalus SR Ammo</v>
      </c>
      <c r="H961" s="102"/>
      <c r="I961" s="102"/>
      <c r="J961" s="102"/>
      <c r="K961" s="102"/>
      <c r="L961" s="102"/>
    </row>
    <row r="962">
      <c r="A962" s="102" t="str">
        <f>IFERROR(__xludf.DUMMYFUNCTION("""COMPUTED_VALUE"""),"Order")</f>
        <v>Order</v>
      </c>
      <c r="B962" s="102" t="str">
        <f>IFERROR(__xludf.DUMMYFUNCTION("""COMPUTED_VALUE"""),"Pistol")</f>
        <v>Pistol</v>
      </c>
      <c r="C962" s="103">
        <f>IFERROR(__xludf.DUMMYFUNCTION("""COMPUTED_VALUE"""),54.0)</f>
        <v>54</v>
      </c>
      <c r="D962" s="102" t="str">
        <f>IFERROR(__xludf.DUMMYFUNCTION("""COMPUTED_VALUE"""),"Barrel Accessory")</f>
        <v>Barrel Accessory</v>
      </c>
      <c r="E962" s="102" t="str">
        <f>IFERROR(__xludf.DUMMYFUNCTION("""COMPUTED_VALUE"""),"ORD_PS.part_barrel_01_a")</f>
        <v>ORD_PS.part_barrel_01_a</v>
      </c>
      <c r="F962" s="102"/>
      <c r="G962" s="102" t="str">
        <f>IFERROR(__xludf.DUMMYFUNCTION("""COMPUTED_VALUE"""),"+Damage")</f>
        <v>+Damage</v>
      </c>
      <c r="H962" s="102"/>
      <c r="I962" s="102"/>
      <c r="J962" s="102"/>
      <c r="K962" s="102"/>
      <c r="L962" s="102"/>
    </row>
    <row r="963">
      <c r="A963" s="102" t="str">
        <f>IFERROR(__xludf.DUMMYFUNCTION("""COMPUTED_VALUE"""),"Order")</f>
        <v>Order</v>
      </c>
      <c r="B963" s="102" t="str">
        <f>IFERROR(__xludf.DUMMYFUNCTION("""COMPUTED_VALUE"""),"Pistol")</f>
        <v>Pistol</v>
      </c>
      <c r="C963" s="103">
        <f>IFERROR(__xludf.DUMMYFUNCTION("""COMPUTED_VALUE"""),55.0)</f>
        <v>55</v>
      </c>
      <c r="D963" s="102" t="str">
        <f>IFERROR(__xludf.DUMMYFUNCTION("""COMPUTED_VALUE"""),"Barrel Accessory")</f>
        <v>Barrel Accessory</v>
      </c>
      <c r="E963" s="102" t="str">
        <f>IFERROR(__xludf.DUMMYFUNCTION("""COMPUTED_VALUE"""),"ORD_PS.part_barrel_01_b")</f>
        <v>ORD_PS.part_barrel_01_b</v>
      </c>
      <c r="F963" s="102"/>
      <c r="G963" s="102" t="str">
        <f>IFERROR(__xludf.DUMMYFUNCTION("""COMPUTED_VALUE"""),"+Crit Damage")</f>
        <v>+Crit Damage</v>
      </c>
      <c r="H963" s="102"/>
      <c r="I963" s="102"/>
      <c r="J963" s="102"/>
      <c r="K963" s="102"/>
      <c r="L963" s="102"/>
    </row>
    <row r="964">
      <c r="A964" s="102" t="str">
        <f>IFERROR(__xludf.DUMMYFUNCTION("""COMPUTED_VALUE"""),"Order")</f>
        <v>Order</v>
      </c>
      <c r="B964" s="102" t="str">
        <f>IFERROR(__xludf.DUMMYFUNCTION("""COMPUTED_VALUE"""),"Pistol")</f>
        <v>Pistol</v>
      </c>
      <c r="C964" s="103">
        <f>IFERROR(__xludf.DUMMYFUNCTION("""COMPUTED_VALUE"""),56.0)</f>
        <v>56</v>
      </c>
      <c r="D964" s="102" t="str">
        <f>IFERROR(__xludf.DUMMYFUNCTION("""COMPUTED_VALUE"""),"Barrel Accessory")</f>
        <v>Barrel Accessory</v>
      </c>
      <c r="E964" s="102" t="str">
        <f>IFERROR(__xludf.DUMMYFUNCTION("""COMPUTED_VALUE"""),"ORD_PS.part_barrel_01_c")</f>
        <v>ORD_PS.part_barrel_01_c</v>
      </c>
      <c r="F964" s="102"/>
      <c r="G964" s="102" t="str">
        <f>IFERROR(__xludf.DUMMYFUNCTION("""COMPUTED_VALUE"""),"+Accuracy")</f>
        <v>+Accuracy</v>
      </c>
      <c r="H964" s="102"/>
      <c r="I964" s="102"/>
      <c r="J964" s="102"/>
      <c r="K964" s="102"/>
      <c r="L964" s="102"/>
    </row>
    <row r="965">
      <c r="A965" s="102" t="str">
        <f>IFERROR(__xludf.DUMMYFUNCTION("""COMPUTED_VALUE"""),"Order")</f>
        <v>Order</v>
      </c>
      <c r="B965" s="102" t="str">
        <f>IFERROR(__xludf.DUMMYFUNCTION("""COMPUTED_VALUE"""),"Pistol")</f>
        <v>Pistol</v>
      </c>
      <c r="C965" s="103">
        <f>IFERROR(__xludf.DUMMYFUNCTION("""COMPUTED_VALUE"""),57.0)</f>
        <v>57</v>
      </c>
      <c r="D965" s="102" t="str">
        <f>IFERROR(__xludf.DUMMYFUNCTION("""COMPUTED_VALUE"""),"Barrel Accessory")</f>
        <v>Barrel Accessory</v>
      </c>
      <c r="E965" s="102" t="str">
        <f>IFERROR(__xludf.DUMMYFUNCTION("""COMPUTED_VALUE"""),"ORD_PS.part_barrel_01_d")</f>
        <v>ORD_PS.part_barrel_01_d</v>
      </c>
      <c r="F965" s="102"/>
      <c r="G965" s="102" t="str">
        <f>IFERROR(__xludf.DUMMYFUNCTION("""COMPUTED_VALUE"""),"+Accuracy")</f>
        <v>+Accuracy</v>
      </c>
      <c r="H965" s="102"/>
      <c r="I965" s="102"/>
      <c r="J965" s="102"/>
      <c r="K965" s="102"/>
      <c r="L965" s="102"/>
    </row>
    <row r="966">
      <c r="A966" s="102" t="str">
        <f>IFERROR(__xludf.DUMMYFUNCTION("""COMPUTED_VALUE"""),"Order")</f>
        <v>Order</v>
      </c>
      <c r="B966" s="102" t="str">
        <f>IFERROR(__xludf.DUMMYFUNCTION("""COMPUTED_VALUE"""),"Pistol")</f>
        <v>Pistol</v>
      </c>
      <c r="C966" s="103">
        <f>IFERROR(__xludf.DUMMYFUNCTION("""COMPUTED_VALUE"""),58.0)</f>
        <v>58</v>
      </c>
      <c r="D966" s="102" t="str">
        <f>IFERROR(__xludf.DUMMYFUNCTION("""COMPUTED_VALUE"""),"Barrel Accessory")</f>
        <v>Barrel Accessory</v>
      </c>
      <c r="E966" s="102" t="str">
        <f>IFERROR(__xludf.DUMMYFUNCTION("""COMPUTED_VALUE"""),"ORD_PS.part_barrel_02_a")</f>
        <v>ORD_PS.part_barrel_02_a</v>
      </c>
      <c r="F966" s="102"/>
      <c r="G966" s="102" t="str">
        <f>IFERROR(__xludf.DUMMYFUNCTION("""COMPUTED_VALUE"""),"+Damage")</f>
        <v>+Damage</v>
      </c>
      <c r="H966" s="102"/>
      <c r="I966" s="102"/>
      <c r="J966" s="102"/>
      <c r="K966" s="102"/>
      <c r="L966" s="102"/>
    </row>
    <row r="967">
      <c r="A967" s="102" t="str">
        <f>IFERROR(__xludf.DUMMYFUNCTION("""COMPUTED_VALUE"""),"Order")</f>
        <v>Order</v>
      </c>
      <c r="B967" s="102" t="str">
        <f>IFERROR(__xludf.DUMMYFUNCTION("""COMPUTED_VALUE"""),"Pistol")</f>
        <v>Pistol</v>
      </c>
      <c r="C967" s="103">
        <f>IFERROR(__xludf.DUMMYFUNCTION("""COMPUTED_VALUE"""),59.0)</f>
        <v>59</v>
      </c>
      <c r="D967" s="102" t="str">
        <f>IFERROR(__xludf.DUMMYFUNCTION("""COMPUTED_VALUE"""),"Barrel Accessory")</f>
        <v>Barrel Accessory</v>
      </c>
      <c r="E967" s="102" t="str">
        <f>IFERROR(__xludf.DUMMYFUNCTION("""COMPUTED_VALUE"""),"ORD_PS.part_barrel_02_b")</f>
        <v>ORD_PS.part_barrel_02_b</v>
      </c>
      <c r="F967" s="102"/>
      <c r="G967" s="102" t="str">
        <f>IFERROR(__xludf.DUMMYFUNCTION("""COMPUTED_VALUE"""),"+Accuracy")</f>
        <v>+Accuracy</v>
      </c>
      <c r="H967" s="102"/>
      <c r="I967" s="102"/>
      <c r="J967" s="102"/>
      <c r="K967" s="102"/>
      <c r="L967" s="102"/>
    </row>
    <row r="968">
      <c r="A968" s="102" t="str">
        <f>IFERROR(__xludf.DUMMYFUNCTION("""COMPUTED_VALUE"""),"Order")</f>
        <v>Order</v>
      </c>
      <c r="B968" s="102" t="str">
        <f>IFERROR(__xludf.DUMMYFUNCTION("""COMPUTED_VALUE"""),"Pistol")</f>
        <v>Pistol</v>
      </c>
      <c r="C968" s="103">
        <f>IFERROR(__xludf.DUMMYFUNCTION("""COMPUTED_VALUE"""),60.0)</f>
        <v>60</v>
      </c>
      <c r="D968" s="102" t="str">
        <f>IFERROR(__xludf.DUMMYFUNCTION("""COMPUTED_VALUE"""),"Barrel Accessory")</f>
        <v>Barrel Accessory</v>
      </c>
      <c r="E968" s="102" t="str">
        <f>IFERROR(__xludf.DUMMYFUNCTION("""COMPUTED_VALUE"""),"ORD_PS.part_barrel_02_c")</f>
        <v>ORD_PS.part_barrel_02_c</v>
      </c>
      <c r="F968" s="102"/>
      <c r="G968" s="102" t="str">
        <f>IFERROR(__xludf.DUMMYFUNCTION("""COMPUTED_VALUE"""),"+Fire Rate")</f>
        <v>+Fire Rate</v>
      </c>
      <c r="H968" s="102"/>
      <c r="I968" s="102"/>
      <c r="J968" s="102"/>
      <c r="K968" s="102"/>
      <c r="L968" s="102"/>
    </row>
    <row r="969">
      <c r="A969" s="102" t="str">
        <f>IFERROR(__xludf.DUMMYFUNCTION("""COMPUTED_VALUE"""),"Order")</f>
        <v>Order</v>
      </c>
      <c r="B969" s="102" t="str">
        <f>IFERROR(__xludf.DUMMYFUNCTION("""COMPUTED_VALUE"""),"Pistol")</f>
        <v>Pistol</v>
      </c>
      <c r="C969" s="103">
        <f>IFERROR(__xludf.DUMMYFUNCTION("""COMPUTED_VALUE"""),61.0)</f>
        <v>61</v>
      </c>
      <c r="D969" s="102" t="str">
        <f>IFERROR(__xludf.DUMMYFUNCTION("""COMPUTED_VALUE"""),"Barrel Accessory")</f>
        <v>Barrel Accessory</v>
      </c>
      <c r="E969" s="102" t="str">
        <f>IFERROR(__xludf.DUMMYFUNCTION("""COMPUTED_VALUE"""),"ORD_PS.part_barrel_02_d")</f>
        <v>ORD_PS.part_barrel_02_d</v>
      </c>
      <c r="F969" s="102"/>
      <c r="G969" s="102" t="str">
        <f>IFERROR(__xludf.DUMMYFUNCTION("""COMPUTED_VALUE"""),"+Fire Rate")</f>
        <v>+Fire Rate</v>
      </c>
      <c r="H969" s="102"/>
      <c r="I969" s="102"/>
      <c r="J969" s="102"/>
      <c r="K969" s="102"/>
      <c r="L969" s="102"/>
    </row>
    <row r="970">
      <c r="A970" s="102" t="str">
        <f>IFERROR(__xludf.DUMMYFUNCTION("""COMPUTED_VALUE"""),"Order")</f>
        <v>Order</v>
      </c>
      <c r="B970" s="102" t="str">
        <f>IFERROR(__xludf.DUMMYFUNCTION("""COMPUTED_VALUE"""),"Pistol")</f>
        <v>Pistol</v>
      </c>
      <c r="C970" s="103">
        <f>IFERROR(__xludf.DUMMYFUNCTION("""COMPUTED_VALUE"""),62.0)</f>
        <v>62</v>
      </c>
      <c r="D970" s="102" t="str">
        <f>IFERROR(__xludf.DUMMYFUNCTION("""COMPUTED_VALUE"""),"Manufacturer Part")</f>
        <v>Manufacturer Part</v>
      </c>
      <c r="E970" s="102" t="str">
        <f>IFERROR(__xludf.DUMMYFUNCTION("""COMPUTED_VALUE"""),"ORD_PS.part_barrel_licensed_jak")</f>
        <v>ORD_PS.part_barrel_licensed_jak</v>
      </c>
      <c r="F970" s="102"/>
      <c r="G970" s="102" t="str">
        <f>IFERROR(__xludf.DUMMYFUNCTION("""COMPUTED_VALUE"""),"Jakobs Ricochet")</f>
        <v>Jakobs Ricochet</v>
      </c>
      <c r="H970" s="102"/>
      <c r="I970" s="102"/>
      <c r="J970" s="102"/>
      <c r="K970" s="102"/>
      <c r="L970" s="102"/>
    </row>
    <row r="971">
      <c r="A971" s="102" t="str">
        <f>IFERROR(__xludf.DUMMYFUNCTION("""COMPUTED_VALUE"""),"Order")</f>
        <v>Order</v>
      </c>
      <c r="B971" s="102" t="str">
        <f>IFERROR(__xludf.DUMMYFUNCTION("""COMPUTED_VALUE"""),"Pistol")</f>
        <v>Pistol</v>
      </c>
      <c r="C971" s="103">
        <f>IFERROR(__xludf.DUMMYFUNCTION("""COMPUTED_VALUE"""),63.0)</f>
        <v>63</v>
      </c>
      <c r="D971" s="102" t="str">
        <f>IFERROR(__xludf.DUMMYFUNCTION("""COMPUTED_VALUE"""),"Manufacturer Part")</f>
        <v>Manufacturer Part</v>
      </c>
      <c r="E971" s="102" t="str">
        <f>IFERROR(__xludf.DUMMYFUNCTION("""COMPUTED_VALUE"""),"ORD_PS.part_barrel_licensed_ted")</f>
        <v>ORD_PS.part_barrel_licensed_ted</v>
      </c>
      <c r="F971" s="102"/>
      <c r="G971" s="102" t="str">
        <f>IFERROR(__xludf.DUMMYFUNCTION("""COMPUTED_VALUE"""),"Tediore Reload, no stat changes")</f>
        <v>Tediore Reload, no stat changes</v>
      </c>
      <c r="H971" s="102"/>
      <c r="I971" s="102"/>
      <c r="J971" s="102"/>
      <c r="K971" s="102"/>
      <c r="L971" s="102"/>
    </row>
    <row r="972">
      <c r="A972" s="102" t="str">
        <f>IFERROR(__xludf.DUMMYFUNCTION("""COMPUTED_VALUE"""),"Order")</f>
        <v>Order</v>
      </c>
      <c r="B972" s="102" t="str">
        <f>IFERROR(__xludf.DUMMYFUNCTION("""COMPUTED_VALUE"""),"Pistol")</f>
        <v>Pistol</v>
      </c>
      <c r="C972" s="103">
        <f>IFERROR(__xludf.DUMMYFUNCTION("""COMPUTED_VALUE"""),64.0)</f>
        <v>64</v>
      </c>
      <c r="D972" s="102" t="str">
        <f>IFERROR(__xludf.DUMMYFUNCTION("""COMPUTED_VALUE"""),"Manufacturer Part")</f>
        <v>Manufacturer Part</v>
      </c>
      <c r="E972" s="102" t="str">
        <f>IFERROR(__xludf.DUMMYFUNCTION("""COMPUTED_VALUE"""),"ORD_PS.part_barrel_licensed_ted_shooting")</f>
        <v>ORD_PS.part_barrel_licensed_ted_shooting</v>
      </c>
      <c r="F972" s="102"/>
      <c r="G972" s="102" t="str">
        <f>IFERROR(__xludf.DUMMYFUNCTION("""COMPUTED_VALUE"""),"Tediore Shooting, no stat changes")</f>
        <v>Tediore Shooting, no stat changes</v>
      </c>
      <c r="H972" s="102"/>
      <c r="I972" s="102"/>
      <c r="J972" s="102"/>
      <c r="K972" s="102"/>
      <c r="L972" s="102"/>
    </row>
    <row r="973">
      <c r="A973" s="102" t="str">
        <f>IFERROR(__xludf.DUMMYFUNCTION("""COMPUTED_VALUE"""),"Order")</f>
        <v>Order</v>
      </c>
      <c r="B973" s="102" t="str">
        <f>IFERROR(__xludf.DUMMYFUNCTION("""COMPUTED_VALUE"""),"Pistol")</f>
        <v>Pistol</v>
      </c>
      <c r="C973" s="103">
        <f>IFERROR(__xludf.DUMMYFUNCTION("""COMPUTED_VALUE"""),65.0)</f>
        <v>65</v>
      </c>
      <c r="D973" s="102" t="str">
        <f>IFERROR(__xludf.DUMMYFUNCTION("""COMPUTED_VALUE"""),"Manufacturer Part")</f>
        <v>Manufacturer Part</v>
      </c>
      <c r="E973" s="102" t="str">
        <f>IFERROR(__xludf.DUMMYFUNCTION("""COMPUTED_VALUE"""),"ORD_PS.part_barrel_licensed_ted_mirv")</f>
        <v>ORD_PS.part_barrel_licensed_ted_mirv</v>
      </c>
      <c r="F973" s="102"/>
      <c r="G973" s="102" t="str">
        <f>IFERROR(__xludf.DUMMYFUNCTION("""COMPUTED_VALUE"""),"Tediore MIRV, no stat changes")</f>
        <v>Tediore MIRV, no stat changes</v>
      </c>
      <c r="H973" s="102"/>
      <c r="I973" s="102"/>
      <c r="J973" s="102"/>
      <c r="K973" s="102"/>
      <c r="L973" s="102"/>
    </row>
    <row r="974">
      <c r="A974" s="102" t="str">
        <f>IFERROR(__xludf.DUMMYFUNCTION("""COMPUTED_VALUE"""),"Order")</f>
        <v>Order</v>
      </c>
      <c r="B974" s="102" t="str">
        <f>IFERROR(__xludf.DUMMYFUNCTION("""COMPUTED_VALUE"""),"Pistol")</f>
        <v>Pistol</v>
      </c>
      <c r="C974" s="103">
        <f>IFERROR(__xludf.DUMMYFUNCTION("""COMPUTED_VALUE"""),66.0)</f>
        <v>66</v>
      </c>
      <c r="D974" s="102" t="str">
        <f>IFERROR(__xludf.DUMMYFUNCTION("""COMPUTED_VALUE"""),"Manufacturer Part")</f>
        <v>Manufacturer Part</v>
      </c>
      <c r="E974" s="102" t="str">
        <f>IFERROR(__xludf.DUMMYFUNCTION("""COMPUTED_VALUE"""),"ORD_PS.part_barrel_licensed_ted_combo")</f>
        <v>ORD_PS.part_barrel_licensed_ted_combo</v>
      </c>
      <c r="F974" s="102"/>
      <c r="G974" s="102" t="str">
        <f>IFERROR(__xludf.DUMMYFUNCTION("""COMPUTED_VALUE"""),"Tediore Combo, no stat changes")</f>
        <v>Tediore Combo, no stat changes</v>
      </c>
      <c r="H974" s="102"/>
      <c r="I974" s="102"/>
      <c r="J974" s="102"/>
      <c r="K974" s="102"/>
      <c r="L974" s="102"/>
    </row>
    <row r="975">
      <c r="A975" s="102" t="str">
        <f>IFERROR(__xludf.DUMMYFUNCTION("""COMPUTED_VALUE"""),"Order")</f>
        <v>Order</v>
      </c>
      <c r="B975" s="102" t="str">
        <f>IFERROR(__xludf.DUMMYFUNCTION("""COMPUTED_VALUE"""),"Pistol")</f>
        <v>Pistol</v>
      </c>
      <c r="C975" s="103">
        <f>IFERROR(__xludf.DUMMYFUNCTION("""COMPUTED_VALUE"""),67.0)</f>
        <v>67</v>
      </c>
      <c r="D975" s="102" t="str">
        <f>IFERROR(__xludf.DUMMYFUNCTION("""COMPUTED_VALUE"""),"Manufacturer Part")</f>
        <v>Manufacturer Part</v>
      </c>
      <c r="E975" s="102" t="str">
        <f>IFERROR(__xludf.DUMMYFUNCTION("""COMPUTED_VALUE"""),"ORD_PS.part_barrel_licensed_hyp")</f>
        <v>ORD_PS.part_barrel_licensed_hyp</v>
      </c>
      <c r="F975" s="102"/>
      <c r="G975" s="102" t="str">
        <f>IFERROR(__xludf.DUMMYFUNCTION("""COMPUTED_VALUE"""),"Hyperion Shield visual accessory, no stat changes")</f>
        <v>Hyperion Shield visual accessory, no stat changes</v>
      </c>
      <c r="H975" s="102"/>
      <c r="I975" s="102"/>
      <c r="J975" s="102"/>
      <c r="K975" s="102"/>
      <c r="L975" s="102"/>
    </row>
    <row r="976">
      <c r="A976" s="102" t="str">
        <f>IFERROR(__xludf.DUMMYFUNCTION("""COMPUTED_VALUE"""),"Order")</f>
        <v>Order</v>
      </c>
      <c r="B976" s="102" t="str">
        <f>IFERROR(__xludf.DUMMYFUNCTION("""COMPUTED_VALUE"""),"Pistol")</f>
        <v>Pistol</v>
      </c>
      <c r="C976" s="103">
        <f>IFERROR(__xludf.DUMMYFUNCTION("""COMPUTED_VALUE"""),68.0)</f>
        <v>68</v>
      </c>
      <c r="D976" s="102" t="str">
        <f>IFERROR(__xludf.DUMMYFUNCTION("""COMPUTED_VALUE"""),"Foregrip")</f>
        <v>Foregrip</v>
      </c>
      <c r="E976" s="102" t="str">
        <f>IFERROR(__xludf.DUMMYFUNCTION("""COMPUTED_VALUE"""),"ORD_PS.part_foregrip_01")</f>
        <v>ORD_PS.part_foregrip_01</v>
      </c>
      <c r="F976" s="102"/>
      <c r="G976" s="102" t="str">
        <f>IFERROR(__xludf.DUMMYFUNCTION("""COMPUTED_VALUE"""),"+Damage")</f>
        <v>+Damage</v>
      </c>
      <c r="H976" s="102"/>
      <c r="I976" s="102"/>
      <c r="J976" s="102"/>
      <c r="K976" s="102"/>
      <c r="L976" s="102"/>
    </row>
    <row r="977">
      <c r="A977" s="102" t="str">
        <f>IFERROR(__xludf.DUMMYFUNCTION("""COMPUTED_VALUE"""),"Order")</f>
        <v>Order</v>
      </c>
      <c r="B977" s="102" t="str">
        <f>IFERROR(__xludf.DUMMYFUNCTION("""COMPUTED_VALUE"""),"Pistol")</f>
        <v>Pistol</v>
      </c>
      <c r="C977" s="103">
        <f>IFERROR(__xludf.DUMMYFUNCTION("""COMPUTED_VALUE"""),69.0)</f>
        <v>69</v>
      </c>
      <c r="D977" s="102" t="str">
        <f>IFERROR(__xludf.DUMMYFUNCTION("""COMPUTED_VALUE"""),"Manufacturer Part")</f>
        <v>Manufacturer Part</v>
      </c>
      <c r="E977" s="102" t="str">
        <f>IFERROR(__xludf.DUMMYFUNCTION("""COMPUTED_VALUE"""),"ORD_PS.part_mag_torgue_normal")</f>
        <v>ORD_PS.part_mag_torgue_normal</v>
      </c>
      <c r="F977" s="102"/>
      <c r="G977" s="102" t="str">
        <f>IFERROR(__xludf.DUMMYFUNCTION("""COMPUTED_VALUE"""),"Torgue Impact Gyrojets")</f>
        <v>Torgue Impact Gyrojets</v>
      </c>
      <c r="H977" s="102"/>
      <c r="I977" s="102"/>
      <c r="J977" s="102"/>
      <c r="K977" s="102"/>
      <c r="L977" s="102"/>
    </row>
    <row r="978">
      <c r="A978" s="102" t="str">
        <f>IFERROR(__xludf.DUMMYFUNCTION("""COMPUTED_VALUE"""),"Order")</f>
        <v>Order</v>
      </c>
      <c r="B978" s="102" t="str">
        <f>IFERROR(__xludf.DUMMYFUNCTION("""COMPUTED_VALUE"""),"Pistol")</f>
        <v>Pistol</v>
      </c>
      <c r="C978" s="103">
        <f>IFERROR(__xludf.DUMMYFUNCTION("""COMPUTED_VALUE"""),70.0)</f>
        <v>70</v>
      </c>
      <c r="D978" s="102" t="str">
        <f>IFERROR(__xludf.DUMMYFUNCTION("""COMPUTED_VALUE"""),"Manufacturer Part")</f>
        <v>Manufacturer Part</v>
      </c>
      <c r="E978" s="102" t="str">
        <f>IFERROR(__xludf.DUMMYFUNCTION("""COMPUTED_VALUE"""),"ORD_PS.part_mag_torgue_sticky")</f>
        <v>ORD_PS.part_mag_torgue_sticky</v>
      </c>
      <c r="F978" s="102"/>
      <c r="G978" s="102" t="str">
        <f>IFERROR(__xludf.DUMMYFUNCTION("""COMPUTED_VALUE"""),"Torgue Sticky Gyrojets")</f>
        <v>Torgue Sticky Gyrojets</v>
      </c>
      <c r="H978" s="102"/>
      <c r="I978" s="102"/>
      <c r="J978" s="102"/>
      <c r="K978" s="102"/>
      <c r="L978" s="102"/>
    </row>
    <row r="979">
      <c r="A979" s="102" t="str">
        <f>IFERROR(__xludf.DUMMYFUNCTION("""COMPUTED_VALUE"""),"Order")</f>
        <v>Order</v>
      </c>
      <c r="B979" s="102" t="str">
        <f>IFERROR(__xludf.DUMMYFUNCTION("""COMPUTED_VALUE"""),"Pistol")</f>
        <v>Pistol</v>
      </c>
      <c r="C979" s="103">
        <f>IFERROR(__xludf.DUMMYFUNCTION("""COMPUTED_VALUE"""),71.0)</f>
        <v>71</v>
      </c>
      <c r="D979" s="102" t="str">
        <f>IFERROR(__xludf.DUMMYFUNCTION("""COMPUTED_VALUE"""),"Magazine")</f>
        <v>Magazine</v>
      </c>
      <c r="E979" s="102" t="str">
        <f>IFERROR(__xludf.DUMMYFUNCTION("""COMPUTED_VALUE"""),"ORD_PS.part_mag_03_tor")</f>
        <v>ORD_PS.part_mag_03_tor</v>
      </c>
      <c r="F979" s="102"/>
      <c r="G979" s="102" t="str">
        <f>IFERROR(__xludf.DUMMYFUNCTION("""COMPUTED_VALUE"""),"2.0s Reload, +Damage, +Acc, -Fire Rate, 12 Shots, Torgue")</f>
        <v>2.0s Reload, +Damage, +Acc, -Fire Rate, 12 Shots, Torgue</v>
      </c>
      <c r="H979" s="102"/>
      <c r="I979" s="102"/>
      <c r="J979" s="102"/>
      <c r="K979" s="102"/>
      <c r="L979" s="102"/>
    </row>
    <row r="980">
      <c r="A980" s="102" t="str">
        <f>IFERROR(__xludf.DUMMYFUNCTION("""COMPUTED_VALUE"""),"Order")</f>
        <v>Order</v>
      </c>
      <c r="B980" s="102" t="str">
        <f>IFERROR(__xludf.DUMMYFUNCTION("""COMPUTED_VALUE"""),"Pistol")</f>
        <v>Pistol</v>
      </c>
      <c r="C980" s="103">
        <f>IFERROR(__xludf.DUMMYFUNCTION("""COMPUTED_VALUE"""),72.0)</f>
        <v>72</v>
      </c>
      <c r="D980" s="102" t="str">
        <f>IFERROR(__xludf.DUMMYFUNCTION("""COMPUTED_VALUE"""),"Underbarrel")</f>
        <v>Underbarrel</v>
      </c>
      <c r="E980" s="102" t="str">
        <f>IFERROR(__xludf.DUMMYFUNCTION("""COMPUTED_VALUE"""),"ORD_PS.part_underbarrel_02_gravitywell")</f>
        <v>ORD_PS.part_underbarrel_02_gravitywell</v>
      </c>
      <c r="F980" s="102"/>
      <c r="G980" s="102" t="str">
        <f>IFERROR(__xludf.DUMMYFUNCTION("""COMPUTED_VALUE"""),"Alt Fire - Gravity Well")</f>
        <v>Alt Fire - Gravity Well</v>
      </c>
      <c r="H980" s="102" t="str">
        <f>IFERROR(__xludf.DUMMYFUNCTION("""COMPUTED_VALUE"""),"Charge-fires a Gravity Well that deals up to XXX Damage and pulls in nearby enemies")</f>
        <v>Charge-fires a Gravity Well that deals up to XXX Damage and pulls in nearby enemies</v>
      </c>
      <c r="I980" s="102"/>
      <c r="J980" s="102"/>
      <c r="K980" s="102"/>
      <c r="L980" s="102"/>
    </row>
    <row r="981">
      <c r="A981" s="102" t="str">
        <f>IFERROR(__xludf.DUMMYFUNCTION("""COMPUTED_VALUE"""),"Order")</f>
        <v>Order</v>
      </c>
      <c r="B981" s="102" t="str">
        <f>IFERROR(__xludf.DUMMYFUNCTION("""COMPUTED_VALUE"""),"Pistol")</f>
        <v>Pistol</v>
      </c>
      <c r="C981" s="103">
        <f>IFERROR(__xludf.DUMMYFUNCTION("""COMPUTED_VALUE"""),75.0)</f>
        <v>75</v>
      </c>
      <c r="D981" s="102" t="str">
        <f>IFERROR(__xludf.DUMMYFUNCTION("""COMPUTED_VALUE"""),"Barrel")</f>
        <v>Barrel</v>
      </c>
      <c r="E981" s="102" t="str">
        <f>IFERROR(__xludf.DUMMYFUNCTION("""COMPUTED_VALUE"""),"ORD_PS.part_barrel_02_bully")</f>
        <v>ORD_PS.part_barrel_02_bully</v>
      </c>
      <c r="F981" s="102"/>
      <c r="G981" s="102" t="str">
        <f>IFERROR(__xludf.DUMMYFUNCTION("""COMPUTED_VALUE"""),"Bully, 1338 Damage, 80% Acc, 7.0/s FR")</f>
        <v>Bully, 1338 Damage, 80% Acc, 7.0/s FR</v>
      </c>
      <c r="H981" s="102" t="str">
        <f>IFERROR(__xludf.DUMMYFUNCTION("""COMPUTED_VALUE"""),"Defensive Protocol - When Gun Shields are activated, launches an Attack Drone every 14s")</f>
        <v>Defensive Protocol - When Gun Shields are activated, launches an Attack Drone every 14s</v>
      </c>
      <c r="I981" s="102"/>
      <c r="J981" s="102"/>
      <c r="K981" s="102"/>
      <c r="L981" s="102"/>
    </row>
    <row r="982">
      <c r="A982" s="102" t="str">
        <f>IFERROR(__xludf.DUMMYFUNCTION("""COMPUTED_VALUE"""),"Order")</f>
        <v>Order</v>
      </c>
      <c r="B982" s="102" t="str">
        <f>IFERROR(__xludf.DUMMYFUNCTION("""COMPUTED_VALUE"""),"Pistol")</f>
        <v>Pistol</v>
      </c>
      <c r="C982" s="103">
        <f>IFERROR(__xludf.DUMMYFUNCTION("""COMPUTED_VALUE"""),78.0)</f>
        <v>78</v>
      </c>
      <c r="D982" s="102" t="str">
        <f>IFERROR(__xludf.DUMMYFUNCTION("""COMPUTED_VALUE"""),"Magazine")</f>
        <v>Magazine</v>
      </c>
      <c r="E982" s="102" t="str">
        <f>IFERROR(__xludf.DUMMYFUNCTION("""COMPUTED_VALUE"""),"ORD_PS.part_mag_noisycricket")</f>
        <v>ORD_PS.part_mag_noisycricket</v>
      </c>
      <c r="F982" s="102"/>
      <c r="G982" s="102" t="str">
        <f>IFERROR(__xludf.DUMMYFUNCTION("""COMPUTED_VALUE"""),"1.5s Reload, 2 Shots, 2 Shot")</f>
        <v>1.5s Reload, 2 Shots, 2 Shot</v>
      </c>
      <c r="H982" s="102" t="str">
        <f>IFERROR(__xludf.DUMMYFUNCTION("""COMPUTED_VALUE"""),"Noisy Cricket Mag")</f>
        <v>Noisy Cricket Mag</v>
      </c>
      <c r="I982" s="102"/>
      <c r="J982" s="102"/>
      <c r="K982" s="102"/>
      <c r="L982" s="102"/>
    </row>
    <row r="983">
      <c r="A983" s="102" t="str">
        <f>IFERROR(__xludf.DUMMYFUNCTION("""COMPUTED_VALUE"""),"Order")</f>
        <v>Order</v>
      </c>
      <c r="B983" s="102" t="str">
        <f>IFERROR(__xludf.DUMMYFUNCTION("""COMPUTED_VALUE"""),"Pistol")</f>
        <v>Pistol</v>
      </c>
      <c r="C983" s="103">
        <f>IFERROR(__xludf.DUMMYFUNCTION("""COMPUTED_VALUE"""),79.0)</f>
        <v>79</v>
      </c>
      <c r="D983" s="102" t="str">
        <f>IFERROR(__xludf.DUMMYFUNCTION("""COMPUTED_VALUE"""),"Barrel")</f>
        <v>Barrel</v>
      </c>
      <c r="E983" s="102" t="str">
        <f>IFERROR(__xludf.DUMMYFUNCTION("""COMPUTED_VALUE"""),"ORD_PS.part_barrel_noisycricket")</f>
        <v>ORD_PS.part_barrel_noisycricket</v>
      </c>
      <c r="F983" s="102"/>
      <c r="G983" s="102" t="str">
        <f>IFERROR(__xludf.DUMMYFUNCTION("""COMPUTED_VALUE"""),"Noisy Cricket, 4461 Damage, 57% Acc, 3.0/s FR, 2 Shot")</f>
        <v>Noisy Cricket, 4461 Damage, 57% Acc, 3.0/s FR, 2 Shot</v>
      </c>
      <c r="H983" s="102" t="str">
        <f>IFERROR(__xludf.DUMMYFUNCTION("""COMPUTED_VALUE"""),"Silence")</f>
        <v>Silence</v>
      </c>
      <c r="I983" s="102"/>
      <c r="J983" s="102"/>
      <c r="K983" s="102"/>
      <c r="L983" s="102"/>
    </row>
    <row r="984">
      <c r="A984" s="102" t="str">
        <f>IFERROR(__xludf.DUMMYFUNCTION("""COMPUTED_VALUE"""),"Order")</f>
        <v>Order</v>
      </c>
      <c r="B984" s="102" t="str">
        <f>IFERROR(__xludf.DUMMYFUNCTION("""COMPUTED_VALUE"""),"Pistol")</f>
        <v>Pistol</v>
      </c>
      <c r="C984" s="103">
        <f>IFERROR(__xludf.DUMMYFUNCTION("""COMPUTED_VALUE"""),81.0)</f>
        <v>81</v>
      </c>
      <c r="D984" s="102" t="str">
        <f>IFERROR(__xludf.DUMMYFUNCTION("""COMPUTED_VALUE"""),"Barrel")</f>
        <v>Barrel</v>
      </c>
      <c r="E984" s="102" t="str">
        <f>IFERROR(__xludf.DUMMYFUNCTION("""COMPUTED_VALUE"""),"ORD_PS.part_barrel_02_rocketreload")</f>
        <v>ORD_PS.part_barrel_02_rocketreload</v>
      </c>
      <c r="F984" s="102"/>
      <c r="G984" s="102" t="str">
        <f>IFERROR(__xludf.DUMMYFUNCTION("""COMPUTED_VALUE"""),"Lucky Clover, 892 Damage, 75% Acc, 8.0/s FR")</f>
        <v>Lucky Clover, 892 Damage, 75% Acc, 8.0/s FR</v>
      </c>
      <c r="H984" s="102" t="str">
        <f>IFERROR(__xludf.DUMMYFUNCTION("""COMPUTED_VALUE"""),"Kismet - On Reload, fires 2 Homing Rockets that deal up to XXX Damage each")</f>
        <v>Kismet - On Reload, fires 2 Homing Rockets that deal up to XXX Damage each</v>
      </c>
      <c r="I984" s="102"/>
      <c r="J984" s="102"/>
      <c r="K984" s="102"/>
      <c r="L984" s="102"/>
    </row>
    <row r="985">
      <c r="A985" s="102" t="str">
        <f>IFERROR(__xludf.DUMMYFUNCTION("""COMPUTED_VALUE"""),"Order")</f>
        <v>Order</v>
      </c>
      <c r="B985" s="102" t="str">
        <f>IFERROR(__xludf.DUMMYFUNCTION("""COMPUTED_VALUE"""),"Sniper")</f>
        <v>Sniper</v>
      </c>
      <c r="C985" s="103">
        <f>IFERROR(__xludf.DUMMYFUNCTION("""COMPUTED_VALUE"""),2.0)</f>
        <v>2</v>
      </c>
      <c r="D985" s="102" t="str">
        <f>IFERROR(__xludf.DUMMYFUNCTION("""COMPUTED_VALUE"""),"Body")</f>
        <v>Body</v>
      </c>
      <c r="E985" s="102" t="str">
        <f>IFERROR(__xludf.DUMMYFUNCTION("""COMPUTED_VALUE"""),"ORD_SR.part_body")</f>
        <v>ORD_SR.part_body</v>
      </c>
      <c r="F985" s="102"/>
      <c r="G985" s="102" t="str">
        <f>IFERROR(__xludf.DUMMYFUNCTION("""COMPUTED_VALUE"""),"No Stat Changes, always present")</f>
        <v>No Stat Changes, always present</v>
      </c>
      <c r="H985" s="102"/>
      <c r="I985" s="102"/>
      <c r="J985" s="102"/>
      <c r="K985" s="102"/>
      <c r="L985" s="102"/>
    </row>
    <row r="986">
      <c r="A986" s="102" t="str">
        <f>IFERROR(__xludf.DUMMYFUNCTION("""COMPUTED_VALUE"""),"Order")</f>
        <v>Order</v>
      </c>
      <c r="B986" s="102" t="str">
        <f>IFERROR(__xludf.DUMMYFUNCTION("""COMPUTED_VALUE"""),"Sniper")</f>
        <v>Sniper</v>
      </c>
      <c r="C986" s="103">
        <f>IFERROR(__xludf.DUMMYFUNCTION("""COMPUTED_VALUE"""),3.0)</f>
        <v>3</v>
      </c>
      <c r="D986" s="102" t="str">
        <f>IFERROR(__xludf.DUMMYFUNCTION("""COMPUTED_VALUE"""),"Body Accessory")</f>
        <v>Body Accessory</v>
      </c>
      <c r="E986" s="102" t="str">
        <f>IFERROR(__xludf.DUMMYFUNCTION("""COMPUTED_VALUE"""),"ORD_SR.part_body_a")</f>
        <v>ORD_SR.part_body_a</v>
      </c>
      <c r="F986" s="102"/>
      <c r="G986" s="102" t="str">
        <f>IFERROR(__xludf.DUMMYFUNCTION("""COMPUTED_VALUE"""),"-Reload Speed")</f>
        <v>-Reload Speed</v>
      </c>
      <c r="H986" s="102"/>
      <c r="I986" s="102"/>
      <c r="J986" s="102"/>
      <c r="K986" s="102"/>
      <c r="L986" s="102"/>
    </row>
    <row r="987">
      <c r="A987" s="102" t="str">
        <f>IFERROR(__xludf.DUMMYFUNCTION("""COMPUTED_VALUE"""),"Order")</f>
        <v>Order</v>
      </c>
      <c r="B987" s="102" t="str">
        <f>IFERROR(__xludf.DUMMYFUNCTION("""COMPUTED_VALUE"""),"Sniper")</f>
        <v>Sniper</v>
      </c>
      <c r="C987" s="103">
        <f>IFERROR(__xludf.DUMMYFUNCTION("""COMPUTED_VALUE"""),4.0)</f>
        <v>4</v>
      </c>
      <c r="D987" s="102" t="str">
        <f>IFERROR(__xludf.DUMMYFUNCTION("""COMPUTED_VALUE"""),"Body Accessory")</f>
        <v>Body Accessory</v>
      </c>
      <c r="E987" s="102" t="str">
        <f>IFERROR(__xludf.DUMMYFUNCTION("""COMPUTED_VALUE"""),"ORD_SR.part_body_b")</f>
        <v>ORD_SR.part_body_b</v>
      </c>
      <c r="F987" s="102"/>
      <c r="G987" s="102" t="str">
        <f>IFERROR(__xludf.DUMMYFUNCTION("""COMPUTED_VALUE"""),"+Damage")</f>
        <v>+Damage</v>
      </c>
      <c r="H987" s="102"/>
      <c r="I987" s="102"/>
      <c r="J987" s="102"/>
      <c r="K987" s="102"/>
      <c r="L987" s="102"/>
    </row>
    <row r="988">
      <c r="A988" s="102" t="str">
        <f>IFERROR(__xludf.DUMMYFUNCTION("""COMPUTED_VALUE"""),"Order")</f>
        <v>Order</v>
      </c>
      <c r="B988" s="102" t="str">
        <f>IFERROR(__xludf.DUMMYFUNCTION("""COMPUTED_VALUE"""),"Sniper")</f>
        <v>Sniper</v>
      </c>
      <c r="C988" s="103">
        <f>IFERROR(__xludf.DUMMYFUNCTION("""COMPUTED_VALUE"""),5.0)</f>
        <v>5</v>
      </c>
      <c r="D988" s="102" t="str">
        <f>IFERROR(__xludf.DUMMYFUNCTION("""COMPUTED_VALUE"""),"Body Accessory")</f>
        <v>Body Accessory</v>
      </c>
      <c r="E988" s="102" t="str">
        <f>IFERROR(__xludf.DUMMYFUNCTION("""COMPUTED_VALUE"""),"ORD_SR.part_body_c")</f>
        <v>ORD_SR.part_body_c</v>
      </c>
      <c r="F988" s="102"/>
      <c r="G988" s="102" t="str">
        <f>IFERROR(__xludf.DUMMYFUNCTION("""COMPUTED_VALUE"""),"No Stat Changes")</f>
        <v>No Stat Changes</v>
      </c>
      <c r="H988" s="102"/>
      <c r="I988" s="102"/>
      <c r="J988" s="102"/>
      <c r="K988" s="102"/>
      <c r="L988" s="102"/>
    </row>
    <row r="989">
      <c r="A989" s="102" t="str">
        <f>IFERROR(__xludf.DUMMYFUNCTION("""COMPUTED_VALUE"""),"Order")</f>
        <v>Order</v>
      </c>
      <c r="B989" s="102" t="str">
        <f>IFERROR(__xludf.DUMMYFUNCTION("""COMPUTED_VALUE"""),"Sniper")</f>
        <v>Sniper</v>
      </c>
      <c r="C989" s="103">
        <f>IFERROR(__xludf.DUMMYFUNCTION("""COMPUTED_VALUE"""),6.0)</f>
        <v>6</v>
      </c>
      <c r="D989" s="102" t="str">
        <f>IFERROR(__xludf.DUMMYFUNCTION("""COMPUTED_VALUE"""),"Body Accessory")</f>
        <v>Body Accessory</v>
      </c>
      <c r="E989" s="102" t="str">
        <f>IFERROR(__xludf.DUMMYFUNCTION("""COMPUTED_VALUE"""),"ORD_SR.part_body_d")</f>
        <v>ORD_SR.part_body_d</v>
      </c>
      <c r="F989" s="102"/>
      <c r="G989" s="102" t="str">
        <f>IFERROR(__xludf.DUMMYFUNCTION("""COMPUTED_VALUE"""),"+Crit Damage")</f>
        <v>+Crit Damage</v>
      </c>
      <c r="H989" s="102"/>
      <c r="I989" s="102"/>
      <c r="J989" s="102"/>
      <c r="K989" s="102"/>
      <c r="L989" s="102"/>
    </row>
    <row r="990">
      <c r="A990" s="102" t="str">
        <f>IFERROR(__xludf.DUMMYFUNCTION("""COMPUTED_VALUE"""),"Order")</f>
        <v>Order</v>
      </c>
      <c r="B990" s="102" t="str">
        <f>IFERROR(__xludf.DUMMYFUNCTION("""COMPUTED_VALUE"""),"Sniper")</f>
        <v>Sniper</v>
      </c>
      <c r="C990" s="103">
        <f>IFERROR(__xludf.DUMMYFUNCTION("""COMPUTED_VALUE"""),7.0)</f>
        <v>7</v>
      </c>
      <c r="D990" s="102" t="str">
        <f>IFERROR(__xludf.DUMMYFUNCTION("""COMPUTED_VALUE"""),"Barrel")</f>
        <v>Barrel</v>
      </c>
      <c r="E990" s="102" t="str">
        <f>IFERROR(__xludf.DUMMYFUNCTION("""COMPUTED_VALUE"""),"ORD_SR.part_barrel_01")</f>
        <v>ORD_SR.part_barrel_01</v>
      </c>
      <c r="F990" s="102"/>
      <c r="G990" s="102" t="str">
        <f>IFERROR(__xludf.DUMMYFUNCTION("""COMPUTED_VALUE"""),"Yuga, 2530 Damage, 90% Acc, 1.9/s FR")</f>
        <v>Yuga, 2530 Damage, 90% Acc, 1.9/s FR</v>
      </c>
      <c r="H990" s="102"/>
      <c r="I990" s="102"/>
      <c r="J990" s="102"/>
      <c r="K990" s="102"/>
      <c r="L990" s="102"/>
    </row>
    <row r="991">
      <c r="A991" s="102" t="str">
        <f>IFERROR(__xludf.DUMMYFUNCTION("""COMPUTED_VALUE"""),"Order")</f>
        <v>Order</v>
      </c>
      <c r="B991" s="102" t="str">
        <f>IFERROR(__xludf.DUMMYFUNCTION("""COMPUTED_VALUE"""),"Sniper")</f>
        <v>Sniper</v>
      </c>
      <c r="C991" s="103">
        <f>IFERROR(__xludf.DUMMYFUNCTION("""COMPUTED_VALUE"""),8.0)</f>
        <v>8</v>
      </c>
      <c r="D991" s="102" t="str">
        <f>IFERROR(__xludf.DUMMYFUNCTION("""COMPUTED_VALUE"""),"Barrel")</f>
        <v>Barrel</v>
      </c>
      <c r="E991" s="102" t="str">
        <f>IFERROR(__xludf.DUMMYFUNCTION("""COMPUTED_VALUE"""),"ORD_SR.part_barrel_02")</f>
        <v>ORD_SR.part_barrel_02</v>
      </c>
      <c r="F991" s="102"/>
      <c r="G991" s="102" t="str">
        <f>IFERROR(__xludf.DUMMYFUNCTION("""COMPUTED_VALUE"""),"Piktun, 3045 Damage, 92% Acc, 1.5/s FR")</f>
        <v>Piktun, 3045 Damage, 92% Acc, 1.5/s FR</v>
      </c>
      <c r="H991" s="102"/>
      <c r="I991" s="102"/>
      <c r="J991" s="102"/>
      <c r="K991" s="102"/>
      <c r="L991" s="102"/>
    </row>
    <row r="992">
      <c r="A992" s="102" t="str">
        <f>IFERROR(__xludf.DUMMYFUNCTION("""COMPUTED_VALUE"""),"Order")</f>
        <v>Order</v>
      </c>
      <c r="B992" s="102" t="str">
        <f>IFERROR(__xludf.DUMMYFUNCTION("""COMPUTED_VALUE"""),"Sniper")</f>
        <v>Sniper</v>
      </c>
      <c r="C992" s="103">
        <f>IFERROR(__xludf.DUMMYFUNCTION("""COMPUTED_VALUE"""),9.0)</f>
        <v>9</v>
      </c>
      <c r="D992" s="102" t="str">
        <f>IFERROR(__xludf.DUMMYFUNCTION("""COMPUTED_VALUE"""),"Barrel Accessory")</f>
        <v>Barrel Accessory</v>
      </c>
      <c r="E992" s="102" t="str">
        <f>IFERROR(__xludf.DUMMYFUNCTION("""COMPUTED_VALUE"""),"ORD_SR.part_barrel_01_a")</f>
        <v>ORD_SR.part_barrel_01_a</v>
      </c>
      <c r="F992" s="102"/>
      <c r="G992" s="102" t="str">
        <f>IFERROR(__xludf.DUMMYFUNCTION("""COMPUTED_VALUE"""),"+Damage")</f>
        <v>+Damage</v>
      </c>
      <c r="H992" s="102"/>
      <c r="I992" s="102"/>
      <c r="J992" s="102"/>
      <c r="K992" s="102"/>
      <c r="L992" s="102"/>
    </row>
    <row r="993">
      <c r="A993" s="102" t="str">
        <f>IFERROR(__xludf.DUMMYFUNCTION("""COMPUTED_VALUE"""),"Order")</f>
        <v>Order</v>
      </c>
      <c r="B993" s="102" t="str">
        <f>IFERROR(__xludf.DUMMYFUNCTION("""COMPUTED_VALUE"""),"Sniper")</f>
        <v>Sniper</v>
      </c>
      <c r="C993" s="103">
        <f>IFERROR(__xludf.DUMMYFUNCTION("""COMPUTED_VALUE"""),10.0)</f>
        <v>10</v>
      </c>
      <c r="D993" s="102" t="str">
        <f>IFERROR(__xludf.DUMMYFUNCTION("""COMPUTED_VALUE"""),"Barrel Accessory")</f>
        <v>Barrel Accessory</v>
      </c>
      <c r="E993" s="102" t="str">
        <f>IFERROR(__xludf.DUMMYFUNCTION("""COMPUTED_VALUE"""),"ORD_SR.part_barrel_01_c")</f>
        <v>ORD_SR.part_barrel_01_c</v>
      </c>
      <c r="F993" s="102"/>
      <c r="G993" s="102" t="str">
        <f>IFERROR(__xludf.DUMMYFUNCTION("""COMPUTED_VALUE"""),"No Stat Changes")</f>
        <v>No Stat Changes</v>
      </c>
      <c r="H993" s="102"/>
      <c r="I993" s="102"/>
      <c r="J993" s="102"/>
      <c r="K993" s="102"/>
      <c r="L993" s="102"/>
    </row>
    <row r="994">
      <c r="A994" s="102" t="str">
        <f>IFERROR(__xludf.DUMMYFUNCTION("""COMPUTED_VALUE"""),"Order")</f>
        <v>Order</v>
      </c>
      <c r="B994" s="102" t="str">
        <f>IFERROR(__xludf.DUMMYFUNCTION("""COMPUTED_VALUE"""),"Sniper")</f>
        <v>Sniper</v>
      </c>
      <c r="C994" s="103">
        <f>IFERROR(__xludf.DUMMYFUNCTION("""COMPUTED_VALUE"""),11.0)</f>
        <v>11</v>
      </c>
      <c r="D994" s="102" t="str">
        <f>IFERROR(__xludf.DUMMYFUNCTION("""COMPUTED_VALUE"""),"Barrel Accessory")</f>
        <v>Barrel Accessory</v>
      </c>
      <c r="E994" s="102" t="str">
        <f>IFERROR(__xludf.DUMMYFUNCTION("""COMPUTED_VALUE"""),"ORD_SR.part_barrel_01_d")</f>
        <v>ORD_SR.part_barrel_01_d</v>
      </c>
      <c r="F994" s="102"/>
      <c r="G994" s="102" t="str">
        <f>IFERROR(__xludf.DUMMYFUNCTION("""COMPUTED_VALUE"""),"No Stat Changes")</f>
        <v>No Stat Changes</v>
      </c>
      <c r="H994" s="102"/>
      <c r="I994" s="102"/>
      <c r="J994" s="102"/>
      <c r="K994" s="102"/>
      <c r="L994" s="102"/>
    </row>
    <row r="995">
      <c r="A995" s="102" t="str">
        <f>IFERROR(__xludf.DUMMYFUNCTION("""COMPUTED_VALUE"""),"Order")</f>
        <v>Order</v>
      </c>
      <c r="B995" s="102" t="str">
        <f>IFERROR(__xludf.DUMMYFUNCTION("""COMPUTED_VALUE"""),"Sniper")</f>
        <v>Sniper</v>
      </c>
      <c r="C995" s="103">
        <f>IFERROR(__xludf.DUMMYFUNCTION("""COMPUTED_VALUE"""),12.0)</f>
        <v>12</v>
      </c>
      <c r="D995" s="102" t="str">
        <f>IFERROR(__xludf.DUMMYFUNCTION("""COMPUTED_VALUE"""),"Barrel Accessory")</f>
        <v>Barrel Accessory</v>
      </c>
      <c r="E995" s="102" t="str">
        <f>IFERROR(__xludf.DUMMYFUNCTION("""COMPUTED_VALUE"""),"ORD_SR.part_barrel_02_a")</f>
        <v>ORD_SR.part_barrel_02_a</v>
      </c>
      <c r="F995" s="102"/>
      <c r="G995" s="102" t="str">
        <f>IFERROR(__xludf.DUMMYFUNCTION("""COMPUTED_VALUE"""),"+Damage")</f>
        <v>+Damage</v>
      </c>
      <c r="H995" s="102"/>
      <c r="I995" s="102"/>
      <c r="J995" s="102"/>
      <c r="K995" s="102"/>
      <c r="L995" s="102"/>
    </row>
    <row r="996">
      <c r="A996" s="102" t="str">
        <f>IFERROR(__xludf.DUMMYFUNCTION("""COMPUTED_VALUE"""),"Order")</f>
        <v>Order</v>
      </c>
      <c r="B996" s="102" t="str">
        <f>IFERROR(__xludf.DUMMYFUNCTION("""COMPUTED_VALUE"""),"Sniper")</f>
        <v>Sniper</v>
      </c>
      <c r="C996" s="103">
        <f>IFERROR(__xludf.DUMMYFUNCTION("""COMPUTED_VALUE"""),13.0)</f>
        <v>13</v>
      </c>
      <c r="D996" s="102" t="str">
        <f>IFERROR(__xludf.DUMMYFUNCTION("""COMPUTED_VALUE"""),"Barrel Accessory")</f>
        <v>Barrel Accessory</v>
      </c>
      <c r="E996" s="102" t="str">
        <f>IFERROR(__xludf.DUMMYFUNCTION("""COMPUTED_VALUE"""),"ORD_SR.part_barrel_02_b")</f>
        <v>ORD_SR.part_barrel_02_b</v>
      </c>
      <c r="F996" s="102"/>
      <c r="G996" s="102" t="str">
        <f>IFERROR(__xludf.DUMMYFUNCTION("""COMPUTED_VALUE"""),"+Accuracy")</f>
        <v>+Accuracy</v>
      </c>
      <c r="H996" s="102"/>
      <c r="I996" s="102"/>
      <c r="J996" s="102"/>
      <c r="K996" s="102"/>
      <c r="L996" s="102"/>
    </row>
    <row r="997">
      <c r="A997" s="102" t="str">
        <f>IFERROR(__xludf.DUMMYFUNCTION("""COMPUTED_VALUE"""),"Order")</f>
        <v>Order</v>
      </c>
      <c r="B997" s="102" t="str">
        <f>IFERROR(__xludf.DUMMYFUNCTION("""COMPUTED_VALUE"""),"Sniper")</f>
        <v>Sniper</v>
      </c>
      <c r="C997" s="103">
        <f>IFERROR(__xludf.DUMMYFUNCTION("""COMPUTED_VALUE"""),14.0)</f>
        <v>14</v>
      </c>
      <c r="D997" s="102" t="str">
        <f>IFERROR(__xludf.DUMMYFUNCTION("""COMPUTED_VALUE"""),"Barrel Accessory")</f>
        <v>Barrel Accessory</v>
      </c>
      <c r="E997" s="102" t="str">
        <f>IFERROR(__xludf.DUMMYFUNCTION("""COMPUTED_VALUE"""),"ORD_SR.part_barrel_02_c")</f>
        <v>ORD_SR.part_barrel_02_c</v>
      </c>
      <c r="F997" s="102"/>
      <c r="G997" s="102" t="str">
        <f>IFERROR(__xludf.DUMMYFUNCTION("""COMPUTED_VALUE"""),"+Fire Rate")</f>
        <v>+Fire Rate</v>
      </c>
      <c r="H997" s="102"/>
      <c r="I997" s="102"/>
      <c r="J997" s="102"/>
      <c r="K997" s="102"/>
      <c r="L997" s="102"/>
    </row>
    <row r="998">
      <c r="A998" s="102" t="str">
        <f>IFERROR(__xludf.DUMMYFUNCTION("""COMPUTED_VALUE"""),"Order")</f>
        <v>Order</v>
      </c>
      <c r="B998" s="102" t="str">
        <f>IFERROR(__xludf.DUMMYFUNCTION("""COMPUTED_VALUE"""),"Sniper")</f>
        <v>Sniper</v>
      </c>
      <c r="C998" s="103">
        <f>IFERROR(__xludf.DUMMYFUNCTION("""COMPUTED_VALUE"""),15.0)</f>
        <v>15</v>
      </c>
      <c r="D998" s="102" t="str">
        <f>IFERROR(__xludf.DUMMYFUNCTION("""COMPUTED_VALUE"""),"Barrel Accessory")</f>
        <v>Barrel Accessory</v>
      </c>
      <c r="E998" s="102" t="str">
        <f>IFERROR(__xludf.DUMMYFUNCTION("""COMPUTED_VALUE"""),"ORD_SR.part_barrel_02_d")</f>
        <v>ORD_SR.part_barrel_02_d</v>
      </c>
      <c r="F998" s="102"/>
      <c r="G998" s="102" t="str">
        <f>IFERROR(__xludf.DUMMYFUNCTION("""COMPUTED_VALUE"""),"+Fire Rate")</f>
        <v>+Fire Rate</v>
      </c>
      <c r="H998" s="102"/>
      <c r="I998" s="102"/>
      <c r="J998" s="102"/>
      <c r="K998" s="102"/>
      <c r="L998" s="102"/>
    </row>
    <row r="999">
      <c r="A999" s="102" t="str">
        <f>IFERROR(__xludf.DUMMYFUNCTION("""COMPUTED_VALUE"""),"Order")</f>
        <v>Order</v>
      </c>
      <c r="B999" s="102" t="str">
        <f>IFERROR(__xludf.DUMMYFUNCTION("""COMPUTED_VALUE"""),"Sniper")</f>
        <v>Sniper</v>
      </c>
      <c r="C999" s="103">
        <f>IFERROR(__xludf.DUMMYFUNCTION("""COMPUTED_VALUE"""),16.0)</f>
        <v>16</v>
      </c>
      <c r="D999" s="102" t="str">
        <f>IFERROR(__xludf.DUMMYFUNCTION("""COMPUTED_VALUE"""),"Manufacturer Part")</f>
        <v>Manufacturer Part</v>
      </c>
      <c r="E999" s="102" t="str">
        <f>IFERROR(__xludf.DUMMYFUNCTION("""COMPUTED_VALUE"""),"ORD_SR.part_barrel_licensed_jak")</f>
        <v>ORD_SR.part_barrel_licensed_jak</v>
      </c>
      <c r="F999" s="102"/>
      <c r="G999" s="102" t="str">
        <f>IFERROR(__xludf.DUMMYFUNCTION("""COMPUTED_VALUE"""),"Jakobs Ricochet")</f>
        <v>Jakobs Ricochet</v>
      </c>
      <c r="H999" s="102"/>
      <c r="I999" s="102"/>
      <c r="J999" s="102"/>
      <c r="K999" s="102"/>
      <c r="L999" s="102"/>
    </row>
    <row r="1000">
      <c r="A1000" s="102" t="str">
        <f>IFERROR(__xludf.DUMMYFUNCTION("""COMPUTED_VALUE"""),"Order")</f>
        <v>Order</v>
      </c>
      <c r="B1000" s="102" t="str">
        <f>IFERROR(__xludf.DUMMYFUNCTION("""COMPUTED_VALUE"""),"Sniper")</f>
        <v>Sniper</v>
      </c>
      <c r="C1000" s="103">
        <f>IFERROR(__xludf.DUMMYFUNCTION("""COMPUTED_VALUE"""),17.0)</f>
        <v>17</v>
      </c>
      <c r="D1000" s="102" t="str">
        <f>IFERROR(__xludf.DUMMYFUNCTION("""COMPUTED_VALUE"""),"Manufacturer Part")</f>
        <v>Manufacturer Part</v>
      </c>
      <c r="E1000" s="102" t="str">
        <f>IFERROR(__xludf.DUMMYFUNCTION("""COMPUTED_VALUE"""),"ORD_SR.part_barrel_licensed_ted")</f>
        <v>ORD_SR.part_barrel_licensed_ted</v>
      </c>
      <c r="F1000" s="102"/>
      <c r="G1000" s="102" t="str">
        <f>IFERROR(__xludf.DUMMYFUNCTION("""COMPUTED_VALUE"""),"Tediore Reload, no stat changes")</f>
        <v>Tediore Reload, no stat changes</v>
      </c>
      <c r="H1000" s="102"/>
      <c r="I1000" s="102"/>
      <c r="J1000" s="102"/>
      <c r="K1000" s="102"/>
      <c r="L1000" s="102"/>
    </row>
    <row r="1001">
      <c r="A1001" s="102" t="str">
        <f>IFERROR(__xludf.DUMMYFUNCTION("""COMPUTED_VALUE"""),"Order")</f>
        <v>Order</v>
      </c>
      <c r="B1001" s="102" t="str">
        <f>IFERROR(__xludf.DUMMYFUNCTION("""COMPUTED_VALUE"""),"Sniper")</f>
        <v>Sniper</v>
      </c>
      <c r="C1001" s="103">
        <f>IFERROR(__xludf.DUMMYFUNCTION("""COMPUTED_VALUE"""),18.0)</f>
        <v>18</v>
      </c>
      <c r="D1001" s="102" t="str">
        <f>IFERROR(__xludf.DUMMYFUNCTION("""COMPUTED_VALUE"""),"Manufacturer Part")</f>
        <v>Manufacturer Part</v>
      </c>
      <c r="E1001" s="102" t="str">
        <f>IFERROR(__xludf.DUMMYFUNCTION("""COMPUTED_VALUE"""),"ORD_SR.part_barrel_licensed_ted_shooting")</f>
        <v>ORD_SR.part_barrel_licensed_ted_shooting</v>
      </c>
      <c r="F1001" s="102"/>
      <c r="G1001" s="102" t="str">
        <f>IFERROR(__xludf.DUMMYFUNCTION("""COMPUTED_VALUE"""),"Tediore Shooting, no stat changes")</f>
        <v>Tediore Shooting, no stat changes</v>
      </c>
      <c r="H1001" s="102"/>
      <c r="I1001" s="102"/>
      <c r="J1001" s="102"/>
      <c r="K1001" s="102"/>
      <c r="L1001" s="102"/>
    </row>
    <row r="1002">
      <c r="A1002" s="102" t="str">
        <f>IFERROR(__xludf.DUMMYFUNCTION("""COMPUTED_VALUE"""),"Order")</f>
        <v>Order</v>
      </c>
      <c r="B1002" s="102" t="str">
        <f>IFERROR(__xludf.DUMMYFUNCTION("""COMPUTED_VALUE"""),"Sniper")</f>
        <v>Sniper</v>
      </c>
      <c r="C1002" s="103">
        <f>IFERROR(__xludf.DUMMYFUNCTION("""COMPUTED_VALUE"""),19.0)</f>
        <v>19</v>
      </c>
      <c r="D1002" s="102" t="str">
        <f>IFERROR(__xludf.DUMMYFUNCTION("""COMPUTED_VALUE"""),"Manufacturer Part")</f>
        <v>Manufacturer Part</v>
      </c>
      <c r="E1002" s="102" t="str">
        <f>IFERROR(__xludf.DUMMYFUNCTION("""COMPUTED_VALUE"""),"ORD_SR.part_barrel_licensed_ted_mirv")</f>
        <v>ORD_SR.part_barrel_licensed_ted_mirv</v>
      </c>
      <c r="F1002" s="102"/>
      <c r="G1002" s="102" t="str">
        <f>IFERROR(__xludf.DUMMYFUNCTION("""COMPUTED_VALUE"""),"Tediore MIRV, no stat changes")</f>
        <v>Tediore MIRV, no stat changes</v>
      </c>
      <c r="H1002" s="102"/>
      <c r="I1002" s="102"/>
      <c r="J1002" s="102"/>
      <c r="K1002" s="102"/>
      <c r="L1002" s="102"/>
    </row>
    <row r="1003">
      <c r="A1003" s="102" t="str">
        <f>IFERROR(__xludf.DUMMYFUNCTION("""COMPUTED_VALUE"""),"Order")</f>
        <v>Order</v>
      </c>
      <c r="B1003" s="102" t="str">
        <f>IFERROR(__xludf.DUMMYFUNCTION("""COMPUTED_VALUE"""),"Sniper")</f>
        <v>Sniper</v>
      </c>
      <c r="C1003" s="103">
        <f>IFERROR(__xludf.DUMMYFUNCTION("""COMPUTED_VALUE"""),20.0)</f>
        <v>20</v>
      </c>
      <c r="D1003" s="102" t="str">
        <f>IFERROR(__xludf.DUMMYFUNCTION("""COMPUTED_VALUE"""),"Manufacturer Part")</f>
        <v>Manufacturer Part</v>
      </c>
      <c r="E1003" s="102" t="str">
        <f>IFERROR(__xludf.DUMMYFUNCTION("""COMPUTED_VALUE"""),"ORD_SR.part_barrel_licensed_ted_combo")</f>
        <v>ORD_SR.part_barrel_licensed_ted_combo</v>
      </c>
      <c r="F1003" s="102"/>
      <c r="G1003" s="102" t="str">
        <f>IFERROR(__xludf.DUMMYFUNCTION("""COMPUTED_VALUE"""),"Tediore Combo, no stat changes")</f>
        <v>Tediore Combo, no stat changes</v>
      </c>
      <c r="H1003" s="102"/>
      <c r="I1003" s="102"/>
      <c r="J1003" s="102"/>
      <c r="K1003" s="102"/>
      <c r="L1003" s="102"/>
    </row>
    <row r="1004">
      <c r="A1004" s="102" t="str">
        <f>IFERROR(__xludf.DUMMYFUNCTION("""COMPUTED_VALUE"""),"Order")</f>
        <v>Order</v>
      </c>
      <c r="B1004" s="102" t="str">
        <f>IFERROR(__xludf.DUMMYFUNCTION("""COMPUTED_VALUE"""),"Sniper")</f>
        <v>Sniper</v>
      </c>
      <c r="C1004" s="103">
        <f>IFERROR(__xludf.DUMMYFUNCTION("""COMPUTED_VALUE"""),21.0)</f>
        <v>21</v>
      </c>
      <c r="D1004" s="102" t="str">
        <f>IFERROR(__xludf.DUMMYFUNCTION("""COMPUTED_VALUE"""),"Manufacturer Part")</f>
        <v>Manufacturer Part</v>
      </c>
      <c r="E1004" s="102" t="str">
        <f>IFERROR(__xludf.DUMMYFUNCTION("""COMPUTED_VALUE"""),"ORD_SR.part_barrel_licensed_hyp")</f>
        <v>ORD_SR.part_barrel_licensed_hyp</v>
      </c>
      <c r="F1004" s="102"/>
      <c r="G1004" s="102" t="str">
        <f>IFERROR(__xludf.DUMMYFUNCTION("""COMPUTED_VALUE"""),"Hyperion Shield visual accessory, no stat changes")</f>
        <v>Hyperion Shield visual accessory, no stat changes</v>
      </c>
      <c r="H1004" s="102"/>
      <c r="I1004" s="102"/>
      <c r="J1004" s="102"/>
      <c r="K1004" s="102"/>
      <c r="L1004" s="102"/>
    </row>
    <row r="1005">
      <c r="A1005" s="102" t="str">
        <f>IFERROR(__xludf.DUMMYFUNCTION("""COMPUTED_VALUE"""),"Order")</f>
        <v>Order</v>
      </c>
      <c r="B1005" s="102" t="str">
        <f>IFERROR(__xludf.DUMMYFUNCTION("""COMPUTED_VALUE"""),"Sniper")</f>
        <v>Sniper</v>
      </c>
      <c r="C1005" s="103">
        <f>IFERROR(__xludf.DUMMYFUNCTION("""COMPUTED_VALUE"""),22.0)</f>
        <v>22</v>
      </c>
      <c r="D1005" s="102" t="str">
        <f>IFERROR(__xludf.DUMMYFUNCTION("""COMPUTED_VALUE"""),"Barrel Accessory")</f>
        <v>Barrel Accessory</v>
      </c>
      <c r="E1005" s="102" t="str">
        <f>IFERROR(__xludf.DUMMYFUNCTION("""COMPUTED_VALUE"""),"ORD_SR.part_barrel_01_b")</f>
        <v>ORD_SR.part_barrel_01_b</v>
      </c>
      <c r="F1005" s="102"/>
      <c r="G1005" s="102" t="str">
        <f>IFERROR(__xludf.DUMMYFUNCTION("""COMPUTED_VALUE"""),"+Crit Damage")</f>
        <v>+Crit Damage</v>
      </c>
      <c r="H1005" s="102"/>
      <c r="I1005" s="102"/>
      <c r="J1005" s="102"/>
      <c r="K1005" s="102"/>
      <c r="L1005" s="102"/>
    </row>
    <row r="1006">
      <c r="A1006" s="102" t="str">
        <f>IFERROR(__xludf.DUMMYFUNCTION("""COMPUTED_VALUE"""),"Order")</f>
        <v>Order</v>
      </c>
      <c r="B1006" s="102" t="str">
        <f>IFERROR(__xludf.DUMMYFUNCTION("""COMPUTED_VALUE"""),"Sniper")</f>
        <v>Sniper</v>
      </c>
      <c r="C1006" s="103">
        <f>IFERROR(__xludf.DUMMYFUNCTION("""COMPUTED_VALUE"""),23.0)</f>
        <v>23</v>
      </c>
      <c r="D1006" s="102" t="str">
        <f>IFERROR(__xludf.DUMMYFUNCTION("""COMPUTED_VALUE"""),"Manufacturer Part")</f>
        <v>Manufacturer Part</v>
      </c>
      <c r="E1006" s="102" t="str">
        <f>IFERROR(__xludf.DUMMYFUNCTION("""COMPUTED_VALUE"""),"ORD_SR.part_shield_default")</f>
        <v>ORD_SR.part_shield_default</v>
      </c>
      <c r="F1006" s="102"/>
      <c r="G1006" s="102" t="str">
        <f>IFERROR(__xludf.DUMMYFUNCTION("""COMPUTED_VALUE"""),"Hyperion Shield")</f>
        <v>Hyperion Shield</v>
      </c>
      <c r="H1006" s="102"/>
      <c r="I1006" s="102"/>
      <c r="J1006" s="102"/>
      <c r="K1006" s="102"/>
      <c r="L1006" s="102"/>
    </row>
    <row r="1007">
      <c r="A1007" s="102" t="str">
        <f>IFERROR(__xludf.DUMMYFUNCTION("""COMPUTED_VALUE"""),"Order")</f>
        <v>Order</v>
      </c>
      <c r="B1007" s="102" t="str">
        <f>IFERROR(__xludf.DUMMYFUNCTION("""COMPUTED_VALUE"""),"Sniper")</f>
        <v>Sniper</v>
      </c>
      <c r="C1007" s="103">
        <f>IFERROR(__xludf.DUMMYFUNCTION("""COMPUTED_VALUE"""),24.0)</f>
        <v>24</v>
      </c>
      <c r="D1007" s="102" t="str">
        <f>IFERROR(__xludf.DUMMYFUNCTION("""COMPUTED_VALUE"""),"Manufacturer Part")</f>
        <v>Manufacturer Part</v>
      </c>
      <c r="E1007" s="102" t="str">
        <f>IFERROR(__xludf.DUMMYFUNCTION("""COMPUTED_VALUE"""),"ORD_SR.part_shield_ricochet")</f>
        <v>ORD_SR.part_shield_ricochet</v>
      </c>
      <c r="F1007" s="102"/>
      <c r="G1007" s="102" t="str">
        <f>IFERROR(__xludf.DUMMYFUNCTION("""COMPUTED_VALUE"""),"Hyperion Ricochet Shield")</f>
        <v>Hyperion Ricochet Shield</v>
      </c>
      <c r="H1007" s="102"/>
      <c r="I1007" s="102"/>
      <c r="J1007" s="102"/>
      <c r="K1007" s="102"/>
      <c r="L1007" s="102"/>
    </row>
    <row r="1008">
      <c r="A1008" s="102" t="str">
        <f>IFERROR(__xludf.DUMMYFUNCTION("""COMPUTED_VALUE"""),"Order")</f>
        <v>Order</v>
      </c>
      <c r="B1008" s="102" t="str">
        <f>IFERROR(__xludf.DUMMYFUNCTION("""COMPUTED_VALUE"""),"Sniper")</f>
        <v>Sniper</v>
      </c>
      <c r="C1008" s="103">
        <f>IFERROR(__xludf.DUMMYFUNCTION("""COMPUTED_VALUE"""),25.0)</f>
        <v>25</v>
      </c>
      <c r="D1008" s="102" t="str">
        <f>IFERROR(__xludf.DUMMYFUNCTION("""COMPUTED_VALUE"""),"Manufacturer Part")</f>
        <v>Manufacturer Part</v>
      </c>
      <c r="E1008" s="102" t="str">
        <f>IFERROR(__xludf.DUMMYFUNCTION("""COMPUTED_VALUE"""),"ORD_SR.part_shield_ammo")</f>
        <v>ORD_SR.part_shield_ammo</v>
      </c>
      <c r="F1008" s="102"/>
      <c r="G1008" s="102" t="str">
        <f>IFERROR(__xludf.DUMMYFUNCTION("""COMPUTED_VALUE"""),"Hyperion Absorb Shield")</f>
        <v>Hyperion Absorb Shield</v>
      </c>
      <c r="H1008" s="102"/>
      <c r="I1008" s="102"/>
      <c r="J1008" s="102"/>
      <c r="K1008" s="102"/>
      <c r="L1008" s="102"/>
    </row>
    <row r="1009">
      <c r="A1009" s="102" t="str">
        <f>IFERROR(__xludf.DUMMYFUNCTION("""COMPUTED_VALUE"""),"Order")</f>
        <v>Order</v>
      </c>
      <c r="B1009" s="102" t="str">
        <f>IFERROR(__xludf.DUMMYFUNCTION("""COMPUTED_VALUE"""),"Sniper")</f>
        <v>Sniper</v>
      </c>
      <c r="C1009" s="103">
        <f>IFERROR(__xludf.DUMMYFUNCTION("""COMPUTED_VALUE"""),26.0)</f>
        <v>26</v>
      </c>
      <c r="D1009" s="102" t="str">
        <f>IFERROR(__xludf.DUMMYFUNCTION("""COMPUTED_VALUE"""),"Manufacturer Part")</f>
        <v>Manufacturer Part</v>
      </c>
      <c r="E1009" s="102" t="str">
        <f>IFERROR(__xludf.DUMMYFUNCTION("""COMPUTED_VALUE"""),"ORD_SR.part_shield_amp")</f>
        <v>ORD_SR.part_shield_amp</v>
      </c>
      <c r="F1009" s="102"/>
      <c r="G1009" s="102" t="str">
        <f>IFERROR(__xludf.DUMMYFUNCTION("""COMPUTED_VALUE"""),"Hyperion Amp Shield")</f>
        <v>Hyperion Amp Shield</v>
      </c>
      <c r="H1009" s="102"/>
      <c r="I1009" s="102"/>
      <c r="J1009" s="102"/>
      <c r="K1009" s="102"/>
      <c r="L1009" s="102"/>
    </row>
    <row r="1010">
      <c r="A1010" s="102" t="str">
        <f>IFERROR(__xludf.DUMMYFUNCTION("""COMPUTED_VALUE"""),"Order")</f>
        <v>Order</v>
      </c>
      <c r="B1010" s="102" t="str">
        <f>IFERROR(__xludf.DUMMYFUNCTION("""COMPUTED_VALUE"""),"Sniper")</f>
        <v>Sniper</v>
      </c>
      <c r="C1010" s="103">
        <f>IFERROR(__xludf.DUMMYFUNCTION("""COMPUTED_VALUE"""),27.0)</f>
        <v>27</v>
      </c>
      <c r="D1010" s="102" t="str">
        <f>IFERROR(__xludf.DUMMYFUNCTION("""COMPUTED_VALUE"""),"Magazine")</f>
        <v>Magazine</v>
      </c>
      <c r="E1010" s="102" t="str">
        <f>IFERROR(__xludf.DUMMYFUNCTION("""COMPUTED_VALUE"""),"ORD_SR.part_mag_01")</f>
        <v>ORD_SR.part_mag_01</v>
      </c>
      <c r="F1010" s="102"/>
      <c r="G1010" s="102" t="str">
        <f>IFERROR(__xludf.DUMMYFUNCTION("""COMPUTED_VALUE"""),"2.3s Reload, 12 Shots")</f>
        <v>2.3s Reload, 12 Shots</v>
      </c>
      <c r="H1010" s="102"/>
      <c r="I1010" s="102"/>
      <c r="J1010" s="102"/>
      <c r="K1010" s="102"/>
      <c r="L1010" s="102"/>
    </row>
    <row r="1011">
      <c r="A1011" s="102" t="str">
        <f>IFERROR(__xludf.DUMMYFUNCTION("""COMPUTED_VALUE"""),"Order")</f>
        <v>Order</v>
      </c>
      <c r="B1011" s="102" t="str">
        <f>IFERROR(__xludf.DUMMYFUNCTION("""COMPUTED_VALUE"""),"Sniper")</f>
        <v>Sniper</v>
      </c>
      <c r="C1011" s="103">
        <f>IFERROR(__xludf.DUMMYFUNCTION("""COMPUTED_VALUE"""),28.0)</f>
        <v>28</v>
      </c>
      <c r="D1011" s="102" t="str">
        <f>IFERROR(__xludf.DUMMYFUNCTION("""COMPUTED_VALUE"""),"Magazine")</f>
        <v>Magazine</v>
      </c>
      <c r="E1011" s="102" t="str">
        <f>IFERROR(__xludf.DUMMYFUNCTION("""COMPUTED_VALUE"""),"ORD_SR.part_mag_02")</f>
        <v>ORD_SR.part_mag_02</v>
      </c>
      <c r="F1011" s="102"/>
      <c r="G1011" s="102" t="str">
        <f>IFERROR(__xludf.DUMMYFUNCTION("""COMPUTED_VALUE"""),"2.7s Reload, -Damage, 15 Shots")</f>
        <v>2.7s Reload, -Damage, 15 Shots</v>
      </c>
      <c r="H1011" s="102"/>
      <c r="I1011" s="102"/>
      <c r="J1011" s="102"/>
      <c r="K1011" s="102"/>
      <c r="L1011" s="102"/>
    </row>
    <row r="1012">
      <c r="A1012" s="102" t="str">
        <f>IFERROR(__xludf.DUMMYFUNCTION("""COMPUTED_VALUE"""),"Order")</f>
        <v>Order</v>
      </c>
      <c r="B1012" s="102" t="str">
        <f>IFERROR(__xludf.DUMMYFUNCTION("""COMPUTED_VALUE"""),"Sniper")</f>
        <v>Sniper</v>
      </c>
      <c r="C1012" s="103">
        <f>IFERROR(__xludf.DUMMYFUNCTION("""COMPUTED_VALUE"""),29.0)</f>
        <v>29</v>
      </c>
      <c r="D1012" s="102" t="str">
        <f>IFERROR(__xludf.DUMMYFUNCTION("""COMPUTED_VALUE"""),"Magazine")</f>
        <v>Magazine</v>
      </c>
      <c r="E1012" s="102" t="str">
        <f>IFERROR(__xludf.DUMMYFUNCTION("""COMPUTED_VALUE"""),"ORD_SR.part_mag_04_cov")</f>
        <v>ORD_SR.part_mag_04_cov</v>
      </c>
      <c r="F1012" s="102"/>
      <c r="G1012" s="102" t="str">
        <f>IFERROR(__xludf.DUMMYFUNCTION("""COMPUTED_VALUE"""),"3.7s Reload, 20 Shots, CoV Mag")</f>
        <v>3.7s Reload, 20 Shots, CoV Mag</v>
      </c>
      <c r="H1012" s="102"/>
      <c r="I1012" s="102"/>
      <c r="J1012" s="102"/>
      <c r="K1012" s="102"/>
      <c r="L1012" s="102"/>
    </row>
    <row r="1013">
      <c r="A1013" s="102" t="str">
        <f>IFERROR(__xludf.DUMMYFUNCTION("""COMPUTED_VALUE"""),"Order")</f>
        <v>Order</v>
      </c>
      <c r="B1013" s="102" t="str">
        <f>IFERROR(__xludf.DUMMYFUNCTION("""COMPUTED_VALUE"""),"Sniper")</f>
        <v>Sniper</v>
      </c>
      <c r="C1013" s="103">
        <f>IFERROR(__xludf.DUMMYFUNCTION("""COMPUTED_VALUE"""),30.0)</f>
        <v>30</v>
      </c>
      <c r="D1013" s="102" t="str">
        <f>IFERROR(__xludf.DUMMYFUNCTION("""COMPUTED_VALUE"""),"Magazine")</f>
        <v>Magazine</v>
      </c>
      <c r="E1013" s="102" t="str">
        <f>IFERROR(__xludf.DUMMYFUNCTION("""COMPUTED_VALUE"""),"ORD_SR.part_mag_05_borg")</f>
        <v>ORD_SR.part_mag_05_borg</v>
      </c>
      <c r="F1013" s="102"/>
      <c r="G1013" s="102" t="str">
        <f>IFERROR(__xludf.DUMMYFUNCTION("""COMPUTED_VALUE"""),"2.1s Reload, -Damage, +Fire Rate, 18 Shots, Ripper Mag")</f>
        <v>2.1s Reload, -Damage, +Fire Rate, 18 Shots, Ripper Mag</v>
      </c>
      <c r="H1013" s="102"/>
      <c r="I1013" s="102"/>
      <c r="J1013" s="102"/>
      <c r="K1013" s="102"/>
      <c r="L1013" s="102"/>
    </row>
    <row r="1014">
      <c r="A1014" s="102" t="str">
        <f>IFERROR(__xludf.DUMMYFUNCTION("""COMPUTED_VALUE"""),"Order")</f>
        <v>Order</v>
      </c>
      <c r="B1014" s="102" t="str">
        <f>IFERROR(__xludf.DUMMYFUNCTION("""COMPUTED_VALUE"""),"Sniper")</f>
        <v>Sniper</v>
      </c>
      <c r="C1014" s="103">
        <f>IFERROR(__xludf.DUMMYFUNCTION("""COMPUTED_VALUE"""),31.0)</f>
        <v>31</v>
      </c>
      <c r="D1014" s="102" t="str">
        <f>IFERROR(__xludf.DUMMYFUNCTION("""COMPUTED_VALUE"""),"Stat Modifier")</f>
        <v>Stat Modifier</v>
      </c>
      <c r="E1014" s="102" t="str">
        <f>IFERROR(__xludf.DUMMYFUNCTION("""COMPUTED_VALUE"""),"ORD_SR.part_mag_ted_thrown_01")</f>
        <v>ORD_SR.part_mag_ted_thrown_01</v>
      </c>
      <c r="F1014" s="102"/>
      <c r="G1014" s="102" t="str">
        <f>IFERROR(__xludf.DUMMYFUNCTION("""COMPUTED_VALUE"""),"1.6s Reload")</f>
        <v>1.6s Reload</v>
      </c>
      <c r="H1014" s="102"/>
      <c r="I1014" s="102"/>
      <c r="J1014" s="102"/>
      <c r="K1014" s="102"/>
      <c r="L1014" s="102"/>
    </row>
    <row r="1015">
      <c r="A1015" s="102" t="str">
        <f>IFERROR(__xludf.DUMMYFUNCTION("""COMPUTED_VALUE"""),"Order")</f>
        <v>Order</v>
      </c>
      <c r="B1015" s="102" t="str">
        <f>IFERROR(__xludf.DUMMYFUNCTION("""COMPUTED_VALUE"""),"Sniper")</f>
        <v>Sniper</v>
      </c>
      <c r="C1015" s="103">
        <f>IFERROR(__xludf.DUMMYFUNCTION("""COMPUTED_VALUE"""),32.0)</f>
        <v>32</v>
      </c>
      <c r="D1015" s="102" t="str">
        <f>IFERROR(__xludf.DUMMYFUNCTION("""COMPUTED_VALUE"""),"Stat Modifier")</f>
        <v>Stat Modifier</v>
      </c>
      <c r="E1015" s="102" t="str">
        <f>IFERROR(__xludf.DUMMYFUNCTION("""COMPUTED_VALUE"""),"ORD_SR.part_mag_ted_thrown_02")</f>
        <v>ORD_SR.part_mag_ted_thrown_02</v>
      </c>
      <c r="F1015" s="102"/>
      <c r="G1015" s="102" t="str">
        <f>IFERROR(__xludf.DUMMYFUNCTION("""COMPUTED_VALUE"""),"1.6s Reload")</f>
        <v>1.6s Reload</v>
      </c>
      <c r="H1015" s="102"/>
      <c r="I1015" s="102"/>
      <c r="J1015" s="102"/>
      <c r="K1015" s="102"/>
      <c r="L1015" s="102"/>
    </row>
    <row r="1016">
      <c r="A1016" s="102" t="str">
        <f>IFERROR(__xludf.DUMMYFUNCTION("""COMPUTED_VALUE"""),"Order")</f>
        <v>Order</v>
      </c>
      <c r="B1016" s="102" t="str">
        <f>IFERROR(__xludf.DUMMYFUNCTION("""COMPUTED_VALUE"""),"Sniper")</f>
        <v>Sniper</v>
      </c>
      <c r="C1016" s="103">
        <f>IFERROR(__xludf.DUMMYFUNCTION("""COMPUTED_VALUE"""),33.0)</f>
        <v>33</v>
      </c>
      <c r="D1016" s="102" t="str">
        <f>IFERROR(__xludf.DUMMYFUNCTION("""COMPUTED_VALUE"""),"Stat Modifier")</f>
        <v>Stat Modifier</v>
      </c>
      <c r="E1016" s="102" t="str">
        <f>IFERROR(__xludf.DUMMYFUNCTION("""COMPUTED_VALUE"""),"ORD_SR.part_mag_ted_thrown_03_tor")</f>
        <v>ORD_SR.part_mag_ted_thrown_03_tor</v>
      </c>
      <c r="F1016" s="102"/>
      <c r="G1016" s="102" t="str">
        <f>IFERROR(__xludf.DUMMYFUNCTION("""COMPUTED_VALUE"""),"1.6s Reload")</f>
        <v>1.6s Reload</v>
      </c>
      <c r="H1016" s="102"/>
      <c r="I1016" s="102"/>
      <c r="J1016" s="102"/>
      <c r="K1016" s="102"/>
      <c r="L1016" s="102"/>
    </row>
    <row r="1017">
      <c r="A1017" s="102" t="str">
        <f>IFERROR(__xludf.DUMMYFUNCTION("""COMPUTED_VALUE"""),"Order")</f>
        <v>Order</v>
      </c>
      <c r="B1017" s="102" t="str">
        <f>IFERROR(__xludf.DUMMYFUNCTION("""COMPUTED_VALUE"""),"Sniper")</f>
        <v>Sniper</v>
      </c>
      <c r="C1017" s="103">
        <f>IFERROR(__xludf.DUMMYFUNCTION("""COMPUTED_VALUE"""),34.0)</f>
        <v>34</v>
      </c>
      <c r="D1017" s="102" t="str">
        <f>IFERROR(__xludf.DUMMYFUNCTION("""COMPUTED_VALUE"""),"Stat Modifier")</f>
        <v>Stat Modifier</v>
      </c>
      <c r="E1017" s="102" t="str">
        <f>IFERROR(__xludf.DUMMYFUNCTION("""COMPUTED_VALUE"""),"ORD_SR.part_mag_ted_thrown_04_cov")</f>
        <v>ORD_SR.part_mag_ted_thrown_04_cov</v>
      </c>
      <c r="F1017" s="102"/>
      <c r="G1017" s="102" t="str">
        <f>IFERROR(__xludf.DUMMYFUNCTION("""COMPUTED_VALUE"""),"3.0s Reload")</f>
        <v>3.0s Reload</v>
      </c>
      <c r="H1017" s="102"/>
      <c r="I1017" s="102"/>
      <c r="J1017" s="102"/>
      <c r="K1017" s="102"/>
      <c r="L1017" s="102"/>
    </row>
    <row r="1018">
      <c r="A1018" s="102" t="str">
        <f>IFERROR(__xludf.DUMMYFUNCTION("""COMPUTED_VALUE"""),"Order")</f>
        <v>Order</v>
      </c>
      <c r="B1018" s="102" t="str">
        <f>IFERROR(__xludf.DUMMYFUNCTION("""COMPUTED_VALUE"""),"Sniper")</f>
        <v>Sniper</v>
      </c>
      <c r="C1018" s="103">
        <f>IFERROR(__xludf.DUMMYFUNCTION("""COMPUTED_VALUE"""),35.0)</f>
        <v>35</v>
      </c>
      <c r="D1018" s="102" t="str">
        <f>IFERROR(__xludf.DUMMYFUNCTION("""COMPUTED_VALUE"""),"Stat Modifier")</f>
        <v>Stat Modifier</v>
      </c>
      <c r="E1018" s="102" t="str">
        <f>IFERROR(__xludf.DUMMYFUNCTION("""COMPUTED_VALUE"""),"ORD_SR.part_mag_ted_thrown_05_bor")</f>
        <v>ORD_SR.part_mag_ted_thrown_05_bor</v>
      </c>
      <c r="F1018" s="102"/>
      <c r="G1018" s="102" t="str">
        <f>IFERROR(__xludf.DUMMYFUNCTION("""COMPUTED_VALUE"""),"3.0s Reload")</f>
        <v>3.0s Reload</v>
      </c>
      <c r="H1018" s="102"/>
      <c r="I1018" s="102"/>
      <c r="J1018" s="102"/>
      <c r="K1018" s="102"/>
      <c r="L1018" s="102"/>
    </row>
    <row r="1019">
      <c r="A1019" s="102" t="str">
        <f>IFERROR(__xludf.DUMMYFUNCTION("""COMPUTED_VALUE"""),"Order")</f>
        <v>Order</v>
      </c>
      <c r="B1019" s="102" t="str">
        <f>IFERROR(__xludf.DUMMYFUNCTION("""COMPUTED_VALUE"""),"Sniper")</f>
        <v>Sniper</v>
      </c>
      <c r="C1019" s="103">
        <f>IFERROR(__xludf.DUMMYFUNCTION("""COMPUTED_VALUE"""),36.0)</f>
        <v>36</v>
      </c>
      <c r="D1019" s="102" t="str">
        <f>IFERROR(__xludf.DUMMYFUNCTION("""COMPUTED_VALUE"""),"Scope")</f>
        <v>Scope</v>
      </c>
      <c r="E1019" s="102" t="str">
        <f>IFERROR(__xludf.DUMMYFUNCTION("""COMPUTED_VALUE"""),"ORD_SR.part_scope_ironsight")</f>
        <v>ORD_SR.part_scope_ironsight</v>
      </c>
      <c r="F1019" s="102"/>
      <c r="G1019" s="102" t="str">
        <f>IFERROR(__xludf.DUMMYFUNCTION("""COMPUTED_VALUE"""),"ADS")</f>
        <v>ADS</v>
      </c>
      <c r="H1019" s="102"/>
      <c r="I1019" s="102"/>
      <c r="J1019" s="102"/>
      <c r="K1019" s="102"/>
      <c r="L1019" s="102"/>
    </row>
    <row r="1020">
      <c r="A1020" s="102" t="str">
        <f>IFERROR(__xludf.DUMMYFUNCTION("""COMPUTED_VALUE"""),"Order")</f>
        <v>Order</v>
      </c>
      <c r="B1020" s="102" t="str">
        <f>IFERROR(__xludf.DUMMYFUNCTION("""COMPUTED_VALUE"""),"Sniper")</f>
        <v>Sniper</v>
      </c>
      <c r="C1020" s="103">
        <f>IFERROR(__xludf.DUMMYFUNCTION("""COMPUTED_VALUE"""),37.0)</f>
        <v>37</v>
      </c>
      <c r="D1020" s="102" t="str">
        <f>IFERROR(__xludf.DUMMYFUNCTION("""COMPUTED_VALUE"""),"Scope")</f>
        <v>Scope</v>
      </c>
      <c r="E1020" s="102" t="str">
        <f>IFERROR(__xludf.DUMMYFUNCTION("""COMPUTED_VALUE"""),"ORD_SR.part_scope_01_lens_01")</f>
        <v>ORD_SR.part_scope_01_lens_01</v>
      </c>
      <c r="F1020" s="102"/>
      <c r="G1020" s="102" t="str">
        <f>IFERROR(__xludf.DUMMYFUNCTION("""COMPUTED_VALUE"""),"ADS +Zoom")</f>
        <v>ADS +Zoom</v>
      </c>
      <c r="H1020" s="102"/>
      <c r="I1020" s="102"/>
      <c r="J1020" s="102"/>
      <c r="K1020" s="102"/>
      <c r="L1020" s="102"/>
    </row>
    <row r="1021">
      <c r="A1021" s="102" t="str">
        <f>IFERROR(__xludf.DUMMYFUNCTION("""COMPUTED_VALUE"""),"Order")</f>
        <v>Order</v>
      </c>
      <c r="B1021" s="102" t="str">
        <f>IFERROR(__xludf.DUMMYFUNCTION("""COMPUTED_VALUE"""),"Sniper")</f>
        <v>Sniper</v>
      </c>
      <c r="C1021" s="103">
        <f>IFERROR(__xludf.DUMMYFUNCTION("""COMPUTED_VALUE"""),38.0)</f>
        <v>38</v>
      </c>
      <c r="D1021" s="102" t="str">
        <f>IFERROR(__xludf.DUMMYFUNCTION("""COMPUTED_VALUE"""),"Scope")</f>
        <v>Scope</v>
      </c>
      <c r="E1021" s="102" t="str">
        <f>IFERROR(__xludf.DUMMYFUNCTION("""COMPUTED_VALUE"""),"ORD_SR.part_scope_01_lens_02")</f>
        <v>ORD_SR.part_scope_01_lens_02</v>
      </c>
      <c r="F1021" s="102"/>
      <c r="G1021" s="102" t="str">
        <f>IFERROR(__xludf.DUMMYFUNCTION("""COMPUTED_VALUE"""),"ADS ++Zoom")</f>
        <v>ADS ++Zoom</v>
      </c>
      <c r="H1021" s="102" t="str">
        <f>IFERROR(__xludf.DUMMYFUNCTION("""COMPUTED_VALUE"""),"Sniper Scope")</f>
        <v>Sniper Scope</v>
      </c>
      <c r="I1021" s="102"/>
      <c r="J1021" s="102"/>
      <c r="K1021" s="102"/>
      <c r="L1021" s="102"/>
    </row>
    <row r="1022">
      <c r="A1022" s="102" t="str">
        <f>IFERROR(__xludf.DUMMYFUNCTION("""COMPUTED_VALUE"""),"Order")</f>
        <v>Order</v>
      </c>
      <c r="B1022" s="102" t="str">
        <f>IFERROR(__xludf.DUMMYFUNCTION("""COMPUTED_VALUE"""),"Sniper")</f>
        <v>Sniper</v>
      </c>
      <c r="C1022" s="103">
        <f>IFERROR(__xludf.DUMMYFUNCTION("""COMPUTED_VALUE"""),39.0)</f>
        <v>39</v>
      </c>
      <c r="D1022" s="102" t="str">
        <f>IFERROR(__xludf.DUMMYFUNCTION("""COMPUTED_VALUE"""),"Scope")</f>
        <v>Scope</v>
      </c>
      <c r="E1022" s="102" t="str">
        <f>IFERROR(__xludf.DUMMYFUNCTION("""COMPUTED_VALUE"""),"ORD_SR.part_scope_02_lens_01")</f>
        <v>ORD_SR.part_scope_02_lens_01</v>
      </c>
      <c r="F1022" s="102"/>
      <c r="G1022" s="102" t="str">
        <f>IFERROR(__xludf.DUMMYFUNCTION("""COMPUTED_VALUE"""),"ADS +++Zoom")</f>
        <v>ADS +++Zoom</v>
      </c>
      <c r="H1022" s="102" t="str">
        <f>IFERROR(__xludf.DUMMYFUNCTION("""COMPUTED_VALUE"""),"Sniper Scope")</f>
        <v>Sniper Scope</v>
      </c>
      <c r="I1022" s="102"/>
      <c r="J1022" s="102"/>
      <c r="K1022" s="102"/>
      <c r="L1022" s="102"/>
    </row>
    <row r="1023">
      <c r="A1023" s="102" t="str">
        <f>IFERROR(__xludf.DUMMYFUNCTION("""COMPUTED_VALUE"""),"Order")</f>
        <v>Order</v>
      </c>
      <c r="B1023" s="102" t="str">
        <f>IFERROR(__xludf.DUMMYFUNCTION("""COMPUTED_VALUE"""),"Sniper")</f>
        <v>Sniper</v>
      </c>
      <c r="C1023" s="103">
        <f>IFERROR(__xludf.DUMMYFUNCTION("""COMPUTED_VALUE"""),40.0)</f>
        <v>40</v>
      </c>
      <c r="D1023" s="102" t="str">
        <f>IFERROR(__xludf.DUMMYFUNCTION("""COMPUTED_VALUE"""),"Scope")</f>
        <v>Scope</v>
      </c>
      <c r="E1023" s="102" t="str">
        <f>IFERROR(__xludf.DUMMYFUNCTION("""COMPUTED_VALUE"""),"ORD_SR.part_scope_02_lens_02")</f>
        <v>ORD_SR.part_scope_02_lens_02</v>
      </c>
      <c r="F1023" s="102"/>
      <c r="G1023" s="102" t="str">
        <f>IFERROR(__xludf.DUMMYFUNCTION("""COMPUTED_VALUE"""),"ADS ++++Zoom")</f>
        <v>ADS ++++Zoom</v>
      </c>
      <c r="H1023" s="102" t="str">
        <f>IFERROR(__xludf.DUMMYFUNCTION("""COMPUTED_VALUE"""),"Sniper Scope")</f>
        <v>Sniper Scope</v>
      </c>
      <c r="I1023" s="102"/>
      <c r="J1023" s="102"/>
      <c r="K1023" s="102"/>
      <c r="L1023" s="102"/>
    </row>
    <row r="1024">
      <c r="A1024" s="102" t="str">
        <f>IFERROR(__xludf.DUMMYFUNCTION("""COMPUTED_VALUE"""),"Order")</f>
        <v>Order</v>
      </c>
      <c r="B1024" s="102" t="str">
        <f>IFERROR(__xludf.DUMMYFUNCTION("""COMPUTED_VALUE"""),"Sniper")</f>
        <v>Sniper</v>
      </c>
      <c r="C1024" s="103">
        <f>IFERROR(__xludf.DUMMYFUNCTION("""COMPUTED_VALUE"""),41.0)</f>
        <v>41</v>
      </c>
      <c r="D1024" s="102" t="str">
        <f>IFERROR(__xludf.DUMMYFUNCTION("""COMPUTED_VALUE"""),"Scope Accessory")</f>
        <v>Scope Accessory</v>
      </c>
      <c r="E1024" s="102" t="str">
        <f>IFERROR(__xludf.DUMMYFUNCTION("""COMPUTED_VALUE"""),"ORD_SR.part_scope_acc_s01_l01_a")</f>
        <v>ORD_SR.part_scope_acc_s01_l01_a</v>
      </c>
      <c r="F1024" s="102"/>
      <c r="G1024" s="102" t="str">
        <f>IFERROR(__xludf.DUMMYFUNCTION("""COMPUTED_VALUE"""),"+Damage")</f>
        <v>+Damage</v>
      </c>
      <c r="H1024" s="102" t="str">
        <f>IFERROR(__xludf.DUMMYFUNCTION("""COMPUTED_VALUE"""),"HUD Elements")</f>
        <v>HUD Elements</v>
      </c>
      <c r="I1024" s="102"/>
      <c r="J1024" s="102"/>
      <c r="K1024" s="102"/>
      <c r="L1024" s="102"/>
    </row>
    <row r="1025">
      <c r="A1025" s="102" t="str">
        <f>IFERROR(__xludf.DUMMYFUNCTION("""COMPUTED_VALUE"""),"Order")</f>
        <v>Order</v>
      </c>
      <c r="B1025" s="102" t="str">
        <f>IFERROR(__xludf.DUMMYFUNCTION("""COMPUTED_VALUE"""),"Sniper")</f>
        <v>Sniper</v>
      </c>
      <c r="C1025" s="103">
        <f>IFERROR(__xludf.DUMMYFUNCTION("""COMPUTED_VALUE"""),42.0)</f>
        <v>42</v>
      </c>
      <c r="D1025" s="102" t="str">
        <f>IFERROR(__xludf.DUMMYFUNCTION("""COMPUTED_VALUE"""),"Scope Accessory")</f>
        <v>Scope Accessory</v>
      </c>
      <c r="E1025" s="102" t="str">
        <f>IFERROR(__xludf.DUMMYFUNCTION("""COMPUTED_VALUE"""),"ORD_SR.part_scope_acc_s01_l01_b")</f>
        <v>ORD_SR.part_scope_acc_s01_l01_b</v>
      </c>
      <c r="F1025" s="102"/>
      <c r="G1025" s="102" t="str">
        <f>IFERROR(__xludf.DUMMYFUNCTION("""COMPUTED_VALUE"""),"-Reload Speed")</f>
        <v>-Reload Speed</v>
      </c>
      <c r="H1025" s="102"/>
      <c r="I1025" s="102"/>
      <c r="J1025" s="102"/>
      <c r="K1025" s="102"/>
      <c r="L1025" s="102"/>
    </row>
    <row r="1026">
      <c r="A1026" s="102" t="str">
        <f>IFERROR(__xludf.DUMMYFUNCTION("""COMPUTED_VALUE"""),"Order")</f>
        <v>Order</v>
      </c>
      <c r="B1026" s="102" t="str">
        <f>IFERROR(__xludf.DUMMYFUNCTION("""COMPUTED_VALUE"""),"Sniper")</f>
        <v>Sniper</v>
      </c>
      <c r="C1026" s="103">
        <f>IFERROR(__xludf.DUMMYFUNCTION("""COMPUTED_VALUE"""),43.0)</f>
        <v>43</v>
      </c>
      <c r="D1026" s="102" t="str">
        <f>IFERROR(__xludf.DUMMYFUNCTION("""COMPUTED_VALUE"""),"Scope Accessory")</f>
        <v>Scope Accessory</v>
      </c>
      <c r="E1026" s="102" t="str">
        <f>IFERROR(__xludf.DUMMYFUNCTION("""COMPUTED_VALUE"""),"ORD_SR.part_scope_acc_s02_l01_a")</f>
        <v>ORD_SR.part_scope_acc_s02_l01_a</v>
      </c>
      <c r="F1026" s="102"/>
      <c r="G1026" s="102" t="str">
        <f>IFERROR(__xludf.DUMMYFUNCTION("""COMPUTED_VALUE"""),"No Stat Changes")</f>
        <v>No Stat Changes</v>
      </c>
      <c r="H1026" s="102" t="str">
        <f>IFERROR(__xludf.DUMMYFUNCTION("""COMPUTED_VALUE"""),"HUD Elements")</f>
        <v>HUD Elements</v>
      </c>
      <c r="I1026" s="102"/>
      <c r="J1026" s="102"/>
      <c r="K1026" s="102"/>
      <c r="L1026" s="102"/>
    </row>
    <row r="1027">
      <c r="A1027" s="102" t="str">
        <f>IFERROR(__xludf.DUMMYFUNCTION("""COMPUTED_VALUE"""),"Order")</f>
        <v>Order</v>
      </c>
      <c r="B1027" s="102" t="str">
        <f>IFERROR(__xludf.DUMMYFUNCTION("""COMPUTED_VALUE"""),"Sniper")</f>
        <v>Sniper</v>
      </c>
      <c r="C1027" s="103">
        <f>IFERROR(__xludf.DUMMYFUNCTION("""COMPUTED_VALUE"""),44.0)</f>
        <v>44</v>
      </c>
      <c r="D1027" s="102" t="str">
        <f>IFERROR(__xludf.DUMMYFUNCTION("""COMPUTED_VALUE"""),"Scope Accessory")</f>
        <v>Scope Accessory</v>
      </c>
      <c r="E1027" s="102" t="str">
        <f>IFERROR(__xludf.DUMMYFUNCTION("""COMPUTED_VALUE"""),"ORD_SR.part_scope_acc_s02_l01_b")</f>
        <v>ORD_SR.part_scope_acc_s02_l01_b</v>
      </c>
      <c r="F1027" s="102"/>
      <c r="G1027" s="102" t="str">
        <f>IFERROR(__xludf.DUMMYFUNCTION("""COMPUTED_VALUE"""),"+Crit Damage")</f>
        <v>+Crit Damage</v>
      </c>
      <c r="H1027" s="102" t="str">
        <f>IFERROR(__xludf.DUMMYFUNCTION("""COMPUTED_VALUE"""),"HUD Elements")</f>
        <v>HUD Elements</v>
      </c>
      <c r="I1027" s="102"/>
      <c r="J1027" s="102"/>
      <c r="K1027" s="102"/>
      <c r="L1027" s="102"/>
    </row>
    <row r="1028">
      <c r="A1028" s="102" t="str">
        <f>IFERROR(__xludf.DUMMYFUNCTION("""COMPUTED_VALUE"""),"Order")</f>
        <v>Order</v>
      </c>
      <c r="B1028" s="102" t="str">
        <f>IFERROR(__xludf.DUMMYFUNCTION("""COMPUTED_VALUE"""),"Sniper")</f>
        <v>Sniper</v>
      </c>
      <c r="C1028" s="103">
        <f>IFERROR(__xludf.DUMMYFUNCTION("""COMPUTED_VALUE"""),45.0)</f>
        <v>45</v>
      </c>
      <c r="D1028" s="102" t="str">
        <f>IFERROR(__xludf.DUMMYFUNCTION("""COMPUTED_VALUE"""),"Scope Accessory")</f>
        <v>Scope Accessory</v>
      </c>
      <c r="E1028" s="102" t="str">
        <f>IFERROR(__xludf.DUMMYFUNCTION("""COMPUTED_VALUE"""),"ORD_SR.part_scope_acc_s01_l02_a")</f>
        <v>ORD_SR.part_scope_acc_s01_l02_a</v>
      </c>
      <c r="F1028" s="102"/>
      <c r="G1028" s="102" t="str">
        <f>IFERROR(__xludf.DUMMYFUNCTION("""COMPUTED_VALUE"""),"+Damage")</f>
        <v>+Damage</v>
      </c>
      <c r="H1028" s="102" t="str">
        <f>IFERROR(__xludf.DUMMYFUNCTION("""COMPUTED_VALUE"""),"HUD Elements")</f>
        <v>HUD Elements</v>
      </c>
      <c r="I1028" s="102"/>
      <c r="J1028" s="102"/>
      <c r="K1028" s="102"/>
      <c r="L1028" s="102"/>
    </row>
    <row r="1029">
      <c r="A1029" s="102" t="str">
        <f>IFERROR(__xludf.DUMMYFUNCTION("""COMPUTED_VALUE"""),"Order")</f>
        <v>Order</v>
      </c>
      <c r="B1029" s="102" t="str">
        <f>IFERROR(__xludf.DUMMYFUNCTION("""COMPUTED_VALUE"""),"Sniper")</f>
        <v>Sniper</v>
      </c>
      <c r="C1029" s="103">
        <f>IFERROR(__xludf.DUMMYFUNCTION("""COMPUTED_VALUE"""),46.0)</f>
        <v>46</v>
      </c>
      <c r="D1029" s="102" t="str">
        <f>IFERROR(__xludf.DUMMYFUNCTION("""COMPUTED_VALUE"""),"Scope Accessory")</f>
        <v>Scope Accessory</v>
      </c>
      <c r="E1029" s="102" t="str">
        <f>IFERROR(__xludf.DUMMYFUNCTION("""COMPUTED_VALUE"""),"ORD_SR.part_scope_acc_s01_l02_b")</f>
        <v>ORD_SR.part_scope_acc_s01_l02_b</v>
      </c>
      <c r="F1029" s="102"/>
      <c r="G1029" s="102" t="str">
        <f>IFERROR(__xludf.DUMMYFUNCTION("""COMPUTED_VALUE"""),"-Reload Speed")</f>
        <v>-Reload Speed</v>
      </c>
      <c r="H1029" s="102" t="str">
        <f>IFERROR(__xludf.DUMMYFUNCTION("""COMPUTED_VALUE"""),"HUD Elements")</f>
        <v>HUD Elements</v>
      </c>
      <c r="I1029" s="102"/>
      <c r="J1029" s="102"/>
      <c r="K1029" s="102"/>
      <c r="L1029" s="102"/>
    </row>
    <row r="1030">
      <c r="A1030" s="102" t="str">
        <f>IFERROR(__xludf.DUMMYFUNCTION("""COMPUTED_VALUE"""),"Order")</f>
        <v>Order</v>
      </c>
      <c r="B1030" s="102" t="str">
        <f>IFERROR(__xludf.DUMMYFUNCTION("""COMPUTED_VALUE"""),"Sniper")</f>
        <v>Sniper</v>
      </c>
      <c r="C1030" s="103">
        <f>IFERROR(__xludf.DUMMYFUNCTION("""COMPUTED_VALUE"""),47.0)</f>
        <v>47</v>
      </c>
      <c r="D1030" s="102" t="str">
        <f>IFERROR(__xludf.DUMMYFUNCTION("""COMPUTED_VALUE"""),"Scope Accessory")</f>
        <v>Scope Accessory</v>
      </c>
      <c r="E1030" s="102" t="str">
        <f>IFERROR(__xludf.DUMMYFUNCTION("""COMPUTED_VALUE"""),"ORD_SR.part_scope_acc_s02_l02_a")</f>
        <v>ORD_SR.part_scope_acc_s02_l02_a</v>
      </c>
      <c r="F1030" s="102"/>
      <c r="G1030" s="102" t="str">
        <f>IFERROR(__xludf.DUMMYFUNCTION("""COMPUTED_VALUE"""),"No Stat Changes")</f>
        <v>No Stat Changes</v>
      </c>
      <c r="H1030" s="102" t="str">
        <f>IFERROR(__xludf.DUMMYFUNCTION("""COMPUTED_VALUE"""),"HUD Elements")</f>
        <v>HUD Elements</v>
      </c>
      <c r="I1030" s="102"/>
      <c r="J1030" s="102"/>
      <c r="K1030" s="102"/>
      <c r="L1030" s="102"/>
    </row>
    <row r="1031">
      <c r="A1031" s="102" t="str">
        <f>IFERROR(__xludf.DUMMYFUNCTION("""COMPUTED_VALUE"""),"Order")</f>
        <v>Order</v>
      </c>
      <c r="B1031" s="102" t="str">
        <f>IFERROR(__xludf.DUMMYFUNCTION("""COMPUTED_VALUE"""),"Sniper")</f>
        <v>Sniper</v>
      </c>
      <c r="C1031" s="103">
        <f>IFERROR(__xludf.DUMMYFUNCTION("""COMPUTED_VALUE"""),48.0)</f>
        <v>48</v>
      </c>
      <c r="D1031" s="102" t="str">
        <f>IFERROR(__xludf.DUMMYFUNCTION("""COMPUTED_VALUE"""),"Scope Accessory")</f>
        <v>Scope Accessory</v>
      </c>
      <c r="E1031" s="102" t="str">
        <f>IFERROR(__xludf.DUMMYFUNCTION("""COMPUTED_VALUE"""),"ORD_SR.part_scope_acc_s02_l02_b")</f>
        <v>ORD_SR.part_scope_acc_s02_l02_b</v>
      </c>
      <c r="F1031" s="102"/>
      <c r="G1031" s="102" t="str">
        <f>IFERROR(__xludf.DUMMYFUNCTION("""COMPUTED_VALUE"""),"+Crit Damage")</f>
        <v>+Crit Damage</v>
      </c>
      <c r="H1031" s="102" t="str">
        <f>IFERROR(__xludf.DUMMYFUNCTION("""COMPUTED_VALUE"""),"HUD Elements")</f>
        <v>HUD Elements</v>
      </c>
      <c r="I1031" s="102"/>
      <c r="J1031" s="102"/>
      <c r="K1031" s="102"/>
      <c r="L1031" s="102"/>
    </row>
    <row r="1032">
      <c r="A1032" s="102" t="str">
        <f>IFERROR(__xludf.DUMMYFUNCTION("""COMPUTED_VALUE"""),"Order")</f>
        <v>Order</v>
      </c>
      <c r="B1032" s="102" t="str">
        <f>IFERROR(__xludf.DUMMYFUNCTION("""COMPUTED_VALUE"""),"Sniper")</f>
        <v>Sniper</v>
      </c>
      <c r="C1032" s="103">
        <f>IFERROR(__xludf.DUMMYFUNCTION("""COMPUTED_VALUE"""),49.0)</f>
        <v>49</v>
      </c>
      <c r="D1032" s="102" t="str">
        <f>IFERROR(__xludf.DUMMYFUNCTION("""COMPUTED_VALUE"""),"Grip")</f>
        <v>Grip</v>
      </c>
      <c r="E1032" s="102" t="str">
        <f>IFERROR(__xludf.DUMMYFUNCTION("""COMPUTED_VALUE"""),"ORD_SR.part_grip_05c_ted_jav")</f>
        <v>ORD_SR.part_grip_05c_ted_jav</v>
      </c>
      <c r="F1032" s="102"/>
      <c r="G1032" s="102" t="str">
        <f>IFERROR(__xludf.DUMMYFUNCTION("""COMPUTED_VALUE"""),"Tediore reload modifier: Javelin, no stat changes")</f>
        <v>Tediore reload modifier: Javelin, no stat changes</v>
      </c>
      <c r="H1032" s="102"/>
      <c r="I1032" s="102"/>
      <c r="J1032" s="102"/>
      <c r="K1032" s="102"/>
      <c r="L1032" s="102"/>
    </row>
    <row r="1033">
      <c r="A1033" s="102" t="str">
        <f>IFERROR(__xludf.DUMMYFUNCTION("""COMPUTED_VALUE"""),"Order")</f>
        <v>Order</v>
      </c>
      <c r="B1033" s="102" t="str">
        <f>IFERROR(__xludf.DUMMYFUNCTION("""COMPUTED_VALUE"""),"Sniper")</f>
        <v>Sniper</v>
      </c>
      <c r="C1033" s="103">
        <f>IFERROR(__xludf.DUMMYFUNCTION("""COMPUTED_VALUE"""),50.0)</f>
        <v>50</v>
      </c>
      <c r="D1033" s="102" t="str">
        <f>IFERROR(__xludf.DUMMYFUNCTION("""COMPUTED_VALUE"""),"Grip")</f>
        <v>Grip</v>
      </c>
      <c r="E1033" s="102" t="str">
        <f>IFERROR(__xludf.DUMMYFUNCTION("""COMPUTED_VALUE"""),"ORD_SR.part_grip_05b_ted_homing")</f>
        <v>ORD_SR.part_grip_05b_ted_homing</v>
      </c>
      <c r="F1033" s="102"/>
      <c r="G1033" s="102" t="str">
        <f>IFERROR(__xludf.DUMMYFUNCTION("""COMPUTED_VALUE"""),"Tediore reload modifier: Homing, no stat changes")</f>
        <v>Tediore reload modifier: Homing, no stat changes</v>
      </c>
      <c r="H1033" s="102"/>
      <c r="I1033" s="102"/>
      <c r="J1033" s="102"/>
      <c r="K1033" s="102"/>
      <c r="L1033" s="102"/>
    </row>
    <row r="1034">
      <c r="A1034" s="102" t="str">
        <f>IFERROR(__xludf.DUMMYFUNCTION("""COMPUTED_VALUE"""),"Order")</f>
        <v>Order</v>
      </c>
      <c r="B1034" s="102" t="str">
        <f>IFERROR(__xludf.DUMMYFUNCTION("""COMPUTED_VALUE"""),"Sniper")</f>
        <v>Sniper</v>
      </c>
      <c r="C1034" s="103">
        <f>IFERROR(__xludf.DUMMYFUNCTION("""COMPUTED_VALUE"""),51.0)</f>
        <v>51</v>
      </c>
      <c r="D1034" s="102" t="str">
        <f>IFERROR(__xludf.DUMMYFUNCTION("""COMPUTED_VALUE"""),"Grip")</f>
        <v>Grip</v>
      </c>
      <c r="E1034" s="102" t="str">
        <f>IFERROR(__xludf.DUMMYFUNCTION("""COMPUTED_VALUE"""),"ORD_SR.part_grip_05a_ted_legs")</f>
        <v>ORD_SR.part_grip_05a_ted_legs</v>
      </c>
      <c r="F1034" s="102"/>
      <c r="G1034" s="102" t="str">
        <f>IFERROR(__xludf.DUMMYFUNCTION("""COMPUTED_VALUE"""),"Tediore reload modifier: Legs, no stat changes")</f>
        <v>Tediore reload modifier: Legs, no stat changes</v>
      </c>
      <c r="H1034" s="102"/>
      <c r="I1034" s="102"/>
      <c r="J1034" s="102"/>
      <c r="K1034" s="102"/>
      <c r="L1034" s="102"/>
    </row>
    <row r="1035">
      <c r="A1035" s="102" t="str">
        <f>IFERROR(__xludf.DUMMYFUNCTION("""COMPUTED_VALUE"""),"Order")</f>
        <v>Order</v>
      </c>
      <c r="B1035" s="102" t="str">
        <f>IFERROR(__xludf.DUMMYFUNCTION("""COMPUTED_VALUE"""),"Sniper")</f>
        <v>Sniper</v>
      </c>
      <c r="C1035" s="103">
        <f>IFERROR(__xludf.DUMMYFUNCTION("""COMPUTED_VALUE"""),52.0)</f>
        <v>52</v>
      </c>
      <c r="D1035" s="102" t="str">
        <f>IFERROR(__xludf.DUMMYFUNCTION("""COMPUTED_VALUE"""),"Grip")</f>
        <v>Grip</v>
      </c>
      <c r="E1035" s="102" t="str">
        <f>IFERROR(__xludf.DUMMYFUNCTION("""COMPUTED_VALUE"""),"ORD_SR.part_grip_04_hyp")</f>
        <v>ORD_SR.part_grip_04_hyp</v>
      </c>
      <c r="F1035" s="102"/>
      <c r="G1035" s="102" t="str">
        <f>IFERROR(__xludf.DUMMYFUNCTION("""COMPUTED_VALUE"""),"Hyperion Grip, -Acc, Acc increases with continuous fire")</f>
        <v>Hyperion Grip, -Acc, Acc increases with continuous fire</v>
      </c>
      <c r="H1035" s="102"/>
      <c r="I1035" s="102"/>
      <c r="J1035" s="102"/>
      <c r="K1035" s="102"/>
      <c r="L1035" s="102"/>
    </row>
    <row r="1036">
      <c r="A1036" s="102" t="str">
        <f>IFERROR(__xludf.DUMMYFUNCTION("""COMPUTED_VALUE"""),"Order")</f>
        <v>Order</v>
      </c>
      <c r="B1036" s="102" t="str">
        <f>IFERROR(__xludf.DUMMYFUNCTION("""COMPUTED_VALUE"""),"Sniper")</f>
        <v>Sniper</v>
      </c>
      <c r="C1036" s="103">
        <f>IFERROR(__xludf.DUMMYFUNCTION("""COMPUTED_VALUE"""),53.0)</f>
        <v>53</v>
      </c>
      <c r="D1036" s="102" t="str">
        <f>IFERROR(__xludf.DUMMYFUNCTION("""COMPUTED_VALUE"""),"Grip")</f>
        <v>Grip</v>
      </c>
      <c r="E1036" s="102" t="str">
        <f>IFERROR(__xludf.DUMMYFUNCTION("""COMPUTED_VALUE"""),"ORD_SR.part_grip_01")</f>
        <v>ORD_SR.part_grip_01</v>
      </c>
      <c r="F1036" s="102"/>
      <c r="G1036" s="102" t="str">
        <f>IFERROR(__xludf.DUMMYFUNCTION("""COMPUTED_VALUE"""),"+Damage")</f>
        <v>+Damage</v>
      </c>
      <c r="H1036" s="102"/>
      <c r="I1036" s="102"/>
      <c r="J1036" s="102"/>
      <c r="K1036" s="102"/>
      <c r="L1036" s="102"/>
    </row>
    <row r="1037">
      <c r="A1037" s="102" t="str">
        <f>IFERROR(__xludf.DUMMYFUNCTION("""COMPUTED_VALUE"""),"Order")</f>
        <v>Order</v>
      </c>
      <c r="B1037" s="102" t="str">
        <f>IFERROR(__xludf.DUMMYFUNCTION("""COMPUTED_VALUE"""),"Sniper")</f>
        <v>Sniper</v>
      </c>
      <c r="C1037" s="103">
        <f>IFERROR(__xludf.DUMMYFUNCTION("""COMPUTED_VALUE"""),54.0)</f>
        <v>54</v>
      </c>
      <c r="D1037" s="102" t="str">
        <f>IFERROR(__xludf.DUMMYFUNCTION("""COMPUTED_VALUE"""),"Grip")</f>
        <v>Grip</v>
      </c>
      <c r="E1037" s="102" t="str">
        <f>IFERROR(__xludf.DUMMYFUNCTION("""COMPUTED_VALUE"""),"ORD_SR.part_grip_02")</f>
        <v>ORD_SR.part_grip_02</v>
      </c>
      <c r="F1037" s="102"/>
      <c r="G1037" s="102" t="str">
        <f>IFERROR(__xludf.DUMMYFUNCTION("""COMPUTED_VALUE"""),"+Fire Rate")</f>
        <v>+Fire Rate</v>
      </c>
      <c r="H1037" s="102"/>
      <c r="I1037" s="102"/>
      <c r="J1037" s="102"/>
      <c r="K1037" s="102"/>
      <c r="L1037" s="102"/>
    </row>
    <row r="1038">
      <c r="A1038" s="102" t="str">
        <f>IFERROR(__xludf.DUMMYFUNCTION("""COMPUTED_VALUE"""),"Order")</f>
        <v>Order</v>
      </c>
      <c r="B1038" s="102" t="str">
        <f>IFERROR(__xludf.DUMMYFUNCTION("""COMPUTED_VALUE"""),"Sniper")</f>
        <v>Sniper</v>
      </c>
      <c r="C1038" s="103">
        <f>IFERROR(__xludf.DUMMYFUNCTION("""COMPUTED_VALUE"""),55.0)</f>
        <v>55</v>
      </c>
      <c r="D1038" s="102" t="str">
        <f>IFERROR(__xludf.DUMMYFUNCTION("""COMPUTED_VALUE"""),"Grip")</f>
        <v>Grip</v>
      </c>
      <c r="E1038" s="102" t="str">
        <f>IFERROR(__xludf.DUMMYFUNCTION("""COMPUTED_VALUE"""),"ORD_SR.part_grip_03")</f>
        <v>ORD_SR.part_grip_03</v>
      </c>
      <c r="F1038" s="102"/>
      <c r="G1038" s="102" t="str">
        <f>IFERROR(__xludf.DUMMYFUNCTION("""COMPUTED_VALUE"""),"-Reload Speed")</f>
        <v>-Reload Speed</v>
      </c>
      <c r="H1038" s="102"/>
      <c r="I1038" s="102"/>
      <c r="J1038" s="102"/>
      <c r="K1038" s="102"/>
      <c r="L1038" s="102"/>
    </row>
    <row r="1039">
      <c r="A1039" s="102" t="str">
        <f>IFERROR(__xludf.DUMMYFUNCTION("""COMPUTED_VALUE"""),"Order")</f>
        <v>Order</v>
      </c>
      <c r="B1039" s="102" t="str">
        <f>IFERROR(__xludf.DUMMYFUNCTION("""COMPUTED_VALUE"""),"Sniper")</f>
        <v>Sniper</v>
      </c>
      <c r="C1039" s="103">
        <f>IFERROR(__xludf.DUMMYFUNCTION("""COMPUTED_VALUE"""),56.0)</f>
        <v>56</v>
      </c>
      <c r="D1039" s="102" t="str">
        <f>IFERROR(__xludf.DUMMYFUNCTION("""COMPUTED_VALUE"""),"Underbarrel")</f>
        <v>Underbarrel</v>
      </c>
      <c r="E1039" s="102" t="str">
        <f>IFERROR(__xludf.DUMMYFUNCTION("""COMPUTED_VALUE"""),"ORD_SR.part_underbarrel_05_ammoswitcher")</f>
        <v>ORD_SR.part_underbarrel_05_ammoswitcher</v>
      </c>
      <c r="F1039" s="102"/>
      <c r="G1039" s="102" t="str">
        <f>IFERROR(__xludf.DUMMYFUNCTION("""COMPUTED_VALUE"""),"Daedalus Ammo Switch")</f>
        <v>Daedalus Ammo Switch</v>
      </c>
      <c r="H1039" s="102" t="str">
        <f>IFERROR(__xludf.DUMMYFUNCTION("""COMPUTED_VALUE"""),"Used for Daedalus Ammo switch")</f>
        <v>Used for Daedalus Ammo switch</v>
      </c>
      <c r="I1039" s="102"/>
      <c r="J1039" s="102"/>
      <c r="K1039" s="102"/>
      <c r="L1039" s="102"/>
    </row>
    <row r="1040">
      <c r="A1040" s="102" t="str">
        <f>IFERROR(__xludf.DUMMYFUNCTION("""COMPUTED_VALUE"""),"Order")</f>
        <v>Order</v>
      </c>
      <c r="B1040" s="102" t="str">
        <f>IFERROR(__xludf.DUMMYFUNCTION("""COMPUTED_VALUE"""),"Sniper")</f>
        <v>Sniper</v>
      </c>
      <c r="C1040" s="103">
        <f>IFERROR(__xludf.DUMMYFUNCTION("""COMPUTED_VALUE"""),57.0)</f>
        <v>57</v>
      </c>
      <c r="D1040" s="102" t="str">
        <f>IFERROR(__xludf.DUMMYFUNCTION("""COMPUTED_VALUE"""),"Underbarrel")</f>
        <v>Underbarrel</v>
      </c>
      <c r="E1040" s="102" t="str">
        <f>IFERROR(__xludf.DUMMYFUNCTION("""COMPUTED_VALUE"""),"ORD_SR.part_underbarrel_02_tether_snare")</f>
        <v>ORD_SR.part_underbarrel_02_tether_snare</v>
      </c>
      <c r="F1040" s="102"/>
      <c r="G1040" s="102" t="str">
        <f>IFERROR(__xludf.DUMMYFUNCTION("""COMPUTED_VALUE"""),"Alt Fire - Tether Snare")</f>
        <v>Alt Fire - Tether Snare</v>
      </c>
      <c r="H1040" s="102" t="str">
        <f>IFERROR(__xludf.DUMMYFUNCTION("""COMPUTED_VALUE"""),"Fires a tether that creates Beams between all other tethers, dealing XXX Damage/s")</f>
        <v>Fires a tether that creates Beams between all other tethers, dealing XXX Damage/s</v>
      </c>
      <c r="I1040" s="102"/>
      <c r="J1040" s="102"/>
      <c r="K1040" s="102"/>
      <c r="L1040" s="102"/>
    </row>
    <row r="1041">
      <c r="A1041" s="102" t="str">
        <f>IFERROR(__xludf.DUMMYFUNCTION("""COMPUTED_VALUE"""),"Order")</f>
        <v>Order</v>
      </c>
      <c r="B1041" s="102" t="str">
        <f>IFERROR(__xludf.DUMMYFUNCTION("""COMPUTED_VALUE"""),"Sniper")</f>
        <v>Sniper</v>
      </c>
      <c r="C1041" s="103">
        <f>IFERROR(__xludf.DUMMYFUNCTION("""COMPUTED_VALUE"""),58.0)</f>
        <v>58</v>
      </c>
      <c r="D1041" s="102" t="str">
        <f>IFERROR(__xludf.DUMMYFUNCTION("""COMPUTED_VALUE"""),"Underbarrel")</f>
        <v>Underbarrel</v>
      </c>
      <c r="E1041" s="102" t="str">
        <f>IFERROR(__xludf.DUMMYFUNCTION("""COMPUTED_VALUE"""),"ORD_SR.part_underbarrel_03_railgun")</f>
        <v>ORD_SR.part_underbarrel_03_railgun</v>
      </c>
      <c r="F1041" s="102"/>
      <c r="G1041" s="102" t="str">
        <f>IFERROR(__xludf.DUMMYFUNCTION("""COMPUTED_VALUE"""),"Alt Fire - Railgun")</f>
        <v>Alt Fire - Railgun</v>
      </c>
      <c r="H1041" s="102" t="str">
        <f>IFERROR(__xludf.DUMMYFUNCTION("""COMPUTED_VALUE"""),"Charge-fires dual Railguns that deal XXX x 2 Damage per shot. SHOCK")</f>
        <v>Charge-fires dual Railguns that deal XXX x 2 Damage per shot. SHOCK</v>
      </c>
      <c r="I1041" s="102"/>
      <c r="J1041" s="102"/>
      <c r="K1041" s="102"/>
      <c r="L1041" s="102"/>
    </row>
    <row r="1042">
      <c r="A1042" s="102" t="str">
        <f>IFERROR(__xludf.DUMMYFUNCTION("""COMPUTED_VALUE"""),"Order")</f>
        <v>Order</v>
      </c>
      <c r="B1042" s="102" t="str">
        <f>IFERROR(__xludf.DUMMYFUNCTION("""COMPUTED_VALUE"""),"Sniper")</f>
        <v>Sniper</v>
      </c>
      <c r="C1042" s="103">
        <f>IFERROR(__xludf.DUMMYFUNCTION("""COMPUTED_VALUE"""),59.0)</f>
        <v>59</v>
      </c>
      <c r="D1042" s="102" t="str">
        <f>IFERROR(__xludf.DUMMYFUNCTION("""COMPUTED_VALUE"""),"Underbarrel")</f>
        <v>Underbarrel</v>
      </c>
      <c r="E1042" s="102" t="str">
        <f>IFERROR(__xludf.DUMMYFUNCTION("""COMPUTED_VALUE"""),"ORD_SR.part_underbarrel_04_atlas")</f>
        <v>ORD_SR.part_underbarrel_04_atlas</v>
      </c>
      <c r="F1042" s="102"/>
      <c r="G1042" s="102" t="str">
        <f>IFERROR(__xludf.DUMMYFUNCTION("""COMPUTED_VALUE"""),"Atlas Tracker Darts")</f>
        <v>Atlas Tracker Darts</v>
      </c>
      <c r="H1042" s="102"/>
      <c r="I1042" s="102"/>
      <c r="J1042" s="102"/>
      <c r="K1042" s="102"/>
      <c r="L1042" s="102"/>
    </row>
    <row r="1043">
      <c r="A1043" s="102" t="str">
        <f>IFERROR(__xludf.DUMMYFUNCTION("""COMPUTED_VALUE"""),"Order")</f>
        <v>Order</v>
      </c>
      <c r="B1043" s="102" t="str">
        <f>IFERROR(__xludf.DUMMYFUNCTION("""COMPUTED_VALUE"""),"Sniper")</f>
        <v>Sniper</v>
      </c>
      <c r="C1043" s="103">
        <f>IFERROR(__xludf.DUMMYFUNCTION("""COMPUTED_VALUE"""),60.0)</f>
        <v>60</v>
      </c>
      <c r="D1043" s="102" t="str">
        <f>IFERROR(__xludf.DUMMYFUNCTION("""COMPUTED_VALUE"""),"Foregrip")</f>
        <v>Foregrip</v>
      </c>
      <c r="E1043" s="102" t="str">
        <f>IFERROR(__xludf.DUMMYFUNCTION("""COMPUTED_VALUE"""),"ORD_SR.part_foregrip_02")</f>
        <v>ORD_SR.part_foregrip_02</v>
      </c>
      <c r="F1043" s="102"/>
      <c r="G1043" s="102" t="str">
        <f>IFERROR(__xludf.DUMMYFUNCTION("""COMPUTED_VALUE"""),"+Crit Damage")</f>
        <v>+Crit Damage</v>
      </c>
      <c r="H1043" s="102"/>
      <c r="I1043" s="102"/>
      <c r="J1043" s="102"/>
      <c r="K1043" s="102"/>
      <c r="L1043" s="102"/>
    </row>
    <row r="1044">
      <c r="A1044" s="102" t="str">
        <f>IFERROR(__xludf.DUMMYFUNCTION("""COMPUTED_VALUE"""),"Order")</f>
        <v>Order</v>
      </c>
      <c r="B1044" s="102" t="str">
        <f>IFERROR(__xludf.DUMMYFUNCTION("""COMPUTED_VALUE"""),"Sniper")</f>
        <v>Sniper</v>
      </c>
      <c r="C1044" s="103">
        <f>IFERROR(__xludf.DUMMYFUNCTION("""COMPUTED_VALUE"""),61.0)</f>
        <v>61</v>
      </c>
      <c r="D1044" s="102" t="str">
        <f>IFERROR(__xludf.DUMMYFUNCTION("""COMPUTED_VALUE"""),"Foregrip")</f>
        <v>Foregrip</v>
      </c>
      <c r="E1044" s="102" t="str">
        <f>IFERROR(__xludf.DUMMYFUNCTION("""COMPUTED_VALUE"""),"ORD_SR.part_foregrip_03")</f>
        <v>ORD_SR.part_foregrip_03</v>
      </c>
      <c r="F1044" s="102"/>
      <c r="G1044" s="102" t="str">
        <f>IFERROR(__xludf.DUMMYFUNCTION("""COMPUTED_VALUE"""),"No Stat Changes")</f>
        <v>No Stat Changes</v>
      </c>
      <c r="H1044" s="102"/>
      <c r="I1044" s="102"/>
      <c r="J1044" s="102"/>
      <c r="K1044" s="102"/>
      <c r="L1044" s="102"/>
    </row>
    <row r="1045">
      <c r="A1045" s="102" t="str">
        <f>IFERROR(__xludf.DUMMYFUNCTION("""COMPUTED_VALUE"""),"Order")</f>
        <v>Order</v>
      </c>
      <c r="B1045" s="102" t="str">
        <f>IFERROR(__xludf.DUMMYFUNCTION("""COMPUTED_VALUE"""),"Sniper")</f>
        <v>Sniper</v>
      </c>
      <c r="C1045" s="103">
        <f>IFERROR(__xludf.DUMMYFUNCTION("""COMPUTED_VALUE"""),62.0)</f>
        <v>62</v>
      </c>
      <c r="D1045" s="102" t="str">
        <f>IFERROR(__xludf.DUMMYFUNCTION("""COMPUTED_VALUE"""),"Underbarrel")</f>
        <v>Underbarrel</v>
      </c>
      <c r="E1045" s="102" t="str">
        <f>IFERROR(__xludf.DUMMYFUNCTION("""COMPUTED_VALUE"""),"ORD_SR.part_underbarrel_01_spear")</f>
        <v>ORD_SR.part_underbarrel_01_spear</v>
      </c>
      <c r="F1045" s="102"/>
      <c r="G1045" s="102" t="str">
        <f>IFERROR(__xludf.DUMMYFUNCTION("""COMPUTED_VALUE"""),"Alt Fire - Ordonite Spike")</f>
        <v>Alt Fire - Ordonite Spike</v>
      </c>
      <c r="H1045" s="102" t="str">
        <f>IFERROR(__xludf.DUMMYFUNCTION("""COMPUTED_VALUE"""),"Launches a Spike that drains power from nearby enemies before exploding for up to XXX Damage")</f>
        <v>Launches a Spike that drains power from nearby enemies before exploding for up to XXX Damage</v>
      </c>
      <c r="I1045" s="102"/>
      <c r="J1045" s="102"/>
      <c r="K1045" s="102"/>
      <c r="L1045" s="102"/>
    </row>
    <row r="1046">
      <c r="A1046" s="102" t="str">
        <f>IFERROR(__xludf.DUMMYFUNCTION("""COMPUTED_VALUE"""),"Order")</f>
        <v>Order</v>
      </c>
      <c r="B1046" s="102" t="str">
        <f>IFERROR(__xludf.DUMMYFUNCTION("""COMPUTED_VALUE"""),"Sniper")</f>
        <v>Sniper</v>
      </c>
      <c r="C1046" s="103">
        <f>IFERROR(__xludf.DUMMYFUNCTION("""COMPUTED_VALUE"""),63.0)</f>
        <v>63</v>
      </c>
      <c r="D1046" s="102" t="str">
        <f>IFERROR(__xludf.DUMMYFUNCTION("""COMPUTED_VALUE"""),"Underbarrel")</f>
        <v>Underbarrel</v>
      </c>
      <c r="E1046" s="102" t="str">
        <f>IFERROR(__xludf.DUMMYFUNCTION("""COMPUTED_VALUE"""),"ORD_SR.part_underbarrel_04_atlas_ball")</f>
        <v>ORD_SR.part_underbarrel_04_atlas_ball</v>
      </c>
      <c r="F1046" s="102"/>
      <c r="G1046" s="102" t="str">
        <f>IFERROR(__xludf.DUMMYFUNCTION("""COMPUTED_VALUE"""),"Atlas Tracker Grenades")</f>
        <v>Atlas Tracker Grenades</v>
      </c>
      <c r="H1046" s="102"/>
      <c r="I1046" s="102"/>
      <c r="J1046" s="102"/>
      <c r="K1046" s="102"/>
      <c r="L1046" s="102"/>
    </row>
    <row r="1047">
      <c r="A1047" s="102" t="str">
        <f>IFERROR(__xludf.DUMMYFUNCTION("""COMPUTED_VALUE"""),"Order")</f>
        <v>Order</v>
      </c>
      <c r="B1047" s="102" t="str">
        <f>IFERROR(__xludf.DUMMYFUNCTION("""COMPUTED_VALUE"""),"Sniper")</f>
        <v>Sniper</v>
      </c>
      <c r="C1047" s="103">
        <f>IFERROR(__xludf.DUMMYFUNCTION("""COMPUTED_VALUE"""),64.0)</f>
        <v>64</v>
      </c>
      <c r="D1047" s="102" t="str">
        <f>IFERROR(__xludf.DUMMYFUNCTION("""COMPUTED_VALUE"""),"Foregrip")</f>
        <v>Foregrip</v>
      </c>
      <c r="E1047" s="102" t="str">
        <f>IFERROR(__xludf.DUMMYFUNCTION("""COMPUTED_VALUE"""),"ORD_SR.part_foregrip_01")</f>
        <v>ORD_SR.part_foregrip_01</v>
      </c>
      <c r="F1047" s="102"/>
      <c r="G1047" s="102" t="str">
        <f>IFERROR(__xludf.DUMMYFUNCTION("""COMPUTED_VALUE"""),"+Damage")</f>
        <v>+Damage</v>
      </c>
      <c r="H1047" s="102"/>
      <c r="I1047" s="102"/>
      <c r="J1047" s="102"/>
      <c r="K1047" s="102"/>
      <c r="L1047" s="102"/>
    </row>
    <row r="1048">
      <c r="A1048" s="102" t="str">
        <f>IFERROR(__xludf.DUMMYFUNCTION("""COMPUTED_VALUE"""),"Order")</f>
        <v>Order</v>
      </c>
      <c r="B1048" s="102" t="str">
        <f>IFERROR(__xludf.DUMMYFUNCTION("""COMPUTED_VALUE"""),"Sniper")</f>
        <v>Sniper</v>
      </c>
      <c r="C1048" s="103">
        <f>IFERROR(__xludf.DUMMYFUNCTION("""COMPUTED_VALUE"""),65.0)</f>
        <v>65</v>
      </c>
      <c r="D1048" s="102" t="str">
        <f>IFERROR(__xludf.DUMMYFUNCTION("""COMPUTED_VALUE"""),"Manufacturer Part")</f>
        <v>Manufacturer Part</v>
      </c>
      <c r="E1048" s="102" t="str">
        <f>IFERROR(__xludf.DUMMYFUNCTION("""COMPUTED_VALUE"""),"ORD_SR.part_secondary_ammo_sm")</f>
        <v>ORD_SR.part_secondary_ammo_sm</v>
      </c>
      <c r="F1048" s="102"/>
      <c r="G1048" s="102" t="str">
        <f>IFERROR(__xludf.DUMMYFUNCTION("""COMPUTED_VALUE"""),"Daedalus SMG Ammo")</f>
        <v>Daedalus SMG Ammo</v>
      </c>
      <c r="H1048" s="102"/>
      <c r="I1048" s="102"/>
      <c r="J1048" s="102"/>
      <c r="K1048" s="102"/>
      <c r="L1048" s="102"/>
    </row>
    <row r="1049">
      <c r="A1049" s="102" t="str">
        <f>IFERROR(__xludf.DUMMYFUNCTION("""COMPUTED_VALUE"""),"Order")</f>
        <v>Order</v>
      </c>
      <c r="B1049" s="102" t="str">
        <f>IFERROR(__xludf.DUMMYFUNCTION("""COMPUTED_VALUE"""),"Sniper")</f>
        <v>Sniper</v>
      </c>
      <c r="C1049" s="103">
        <f>IFERROR(__xludf.DUMMYFUNCTION("""COMPUTED_VALUE"""),66.0)</f>
        <v>66</v>
      </c>
      <c r="D1049" s="102" t="str">
        <f>IFERROR(__xludf.DUMMYFUNCTION("""COMPUTED_VALUE"""),"Manufacturer Part")</f>
        <v>Manufacturer Part</v>
      </c>
      <c r="E1049" s="102" t="str">
        <f>IFERROR(__xludf.DUMMYFUNCTION("""COMPUTED_VALUE"""),"ORD_SR.part_secondary_ammo_sg")</f>
        <v>ORD_SR.part_secondary_ammo_sg</v>
      </c>
      <c r="F1049" s="102"/>
      <c r="G1049" s="102" t="str">
        <f>IFERROR(__xludf.DUMMYFUNCTION("""COMPUTED_VALUE"""),"Daedalus Shotgun Ammo")</f>
        <v>Daedalus Shotgun Ammo</v>
      </c>
      <c r="H1049" s="102"/>
      <c r="I1049" s="102"/>
      <c r="J1049" s="102"/>
      <c r="K1049" s="102"/>
      <c r="L1049" s="102"/>
    </row>
    <row r="1050">
      <c r="A1050" s="102" t="str">
        <f>IFERROR(__xludf.DUMMYFUNCTION("""COMPUTED_VALUE"""),"Order")</f>
        <v>Order</v>
      </c>
      <c r="B1050" s="102" t="str">
        <f>IFERROR(__xludf.DUMMYFUNCTION("""COMPUTED_VALUE"""),"Sniper")</f>
        <v>Sniper</v>
      </c>
      <c r="C1050" s="103">
        <f>IFERROR(__xludf.DUMMYFUNCTION("""COMPUTED_VALUE"""),67.0)</f>
        <v>67</v>
      </c>
      <c r="D1050" s="102" t="str">
        <f>IFERROR(__xludf.DUMMYFUNCTION("""COMPUTED_VALUE"""),"Manufacturer Part")</f>
        <v>Manufacturer Part</v>
      </c>
      <c r="E1050" s="102" t="str">
        <f>IFERROR(__xludf.DUMMYFUNCTION("""COMPUTED_VALUE"""),"ORD_SR.part_secondary_ammo_ar")</f>
        <v>ORD_SR.part_secondary_ammo_ar</v>
      </c>
      <c r="F1050" s="102"/>
      <c r="G1050" s="102" t="str">
        <f>IFERROR(__xludf.DUMMYFUNCTION("""COMPUTED_VALUE"""),"Daedalus AR Ammo")</f>
        <v>Daedalus AR Ammo</v>
      </c>
      <c r="H1050" s="102"/>
      <c r="I1050" s="102"/>
      <c r="J1050" s="102"/>
      <c r="K1050" s="102"/>
      <c r="L1050" s="102"/>
    </row>
    <row r="1051">
      <c r="A1051" s="102" t="str">
        <f>IFERROR(__xludf.DUMMYFUNCTION("""COMPUTED_VALUE"""),"Order")</f>
        <v>Order</v>
      </c>
      <c r="B1051" s="102" t="str">
        <f>IFERROR(__xludf.DUMMYFUNCTION("""COMPUTED_VALUE"""),"Sniper")</f>
        <v>Sniper</v>
      </c>
      <c r="C1051" s="103">
        <f>IFERROR(__xludf.DUMMYFUNCTION("""COMPUTED_VALUE"""),68.0)</f>
        <v>68</v>
      </c>
      <c r="D1051" s="102" t="str">
        <f>IFERROR(__xludf.DUMMYFUNCTION("""COMPUTED_VALUE"""),"Manufacturer Part")</f>
        <v>Manufacturer Part</v>
      </c>
      <c r="E1051" s="102" t="str">
        <f>IFERROR(__xludf.DUMMYFUNCTION("""COMPUTED_VALUE"""),"ORD_SR.part_secondary_ammo_ps")</f>
        <v>ORD_SR.part_secondary_ammo_ps</v>
      </c>
      <c r="F1051" s="102"/>
      <c r="G1051" s="102" t="str">
        <f>IFERROR(__xludf.DUMMYFUNCTION("""COMPUTED_VALUE"""),"Daedalus Pistol Ammo")</f>
        <v>Daedalus Pistol Ammo</v>
      </c>
      <c r="H1051" s="102"/>
      <c r="I1051" s="102"/>
      <c r="J1051" s="102"/>
      <c r="K1051" s="102"/>
      <c r="L1051" s="102"/>
    </row>
    <row r="1052">
      <c r="A1052" s="102" t="str">
        <f>IFERROR(__xludf.DUMMYFUNCTION("""COMPUTED_VALUE"""),"Order")</f>
        <v>Order</v>
      </c>
      <c r="B1052" s="102" t="str">
        <f>IFERROR(__xludf.DUMMYFUNCTION("""COMPUTED_VALUE"""),"Sniper")</f>
        <v>Sniper</v>
      </c>
      <c r="C1052" s="103">
        <f>IFERROR(__xludf.DUMMYFUNCTION("""COMPUTED_VALUE"""),69.0)</f>
        <v>69</v>
      </c>
      <c r="D1052" s="102" t="str">
        <f>IFERROR(__xludf.DUMMYFUNCTION("""COMPUTED_VALUE"""),"Manufacturer Part")</f>
        <v>Manufacturer Part</v>
      </c>
      <c r="E1052" s="102" t="str">
        <f>IFERROR(__xludf.DUMMYFUNCTION("""COMPUTED_VALUE"""),"ORD_SR.part_mag_torgue_normal")</f>
        <v>ORD_SR.part_mag_torgue_normal</v>
      </c>
      <c r="F1052" s="102"/>
      <c r="G1052" s="102" t="str">
        <f>IFERROR(__xludf.DUMMYFUNCTION("""COMPUTED_VALUE"""),"Torgue Impact Gyrojets")</f>
        <v>Torgue Impact Gyrojets</v>
      </c>
      <c r="H1052" s="102"/>
      <c r="I1052" s="102"/>
      <c r="J1052" s="102"/>
      <c r="K1052" s="102"/>
      <c r="L1052" s="102"/>
    </row>
    <row r="1053">
      <c r="A1053" s="102" t="str">
        <f>IFERROR(__xludf.DUMMYFUNCTION("""COMPUTED_VALUE"""),"Order")</f>
        <v>Order</v>
      </c>
      <c r="B1053" s="102" t="str">
        <f>IFERROR(__xludf.DUMMYFUNCTION("""COMPUTED_VALUE"""),"Sniper")</f>
        <v>Sniper</v>
      </c>
      <c r="C1053" s="103">
        <f>IFERROR(__xludf.DUMMYFUNCTION("""COMPUTED_VALUE"""),70.0)</f>
        <v>70</v>
      </c>
      <c r="D1053" s="102" t="str">
        <f>IFERROR(__xludf.DUMMYFUNCTION("""COMPUTED_VALUE"""),"Manufacturer Part")</f>
        <v>Manufacturer Part</v>
      </c>
      <c r="E1053" s="102" t="str">
        <f>IFERROR(__xludf.DUMMYFUNCTION("""COMPUTED_VALUE"""),"ORD_SR.part_mag_torgue_sticky")</f>
        <v>ORD_SR.part_mag_torgue_sticky</v>
      </c>
      <c r="F1053" s="102"/>
      <c r="G1053" s="102" t="str">
        <f>IFERROR(__xludf.DUMMYFUNCTION("""COMPUTED_VALUE"""),"Torgue Sticky Gyrojets")</f>
        <v>Torgue Sticky Gyrojets</v>
      </c>
      <c r="H1053" s="102"/>
      <c r="I1053" s="102"/>
      <c r="J1053" s="102"/>
      <c r="K1053" s="102"/>
      <c r="L1053" s="102"/>
    </row>
    <row r="1054">
      <c r="A1054" s="102" t="str">
        <f>IFERROR(__xludf.DUMMYFUNCTION("""COMPUTED_VALUE"""),"Order")</f>
        <v>Order</v>
      </c>
      <c r="B1054" s="102" t="str">
        <f>IFERROR(__xludf.DUMMYFUNCTION("""COMPUTED_VALUE"""),"Sniper")</f>
        <v>Sniper</v>
      </c>
      <c r="C1054" s="103">
        <f>IFERROR(__xludf.DUMMYFUNCTION("""COMPUTED_VALUE"""),71.0)</f>
        <v>71</v>
      </c>
      <c r="D1054" s="102" t="str">
        <f>IFERROR(__xludf.DUMMYFUNCTION("""COMPUTED_VALUE"""),"Magazine")</f>
        <v>Magazine</v>
      </c>
      <c r="E1054" s="102" t="str">
        <f>IFERROR(__xludf.DUMMYFUNCTION("""COMPUTED_VALUE"""),"ORD_SR.part_mag_03_tor")</f>
        <v>ORD_SR.part_mag_03_tor</v>
      </c>
      <c r="F1054" s="102"/>
      <c r="G1054" s="102" t="str">
        <f>IFERROR(__xludf.DUMMYFUNCTION("""COMPUTED_VALUE"""),"2.1s Reload, +Damage, -Fire Rate, 9 Shots, Torgue")</f>
        <v>2.1s Reload, +Damage, -Fire Rate, 9 Shots, Torgue</v>
      </c>
      <c r="H1054" s="102"/>
      <c r="I1054" s="102"/>
      <c r="J1054" s="102"/>
      <c r="K1054" s="102"/>
      <c r="L1054" s="102"/>
    </row>
    <row r="1055">
      <c r="A1055" s="102" t="str">
        <f>IFERROR(__xludf.DUMMYFUNCTION("""COMPUTED_VALUE"""),"Order")</f>
        <v>Order</v>
      </c>
      <c r="B1055" s="102" t="str">
        <f>IFERROR(__xludf.DUMMYFUNCTION("""COMPUTED_VALUE"""),"Sniper")</f>
        <v>Sniper</v>
      </c>
      <c r="C1055" s="103">
        <f>IFERROR(__xludf.DUMMYFUNCTION("""COMPUTED_VALUE"""),72.0)</f>
        <v>72</v>
      </c>
      <c r="D1055" s="102" t="str">
        <f>IFERROR(__xludf.DUMMYFUNCTION("""COMPUTED_VALUE"""),"Barrel")</f>
        <v>Barrel</v>
      </c>
      <c r="E1055" s="102" t="str">
        <f>IFERROR(__xludf.DUMMYFUNCTION("""COMPUTED_VALUE"""),"ORD_SR.part_barrel_02_symmetry")</f>
        <v>ORD_SR.part_barrel_02_symmetry</v>
      </c>
      <c r="F1055" s="102"/>
      <c r="G1055" s="102" t="str">
        <f>IFERROR(__xludf.DUMMYFUNCTION("""COMPUTED_VALUE"""),"Symmetry, 3045 Damage, 92% Acc, 1.5/s FR")</f>
        <v>Symmetry, 3045 Damage, 92% Acc, 1.5/s FR</v>
      </c>
      <c r="H1055" s="102" t="str">
        <f>IFERROR(__xludf.DUMMYFUNCTION("""COMPUTED_VALUE"""),"Bilateral - Fires from reserve Ammo while charging")</f>
        <v>Bilateral - Fires from reserve Ammo while charging</v>
      </c>
      <c r="I1055" s="102"/>
      <c r="J1055" s="102"/>
      <c r="K1055" s="102"/>
      <c r="L1055" s="102"/>
    </row>
    <row r="1056">
      <c r="A1056" s="102" t="str">
        <f>IFERROR(__xludf.DUMMYFUNCTION("""COMPUTED_VALUE"""),"Order")</f>
        <v>Order</v>
      </c>
      <c r="B1056" s="102" t="str">
        <f>IFERROR(__xludf.DUMMYFUNCTION("""COMPUTED_VALUE"""),"Sniper")</f>
        <v>Sniper</v>
      </c>
      <c r="C1056" s="103">
        <f>IFERROR(__xludf.DUMMYFUNCTION("""COMPUTED_VALUE"""),74.0)</f>
        <v>74</v>
      </c>
      <c r="D1056" s="102" t="str">
        <f>IFERROR(__xludf.DUMMYFUNCTION("""COMPUTED_VALUE"""),"Magazine")</f>
        <v>Magazine</v>
      </c>
      <c r="E1056" s="102" t="str">
        <f>IFERROR(__xludf.DUMMYFUNCTION("""COMPUTED_VALUE"""),"ORD_SR.part_mag_01_fisheye")</f>
        <v>ORD_SR.part_mag_01_fisheye</v>
      </c>
      <c r="F1056" s="102"/>
      <c r="G1056" s="102" t="str">
        <f>IFERROR(__xludf.DUMMYFUNCTION("""COMPUTED_VALUE"""),"2.3s Reload, 3 Shots")</f>
        <v>2.3s Reload, 3 Shots</v>
      </c>
      <c r="H1056" s="102" t="str">
        <f>IFERROR(__xludf.DUMMYFUNCTION("""COMPUTED_VALUE"""),"Fisheye Mag")</f>
        <v>Fisheye Mag</v>
      </c>
      <c r="I1056" s="102"/>
      <c r="J1056" s="102"/>
      <c r="K1056" s="102"/>
      <c r="L1056" s="102"/>
    </row>
    <row r="1057">
      <c r="A1057" s="102" t="str">
        <f>IFERROR(__xludf.DUMMYFUNCTION("""COMPUTED_VALUE"""),"Order")</f>
        <v>Order</v>
      </c>
      <c r="B1057" s="102" t="str">
        <f>IFERROR(__xludf.DUMMYFUNCTION("""COMPUTED_VALUE"""),"Sniper")</f>
        <v>Sniper</v>
      </c>
      <c r="C1057" s="103">
        <f>IFERROR(__xludf.DUMMYFUNCTION("""COMPUTED_VALUE"""),75.0)</f>
        <v>75</v>
      </c>
      <c r="D1057" s="102" t="str">
        <f>IFERROR(__xludf.DUMMYFUNCTION("""COMPUTED_VALUE"""),"Barrel")</f>
        <v>Barrel</v>
      </c>
      <c r="E1057" s="102" t="str">
        <f>IFERROR(__xludf.DUMMYFUNCTION("""COMPUTED_VALUE"""),"ORD_SR.part_barrel_01_fisheye")</f>
        <v>ORD_SR.part_barrel_01_fisheye</v>
      </c>
      <c r="F1057" s="102"/>
      <c r="G1057" s="102" t="str">
        <f>IFERROR(__xludf.DUMMYFUNCTION("""COMPUTED_VALUE"""),"Fisheye, 4919 Damage, 83% Acc, 1.2/s FR, +40% Crit Damage")</f>
        <v>Fisheye, 4919 Damage, 83% Acc, 1.2/s FR, +40% Crit Damage</v>
      </c>
      <c r="H1057" s="102" t="str">
        <f>IFERROR(__xludf.DUMMYFUNCTION("""COMPUTED_VALUE"""),"Ultima Raito Regum - Fires wide, penerating triple Railgun shots with +40% Critical Damage")</f>
        <v>Ultima Raito Regum - Fires wide, penerating triple Railgun shots with +40% Critical Damage</v>
      </c>
      <c r="I1057" s="102"/>
      <c r="J1057" s="102"/>
      <c r="K1057" s="102"/>
      <c r="L1057" s="102"/>
    </row>
    <row r="1058">
      <c r="A1058" s="102" t="str">
        <f>IFERROR(__xludf.DUMMYFUNCTION("""COMPUTED_VALUE"""),"Order")</f>
        <v>Order</v>
      </c>
      <c r="B1058" s="102" t="str">
        <f>IFERROR(__xludf.DUMMYFUNCTION("""COMPUTED_VALUE"""),"Sniper")</f>
        <v>Sniper</v>
      </c>
      <c r="C1058" s="103">
        <f>IFERROR(__xludf.DUMMYFUNCTION("""COMPUTED_VALUE"""),77.0)</f>
        <v>77</v>
      </c>
      <c r="D1058" s="102" t="str">
        <f>IFERROR(__xludf.DUMMYFUNCTION("""COMPUTED_VALUE"""),"Underbarrel")</f>
        <v>Underbarrel</v>
      </c>
      <c r="E1058" s="102" t="str">
        <f>IFERROR(__xludf.DUMMYFUNCTION("""COMPUTED_VALUE"""),"ORD_SR.part_underbarrel_03_seamstress")</f>
        <v>ORD_SR.part_underbarrel_03_seamstress</v>
      </c>
      <c r="F1058" s="102"/>
      <c r="G1058" s="102" t="str">
        <f>IFERROR(__xludf.DUMMYFUNCTION("""COMPUTED_VALUE"""),"Switch for Rooker Underbarrel")</f>
        <v>Switch for Rooker Underbarrel</v>
      </c>
      <c r="H1058" s="102"/>
      <c r="I1058" s="102"/>
      <c r="J1058" s="102"/>
      <c r="K1058" s="102"/>
      <c r="L1058" s="102"/>
    </row>
    <row r="1059">
      <c r="A1059" s="102" t="str">
        <f>IFERROR(__xludf.DUMMYFUNCTION("""COMPUTED_VALUE"""),"Order")</f>
        <v>Order</v>
      </c>
      <c r="B1059" s="102" t="str">
        <f>IFERROR(__xludf.DUMMYFUNCTION("""COMPUTED_VALUE"""),"Sniper")</f>
        <v>Sniper</v>
      </c>
      <c r="C1059" s="103">
        <f>IFERROR(__xludf.DUMMYFUNCTION("""COMPUTED_VALUE"""),78.0)</f>
        <v>78</v>
      </c>
      <c r="D1059" s="102" t="str">
        <f>IFERROR(__xludf.DUMMYFUNCTION("""COMPUTED_VALUE"""),"Barrel")</f>
        <v>Barrel</v>
      </c>
      <c r="E1059" s="102" t="str">
        <f>IFERROR(__xludf.DUMMYFUNCTION("""COMPUTED_VALUE"""),"ORD_SR.part_barrel_01_seamstress")</f>
        <v>ORD_SR.part_barrel_01_seamstress</v>
      </c>
      <c r="F1059" s="102"/>
      <c r="G1059" s="102" t="str">
        <f>IFERROR(__xludf.DUMMYFUNCTION("""COMPUTED_VALUE"""),"Rooker, 2342 Damage, 83% Acc, 2.0/s FR, +55% Crit Damage")</f>
        <v>Rooker, 2342 Damage, 83% Acc, 2.0/s FR, +55% Crit Damage</v>
      </c>
      <c r="H1059" s="102" t="str">
        <f>IFERROR(__xludf.DUMMYFUNCTION("""COMPUTED_VALUE"""),"Callous - Fires 2 Needles that continuously home in on enemies you are aiming at.")</f>
        <v>Callous - Fires 2 Needles that continuously home in on enemies you are aiming at.</v>
      </c>
      <c r="I1059" s="102"/>
      <c r="J1059" s="102"/>
      <c r="K1059" s="102"/>
      <c r="L1059" s="102"/>
    </row>
    <row r="1060">
      <c r="A1060" s="102" t="str">
        <f>IFERROR(__xludf.DUMMYFUNCTION("""COMPUTED_VALUE"""),"Ripper")</f>
        <v>Ripper</v>
      </c>
      <c r="B1060" s="102" t="str">
        <f>IFERROR(__xludf.DUMMYFUNCTION("""COMPUTED_VALUE"""),"Shotgun")</f>
        <v>Shotgun</v>
      </c>
      <c r="C1060" s="103">
        <f>IFERROR(__xludf.DUMMYFUNCTION("""COMPUTED_VALUE"""),1.0)</f>
        <v>1</v>
      </c>
      <c r="D1060" s="102" t="str">
        <f>IFERROR(__xludf.DUMMYFUNCTION("""COMPUTED_VALUE"""),"Barrel")</f>
        <v>Barrel</v>
      </c>
      <c r="E1060" s="102" t="str">
        <f>IFERROR(__xludf.DUMMYFUNCTION("""COMPUTED_VALUE"""),"BOR_SG.part_barrel_02_goremaster")</f>
        <v>BOR_SG.part_barrel_02_goremaster</v>
      </c>
      <c r="F1060" s="102"/>
      <c r="G1060" s="102" t="str">
        <f>IFERROR(__xludf.DUMMYFUNCTION("""COMPUTED_VALUE"""),"Goremaster, 349 x 6 Damage, 70% Acc, 3.0/s FR")</f>
        <v>Goremaster, 349 x 6 Damage, 70% Acc, 3.0/s FR</v>
      </c>
      <c r="H1060" s="102" t="str">
        <f>IFERROR(__xludf.DUMMYFUNCTION("""COMPUTED_VALUE"""),"Chief Execution Officer - Deals +30% Damage to enemies below 30% Health")</f>
        <v>Chief Execution Officer - Deals +30% Damage to enemies below 30% Health</v>
      </c>
      <c r="I1060" s="102"/>
      <c r="J1060" s="102"/>
      <c r="K1060" s="102"/>
      <c r="L1060" s="102"/>
    </row>
    <row r="1061">
      <c r="A1061" s="102" t="str">
        <f>IFERROR(__xludf.DUMMYFUNCTION("""COMPUTED_VALUE"""),"Ripper")</f>
        <v>Ripper</v>
      </c>
      <c r="B1061" s="102" t="str">
        <f>IFERROR(__xludf.DUMMYFUNCTION("""COMPUTED_VALUE"""),"Shotgun")</f>
        <v>Shotgun</v>
      </c>
      <c r="C1061" s="103">
        <f>IFERROR(__xludf.DUMMYFUNCTION("""COMPUTED_VALUE"""),2.0)</f>
        <v>2</v>
      </c>
      <c r="D1061" s="102" t="str">
        <f>IFERROR(__xludf.DUMMYFUNCTION("""COMPUTED_VALUE"""),"Body")</f>
        <v>Body</v>
      </c>
      <c r="E1061" s="102" t="str">
        <f>IFERROR(__xludf.DUMMYFUNCTION("""COMPUTED_VALUE"""),"BOR_SG.part_body")</f>
        <v>BOR_SG.part_body</v>
      </c>
      <c r="F1061" s="102"/>
      <c r="G1061" s="102" t="str">
        <f>IFERROR(__xludf.DUMMYFUNCTION("""COMPUTED_VALUE"""),"No Stat Changes, always present")</f>
        <v>No Stat Changes, always present</v>
      </c>
      <c r="H1061" s="102"/>
      <c r="I1061" s="102"/>
      <c r="J1061" s="102"/>
      <c r="K1061" s="102"/>
      <c r="L1061" s="102"/>
    </row>
    <row r="1062">
      <c r="A1062" s="102" t="str">
        <f>IFERROR(__xludf.DUMMYFUNCTION("""COMPUTED_VALUE"""),"Ripper")</f>
        <v>Ripper</v>
      </c>
      <c r="B1062" s="102" t="str">
        <f>IFERROR(__xludf.DUMMYFUNCTION("""COMPUTED_VALUE"""),"Shotgun")</f>
        <v>Shotgun</v>
      </c>
      <c r="C1062" s="103">
        <f>IFERROR(__xludf.DUMMYFUNCTION("""COMPUTED_VALUE"""),3.0)</f>
        <v>3</v>
      </c>
      <c r="D1062" s="102" t="str">
        <f>IFERROR(__xludf.DUMMYFUNCTION("""COMPUTED_VALUE"""),"Body Accessory")</f>
        <v>Body Accessory</v>
      </c>
      <c r="E1062" s="102" t="str">
        <f>IFERROR(__xludf.DUMMYFUNCTION("""COMPUTED_VALUE"""),"BOR_SG.part_body_a")</f>
        <v>BOR_SG.part_body_a</v>
      </c>
      <c r="F1062" s="102"/>
      <c r="G1062" s="102" t="str">
        <f>IFERROR(__xludf.DUMMYFUNCTION("""COMPUTED_VALUE"""),"-Reload Speed")</f>
        <v>-Reload Speed</v>
      </c>
      <c r="H1062" s="102"/>
      <c r="I1062" s="102"/>
      <c r="J1062" s="102"/>
      <c r="K1062" s="102"/>
      <c r="L1062" s="102"/>
    </row>
    <row r="1063">
      <c r="A1063" s="102" t="str">
        <f>IFERROR(__xludf.DUMMYFUNCTION("""COMPUTED_VALUE"""),"Ripper")</f>
        <v>Ripper</v>
      </c>
      <c r="B1063" s="102" t="str">
        <f>IFERROR(__xludf.DUMMYFUNCTION("""COMPUTED_VALUE"""),"Shotgun")</f>
        <v>Shotgun</v>
      </c>
      <c r="C1063" s="103">
        <f>IFERROR(__xludf.DUMMYFUNCTION("""COMPUTED_VALUE"""),4.0)</f>
        <v>4</v>
      </c>
      <c r="D1063" s="102" t="str">
        <f>IFERROR(__xludf.DUMMYFUNCTION("""COMPUTED_VALUE"""),"Body Accessory")</f>
        <v>Body Accessory</v>
      </c>
      <c r="E1063" s="102" t="str">
        <f>IFERROR(__xludf.DUMMYFUNCTION("""COMPUTED_VALUE"""),"BOR_SG.part_body_b")</f>
        <v>BOR_SG.part_body_b</v>
      </c>
      <c r="F1063" s="102"/>
      <c r="G1063" s="102" t="str">
        <f>IFERROR(__xludf.DUMMYFUNCTION("""COMPUTED_VALUE"""),"+Ammo")</f>
        <v>+Ammo</v>
      </c>
      <c r="H1063" s="102"/>
      <c r="I1063" s="102"/>
      <c r="J1063" s="102"/>
      <c r="K1063" s="102"/>
      <c r="L1063" s="102"/>
    </row>
    <row r="1064">
      <c r="A1064" s="102" t="str">
        <f>IFERROR(__xludf.DUMMYFUNCTION("""COMPUTED_VALUE"""),"Ripper")</f>
        <v>Ripper</v>
      </c>
      <c r="B1064" s="102" t="str">
        <f>IFERROR(__xludf.DUMMYFUNCTION("""COMPUTED_VALUE"""),"Shotgun")</f>
        <v>Shotgun</v>
      </c>
      <c r="C1064" s="103">
        <f>IFERROR(__xludf.DUMMYFUNCTION("""COMPUTED_VALUE"""),5.0)</f>
        <v>5</v>
      </c>
      <c r="D1064" s="102" t="str">
        <f>IFERROR(__xludf.DUMMYFUNCTION("""COMPUTED_VALUE"""),"Body Accessory")</f>
        <v>Body Accessory</v>
      </c>
      <c r="E1064" s="102" t="str">
        <f>IFERROR(__xludf.DUMMYFUNCTION("""COMPUTED_VALUE"""),"BOR_SG.part_body_c")</f>
        <v>BOR_SG.part_body_c</v>
      </c>
      <c r="F1064" s="102"/>
      <c r="G1064" s="102" t="str">
        <f>IFERROR(__xludf.DUMMYFUNCTION("""COMPUTED_VALUE"""),"+Accuracy")</f>
        <v>+Accuracy</v>
      </c>
      <c r="H1064" s="102"/>
      <c r="I1064" s="102"/>
      <c r="J1064" s="102"/>
      <c r="K1064" s="102"/>
      <c r="L1064" s="102"/>
    </row>
    <row r="1065">
      <c r="A1065" s="102" t="str">
        <f>IFERROR(__xludf.DUMMYFUNCTION("""COMPUTED_VALUE"""),"Ripper")</f>
        <v>Ripper</v>
      </c>
      <c r="B1065" s="102" t="str">
        <f>IFERROR(__xludf.DUMMYFUNCTION("""COMPUTED_VALUE"""),"Shotgun")</f>
        <v>Shotgun</v>
      </c>
      <c r="C1065" s="103">
        <f>IFERROR(__xludf.DUMMYFUNCTION("""COMPUTED_VALUE"""),6.0)</f>
        <v>6</v>
      </c>
      <c r="D1065" s="102" t="str">
        <f>IFERROR(__xludf.DUMMYFUNCTION("""COMPUTED_VALUE"""),"Body Accessory")</f>
        <v>Body Accessory</v>
      </c>
      <c r="E1065" s="102" t="str">
        <f>IFERROR(__xludf.DUMMYFUNCTION("""COMPUTED_VALUE"""),"BOR_SG.part_body_d")</f>
        <v>BOR_SG.part_body_d</v>
      </c>
      <c r="F1065" s="102"/>
      <c r="G1065" s="102" t="str">
        <f>IFERROR(__xludf.DUMMYFUNCTION("""COMPUTED_VALUE"""),"No Stat Changes")</f>
        <v>No Stat Changes</v>
      </c>
      <c r="H1065" s="102"/>
      <c r="I1065" s="102"/>
      <c r="J1065" s="102"/>
      <c r="K1065" s="102"/>
      <c r="L1065" s="102"/>
    </row>
    <row r="1066">
      <c r="A1066" s="102" t="str">
        <f>IFERROR(__xludf.DUMMYFUNCTION("""COMPUTED_VALUE"""),"Ripper")</f>
        <v>Ripper</v>
      </c>
      <c r="B1066" s="102" t="str">
        <f>IFERROR(__xludf.DUMMYFUNCTION("""COMPUTED_VALUE"""),"Shotgun")</f>
        <v>Shotgun</v>
      </c>
      <c r="C1066" s="103">
        <f>IFERROR(__xludf.DUMMYFUNCTION("""COMPUTED_VALUE"""),7.0)</f>
        <v>7</v>
      </c>
      <c r="D1066" s="102" t="str">
        <f>IFERROR(__xludf.DUMMYFUNCTION("""COMPUTED_VALUE"""),"Barrel")</f>
        <v>Barrel</v>
      </c>
      <c r="E1066" s="102" t="str">
        <f>IFERROR(__xludf.DUMMYFUNCTION("""COMPUTED_VALUE"""),"BOR_SG.part_barrel_01")</f>
        <v>BOR_SG.part_barrel_01</v>
      </c>
      <c r="F1066" s="102"/>
      <c r="G1066" s="102" t="str">
        <f>IFERROR(__xludf.DUMMYFUNCTION("""COMPUTED_VALUE"""),"Weldwyrm, 376 x 4 Damage, 63% Acc, 4.5/s FR")</f>
        <v>Weldwyrm, 376 x 4 Damage, 63% Acc, 4.5/s FR</v>
      </c>
      <c r="H1066" s="102"/>
      <c r="I1066" s="102"/>
      <c r="J1066" s="102"/>
      <c r="K1066" s="102"/>
      <c r="L1066" s="102"/>
    </row>
    <row r="1067">
      <c r="A1067" s="102" t="str">
        <f>IFERROR(__xludf.DUMMYFUNCTION("""COMPUTED_VALUE"""),"Ripper")</f>
        <v>Ripper</v>
      </c>
      <c r="B1067" s="102" t="str">
        <f>IFERROR(__xludf.DUMMYFUNCTION("""COMPUTED_VALUE"""),"Shotgun")</f>
        <v>Shotgun</v>
      </c>
      <c r="C1067" s="103">
        <f>IFERROR(__xludf.DUMMYFUNCTION("""COMPUTED_VALUE"""),8.0)</f>
        <v>8</v>
      </c>
      <c r="D1067" s="102" t="str">
        <f>IFERROR(__xludf.DUMMYFUNCTION("""COMPUTED_VALUE"""),"Barrel")</f>
        <v>Barrel</v>
      </c>
      <c r="E1067" s="102" t="str">
        <f>IFERROR(__xludf.DUMMYFUNCTION("""COMPUTED_VALUE"""),"BOR_SG.part_barrel_02")</f>
        <v>BOR_SG.part_barrel_02</v>
      </c>
      <c r="F1067" s="102"/>
      <c r="G1067" s="102" t="str">
        <f>IFERROR(__xludf.DUMMYFUNCTION("""COMPUTED_VALUE"""),"Hellhound, 314 x 6 Damage, 70% Acc, 3.0/s FR")</f>
        <v>Hellhound, 314 x 6 Damage, 70% Acc, 3.0/s FR</v>
      </c>
      <c r="H1067" s="102"/>
      <c r="I1067" s="102"/>
      <c r="J1067" s="102"/>
      <c r="K1067" s="102"/>
      <c r="L1067" s="102"/>
    </row>
    <row r="1068">
      <c r="A1068" s="102" t="str">
        <f>IFERROR(__xludf.DUMMYFUNCTION("""COMPUTED_VALUE"""),"Ripper")</f>
        <v>Ripper</v>
      </c>
      <c r="B1068" s="102" t="str">
        <f>IFERROR(__xludf.DUMMYFUNCTION("""COMPUTED_VALUE"""),"Shotgun")</f>
        <v>Shotgun</v>
      </c>
      <c r="C1068" s="103">
        <f>IFERROR(__xludf.DUMMYFUNCTION("""COMPUTED_VALUE"""),9.0)</f>
        <v>9</v>
      </c>
      <c r="D1068" s="102" t="str">
        <f>IFERROR(__xludf.DUMMYFUNCTION("""COMPUTED_VALUE"""),"Manufacturer Part")</f>
        <v>Manufacturer Part</v>
      </c>
      <c r="E1068" s="102" t="str">
        <f>IFERROR(__xludf.DUMMYFUNCTION("""COMPUTED_VALUE"""),"BOR_SG.part_shield_default")</f>
        <v>BOR_SG.part_shield_default</v>
      </c>
      <c r="F1068" s="102"/>
      <c r="G1068" s="102" t="str">
        <f>IFERROR(__xludf.DUMMYFUNCTION("""COMPUTED_VALUE"""),"Hyperion Shield")</f>
        <v>Hyperion Shield</v>
      </c>
      <c r="H1068" s="102"/>
      <c r="I1068" s="102"/>
      <c r="J1068" s="102"/>
      <c r="K1068" s="102"/>
      <c r="L1068" s="102"/>
    </row>
    <row r="1069">
      <c r="A1069" s="102" t="str">
        <f>IFERROR(__xludf.DUMMYFUNCTION("""COMPUTED_VALUE"""),"Ripper")</f>
        <v>Ripper</v>
      </c>
      <c r="B1069" s="102" t="str">
        <f>IFERROR(__xludf.DUMMYFUNCTION("""COMPUTED_VALUE"""),"Shotgun")</f>
        <v>Shotgun</v>
      </c>
      <c r="C1069" s="103">
        <f>IFERROR(__xludf.DUMMYFUNCTION("""COMPUTED_VALUE"""),10.0)</f>
        <v>10</v>
      </c>
      <c r="D1069" s="102" t="str">
        <f>IFERROR(__xludf.DUMMYFUNCTION("""COMPUTED_VALUE"""),"Manufacturer Part")</f>
        <v>Manufacturer Part</v>
      </c>
      <c r="E1069" s="102" t="str">
        <f>IFERROR(__xludf.DUMMYFUNCTION("""COMPUTED_VALUE"""),"BOR_SG.part_shield_ricochet")</f>
        <v>BOR_SG.part_shield_ricochet</v>
      </c>
      <c r="F1069" s="102"/>
      <c r="G1069" s="102" t="str">
        <f>IFERROR(__xludf.DUMMYFUNCTION("""COMPUTED_VALUE"""),"Hyperion Ricochet Shield")</f>
        <v>Hyperion Ricochet Shield</v>
      </c>
      <c r="H1069" s="102"/>
      <c r="I1069" s="102"/>
      <c r="J1069" s="102"/>
      <c r="K1069" s="102"/>
      <c r="L1069" s="102"/>
    </row>
    <row r="1070">
      <c r="A1070" s="102" t="str">
        <f>IFERROR(__xludf.DUMMYFUNCTION("""COMPUTED_VALUE"""),"Ripper")</f>
        <v>Ripper</v>
      </c>
      <c r="B1070" s="102" t="str">
        <f>IFERROR(__xludf.DUMMYFUNCTION("""COMPUTED_VALUE"""),"Shotgun")</f>
        <v>Shotgun</v>
      </c>
      <c r="C1070" s="103">
        <f>IFERROR(__xludf.DUMMYFUNCTION("""COMPUTED_VALUE"""),11.0)</f>
        <v>11</v>
      </c>
      <c r="D1070" s="102" t="str">
        <f>IFERROR(__xludf.DUMMYFUNCTION("""COMPUTED_VALUE"""),"Manufacturer Part")</f>
        <v>Manufacturer Part</v>
      </c>
      <c r="E1070" s="102" t="str">
        <f>IFERROR(__xludf.DUMMYFUNCTION("""COMPUTED_VALUE"""),"BOR_SG.part_shield_ammo")</f>
        <v>BOR_SG.part_shield_ammo</v>
      </c>
      <c r="F1070" s="102"/>
      <c r="G1070" s="102" t="str">
        <f>IFERROR(__xludf.DUMMYFUNCTION("""COMPUTED_VALUE"""),"Hyperion Absorb Shield")</f>
        <v>Hyperion Absorb Shield</v>
      </c>
      <c r="H1070" s="102"/>
      <c r="I1070" s="102"/>
      <c r="J1070" s="102"/>
      <c r="K1070" s="102"/>
      <c r="L1070" s="102"/>
    </row>
    <row r="1071">
      <c r="A1071" s="102" t="str">
        <f>IFERROR(__xludf.DUMMYFUNCTION("""COMPUTED_VALUE"""),"Ripper")</f>
        <v>Ripper</v>
      </c>
      <c r="B1071" s="102" t="str">
        <f>IFERROR(__xludf.DUMMYFUNCTION("""COMPUTED_VALUE"""),"Shotgun")</f>
        <v>Shotgun</v>
      </c>
      <c r="C1071" s="103">
        <f>IFERROR(__xludf.DUMMYFUNCTION("""COMPUTED_VALUE"""),12.0)</f>
        <v>12</v>
      </c>
      <c r="D1071" s="102" t="str">
        <f>IFERROR(__xludf.DUMMYFUNCTION("""COMPUTED_VALUE"""),"Manufacturer Part")</f>
        <v>Manufacturer Part</v>
      </c>
      <c r="E1071" s="102" t="str">
        <f>IFERROR(__xludf.DUMMYFUNCTION("""COMPUTED_VALUE"""),"BOR_SG.part_shield_amp")</f>
        <v>BOR_SG.part_shield_amp</v>
      </c>
      <c r="F1071" s="102"/>
      <c r="G1071" s="102" t="str">
        <f>IFERROR(__xludf.DUMMYFUNCTION("""COMPUTED_VALUE"""),"Hyperion Amp Shield")</f>
        <v>Hyperion Amp Shield</v>
      </c>
      <c r="H1071" s="102"/>
      <c r="I1071" s="102"/>
      <c r="J1071" s="102"/>
      <c r="K1071" s="102"/>
      <c r="L1071" s="102"/>
    </row>
    <row r="1072">
      <c r="A1072" s="102" t="str">
        <f>IFERROR(__xludf.DUMMYFUNCTION("""COMPUTED_VALUE"""),"Ripper")</f>
        <v>Ripper</v>
      </c>
      <c r="B1072" s="102" t="str">
        <f>IFERROR(__xludf.DUMMYFUNCTION("""COMPUTED_VALUE"""),"Shotgun")</f>
        <v>Shotgun</v>
      </c>
      <c r="C1072" s="103">
        <f>IFERROR(__xludf.DUMMYFUNCTION("""COMPUTED_VALUE"""),13.0)</f>
        <v>13</v>
      </c>
      <c r="D1072" s="102" t="str">
        <f>IFERROR(__xludf.DUMMYFUNCTION("""COMPUTED_VALUE"""),"Magazine")</f>
        <v>Magazine</v>
      </c>
      <c r="E1072" s="102" t="str">
        <f>IFERROR(__xludf.DUMMYFUNCTION("""COMPUTED_VALUE"""),"BOR_SG.part_mag_04_cov")</f>
        <v>BOR_SG.part_mag_04_cov</v>
      </c>
      <c r="F1072" s="102"/>
      <c r="G1072" s="102" t="str">
        <f>IFERROR(__xludf.DUMMYFUNCTION("""COMPUTED_VALUE"""),"3.2s Reload, -Damage, -Acc, 20 Shots, CoV Mag")</f>
        <v>3.2s Reload, -Damage, -Acc, 20 Shots, CoV Mag</v>
      </c>
      <c r="H1072" s="102"/>
      <c r="I1072" s="102"/>
      <c r="J1072" s="102"/>
      <c r="K1072" s="102"/>
      <c r="L1072" s="102"/>
    </row>
    <row r="1073">
      <c r="A1073" s="102" t="str">
        <f>IFERROR(__xludf.DUMMYFUNCTION("""COMPUTED_VALUE"""),"Ripper")</f>
        <v>Ripper</v>
      </c>
      <c r="B1073" s="102" t="str">
        <f>IFERROR(__xludf.DUMMYFUNCTION("""COMPUTED_VALUE"""),"Shotgun")</f>
        <v>Shotgun</v>
      </c>
      <c r="C1073" s="103">
        <f>IFERROR(__xludf.DUMMYFUNCTION("""COMPUTED_VALUE"""),14.0)</f>
        <v>14</v>
      </c>
      <c r="D1073" s="102" t="str">
        <f>IFERROR(__xludf.DUMMYFUNCTION("""COMPUTED_VALUE"""),"Magazine")</f>
        <v>Magazine</v>
      </c>
      <c r="E1073" s="102" t="str">
        <f>IFERROR(__xludf.DUMMYFUNCTION("""COMPUTED_VALUE"""),"BOR_SG.part_mag_03_tor")</f>
        <v>BOR_SG.part_mag_03_tor</v>
      </c>
      <c r="F1073" s="102"/>
      <c r="G1073" s="102" t="str">
        <f>IFERROR(__xludf.DUMMYFUNCTION("""COMPUTED_VALUE"""),"2.6s Reload, +Damage, -Fire Rate, 10 Shots, Torgue")</f>
        <v>2.6s Reload, +Damage, -Fire Rate, 10 Shots, Torgue</v>
      </c>
      <c r="H1073" s="102"/>
      <c r="I1073" s="102"/>
      <c r="J1073" s="102"/>
      <c r="K1073" s="102"/>
      <c r="L1073" s="102"/>
    </row>
    <row r="1074">
      <c r="A1074" s="102" t="str">
        <f>IFERROR(__xludf.DUMMYFUNCTION("""COMPUTED_VALUE"""),"Ripper")</f>
        <v>Ripper</v>
      </c>
      <c r="B1074" s="102" t="str">
        <f>IFERROR(__xludf.DUMMYFUNCTION("""COMPUTED_VALUE"""),"Shotgun")</f>
        <v>Shotgun</v>
      </c>
      <c r="C1074" s="103">
        <f>IFERROR(__xludf.DUMMYFUNCTION("""COMPUTED_VALUE"""),15.0)</f>
        <v>15</v>
      </c>
      <c r="D1074" s="102" t="str">
        <f>IFERROR(__xludf.DUMMYFUNCTION("""COMPUTED_VALUE"""),"Magazine")</f>
        <v>Magazine</v>
      </c>
      <c r="E1074" s="102" t="str">
        <f>IFERROR(__xludf.DUMMYFUNCTION("""COMPUTED_VALUE"""),"BOR_SG.part_mag_01")</f>
        <v>BOR_SG.part_mag_01</v>
      </c>
      <c r="F1074" s="102"/>
      <c r="G1074" s="102" t="str">
        <f>IFERROR(__xludf.DUMMYFUNCTION("""COMPUTED_VALUE"""),"2.4s Reload, 15 Shots")</f>
        <v>2.4s Reload, 15 Shots</v>
      </c>
      <c r="H1074" s="102"/>
      <c r="I1074" s="102"/>
      <c r="J1074" s="102"/>
      <c r="K1074" s="102"/>
      <c r="L1074" s="102"/>
    </row>
    <row r="1075">
      <c r="A1075" s="102" t="str">
        <f>IFERROR(__xludf.DUMMYFUNCTION("""COMPUTED_VALUE"""),"Ripper")</f>
        <v>Ripper</v>
      </c>
      <c r="B1075" s="102" t="str">
        <f>IFERROR(__xludf.DUMMYFUNCTION("""COMPUTED_VALUE"""),"Shotgun")</f>
        <v>Shotgun</v>
      </c>
      <c r="C1075" s="103">
        <f>IFERROR(__xludf.DUMMYFUNCTION("""COMPUTED_VALUE"""),16.0)</f>
        <v>16</v>
      </c>
      <c r="D1075" s="102" t="str">
        <f>IFERROR(__xludf.DUMMYFUNCTION("""COMPUTED_VALUE"""),"Magazine")</f>
        <v>Magazine</v>
      </c>
      <c r="E1075" s="102" t="str">
        <f>IFERROR(__xludf.DUMMYFUNCTION("""COMPUTED_VALUE"""),"BOR_SG.part_mag_02")</f>
        <v>BOR_SG.part_mag_02</v>
      </c>
      <c r="F1075" s="102"/>
      <c r="G1075" s="102" t="str">
        <f>IFERROR(__xludf.DUMMYFUNCTION("""COMPUTED_VALUE"""),"2.6s Reload, -Damage, 20 Shots")</f>
        <v>2.6s Reload, -Damage, 20 Shots</v>
      </c>
      <c r="H1075" s="102"/>
      <c r="I1075" s="102"/>
      <c r="J1075" s="102"/>
      <c r="K1075" s="102"/>
      <c r="L1075" s="102"/>
    </row>
    <row r="1076">
      <c r="A1076" s="102" t="str">
        <f>IFERROR(__xludf.DUMMYFUNCTION("""COMPUTED_VALUE"""),"Ripper")</f>
        <v>Ripper</v>
      </c>
      <c r="B1076" s="102" t="str">
        <f>IFERROR(__xludf.DUMMYFUNCTION("""COMPUTED_VALUE"""),"Shotgun")</f>
        <v>Shotgun</v>
      </c>
      <c r="C1076" s="103">
        <f>IFERROR(__xludf.DUMMYFUNCTION("""COMPUTED_VALUE"""),17.0)</f>
        <v>17</v>
      </c>
      <c r="D1076" s="102" t="str">
        <f>IFERROR(__xludf.DUMMYFUNCTION("""COMPUTED_VALUE"""),"Magazine")</f>
        <v>Magazine</v>
      </c>
      <c r="E1076" s="102" t="str">
        <f>IFERROR(__xludf.DUMMYFUNCTION("""COMPUTED_VALUE"""),"BOR_SG.part_mag_goldengod")</f>
        <v>BOR_SG.part_mag_goldengod</v>
      </c>
      <c r="F1076" s="102"/>
      <c r="G1076" s="102" t="str">
        <f>IFERROR(__xludf.DUMMYFUNCTION("""COMPUTED_VALUE"""),"3.2s Reload, -Damage, -Acc, 20 Shots, CoV Mag")</f>
        <v>3.2s Reload, -Damage, -Acc, 20 Shots, CoV Mag</v>
      </c>
      <c r="H1076" s="102" t="str">
        <f>IFERROR(__xludf.DUMMYFUNCTION("""COMPUTED_VALUE"""),"Golden God Mag")</f>
        <v>Golden God Mag</v>
      </c>
      <c r="I1076" s="102"/>
      <c r="J1076" s="102"/>
      <c r="K1076" s="102"/>
      <c r="L1076" s="102"/>
    </row>
    <row r="1077">
      <c r="A1077" s="102" t="str">
        <f>IFERROR(__xludf.DUMMYFUNCTION("""COMPUTED_VALUE"""),"Ripper")</f>
        <v>Ripper</v>
      </c>
      <c r="B1077" s="102" t="str">
        <f>IFERROR(__xludf.DUMMYFUNCTION("""COMPUTED_VALUE"""),"Shotgun")</f>
        <v>Shotgun</v>
      </c>
      <c r="C1077" s="103">
        <f>IFERROR(__xludf.DUMMYFUNCTION("""COMPUTED_VALUE"""),18.0)</f>
        <v>18</v>
      </c>
      <c r="D1077" s="102" t="str">
        <f>IFERROR(__xludf.DUMMYFUNCTION("""COMPUTED_VALUE"""),"Barrel")</f>
        <v>Barrel</v>
      </c>
      <c r="E1077" s="102" t="str">
        <f>IFERROR(__xludf.DUMMYFUNCTION("""COMPUTED_VALUE"""),"BOR_SG.part_barrel_goldengod")</f>
        <v>BOR_SG.part_barrel_goldengod</v>
      </c>
      <c r="F1077" s="102"/>
      <c r="G1077" s="102" t="str">
        <f>IFERROR(__xludf.DUMMYFUNCTION("""COMPUTED_VALUE"""),"Golden God, 376 x 4 Damage, 63% Acc, 4.5/s FR")</f>
        <v>Golden God, 376 x 4 Damage, 63% Acc, 4.5/s FR</v>
      </c>
      <c r="H1077" s="102" t="str">
        <f>IFERROR(__xludf.DUMMYFUNCTION("""COMPUTED_VALUE"""),"Rage - When Overheating, the Bulletforge does not break, but instead continually consumes greater amounts of Ammo")</f>
        <v>Rage - When Overheating, the Bulletforge does not break, but instead continually consumes greater amounts of Ammo</v>
      </c>
      <c r="I1077" s="102"/>
      <c r="J1077" s="102"/>
      <c r="K1077" s="102"/>
      <c r="L1077" s="102"/>
    </row>
    <row r="1078">
      <c r="A1078" s="102" t="str">
        <f>IFERROR(__xludf.DUMMYFUNCTION("""COMPUTED_VALUE"""),"Ripper")</f>
        <v>Ripper</v>
      </c>
      <c r="B1078" s="102" t="str">
        <f>IFERROR(__xludf.DUMMYFUNCTION("""COMPUTED_VALUE"""),"Shotgun")</f>
        <v>Shotgun</v>
      </c>
      <c r="C1078" s="103">
        <f>IFERROR(__xludf.DUMMYFUNCTION("""COMPUTED_VALUE"""),22.0)</f>
        <v>22</v>
      </c>
      <c r="D1078" s="102" t="str">
        <f>IFERROR(__xludf.DUMMYFUNCTION("""COMPUTED_VALUE"""),"Stat Modifier")</f>
        <v>Stat Modifier</v>
      </c>
      <c r="E1078" s="102" t="str">
        <f>IFERROR(__xludf.DUMMYFUNCTION("""COMPUTED_VALUE"""),"BOR_SG.part_mag_ted_thrown_01")</f>
        <v>BOR_SG.part_mag_ted_thrown_01</v>
      </c>
      <c r="F1078" s="102"/>
      <c r="G1078" s="102" t="str">
        <f>IFERROR(__xludf.DUMMYFUNCTION("""COMPUTED_VALUE"""),"2.0s Reload")</f>
        <v>2.0s Reload</v>
      </c>
      <c r="H1078" s="102"/>
      <c r="I1078" s="102"/>
      <c r="J1078" s="102"/>
      <c r="K1078" s="102"/>
      <c r="L1078" s="102"/>
    </row>
    <row r="1079">
      <c r="A1079" s="102" t="str">
        <f>IFERROR(__xludf.DUMMYFUNCTION("""COMPUTED_VALUE"""),"Ripper")</f>
        <v>Ripper</v>
      </c>
      <c r="B1079" s="102" t="str">
        <f>IFERROR(__xludf.DUMMYFUNCTION("""COMPUTED_VALUE"""),"Shotgun")</f>
        <v>Shotgun</v>
      </c>
      <c r="C1079" s="103">
        <f>IFERROR(__xludf.DUMMYFUNCTION("""COMPUTED_VALUE"""),23.0)</f>
        <v>23</v>
      </c>
      <c r="D1079" s="102" t="str">
        <f>IFERROR(__xludf.DUMMYFUNCTION("""COMPUTED_VALUE"""),"Stat Modifier")</f>
        <v>Stat Modifier</v>
      </c>
      <c r="E1079" s="102" t="str">
        <f>IFERROR(__xludf.DUMMYFUNCTION("""COMPUTED_VALUE"""),"BOR_SG.part_mag_ted_thrown_02")</f>
        <v>BOR_SG.part_mag_ted_thrown_02</v>
      </c>
      <c r="F1079" s="102"/>
      <c r="G1079" s="102" t="str">
        <f>IFERROR(__xludf.DUMMYFUNCTION("""COMPUTED_VALUE"""),"2.0s Reload")</f>
        <v>2.0s Reload</v>
      </c>
      <c r="H1079" s="102"/>
      <c r="I1079" s="102"/>
      <c r="J1079" s="102"/>
      <c r="K1079" s="102"/>
      <c r="L1079" s="102"/>
    </row>
    <row r="1080">
      <c r="A1080" s="102" t="str">
        <f>IFERROR(__xludf.DUMMYFUNCTION("""COMPUTED_VALUE"""),"Ripper")</f>
        <v>Ripper</v>
      </c>
      <c r="B1080" s="102" t="str">
        <f>IFERROR(__xludf.DUMMYFUNCTION("""COMPUTED_VALUE"""),"Shotgun")</f>
        <v>Shotgun</v>
      </c>
      <c r="C1080" s="103">
        <f>IFERROR(__xludf.DUMMYFUNCTION("""COMPUTED_VALUE"""),24.0)</f>
        <v>24</v>
      </c>
      <c r="D1080" s="102" t="str">
        <f>IFERROR(__xludf.DUMMYFUNCTION("""COMPUTED_VALUE"""),"Stat Modifier")</f>
        <v>Stat Modifier</v>
      </c>
      <c r="E1080" s="102" t="str">
        <f>IFERROR(__xludf.DUMMYFUNCTION("""COMPUTED_VALUE"""),"BOR_SG.part_mag_ted_thrown_03_tor")</f>
        <v>BOR_SG.part_mag_ted_thrown_03_tor</v>
      </c>
      <c r="F1080" s="102"/>
      <c r="G1080" s="102" t="str">
        <f>IFERROR(__xludf.DUMMYFUNCTION("""COMPUTED_VALUE"""),"2.0s Reload")</f>
        <v>2.0s Reload</v>
      </c>
      <c r="H1080" s="102"/>
      <c r="I1080" s="102"/>
      <c r="J1080" s="102"/>
      <c r="K1080" s="102"/>
      <c r="L1080" s="102"/>
    </row>
    <row r="1081">
      <c r="A1081" s="102" t="str">
        <f>IFERROR(__xludf.DUMMYFUNCTION("""COMPUTED_VALUE"""),"Ripper")</f>
        <v>Ripper</v>
      </c>
      <c r="B1081" s="102" t="str">
        <f>IFERROR(__xludf.DUMMYFUNCTION("""COMPUTED_VALUE"""),"Shotgun")</f>
        <v>Shotgun</v>
      </c>
      <c r="C1081" s="103">
        <f>IFERROR(__xludf.DUMMYFUNCTION("""COMPUTED_VALUE"""),25.0)</f>
        <v>25</v>
      </c>
      <c r="D1081" s="102" t="str">
        <f>IFERROR(__xludf.DUMMYFUNCTION("""COMPUTED_VALUE"""),"Stat Modifier")</f>
        <v>Stat Modifier</v>
      </c>
      <c r="E1081" s="102" t="str">
        <f>IFERROR(__xludf.DUMMYFUNCTION("""COMPUTED_VALUE"""),"BOR_SG.part_mag_ted_thrown_04_cov")</f>
        <v>BOR_SG.part_mag_ted_thrown_04_cov</v>
      </c>
      <c r="F1081" s="102"/>
      <c r="G1081" s="102" t="str">
        <f>IFERROR(__xludf.DUMMYFUNCTION("""COMPUTED_VALUE"""),"3.0s Reload")</f>
        <v>3.0s Reload</v>
      </c>
      <c r="H1081" s="102"/>
      <c r="I1081" s="102"/>
      <c r="J1081" s="102"/>
      <c r="K1081" s="102"/>
      <c r="L1081" s="102"/>
    </row>
    <row r="1082">
      <c r="A1082" s="102" t="str">
        <f>IFERROR(__xludf.DUMMYFUNCTION("""COMPUTED_VALUE"""),"Ripper")</f>
        <v>Ripper</v>
      </c>
      <c r="B1082" s="102" t="str">
        <f>IFERROR(__xludf.DUMMYFUNCTION("""COMPUTED_VALUE"""),"Shotgun")</f>
        <v>Shotgun</v>
      </c>
      <c r="C1082" s="103">
        <f>IFERROR(__xludf.DUMMYFUNCTION("""COMPUTED_VALUE"""),26.0)</f>
        <v>26</v>
      </c>
      <c r="D1082" s="102" t="str">
        <f>IFERROR(__xludf.DUMMYFUNCTION("""COMPUTED_VALUE"""),"Scope")</f>
        <v>Scope</v>
      </c>
      <c r="E1082" s="102" t="str">
        <f>IFERROR(__xludf.DUMMYFUNCTION("""COMPUTED_VALUE"""),"BOR_SG.part_scope_02_lens_02")</f>
        <v>BOR_SG.part_scope_02_lens_02</v>
      </c>
      <c r="F1082" s="102"/>
      <c r="G1082" s="102" t="str">
        <f>IFERROR(__xludf.DUMMYFUNCTION("""COMPUTED_VALUE"""),"ADS +++Zoom")</f>
        <v>ADS +++Zoom</v>
      </c>
      <c r="H1082" s="102" t="str">
        <f>IFERROR(__xludf.DUMMYFUNCTION("""COMPUTED_VALUE"""),"Sniper Scope")</f>
        <v>Sniper Scope</v>
      </c>
      <c r="I1082" s="102"/>
      <c r="J1082" s="102"/>
      <c r="K1082" s="102"/>
      <c r="L1082" s="102"/>
    </row>
    <row r="1083">
      <c r="A1083" s="102" t="str">
        <f>IFERROR(__xludf.DUMMYFUNCTION("""COMPUTED_VALUE"""),"Ripper")</f>
        <v>Ripper</v>
      </c>
      <c r="B1083" s="102" t="str">
        <f>IFERROR(__xludf.DUMMYFUNCTION("""COMPUTED_VALUE"""),"Shotgun")</f>
        <v>Shotgun</v>
      </c>
      <c r="C1083" s="103">
        <f>IFERROR(__xludf.DUMMYFUNCTION("""COMPUTED_VALUE"""),27.0)</f>
        <v>27</v>
      </c>
      <c r="D1083" s="102" t="str">
        <f>IFERROR(__xludf.DUMMYFUNCTION("""COMPUTED_VALUE"""),"Scope")</f>
        <v>Scope</v>
      </c>
      <c r="E1083" s="102" t="str">
        <f>IFERROR(__xludf.DUMMYFUNCTION("""COMPUTED_VALUE"""),"BOR_SG.part_scope_02_lens_01")</f>
        <v>BOR_SG.part_scope_02_lens_01</v>
      </c>
      <c r="F1083" s="102"/>
      <c r="G1083" s="102" t="str">
        <f>IFERROR(__xludf.DUMMYFUNCTION("""COMPUTED_VALUE"""),"ADS +++Zoom")</f>
        <v>ADS +++Zoom</v>
      </c>
      <c r="H1083" s="102"/>
      <c r="I1083" s="102"/>
      <c r="J1083" s="102"/>
      <c r="K1083" s="102"/>
      <c r="L1083" s="102"/>
    </row>
    <row r="1084">
      <c r="A1084" s="102" t="str">
        <f>IFERROR(__xludf.DUMMYFUNCTION("""COMPUTED_VALUE"""),"Ripper")</f>
        <v>Ripper</v>
      </c>
      <c r="B1084" s="102" t="str">
        <f>IFERROR(__xludf.DUMMYFUNCTION("""COMPUTED_VALUE"""),"Shotgun")</f>
        <v>Shotgun</v>
      </c>
      <c r="C1084" s="103">
        <f>IFERROR(__xludf.DUMMYFUNCTION("""COMPUTED_VALUE"""),28.0)</f>
        <v>28</v>
      </c>
      <c r="D1084" s="102" t="str">
        <f>IFERROR(__xludf.DUMMYFUNCTION("""COMPUTED_VALUE"""),"Scope")</f>
        <v>Scope</v>
      </c>
      <c r="E1084" s="102" t="str">
        <f>IFERROR(__xludf.DUMMYFUNCTION("""COMPUTED_VALUE"""),"BOR_SG.part_scope_01_lens_02")</f>
        <v>BOR_SG.part_scope_01_lens_02</v>
      </c>
      <c r="F1084" s="102"/>
      <c r="G1084" s="102" t="str">
        <f>IFERROR(__xludf.DUMMYFUNCTION("""COMPUTED_VALUE"""),"ADS ++Zoom")</f>
        <v>ADS ++Zoom</v>
      </c>
      <c r="H1084" s="102"/>
      <c r="I1084" s="102"/>
      <c r="J1084" s="102"/>
      <c r="K1084" s="102"/>
      <c r="L1084" s="102"/>
    </row>
    <row r="1085">
      <c r="A1085" s="102" t="str">
        <f>IFERROR(__xludf.DUMMYFUNCTION("""COMPUTED_VALUE"""),"Ripper")</f>
        <v>Ripper</v>
      </c>
      <c r="B1085" s="102" t="str">
        <f>IFERROR(__xludf.DUMMYFUNCTION("""COMPUTED_VALUE"""),"Shotgun")</f>
        <v>Shotgun</v>
      </c>
      <c r="C1085" s="103">
        <f>IFERROR(__xludf.DUMMYFUNCTION("""COMPUTED_VALUE"""),29.0)</f>
        <v>29</v>
      </c>
      <c r="D1085" s="102" t="str">
        <f>IFERROR(__xludf.DUMMYFUNCTION("""COMPUTED_VALUE"""),"Scope")</f>
        <v>Scope</v>
      </c>
      <c r="E1085" s="102" t="str">
        <f>IFERROR(__xludf.DUMMYFUNCTION("""COMPUTED_VALUE"""),"BOR_SG.part_scope_01_lens_01")</f>
        <v>BOR_SG.part_scope_01_lens_01</v>
      </c>
      <c r="F1085" s="102"/>
      <c r="G1085" s="102" t="str">
        <f>IFERROR(__xludf.DUMMYFUNCTION("""COMPUTED_VALUE"""),"ADS +Zoom")</f>
        <v>ADS +Zoom</v>
      </c>
      <c r="H1085" s="102"/>
      <c r="I1085" s="102"/>
      <c r="J1085" s="102"/>
      <c r="K1085" s="102"/>
      <c r="L1085" s="102"/>
    </row>
    <row r="1086">
      <c r="A1086" s="102" t="str">
        <f>IFERROR(__xludf.DUMMYFUNCTION("""COMPUTED_VALUE"""),"Ripper")</f>
        <v>Ripper</v>
      </c>
      <c r="B1086" s="102" t="str">
        <f>IFERROR(__xludf.DUMMYFUNCTION("""COMPUTED_VALUE"""),"Shotgun")</f>
        <v>Shotgun</v>
      </c>
      <c r="C1086" s="103">
        <f>IFERROR(__xludf.DUMMYFUNCTION("""COMPUTED_VALUE"""),30.0)</f>
        <v>30</v>
      </c>
      <c r="D1086" s="102" t="str">
        <f>IFERROR(__xludf.DUMMYFUNCTION("""COMPUTED_VALUE"""),"Scope")</f>
        <v>Scope</v>
      </c>
      <c r="E1086" s="102" t="str">
        <f>IFERROR(__xludf.DUMMYFUNCTION("""COMPUTED_VALUE"""),"BOR_SG.part_scope_ironsight")</f>
        <v>BOR_SG.part_scope_ironsight</v>
      </c>
      <c r="F1086" s="102"/>
      <c r="G1086" s="102" t="str">
        <f>IFERROR(__xludf.DUMMYFUNCTION("""COMPUTED_VALUE"""),"ADS")</f>
        <v>ADS</v>
      </c>
      <c r="H1086" s="102"/>
      <c r="I1086" s="102"/>
      <c r="J1086" s="102"/>
      <c r="K1086" s="102"/>
      <c r="L1086" s="102"/>
    </row>
    <row r="1087">
      <c r="A1087" s="102" t="str">
        <f>IFERROR(__xludf.DUMMYFUNCTION("""COMPUTED_VALUE"""),"Ripper")</f>
        <v>Ripper</v>
      </c>
      <c r="B1087" s="102" t="str">
        <f>IFERROR(__xludf.DUMMYFUNCTION("""COMPUTED_VALUE"""),"Shotgun")</f>
        <v>Shotgun</v>
      </c>
      <c r="C1087" s="103">
        <f>IFERROR(__xludf.DUMMYFUNCTION("""COMPUTED_VALUE"""),31.0)</f>
        <v>31</v>
      </c>
      <c r="D1087" s="102" t="str">
        <f>IFERROR(__xludf.DUMMYFUNCTION("""COMPUTED_VALUE"""),"Scope Accessory")</f>
        <v>Scope Accessory</v>
      </c>
      <c r="E1087" s="102" t="str">
        <f>IFERROR(__xludf.DUMMYFUNCTION("""COMPUTED_VALUE"""),"BOR_SG.part_scope_acc_s01_l01_a")</f>
        <v>BOR_SG.part_scope_acc_s01_l01_a</v>
      </c>
      <c r="F1087" s="102"/>
      <c r="G1087" s="102" t="str">
        <f>IFERROR(__xludf.DUMMYFUNCTION("""COMPUTED_VALUE"""),"+Damage")</f>
        <v>+Damage</v>
      </c>
      <c r="H1087" s="102" t="str">
        <f>IFERROR(__xludf.DUMMYFUNCTION("""COMPUTED_VALUE"""),"Damage Type")</f>
        <v>Damage Type</v>
      </c>
      <c r="I1087" s="102"/>
      <c r="J1087" s="102"/>
      <c r="K1087" s="102"/>
      <c r="L1087" s="102"/>
    </row>
    <row r="1088">
      <c r="A1088" s="102" t="str">
        <f>IFERROR(__xludf.DUMMYFUNCTION("""COMPUTED_VALUE"""),"Ripper")</f>
        <v>Ripper</v>
      </c>
      <c r="B1088" s="102" t="str">
        <f>IFERROR(__xludf.DUMMYFUNCTION("""COMPUTED_VALUE"""),"Shotgun")</f>
        <v>Shotgun</v>
      </c>
      <c r="C1088" s="103">
        <f>IFERROR(__xludf.DUMMYFUNCTION("""COMPUTED_VALUE"""),32.0)</f>
        <v>32</v>
      </c>
      <c r="D1088" s="102" t="str">
        <f>IFERROR(__xludf.DUMMYFUNCTION("""COMPUTED_VALUE"""),"Scope Accessory")</f>
        <v>Scope Accessory</v>
      </c>
      <c r="E1088" s="102" t="str">
        <f>IFERROR(__xludf.DUMMYFUNCTION("""COMPUTED_VALUE"""),"BOR_SG.part_scope_acc_s01_l01_b")</f>
        <v>BOR_SG.part_scope_acc_s01_l01_b</v>
      </c>
      <c r="F1088" s="102"/>
      <c r="G1088" s="102" t="str">
        <f>IFERROR(__xludf.DUMMYFUNCTION("""COMPUTED_VALUE"""),"-Reload Speed")</f>
        <v>-Reload Speed</v>
      </c>
      <c r="H1088" s="102" t="str">
        <f>IFERROR(__xludf.DUMMYFUNCTION("""COMPUTED_VALUE"""),"Mag Gauge, Compass")</f>
        <v>Mag Gauge, Compass</v>
      </c>
      <c r="I1088" s="102"/>
      <c r="J1088" s="102"/>
      <c r="K1088" s="102"/>
      <c r="L1088" s="102"/>
    </row>
    <row r="1089">
      <c r="A1089" s="102" t="str">
        <f>IFERROR(__xludf.DUMMYFUNCTION("""COMPUTED_VALUE"""),"Ripper")</f>
        <v>Ripper</v>
      </c>
      <c r="B1089" s="102" t="str">
        <f>IFERROR(__xludf.DUMMYFUNCTION("""COMPUTED_VALUE"""),"Shotgun")</f>
        <v>Shotgun</v>
      </c>
      <c r="C1089" s="103">
        <f>IFERROR(__xludf.DUMMYFUNCTION("""COMPUTED_VALUE"""),33.0)</f>
        <v>33</v>
      </c>
      <c r="D1089" s="102" t="str">
        <f>IFERROR(__xludf.DUMMYFUNCTION("""COMPUTED_VALUE"""),"Scope Accessory")</f>
        <v>Scope Accessory</v>
      </c>
      <c r="E1089" s="102" t="str">
        <f>IFERROR(__xludf.DUMMYFUNCTION("""COMPUTED_VALUE"""),"BOR_SG.part_scope_acc_s02_l01_a")</f>
        <v>BOR_SG.part_scope_acc_s02_l01_a</v>
      </c>
      <c r="F1089" s="102"/>
      <c r="G1089" s="102" t="str">
        <f>IFERROR(__xludf.DUMMYFUNCTION("""COMPUTED_VALUE"""),"No Stat Changes")</f>
        <v>No Stat Changes</v>
      </c>
      <c r="H1089" s="102" t="str">
        <f>IFERROR(__xludf.DUMMYFUNCTION("""COMPUTED_VALUE"""),"HUD Elements")</f>
        <v>HUD Elements</v>
      </c>
      <c r="I1089" s="102"/>
      <c r="J1089" s="102"/>
      <c r="K1089" s="102"/>
      <c r="L1089" s="102"/>
    </row>
    <row r="1090">
      <c r="A1090" s="102" t="str">
        <f>IFERROR(__xludf.DUMMYFUNCTION("""COMPUTED_VALUE"""),"Ripper")</f>
        <v>Ripper</v>
      </c>
      <c r="B1090" s="102" t="str">
        <f>IFERROR(__xludf.DUMMYFUNCTION("""COMPUTED_VALUE"""),"Shotgun")</f>
        <v>Shotgun</v>
      </c>
      <c r="C1090" s="103">
        <f>IFERROR(__xludf.DUMMYFUNCTION("""COMPUTED_VALUE"""),34.0)</f>
        <v>34</v>
      </c>
      <c r="D1090" s="102" t="str">
        <f>IFERROR(__xludf.DUMMYFUNCTION("""COMPUTED_VALUE"""),"Scope Accessory")</f>
        <v>Scope Accessory</v>
      </c>
      <c r="E1090" s="102" t="str">
        <f>IFERROR(__xludf.DUMMYFUNCTION("""COMPUTED_VALUE"""),"BOR_SG.part_scope_acc_s02_l01_b")</f>
        <v>BOR_SG.part_scope_acc_s02_l01_b</v>
      </c>
      <c r="F1090" s="102"/>
      <c r="G1090" s="102" t="str">
        <f>IFERROR(__xludf.DUMMYFUNCTION("""COMPUTED_VALUE"""),"+Crit Damage")</f>
        <v>+Crit Damage</v>
      </c>
      <c r="H1090" s="102" t="str">
        <f>IFERROR(__xludf.DUMMYFUNCTION("""COMPUTED_VALUE"""),"Compass")</f>
        <v>Compass</v>
      </c>
      <c r="I1090" s="102"/>
      <c r="J1090" s="102"/>
      <c r="K1090" s="102"/>
      <c r="L1090" s="102"/>
    </row>
    <row r="1091">
      <c r="A1091" s="102" t="str">
        <f>IFERROR(__xludf.DUMMYFUNCTION("""COMPUTED_VALUE"""),"Ripper")</f>
        <v>Ripper</v>
      </c>
      <c r="B1091" s="102" t="str">
        <f>IFERROR(__xludf.DUMMYFUNCTION("""COMPUTED_VALUE"""),"Shotgun")</f>
        <v>Shotgun</v>
      </c>
      <c r="C1091" s="103">
        <f>IFERROR(__xludf.DUMMYFUNCTION("""COMPUTED_VALUE"""),35.0)</f>
        <v>35</v>
      </c>
      <c r="D1091" s="102" t="str">
        <f>IFERROR(__xludf.DUMMYFUNCTION("""COMPUTED_VALUE"""),"Scope Accessory")</f>
        <v>Scope Accessory</v>
      </c>
      <c r="E1091" s="102" t="str">
        <f>IFERROR(__xludf.DUMMYFUNCTION("""COMPUTED_VALUE"""),"BOR_SG.part_scope_acc_s01_l02_a")</f>
        <v>BOR_SG.part_scope_acc_s01_l02_a</v>
      </c>
      <c r="F1091" s="102"/>
      <c r="G1091" s="102" t="str">
        <f>IFERROR(__xludf.DUMMYFUNCTION("""COMPUTED_VALUE"""),"+Damage")</f>
        <v>+Damage</v>
      </c>
      <c r="H1091" s="102" t="str">
        <f>IFERROR(__xludf.DUMMYFUNCTION("""COMPUTED_VALUE"""),"HUD Elements")</f>
        <v>HUD Elements</v>
      </c>
      <c r="I1091" s="102"/>
      <c r="J1091" s="102"/>
      <c r="K1091" s="102"/>
      <c r="L1091" s="102"/>
    </row>
    <row r="1092">
      <c r="A1092" s="102" t="str">
        <f>IFERROR(__xludf.DUMMYFUNCTION("""COMPUTED_VALUE"""),"Ripper")</f>
        <v>Ripper</v>
      </c>
      <c r="B1092" s="102" t="str">
        <f>IFERROR(__xludf.DUMMYFUNCTION("""COMPUTED_VALUE"""),"Shotgun")</f>
        <v>Shotgun</v>
      </c>
      <c r="C1092" s="103">
        <f>IFERROR(__xludf.DUMMYFUNCTION("""COMPUTED_VALUE"""),36.0)</f>
        <v>36</v>
      </c>
      <c r="D1092" s="102" t="str">
        <f>IFERROR(__xludf.DUMMYFUNCTION("""COMPUTED_VALUE"""),"Scope Accessory")</f>
        <v>Scope Accessory</v>
      </c>
      <c r="E1092" s="102" t="str">
        <f>IFERROR(__xludf.DUMMYFUNCTION("""COMPUTED_VALUE"""),"BOR_SG.part_scope_acc_s01_l02_b")</f>
        <v>BOR_SG.part_scope_acc_s01_l02_b</v>
      </c>
      <c r="F1092" s="102"/>
      <c r="G1092" s="102" t="str">
        <f>IFERROR(__xludf.DUMMYFUNCTION("""COMPUTED_VALUE"""),"-Reload Speed")</f>
        <v>-Reload Speed</v>
      </c>
      <c r="H1092" s="102" t="str">
        <f>IFERROR(__xludf.DUMMYFUNCTION("""COMPUTED_VALUE"""),"HUD Elements")</f>
        <v>HUD Elements</v>
      </c>
      <c r="I1092" s="102"/>
      <c r="J1092" s="102"/>
      <c r="K1092" s="102"/>
      <c r="L1092" s="102"/>
    </row>
    <row r="1093">
      <c r="A1093" s="102" t="str">
        <f>IFERROR(__xludf.DUMMYFUNCTION("""COMPUTED_VALUE"""),"Ripper")</f>
        <v>Ripper</v>
      </c>
      <c r="B1093" s="102" t="str">
        <f>IFERROR(__xludf.DUMMYFUNCTION("""COMPUTED_VALUE"""),"Shotgun")</f>
        <v>Shotgun</v>
      </c>
      <c r="C1093" s="103">
        <f>IFERROR(__xludf.DUMMYFUNCTION("""COMPUTED_VALUE"""),37.0)</f>
        <v>37</v>
      </c>
      <c r="D1093" s="102" t="str">
        <f>IFERROR(__xludf.DUMMYFUNCTION("""COMPUTED_VALUE"""),"Scope Accessory")</f>
        <v>Scope Accessory</v>
      </c>
      <c r="E1093" s="102" t="str">
        <f>IFERROR(__xludf.DUMMYFUNCTION("""COMPUTED_VALUE"""),"BOR_SG.part_scope_acc_s02_l02_a")</f>
        <v>BOR_SG.part_scope_acc_s02_l02_a</v>
      </c>
      <c r="F1093" s="102"/>
      <c r="G1093" s="102" t="str">
        <f>IFERROR(__xludf.DUMMYFUNCTION("""COMPUTED_VALUE"""),"No Stat Changes")</f>
        <v>No Stat Changes</v>
      </c>
      <c r="H1093" s="102" t="str">
        <f>IFERROR(__xludf.DUMMYFUNCTION("""COMPUTED_VALUE"""),"HUD Elements")</f>
        <v>HUD Elements</v>
      </c>
      <c r="I1093" s="102"/>
      <c r="J1093" s="102"/>
      <c r="K1093" s="102"/>
      <c r="L1093" s="102"/>
    </row>
    <row r="1094">
      <c r="A1094" s="102" t="str">
        <f>IFERROR(__xludf.DUMMYFUNCTION("""COMPUTED_VALUE"""),"Ripper")</f>
        <v>Ripper</v>
      </c>
      <c r="B1094" s="102" t="str">
        <f>IFERROR(__xludf.DUMMYFUNCTION("""COMPUTED_VALUE"""),"Shotgun")</f>
        <v>Shotgun</v>
      </c>
      <c r="C1094" s="103">
        <f>IFERROR(__xludf.DUMMYFUNCTION("""COMPUTED_VALUE"""),38.0)</f>
        <v>38</v>
      </c>
      <c r="D1094" s="102" t="str">
        <f>IFERROR(__xludf.DUMMYFUNCTION("""COMPUTED_VALUE"""),"Scope Accessory")</f>
        <v>Scope Accessory</v>
      </c>
      <c r="E1094" s="102" t="str">
        <f>IFERROR(__xludf.DUMMYFUNCTION("""COMPUTED_VALUE"""),"BOR_SG.part_scope_acc_s02_l02_b")</f>
        <v>BOR_SG.part_scope_acc_s02_l02_b</v>
      </c>
      <c r="F1094" s="102"/>
      <c r="G1094" s="102" t="str">
        <f>IFERROR(__xludf.DUMMYFUNCTION("""COMPUTED_VALUE"""),"+Crit Damage")</f>
        <v>+Crit Damage</v>
      </c>
      <c r="H1094" s="102" t="str">
        <f>IFERROR(__xludf.DUMMYFUNCTION("""COMPUTED_VALUE"""),"Damage Type - Not ADS")</f>
        <v>Damage Type - Not ADS</v>
      </c>
      <c r="I1094" s="102"/>
      <c r="J1094" s="102"/>
      <c r="K1094" s="102"/>
      <c r="L1094" s="102"/>
    </row>
    <row r="1095">
      <c r="A1095" s="102" t="str">
        <f>IFERROR(__xludf.DUMMYFUNCTION("""COMPUTED_VALUE"""),"Ripper")</f>
        <v>Ripper</v>
      </c>
      <c r="B1095" s="102" t="str">
        <f>IFERROR(__xludf.DUMMYFUNCTION("""COMPUTED_VALUE"""),"Shotgun")</f>
        <v>Shotgun</v>
      </c>
      <c r="C1095" s="103">
        <f>IFERROR(__xludf.DUMMYFUNCTION("""COMPUTED_VALUE"""),39.0)</f>
        <v>39</v>
      </c>
      <c r="D1095" s="102" t="str">
        <f>IFERROR(__xludf.DUMMYFUNCTION("""COMPUTED_VALUE"""),"Grip")</f>
        <v>Grip</v>
      </c>
      <c r="E1095" s="102" t="str">
        <f>IFERROR(__xludf.DUMMYFUNCTION("""COMPUTED_VALUE"""),"BOR_SG.part_grip_05c_ted_jav")</f>
        <v>BOR_SG.part_grip_05c_ted_jav</v>
      </c>
      <c r="F1095" s="102"/>
      <c r="G1095" s="102" t="str">
        <f>IFERROR(__xludf.DUMMYFUNCTION("""COMPUTED_VALUE"""),"Tediore reload modifier: Javelin, no stat changes")</f>
        <v>Tediore reload modifier: Javelin, no stat changes</v>
      </c>
      <c r="H1095" s="102"/>
      <c r="I1095" s="102"/>
      <c r="J1095" s="102"/>
      <c r="K1095" s="102"/>
      <c r="L1095" s="102"/>
    </row>
    <row r="1096">
      <c r="A1096" s="102" t="str">
        <f>IFERROR(__xludf.DUMMYFUNCTION("""COMPUTED_VALUE"""),"Ripper")</f>
        <v>Ripper</v>
      </c>
      <c r="B1096" s="102" t="str">
        <f>IFERROR(__xludf.DUMMYFUNCTION("""COMPUTED_VALUE"""),"Shotgun")</f>
        <v>Shotgun</v>
      </c>
      <c r="C1096" s="103">
        <f>IFERROR(__xludf.DUMMYFUNCTION("""COMPUTED_VALUE"""),40.0)</f>
        <v>40</v>
      </c>
      <c r="D1096" s="102" t="str">
        <f>IFERROR(__xludf.DUMMYFUNCTION("""COMPUTED_VALUE"""),"Grip")</f>
        <v>Grip</v>
      </c>
      <c r="E1096" s="102" t="str">
        <f>IFERROR(__xludf.DUMMYFUNCTION("""COMPUTED_VALUE"""),"BOR_SG.part_grip_05a_ted_legs")</f>
        <v>BOR_SG.part_grip_05a_ted_legs</v>
      </c>
      <c r="F1096" s="102"/>
      <c r="G1096" s="102" t="str">
        <f>IFERROR(__xludf.DUMMYFUNCTION("""COMPUTED_VALUE"""),"Tediore reload modifier: Legs, no stat changes")</f>
        <v>Tediore reload modifier: Legs, no stat changes</v>
      </c>
      <c r="H1096" s="102"/>
      <c r="I1096" s="102"/>
      <c r="J1096" s="102"/>
      <c r="K1096" s="102"/>
      <c r="L1096" s="102"/>
    </row>
    <row r="1097">
      <c r="A1097" s="102" t="str">
        <f>IFERROR(__xludf.DUMMYFUNCTION("""COMPUTED_VALUE"""),"Ripper")</f>
        <v>Ripper</v>
      </c>
      <c r="B1097" s="102" t="str">
        <f>IFERROR(__xludf.DUMMYFUNCTION("""COMPUTED_VALUE"""),"Shotgun")</f>
        <v>Shotgun</v>
      </c>
      <c r="C1097" s="103">
        <f>IFERROR(__xludf.DUMMYFUNCTION("""COMPUTED_VALUE"""),41.0)</f>
        <v>41</v>
      </c>
      <c r="D1097" s="102" t="str">
        <f>IFERROR(__xludf.DUMMYFUNCTION("""COMPUTED_VALUE"""),"Grip")</f>
        <v>Grip</v>
      </c>
      <c r="E1097" s="102" t="str">
        <f>IFERROR(__xludf.DUMMYFUNCTION("""COMPUTED_VALUE"""),"BOR_SG.part_grip_05b_ted_homing")</f>
        <v>BOR_SG.part_grip_05b_ted_homing</v>
      </c>
      <c r="F1097" s="102"/>
      <c r="G1097" s="102" t="str">
        <f>IFERROR(__xludf.DUMMYFUNCTION("""COMPUTED_VALUE"""),"Tediore reload modifier: Homing, no stat changes")</f>
        <v>Tediore reload modifier: Homing, no stat changes</v>
      </c>
      <c r="H1097" s="102"/>
      <c r="I1097" s="102"/>
      <c r="J1097" s="102"/>
      <c r="K1097" s="102"/>
      <c r="L1097" s="102"/>
    </row>
    <row r="1098">
      <c r="A1098" s="102" t="str">
        <f>IFERROR(__xludf.DUMMYFUNCTION("""COMPUTED_VALUE"""),"Ripper")</f>
        <v>Ripper</v>
      </c>
      <c r="B1098" s="102" t="str">
        <f>IFERROR(__xludf.DUMMYFUNCTION("""COMPUTED_VALUE"""),"Shotgun")</f>
        <v>Shotgun</v>
      </c>
      <c r="C1098" s="103">
        <f>IFERROR(__xludf.DUMMYFUNCTION("""COMPUTED_VALUE"""),42.0)</f>
        <v>42</v>
      </c>
      <c r="D1098" s="102" t="str">
        <f>IFERROR(__xludf.DUMMYFUNCTION("""COMPUTED_VALUE"""),"Grip")</f>
        <v>Grip</v>
      </c>
      <c r="E1098" s="102" t="str">
        <f>IFERROR(__xludf.DUMMYFUNCTION("""COMPUTED_VALUE"""),"BOR_SG.part_grip_01")</f>
        <v>BOR_SG.part_grip_01</v>
      </c>
      <c r="F1098" s="102"/>
      <c r="G1098" s="102" t="str">
        <f>IFERROR(__xludf.DUMMYFUNCTION("""COMPUTED_VALUE"""),"+Damage")</f>
        <v>+Damage</v>
      </c>
      <c r="H1098" s="102"/>
      <c r="I1098" s="102"/>
      <c r="J1098" s="102"/>
      <c r="K1098" s="102"/>
      <c r="L1098" s="102"/>
    </row>
    <row r="1099">
      <c r="A1099" s="102" t="str">
        <f>IFERROR(__xludf.DUMMYFUNCTION("""COMPUTED_VALUE"""),"Ripper")</f>
        <v>Ripper</v>
      </c>
      <c r="B1099" s="102" t="str">
        <f>IFERROR(__xludf.DUMMYFUNCTION("""COMPUTED_VALUE"""),"Shotgun")</f>
        <v>Shotgun</v>
      </c>
      <c r="C1099" s="103">
        <f>IFERROR(__xludf.DUMMYFUNCTION("""COMPUTED_VALUE"""),43.0)</f>
        <v>43</v>
      </c>
      <c r="D1099" s="102" t="str">
        <f>IFERROR(__xludf.DUMMYFUNCTION("""COMPUTED_VALUE"""),"Grip")</f>
        <v>Grip</v>
      </c>
      <c r="E1099" s="102" t="str">
        <f>IFERROR(__xludf.DUMMYFUNCTION("""COMPUTED_VALUE"""),"BOR_SG.part_grip_02")</f>
        <v>BOR_SG.part_grip_02</v>
      </c>
      <c r="F1099" s="102"/>
      <c r="G1099" s="102" t="str">
        <f>IFERROR(__xludf.DUMMYFUNCTION("""COMPUTED_VALUE"""),"+Fire Rate")</f>
        <v>+Fire Rate</v>
      </c>
      <c r="H1099" s="102"/>
      <c r="I1099" s="102"/>
      <c r="J1099" s="102"/>
      <c r="K1099" s="102"/>
      <c r="L1099" s="102"/>
    </row>
    <row r="1100">
      <c r="A1100" s="102" t="str">
        <f>IFERROR(__xludf.DUMMYFUNCTION("""COMPUTED_VALUE"""),"Ripper")</f>
        <v>Ripper</v>
      </c>
      <c r="B1100" s="102" t="str">
        <f>IFERROR(__xludf.DUMMYFUNCTION("""COMPUTED_VALUE"""),"Shotgun")</f>
        <v>Shotgun</v>
      </c>
      <c r="C1100" s="103">
        <f>IFERROR(__xludf.DUMMYFUNCTION("""COMPUTED_VALUE"""),44.0)</f>
        <v>44</v>
      </c>
      <c r="D1100" s="102" t="str">
        <f>IFERROR(__xludf.DUMMYFUNCTION("""COMPUTED_VALUE"""),"Grip")</f>
        <v>Grip</v>
      </c>
      <c r="E1100" s="102" t="str">
        <f>IFERROR(__xludf.DUMMYFUNCTION("""COMPUTED_VALUE"""),"BOR_SG.part_grip_03")</f>
        <v>BOR_SG.part_grip_03</v>
      </c>
      <c r="F1100" s="102"/>
      <c r="G1100" s="102" t="str">
        <f>IFERROR(__xludf.DUMMYFUNCTION("""COMPUTED_VALUE"""),"-Reload Speed")</f>
        <v>-Reload Speed</v>
      </c>
      <c r="H1100" s="102"/>
      <c r="I1100" s="102"/>
      <c r="J1100" s="102"/>
      <c r="K1100" s="102"/>
      <c r="L1100" s="102"/>
    </row>
    <row r="1101">
      <c r="A1101" s="102" t="str">
        <f>IFERROR(__xludf.DUMMYFUNCTION("""COMPUTED_VALUE"""),"Ripper")</f>
        <v>Ripper</v>
      </c>
      <c r="B1101" s="102" t="str">
        <f>IFERROR(__xludf.DUMMYFUNCTION("""COMPUTED_VALUE"""),"Shotgun")</f>
        <v>Shotgun</v>
      </c>
      <c r="C1101" s="103">
        <f>IFERROR(__xludf.DUMMYFUNCTION("""COMPUTED_VALUE"""),45.0)</f>
        <v>45</v>
      </c>
      <c r="D1101" s="102" t="str">
        <f>IFERROR(__xludf.DUMMYFUNCTION("""COMPUTED_VALUE"""),"Grip")</f>
        <v>Grip</v>
      </c>
      <c r="E1101" s="102" t="str">
        <f>IFERROR(__xludf.DUMMYFUNCTION("""COMPUTED_VALUE"""),"BOR_SG.part_grip_04_hyp")</f>
        <v>BOR_SG.part_grip_04_hyp</v>
      </c>
      <c r="F1101" s="102"/>
      <c r="G1101" s="102" t="str">
        <f>IFERROR(__xludf.DUMMYFUNCTION("""COMPUTED_VALUE"""),"Hyperion Grip, -Acc, Acc increases with continuous fire")</f>
        <v>Hyperion Grip, -Acc, Acc increases with continuous fire</v>
      </c>
      <c r="H1101" s="102"/>
      <c r="I1101" s="102"/>
      <c r="J1101" s="102"/>
      <c r="K1101" s="102"/>
      <c r="L1101" s="102"/>
    </row>
    <row r="1102">
      <c r="A1102" s="102" t="str">
        <f>IFERROR(__xludf.DUMMYFUNCTION("""COMPUTED_VALUE"""),"Ripper")</f>
        <v>Ripper</v>
      </c>
      <c r="B1102" s="102" t="str">
        <f>IFERROR(__xludf.DUMMYFUNCTION("""COMPUTED_VALUE"""),"Shotgun")</f>
        <v>Shotgun</v>
      </c>
      <c r="C1102" s="103">
        <f>IFERROR(__xludf.DUMMYFUNCTION("""COMPUTED_VALUE"""),46.0)</f>
        <v>46</v>
      </c>
      <c r="D1102" s="102" t="str">
        <f>IFERROR(__xludf.DUMMYFUNCTION("""COMPUTED_VALUE"""),"Underbarrel")</f>
        <v>Underbarrel</v>
      </c>
      <c r="E1102" s="102" t="str">
        <f>IFERROR(__xludf.DUMMYFUNCTION("""COMPUTED_VALUE"""),"BOR_SG.part_underbarrel_04_atlas_ball")</f>
        <v>BOR_SG.part_underbarrel_04_atlas_ball</v>
      </c>
      <c r="F1102" s="102"/>
      <c r="G1102" s="102" t="str">
        <f>IFERROR(__xludf.DUMMYFUNCTION("""COMPUTED_VALUE"""),"Atlas Tracker Grenades")</f>
        <v>Atlas Tracker Grenades</v>
      </c>
      <c r="H1102" s="102"/>
      <c r="I1102" s="102"/>
      <c r="J1102" s="102"/>
      <c r="K1102" s="102"/>
      <c r="L1102" s="102"/>
    </row>
    <row r="1103">
      <c r="A1103" s="102" t="str">
        <f>IFERROR(__xludf.DUMMYFUNCTION("""COMPUTED_VALUE"""),"Ripper")</f>
        <v>Ripper</v>
      </c>
      <c r="B1103" s="102" t="str">
        <f>IFERROR(__xludf.DUMMYFUNCTION("""COMPUTED_VALUE"""),"Shotgun")</f>
        <v>Shotgun</v>
      </c>
      <c r="C1103" s="103">
        <f>IFERROR(__xludf.DUMMYFUNCTION("""COMPUTED_VALUE"""),47.0)</f>
        <v>47</v>
      </c>
      <c r="D1103" s="102" t="str">
        <f>IFERROR(__xludf.DUMMYFUNCTION("""COMPUTED_VALUE"""),"Underbarrel")</f>
        <v>Underbarrel</v>
      </c>
      <c r="E1103" s="102" t="str">
        <f>IFERROR(__xludf.DUMMYFUNCTION("""COMPUTED_VALUE"""),"BOR_SG.part_underbarrel_04_atlas")</f>
        <v>BOR_SG.part_underbarrel_04_atlas</v>
      </c>
      <c r="F1103" s="102"/>
      <c r="G1103" s="102" t="str">
        <f>IFERROR(__xludf.DUMMYFUNCTION("""COMPUTED_VALUE"""),"Atlas Tracker Darts")</f>
        <v>Atlas Tracker Darts</v>
      </c>
      <c r="H1103" s="102"/>
      <c r="I1103" s="102"/>
      <c r="J1103" s="102"/>
      <c r="K1103" s="102"/>
      <c r="L1103" s="102"/>
    </row>
    <row r="1104">
      <c r="A1104" s="102" t="str">
        <f>IFERROR(__xludf.DUMMYFUNCTION("""COMPUTED_VALUE"""),"Ripper")</f>
        <v>Ripper</v>
      </c>
      <c r="B1104" s="102" t="str">
        <f>IFERROR(__xludf.DUMMYFUNCTION("""COMPUTED_VALUE"""),"Shotgun")</f>
        <v>Shotgun</v>
      </c>
      <c r="C1104" s="103">
        <f>IFERROR(__xludf.DUMMYFUNCTION("""COMPUTED_VALUE"""),48.0)</f>
        <v>48</v>
      </c>
      <c r="D1104" s="102" t="str">
        <f>IFERROR(__xludf.DUMMYFUNCTION("""COMPUTED_VALUE"""),"Underbarrel")</f>
        <v>Underbarrel</v>
      </c>
      <c r="E1104" s="102" t="str">
        <f>IFERROR(__xludf.DUMMYFUNCTION("""COMPUTED_VALUE"""),"BOR_SG.part_underbarrel_01_beam")</f>
        <v>BOR_SG.part_underbarrel_01_beam</v>
      </c>
      <c r="F1104" s="102"/>
      <c r="G1104" s="102" t="str">
        <f>IFERROR(__xludf.DUMMYFUNCTION("""COMPUTED_VALUE"""),"Alt Fire - Lightning Beam")</f>
        <v>Alt Fire - Lightning Beam</v>
      </c>
      <c r="H1104" s="102" t="str">
        <f>IFERROR(__xludf.DUMMYFUNCTION("""COMPUTED_VALUE"""),"Fires a Beam that deals XXX Shock Damage/s and can chain to an additional target")</f>
        <v>Fires a Beam that deals XXX Shock Damage/s and can chain to an additional target</v>
      </c>
      <c r="I1104" s="102"/>
      <c r="J1104" s="102"/>
      <c r="K1104" s="102"/>
      <c r="L1104" s="102"/>
    </row>
    <row r="1105">
      <c r="A1105" s="102" t="str">
        <f>IFERROR(__xludf.DUMMYFUNCTION("""COMPUTED_VALUE"""),"Ripper")</f>
        <v>Ripper</v>
      </c>
      <c r="B1105" s="102" t="str">
        <f>IFERROR(__xludf.DUMMYFUNCTION("""COMPUTED_VALUE"""),"Shotgun")</f>
        <v>Shotgun</v>
      </c>
      <c r="C1105" s="103">
        <f>IFERROR(__xludf.DUMMYFUNCTION("""COMPUTED_VALUE"""),49.0)</f>
        <v>49</v>
      </c>
      <c r="D1105" s="102" t="str">
        <f>IFERROR(__xludf.DUMMYFUNCTION("""COMPUTED_VALUE"""),"Underbarrel")</f>
        <v>Underbarrel</v>
      </c>
      <c r="E1105" s="102" t="str">
        <f>IFERROR(__xludf.DUMMYFUNCTION("""COMPUTED_VALUE"""),"BOR_SG.part_underbarrel_02_gauss")</f>
        <v>BOR_SG.part_underbarrel_02_gauss</v>
      </c>
      <c r="F1105" s="102"/>
      <c r="G1105" s="102" t="str">
        <f>IFERROR(__xludf.DUMMYFUNCTION("""COMPUTED_VALUE"""),"Alt Fire - Gauss Gun")</f>
        <v>Alt Fire - Gauss Gun</v>
      </c>
      <c r="H1105" s="102" t="str">
        <f>IFERROR(__xludf.DUMMYFUNCTION("""COMPUTED_VALUE"""),"Chage-fires a Projectile that deals XXX Damage")</f>
        <v>Chage-fires a Projectile that deals XXX Damage</v>
      </c>
      <c r="I1105" s="102"/>
      <c r="J1105" s="102"/>
      <c r="K1105" s="102"/>
      <c r="L1105" s="102"/>
    </row>
    <row r="1106">
      <c r="A1106" s="102" t="str">
        <f>IFERROR(__xludf.DUMMYFUNCTION("""COMPUTED_VALUE"""),"Ripper")</f>
        <v>Ripper</v>
      </c>
      <c r="B1106" s="102" t="str">
        <f>IFERROR(__xludf.DUMMYFUNCTION("""COMPUTED_VALUE"""),"Shotgun")</f>
        <v>Shotgun</v>
      </c>
      <c r="C1106" s="103">
        <f>IFERROR(__xludf.DUMMYFUNCTION("""COMPUTED_VALUE"""),50.0)</f>
        <v>50</v>
      </c>
      <c r="D1106" s="102" t="str">
        <f>IFERROR(__xludf.DUMMYFUNCTION("""COMPUTED_VALUE"""),"Foregrip")</f>
        <v>Foregrip</v>
      </c>
      <c r="E1106" s="102" t="str">
        <f>IFERROR(__xludf.DUMMYFUNCTION("""COMPUTED_VALUE"""),"BOR_SG.part_foregrip_01")</f>
        <v>BOR_SG.part_foregrip_01</v>
      </c>
      <c r="F1106" s="102"/>
      <c r="G1106" s="102" t="str">
        <f>IFERROR(__xludf.DUMMYFUNCTION("""COMPUTED_VALUE"""),"+Damage")</f>
        <v>+Damage</v>
      </c>
      <c r="H1106" s="102"/>
      <c r="I1106" s="102"/>
      <c r="J1106" s="102"/>
      <c r="K1106" s="102"/>
      <c r="L1106" s="102"/>
    </row>
    <row r="1107">
      <c r="A1107" s="102" t="str">
        <f>IFERROR(__xludf.DUMMYFUNCTION("""COMPUTED_VALUE"""),"Ripper")</f>
        <v>Ripper</v>
      </c>
      <c r="B1107" s="102" t="str">
        <f>IFERROR(__xludf.DUMMYFUNCTION("""COMPUTED_VALUE"""),"Shotgun")</f>
        <v>Shotgun</v>
      </c>
      <c r="C1107" s="103">
        <f>IFERROR(__xludf.DUMMYFUNCTION("""COMPUTED_VALUE"""),51.0)</f>
        <v>51</v>
      </c>
      <c r="D1107" s="102" t="str">
        <f>IFERROR(__xludf.DUMMYFUNCTION("""COMPUTED_VALUE"""),"Foregrip")</f>
        <v>Foregrip</v>
      </c>
      <c r="E1107" s="102" t="str">
        <f>IFERROR(__xludf.DUMMYFUNCTION("""COMPUTED_VALUE"""),"BOR_SG.part_foregrip_03")</f>
        <v>BOR_SG.part_foregrip_03</v>
      </c>
      <c r="F1107" s="102"/>
      <c r="G1107" s="102" t="str">
        <f>IFERROR(__xludf.DUMMYFUNCTION("""COMPUTED_VALUE"""),"+Accuracy")</f>
        <v>+Accuracy</v>
      </c>
      <c r="H1107" s="102"/>
      <c r="I1107" s="102"/>
      <c r="J1107" s="102"/>
      <c r="K1107" s="102"/>
      <c r="L1107" s="102"/>
    </row>
    <row r="1108">
      <c r="A1108" s="102" t="str">
        <f>IFERROR(__xludf.DUMMYFUNCTION("""COMPUTED_VALUE"""),"Ripper")</f>
        <v>Ripper</v>
      </c>
      <c r="B1108" s="102" t="str">
        <f>IFERROR(__xludf.DUMMYFUNCTION("""COMPUTED_VALUE"""),"Shotgun")</f>
        <v>Shotgun</v>
      </c>
      <c r="C1108" s="103">
        <f>IFERROR(__xludf.DUMMYFUNCTION("""COMPUTED_VALUE"""),52.0)</f>
        <v>52</v>
      </c>
      <c r="D1108" s="102" t="str">
        <f>IFERROR(__xludf.DUMMYFUNCTION("""COMPUTED_VALUE"""),"Underbarrel")</f>
        <v>Underbarrel</v>
      </c>
      <c r="E1108" s="102" t="str">
        <f>IFERROR(__xludf.DUMMYFUNCTION("""COMPUTED_VALUE"""),"BOR_SG.part_underbarrel_05_ammoswitcher")</f>
        <v>BOR_SG.part_underbarrel_05_ammoswitcher</v>
      </c>
      <c r="F1108" s="102"/>
      <c r="G1108" s="102" t="str">
        <f>IFERROR(__xludf.DUMMYFUNCTION("""COMPUTED_VALUE"""),"Daedalus Ammo Switch")</f>
        <v>Daedalus Ammo Switch</v>
      </c>
      <c r="H1108" s="102" t="str">
        <f>IFERROR(__xludf.DUMMYFUNCTION("""COMPUTED_VALUE"""),"Used for Daedalus Ammo switch")</f>
        <v>Used for Daedalus Ammo switch</v>
      </c>
      <c r="I1108" s="102"/>
      <c r="J1108" s="102"/>
      <c r="K1108" s="102"/>
      <c r="L1108" s="102"/>
    </row>
    <row r="1109">
      <c r="A1109" s="102" t="str">
        <f>IFERROR(__xludf.DUMMYFUNCTION("""COMPUTED_VALUE"""),"Ripper")</f>
        <v>Ripper</v>
      </c>
      <c r="B1109" s="102" t="str">
        <f>IFERROR(__xludf.DUMMYFUNCTION("""COMPUTED_VALUE"""),"Shotgun")</f>
        <v>Shotgun</v>
      </c>
      <c r="C1109" s="103">
        <f>IFERROR(__xludf.DUMMYFUNCTION("""COMPUTED_VALUE"""),53.0)</f>
        <v>53</v>
      </c>
      <c r="D1109" s="102" t="str">
        <f>IFERROR(__xludf.DUMMYFUNCTION("""COMPUTED_VALUE"""),"Underbarrel")</f>
        <v>Underbarrel</v>
      </c>
      <c r="E1109" s="102" t="str">
        <f>IFERROR(__xludf.DUMMYFUNCTION("""COMPUTED_VALUE"""),"BOR_SG.part_underbarrel_06_malswitch")</f>
        <v>BOR_SG.part_underbarrel_06_malswitch</v>
      </c>
      <c r="F1109" s="102"/>
      <c r="G1109" s="102" t="str">
        <f>IFERROR(__xludf.DUMMYFUNCTION("""COMPUTED_VALUE"""),"Maliwan Element Switch")</f>
        <v>Maliwan Element Switch</v>
      </c>
      <c r="H1109" s="102" t="str">
        <f>IFERROR(__xludf.DUMMYFUNCTION("""COMPUTED_VALUE"""),"Used for Maliwan elemental switch")</f>
        <v>Used for Maliwan elemental switch</v>
      </c>
      <c r="I1109" s="102"/>
      <c r="J1109" s="102"/>
      <c r="K1109" s="102"/>
      <c r="L1109" s="102"/>
    </row>
    <row r="1110">
      <c r="A1110" s="102" t="str">
        <f>IFERROR(__xludf.DUMMYFUNCTION("""COMPUTED_VALUE"""),"Ripper")</f>
        <v>Ripper</v>
      </c>
      <c r="B1110" s="102" t="str">
        <f>IFERROR(__xludf.DUMMYFUNCTION("""COMPUTED_VALUE"""),"Shotgun")</f>
        <v>Shotgun</v>
      </c>
      <c r="C1110" s="103">
        <f>IFERROR(__xludf.DUMMYFUNCTION("""COMPUTED_VALUE"""),60.0)</f>
        <v>60</v>
      </c>
      <c r="D1110" s="102" t="str">
        <f>IFERROR(__xludf.DUMMYFUNCTION("""COMPUTED_VALUE"""),"Manufacturer Part")</f>
        <v>Manufacturer Part</v>
      </c>
      <c r="E1110" s="102" t="str">
        <f>IFERROR(__xludf.DUMMYFUNCTION("""COMPUTED_VALUE"""),"BOR_SG.part_secondary_ammo_smg")</f>
        <v>BOR_SG.part_secondary_ammo_smg</v>
      </c>
      <c r="F1110" s="102"/>
      <c r="G1110" s="102" t="str">
        <f>IFERROR(__xludf.DUMMYFUNCTION("""COMPUTED_VALUE"""),"Daedalus SMG Ammo")</f>
        <v>Daedalus SMG Ammo</v>
      </c>
      <c r="H1110" s="102"/>
      <c r="I1110" s="102"/>
      <c r="J1110" s="102"/>
      <c r="K1110" s="102"/>
      <c r="L1110" s="102"/>
    </row>
    <row r="1111">
      <c r="A1111" s="102" t="str">
        <f>IFERROR(__xludf.DUMMYFUNCTION("""COMPUTED_VALUE"""),"Ripper")</f>
        <v>Ripper</v>
      </c>
      <c r="B1111" s="102" t="str">
        <f>IFERROR(__xludf.DUMMYFUNCTION("""COMPUTED_VALUE"""),"Shotgun")</f>
        <v>Shotgun</v>
      </c>
      <c r="C1111" s="103">
        <f>IFERROR(__xludf.DUMMYFUNCTION("""COMPUTED_VALUE"""),61.0)</f>
        <v>61</v>
      </c>
      <c r="D1111" s="102" t="str">
        <f>IFERROR(__xludf.DUMMYFUNCTION("""COMPUTED_VALUE"""),"Manufacturer Part")</f>
        <v>Manufacturer Part</v>
      </c>
      <c r="E1111" s="102" t="str">
        <f>IFERROR(__xludf.DUMMYFUNCTION("""COMPUTED_VALUE"""),"BOR_SG.part_secondary_ammo_ar")</f>
        <v>BOR_SG.part_secondary_ammo_ar</v>
      </c>
      <c r="F1111" s="102"/>
      <c r="G1111" s="102" t="str">
        <f>IFERROR(__xludf.DUMMYFUNCTION("""COMPUTED_VALUE"""),"Daedalus AR Ammo")</f>
        <v>Daedalus AR Ammo</v>
      </c>
      <c r="H1111" s="102"/>
      <c r="I1111" s="102"/>
      <c r="J1111" s="102"/>
      <c r="K1111" s="102"/>
      <c r="L1111" s="102"/>
    </row>
    <row r="1112">
      <c r="A1112" s="102" t="str">
        <f>IFERROR(__xludf.DUMMYFUNCTION("""COMPUTED_VALUE"""),"Ripper")</f>
        <v>Ripper</v>
      </c>
      <c r="B1112" s="102" t="str">
        <f>IFERROR(__xludf.DUMMYFUNCTION("""COMPUTED_VALUE"""),"Shotgun")</f>
        <v>Shotgun</v>
      </c>
      <c r="C1112" s="103">
        <f>IFERROR(__xludf.DUMMYFUNCTION("""COMPUTED_VALUE"""),62.0)</f>
        <v>62</v>
      </c>
      <c r="D1112" s="102" t="str">
        <f>IFERROR(__xludf.DUMMYFUNCTION("""COMPUTED_VALUE"""),"Manufacturer Part")</f>
        <v>Manufacturer Part</v>
      </c>
      <c r="E1112" s="102" t="str">
        <f>IFERROR(__xludf.DUMMYFUNCTION("""COMPUTED_VALUE"""),"BOR_SG.part_secondary_ammo_ps")</f>
        <v>BOR_SG.part_secondary_ammo_ps</v>
      </c>
      <c r="F1112" s="102"/>
      <c r="G1112" s="102" t="str">
        <f>IFERROR(__xludf.DUMMYFUNCTION("""COMPUTED_VALUE"""),"Daedalus Pistol Ammo")</f>
        <v>Daedalus Pistol Ammo</v>
      </c>
      <c r="H1112" s="102"/>
      <c r="I1112" s="102"/>
      <c r="J1112" s="102"/>
      <c r="K1112" s="102"/>
      <c r="L1112" s="102"/>
    </row>
    <row r="1113">
      <c r="A1113" s="102" t="str">
        <f>IFERROR(__xludf.DUMMYFUNCTION("""COMPUTED_VALUE"""),"Ripper")</f>
        <v>Ripper</v>
      </c>
      <c r="B1113" s="102" t="str">
        <f>IFERROR(__xludf.DUMMYFUNCTION("""COMPUTED_VALUE"""),"Shotgun")</f>
        <v>Shotgun</v>
      </c>
      <c r="C1113" s="103">
        <f>IFERROR(__xludf.DUMMYFUNCTION("""COMPUTED_VALUE"""),63.0)</f>
        <v>63</v>
      </c>
      <c r="D1113" s="102" t="str">
        <f>IFERROR(__xludf.DUMMYFUNCTION("""COMPUTED_VALUE"""),"Manufacturer Part")</f>
        <v>Manufacturer Part</v>
      </c>
      <c r="E1113" s="102" t="str">
        <f>IFERROR(__xludf.DUMMYFUNCTION("""COMPUTED_VALUE"""),"BOR_SG.part_secondary_ammo_sr")</f>
        <v>BOR_SG.part_secondary_ammo_sr</v>
      </c>
      <c r="F1113" s="102"/>
      <c r="G1113" s="102" t="str">
        <f>IFERROR(__xludf.DUMMYFUNCTION("""COMPUTED_VALUE"""),"Daedalus SR Ammo")</f>
        <v>Daedalus SR Ammo</v>
      </c>
      <c r="H1113" s="102"/>
      <c r="I1113" s="102"/>
      <c r="J1113" s="102"/>
      <c r="K1113" s="102"/>
      <c r="L1113" s="102"/>
    </row>
    <row r="1114">
      <c r="A1114" s="102" t="str">
        <f>IFERROR(__xludf.DUMMYFUNCTION("""COMPUTED_VALUE"""),"Ripper")</f>
        <v>Ripper</v>
      </c>
      <c r="B1114" s="102" t="str">
        <f>IFERROR(__xludf.DUMMYFUNCTION("""COMPUTED_VALUE"""),"Shotgun")</f>
        <v>Shotgun</v>
      </c>
      <c r="C1114" s="103">
        <f>IFERROR(__xludf.DUMMYFUNCTION("""COMPUTED_VALUE"""),64.0)</f>
        <v>64</v>
      </c>
      <c r="D1114" s="102" t="str">
        <f>IFERROR(__xludf.DUMMYFUNCTION("""COMPUTED_VALUE"""),"Barrel")</f>
        <v>Barrel</v>
      </c>
      <c r="E1114" s="102" t="str">
        <f>IFERROR(__xludf.DUMMYFUNCTION("""COMPUTED_VALUE"""),"BOR_SG.part_unique_barrel_02_convergence")</f>
        <v>BOR_SG.part_unique_barrel_02_convergence</v>
      </c>
      <c r="F1114" s="102"/>
      <c r="G1114" s="102" t="str">
        <f>IFERROR(__xludf.DUMMYFUNCTION("""COMPUTED_VALUE"""),"Convergence, 390 x 3 Damage, 70% Acc, 3.0/s RL")</f>
        <v>Convergence, 390 x 3 Damage, 70% Acc, 3.0/s RL</v>
      </c>
      <c r="H1114" s="102" t="str">
        <f>IFERROR(__xludf.DUMMYFUNCTION("""COMPUTED_VALUE"""),"Asymptotic")</f>
        <v>Asymptotic</v>
      </c>
      <c r="I1114" s="102"/>
      <c r="J1114" s="102"/>
      <c r="K1114" s="102"/>
      <c r="L1114" s="102"/>
    </row>
    <row r="1115">
      <c r="A1115" s="102" t="str">
        <f>IFERROR(__xludf.DUMMYFUNCTION("""COMPUTED_VALUE"""),"Ripper")</f>
        <v>Ripper</v>
      </c>
      <c r="B1115" s="102" t="str">
        <f>IFERROR(__xludf.DUMMYFUNCTION("""COMPUTED_VALUE"""),"Shotgun")</f>
        <v>Shotgun</v>
      </c>
      <c r="C1115" s="103">
        <f>IFERROR(__xludf.DUMMYFUNCTION("""COMPUTED_VALUE"""),66.0)</f>
        <v>66</v>
      </c>
      <c r="D1115" s="102" t="str">
        <f>IFERROR(__xludf.DUMMYFUNCTION("""COMPUTED_VALUE"""),"Barrel Accessory")</f>
        <v>Barrel Accessory</v>
      </c>
      <c r="E1115" s="102" t="str">
        <f>IFERROR(__xludf.DUMMYFUNCTION("""COMPUTED_VALUE"""),"BOR_SG.part_barrel_01_a")</f>
        <v>BOR_SG.part_barrel_01_a</v>
      </c>
      <c r="F1115" s="102"/>
      <c r="G1115" s="102" t="str">
        <f>IFERROR(__xludf.DUMMYFUNCTION("""COMPUTED_VALUE"""),"+Damage")</f>
        <v>+Damage</v>
      </c>
      <c r="H1115" s="102"/>
      <c r="I1115" s="102"/>
      <c r="J1115" s="102"/>
      <c r="K1115" s="102"/>
      <c r="L1115" s="102"/>
    </row>
    <row r="1116">
      <c r="A1116" s="102" t="str">
        <f>IFERROR(__xludf.DUMMYFUNCTION("""COMPUTED_VALUE"""),"Ripper")</f>
        <v>Ripper</v>
      </c>
      <c r="B1116" s="102" t="str">
        <f>IFERROR(__xludf.DUMMYFUNCTION("""COMPUTED_VALUE"""),"Shotgun")</f>
        <v>Shotgun</v>
      </c>
      <c r="C1116" s="103">
        <f>IFERROR(__xludf.DUMMYFUNCTION("""COMPUTED_VALUE"""),67.0)</f>
        <v>67</v>
      </c>
      <c r="D1116" s="102" t="str">
        <f>IFERROR(__xludf.DUMMYFUNCTION("""COMPUTED_VALUE"""),"Barrel Accessory")</f>
        <v>Barrel Accessory</v>
      </c>
      <c r="E1116" s="102" t="str">
        <f>IFERROR(__xludf.DUMMYFUNCTION("""COMPUTED_VALUE"""),"BOR_SG.part_barrel_01_b")</f>
        <v>BOR_SG.part_barrel_01_b</v>
      </c>
      <c r="F1116" s="102"/>
      <c r="G1116" s="102" t="str">
        <f>IFERROR(__xludf.DUMMYFUNCTION("""COMPUTED_VALUE"""),"-Reload Speed")</f>
        <v>-Reload Speed</v>
      </c>
      <c r="H1116" s="102"/>
      <c r="I1116" s="102"/>
      <c r="J1116" s="102"/>
      <c r="K1116" s="102"/>
      <c r="L1116" s="102"/>
    </row>
    <row r="1117">
      <c r="A1117" s="102" t="str">
        <f>IFERROR(__xludf.DUMMYFUNCTION("""COMPUTED_VALUE"""),"Ripper")</f>
        <v>Ripper</v>
      </c>
      <c r="B1117" s="102" t="str">
        <f>IFERROR(__xludf.DUMMYFUNCTION("""COMPUTED_VALUE"""),"Shotgun")</f>
        <v>Shotgun</v>
      </c>
      <c r="C1117" s="103">
        <f>IFERROR(__xludf.DUMMYFUNCTION("""COMPUTED_VALUE"""),68.0)</f>
        <v>68</v>
      </c>
      <c r="D1117" s="102" t="str">
        <f>IFERROR(__xludf.DUMMYFUNCTION("""COMPUTED_VALUE"""),"Barrel Accessory")</f>
        <v>Barrel Accessory</v>
      </c>
      <c r="E1117" s="102" t="str">
        <f>IFERROR(__xludf.DUMMYFUNCTION("""COMPUTED_VALUE"""),"BOR_SG.part_barrel_01_c")</f>
        <v>BOR_SG.part_barrel_01_c</v>
      </c>
      <c r="F1117" s="102"/>
      <c r="G1117" s="102" t="str">
        <f>IFERROR(__xludf.DUMMYFUNCTION("""COMPUTED_VALUE"""),"+Damage")</f>
        <v>+Damage</v>
      </c>
      <c r="H1117" s="102"/>
      <c r="I1117" s="102"/>
      <c r="J1117" s="102"/>
      <c r="K1117" s="102"/>
      <c r="L1117" s="102"/>
    </row>
    <row r="1118">
      <c r="A1118" s="102" t="str">
        <f>IFERROR(__xludf.DUMMYFUNCTION("""COMPUTED_VALUE"""),"Ripper")</f>
        <v>Ripper</v>
      </c>
      <c r="B1118" s="102" t="str">
        <f>IFERROR(__xludf.DUMMYFUNCTION("""COMPUTED_VALUE"""),"Shotgun")</f>
        <v>Shotgun</v>
      </c>
      <c r="C1118" s="103">
        <f>IFERROR(__xludf.DUMMYFUNCTION("""COMPUTED_VALUE"""),69.0)</f>
        <v>69</v>
      </c>
      <c r="D1118" s="102" t="str">
        <f>IFERROR(__xludf.DUMMYFUNCTION("""COMPUTED_VALUE"""),"Barrel Accessory")</f>
        <v>Barrel Accessory</v>
      </c>
      <c r="E1118" s="102" t="str">
        <f>IFERROR(__xludf.DUMMYFUNCTION("""COMPUTED_VALUE"""),"BOR_SG.part_barrel_01_d")</f>
        <v>BOR_SG.part_barrel_01_d</v>
      </c>
      <c r="F1118" s="102"/>
      <c r="G1118" s="102" t="str">
        <f>IFERROR(__xludf.DUMMYFUNCTION("""COMPUTED_VALUE"""),"+Accuracy")</f>
        <v>+Accuracy</v>
      </c>
      <c r="H1118" s="102"/>
      <c r="I1118" s="102"/>
      <c r="J1118" s="102"/>
      <c r="K1118" s="102"/>
      <c r="L1118" s="102"/>
    </row>
    <row r="1119">
      <c r="A1119" s="102" t="str">
        <f>IFERROR(__xludf.DUMMYFUNCTION("""COMPUTED_VALUE"""),"Ripper")</f>
        <v>Ripper</v>
      </c>
      <c r="B1119" s="102" t="str">
        <f>IFERROR(__xludf.DUMMYFUNCTION("""COMPUTED_VALUE"""),"Shotgun")</f>
        <v>Shotgun</v>
      </c>
      <c r="C1119" s="103">
        <f>IFERROR(__xludf.DUMMYFUNCTION("""COMPUTED_VALUE"""),70.0)</f>
        <v>70</v>
      </c>
      <c r="D1119" s="102" t="str">
        <f>IFERROR(__xludf.DUMMYFUNCTION("""COMPUTED_VALUE"""),"Barrel Accessory")</f>
        <v>Barrel Accessory</v>
      </c>
      <c r="E1119" s="102" t="str">
        <f>IFERROR(__xludf.DUMMYFUNCTION("""COMPUTED_VALUE"""),"BOR_SG.part_barrel_02_a")</f>
        <v>BOR_SG.part_barrel_02_a</v>
      </c>
      <c r="F1119" s="102"/>
      <c r="G1119" s="102" t="str">
        <f>IFERROR(__xludf.DUMMYFUNCTION("""COMPUTED_VALUE"""),"+Damage")</f>
        <v>+Damage</v>
      </c>
      <c r="H1119" s="102"/>
      <c r="I1119" s="102"/>
      <c r="J1119" s="102"/>
      <c r="K1119" s="102"/>
      <c r="L1119" s="102"/>
    </row>
    <row r="1120">
      <c r="A1120" s="102" t="str">
        <f>IFERROR(__xludf.DUMMYFUNCTION("""COMPUTED_VALUE"""),"Ripper")</f>
        <v>Ripper</v>
      </c>
      <c r="B1120" s="102" t="str">
        <f>IFERROR(__xludf.DUMMYFUNCTION("""COMPUTED_VALUE"""),"Shotgun")</f>
        <v>Shotgun</v>
      </c>
      <c r="C1120" s="103">
        <f>IFERROR(__xludf.DUMMYFUNCTION("""COMPUTED_VALUE"""),71.0)</f>
        <v>71</v>
      </c>
      <c r="D1120" s="102" t="str">
        <f>IFERROR(__xludf.DUMMYFUNCTION("""COMPUTED_VALUE"""),"Barrel Accessory")</f>
        <v>Barrel Accessory</v>
      </c>
      <c r="E1120" s="102" t="str">
        <f>IFERROR(__xludf.DUMMYFUNCTION("""COMPUTED_VALUE"""),"BOR_SG.part_barrel_02_b")</f>
        <v>BOR_SG.part_barrel_02_b</v>
      </c>
      <c r="F1120" s="102"/>
      <c r="G1120" s="102" t="str">
        <f>IFERROR(__xludf.DUMMYFUNCTION("""COMPUTED_VALUE"""),"+Accuracy")</f>
        <v>+Accuracy</v>
      </c>
      <c r="H1120" s="102"/>
      <c r="I1120" s="102"/>
      <c r="J1120" s="102"/>
      <c r="K1120" s="102"/>
      <c r="L1120" s="102"/>
    </row>
    <row r="1121">
      <c r="A1121" s="102" t="str">
        <f>IFERROR(__xludf.DUMMYFUNCTION("""COMPUTED_VALUE"""),"Ripper")</f>
        <v>Ripper</v>
      </c>
      <c r="B1121" s="102" t="str">
        <f>IFERROR(__xludf.DUMMYFUNCTION("""COMPUTED_VALUE"""),"Shotgun")</f>
        <v>Shotgun</v>
      </c>
      <c r="C1121" s="103">
        <f>IFERROR(__xludf.DUMMYFUNCTION("""COMPUTED_VALUE"""),72.0)</f>
        <v>72</v>
      </c>
      <c r="D1121" s="102" t="str">
        <f>IFERROR(__xludf.DUMMYFUNCTION("""COMPUTED_VALUE"""),"Barrel Accessory")</f>
        <v>Barrel Accessory</v>
      </c>
      <c r="E1121" s="102" t="str">
        <f>IFERROR(__xludf.DUMMYFUNCTION("""COMPUTED_VALUE"""),"BOR_SG.part_barrel_02_c")</f>
        <v>BOR_SG.part_barrel_02_c</v>
      </c>
      <c r="F1121" s="102"/>
      <c r="G1121" s="102" t="str">
        <f>IFERROR(__xludf.DUMMYFUNCTION("""COMPUTED_VALUE"""),"+Fire Rate")</f>
        <v>+Fire Rate</v>
      </c>
      <c r="H1121" s="102"/>
      <c r="I1121" s="102"/>
      <c r="J1121" s="102"/>
      <c r="K1121" s="102"/>
      <c r="L1121" s="102"/>
    </row>
    <row r="1122">
      <c r="A1122" s="102" t="str">
        <f>IFERROR(__xludf.DUMMYFUNCTION("""COMPUTED_VALUE"""),"Ripper")</f>
        <v>Ripper</v>
      </c>
      <c r="B1122" s="102" t="str">
        <f>IFERROR(__xludf.DUMMYFUNCTION("""COMPUTED_VALUE"""),"Shotgun")</f>
        <v>Shotgun</v>
      </c>
      <c r="C1122" s="103">
        <f>IFERROR(__xludf.DUMMYFUNCTION("""COMPUTED_VALUE"""),73.0)</f>
        <v>73</v>
      </c>
      <c r="D1122" s="102" t="str">
        <f>IFERROR(__xludf.DUMMYFUNCTION("""COMPUTED_VALUE"""),"Barrel Accessory")</f>
        <v>Barrel Accessory</v>
      </c>
      <c r="E1122" s="102" t="str">
        <f>IFERROR(__xludf.DUMMYFUNCTION("""COMPUTED_VALUE"""),"BOR_SG.part_barrel_02_d")</f>
        <v>BOR_SG.part_barrel_02_d</v>
      </c>
      <c r="F1122" s="102"/>
      <c r="G1122" s="102" t="str">
        <f>IFERROR(__xludf.DUMMYFUNCTION("""COMPUTED_VALUE"""),"+Fire Rate")</f>
        <v>+Fire Rate</v>
      </c>
      <c r="H1122" s="102"/>
      <c r="I1122" s="102"/>
      <c r="J1122" s="102"/>
      <c r="K1122" s="102"/>
      <c r="L1122" s="102"/>
    </row>
    <row r="1123">
      <c r="A1123" s="102" t="str">
        <f>IFERROR(__xludf.DUMMYFUNCTION("""COMPUTED_VALUE"""),"Ripper")</f>
        <v>Ripper</v>
      </c>
      <c r="B1123" s="102" t="str">
        <f>IFERROR(__xludf.DUMMYFUNCTION("""COMPUTED_VALUE"""),"Shotgun")</f>
        <v>Shotgun</v>
      </c>
      <c r="C1123" s="103">
        <f>IFERROR(__xludf.DUMMYFUNCTION("""COMPUTED_VALUE"""),74.0)</f>
        <v>74</v>
      </c>
      <c r="D1123" s="102" t="str">
        <f>IFERROR(__xludf.DUMMYFUNCTION("""COMPUTED_VALUE"""),"Manufacturer Part")</f>
        <v>Manufacturer Part</v>
      </c>
      <c r="E1123" s="102" t="str">
        <f>IFERROR(__xludf.DUMMYFUNCTION("""COMPUTED_VALUE"""),"BOR_SG.part_barrel_licensed_jak")</f>
        <v>BOR_SG.part_barrel_licensed_jak</v>
      </c>
      <c r="F1123" s="102"/>
      <c r="G1123" s="102" t="str">
        <f>IFERROR(__xludf.DUMMYFUNCTION("""COMPUTED_VALUE"""),"Jakobs Ricochet")</f>
        <v>Jakobs Ricochet</v>
      </c>
      <c r="H1123" s="102"/>
      <c r="I1123" s="102"/>
      <c r="J1123" s="102"/>
      <c r="K1123" s="102"/>
      <c r="L1123" s="102"/>
    </row>
    <row r="1124">
      <c r="A1124" s="102" t="str">
        <f>IFERROR(__xludf.DUMMYFUNCTION("""COMPUTED_VALUE"""),"Ripper")</f>
        <v>Ripper</v>
      </c>
      <c r="B1124" s="102" t="str">
        <f>IFERROR(__xludf.DUMMYFUNCTION("""COMPUTED_VALUE"""),"Shotgun")</f>
        <v>Shotgun</v>
      </c>
      <c r="C1124" s="103">
        <f>IFERROR(__xludf.DUMMYFUNCTION("""COMPUTED_VALUE"""),75.0)</f>
        <v>75</v>
      </c>
      <c r="D1124" s="102" t="str">
        <f>IFERROR(__xludf.DUMMYFUNCTION("""COMPUTED_VALUE"""),"Manufacturer Part")</f>
        <v>Manufacturer Part</v>
      </c>
      <c r="E1124" s="102" t="str">
        <f>IFERROR(__xludf.DUMMYFUNCTION("""COMPUTED_VALUE"""),"BOR_SG.part_barrel_licensed_ted")</f>
        <v>BOR_SG.part_barrel_licensed_ted</v>
      </c>
      <c r="F1124" s="102"/>
      <c r="G1124" s="102" t="str">
        <f>IFERROR(__xludf.DUMMYFUNCTION("""COMPUTED_VALUE"""),"Tediore Reload, no stat changes")</f>
        <v>Tediore Reload, no stat changes</v>
      </c>
      <c r="H1124" s="102"/>
      <c r="I1124" s="102"/>
      <c r="J1124" s="102"/>
      <c r="K1124" s="102"/>
      <c r="L1124" s="102"/>
    </row>
    <row r="1125">
      <c r="A1125" s="102" t="str">
        <f>IFERROR(__xludf.DUMMYFUNCTION("""COMPUTED_VALUE"""),"Ripper")</f>
        <v>Ripper</v>
      </c>
      <c r="B1125" s="102" t="str">
        <f>IFERROR(__xludf.DUMMYFUNCTION("""COMPUTED_VALUE"""),"Shotgun")</f>
        <v>Shotgun</v>
      </c>
      <c r="C1125" s="103">
        <f>IFERROR(__xludf.DUMMYFUNCTION("""COMPUTED_VALUE"""),76.0)</f>
        <v>76</v>
      </c>
      <c r="D1125" s="102" t="str">
        <f>IFERROR(__xludf.DUMMYFUNCTION("""COMPUTED_VALUE"""),"Manufacturer Part")</f>
        <v>Manufacturer Part</v>
      </c>
      <c r="E1125" s="102" t="str">
        <f>IFERROR(__xludf.DUMMYFUNCTION("""COMPUTED_VALUE"""),"BOR_SG.part_barrel_licensed_ted_shooting")</f>
        <v>BOR_SG.part_barrel_licensed_ted_shooting</v>
      </c>
      <c r="F1125" s="102"/>
      <c r="G1125" s="102" t="str">
        <f>IFERROR(__xludf.DUMMYFUNCTION("""COMPUTED_VALUE"""),"Tediore Shooting, no stat changes")</f>
        <v>Tediore Shooting, no stat changes</v>
      </c>
      <c r="H1125" s="102"/>
      <c r="I1125" s="102"/>
      <c r="J1125" s="102"/>
      <c r="K1125" s="102"/>
      <c r="L1125" s="102"/>
    </row>
    <row r="1126">
      <c r="A1126" s="102" t="str">
        <f>IFERROR(__xludf.DUMMYFUNCTION("""COMPUTED_VALUE"""),"Ripper")</f>
        <v>Ripper</v>
      </c>
      <c r="B1126" s="102" t="str">
        <f>IFERROR(__xludf.DUMMYFUNCTION("""COMPUTED_VALUE"""),"Shotgun")</f>
        <v>Shotgun</v>
      </c>
      <c r="C1126" s="103">
        <f>IFERROR(__xludf.DUMMYFUNCTION("""COMPUTED_VALUE"""),77.0)</f>
        <v>77</v>
      </c>
      <c r="D1126" s="102" t="str">
        <f>IFERROR(__xludf.DUMMYFUNCTION("""COMPUTED_VALUE"""),"Manufacturer Part")</f>
        <v>Manufacturer Part</v>
      </c>
      <c r="E1126" s="102" t="str">
        <f>IFERROR(__xludf.DUMMYFUNCTION("""COMPUTED_VALUE"""),"BOR_SG.part_barrel_licensed_ted_mirv")</f>
        <v>BOR_SG.part_barrel_licensed_ted_mirv</v>
      </c>
      <c r="F1126" s="102"/>
      <c r="G1126" s="102" t="str">
        <f>IFERROR(__xludf.DUMMYFUNCTION("""COMPUTED_VALUE"""),"Tediore MIRV, no stat changes")</f>
        <v>Tediore MIRV, no stat changes</v>
      </c>
      <c r="H1126" s="102"/>
      <c r="I1126" s="102"/>
      <c r="J1126" s="102"/>
      <c r="K1126" s="102"/>
      <c r="L1126" s="102"/>
    </row>
    <row r="1127">
      <c r="A1127" s="102" t="str">
        <f>IFERROR(__xludf.DUMMYFUNCTION("""COMPUTED_VALUE"""),"Ripper")</f>
        <v>Ripper</v>
      </c>
      <c r="B1127" s="102" t="str">
        <f>IFERROR(__xludf.DUMMYFUNCTION("""COMPUTED_VALUE"""),"Shotgun")</f>
        <v>Shotgun</v>
      </c>
      <c r="C1127" s="103">
        <f>IFERROR(__xludf.DUMMYFUNCTION("""COMPUTED_VALUE"""),78.0)</f>
        <v>78</v>
      </c>
      <c r="D1127" s="102" t="str">
        <f>IFERROR(__xludf.DUMMYFUNCTION("""COMPUTED_VALUE"""),"Manufacturer Part")</f>
        <v>Manufacturer Part</v>
      </c>
      <c r="E1127" s="102" t="str">
        <f>IFERROR(__xludf.DUMMYFUNCTION("""COMPUTED_VALUE"""),"BOR_SG.part_barrel_licensed_ted_combo")</f>
        <v>BOR_SG.part_barrel_licensed_ted_combo</v>
      </c>
      <c r="F1127" s="102"/>
      <c r="G1127" s="102" t="str">
        <f>IFERROR(__xludf.DUMMYFUNCTION("""COMPUTED_VALUE"""),"Tediore Combo, no stat changes")</f>
        <v>Tediore Combo, no stat changes</v>
      </c>
      <c r="H1127" s="102"/>
      <c r="I1127" s="102"/>
      <c r="J1127" s="102"/>
      <c r="K1127" s="102"/>
      <c r="L1127" s="102"/>
    </row>
    <row r="1128">
      <c r="A1128" s="102" t="str">
        <f>IFERROR(__xludf.DUMMYFUNCTION("""COMPUTED_VALUE"""),"Ripper")</f>
        <v>Ripper</v>
      </c>
      <c r="B1128" s="102" t="str">
        <f>IFERROR(__xludf.DUMMYFUNCTION("""COMPUTED_VALUE"""),"Shotgun")</f>
        <v>Shotgun</v>
      </c>
      <c r="C1128" s="103">
        <f>IFERROR(__xludf.DUMMYFUNCTION("""COMPUTED_VALUE"""),79.0)</f>
        <v>79</v>
      </c>
      <c r="D1128" s="102" t="str">
        <f>IFERROR(__xludf.DUMMYFUNCTION("""COMPUTED_VALUE"""),"Manufacturer Part")</f>
        <v>Manufacturer Part</v>
      </c>
      <c r="E1128" s="102" t="str">
        <f>IFERROR(__xludf.DUMMYFUNCTION("""COMPUTED_VALUE"""),"BOR_SG.part_barrel_licensed_hyp")</f>
        <v>BOR_SG.part_barrel_licensed_hyp</v>
      </c>
      <c r="F1128" s="102"/>
      <c r="G1128" s="102" t="str">
        <f>IFERROR(__xludf.DUMMYFUNCTION("""COMPUTED_VALUE"""),"Hyperion Shield visual accessory, no stat changes")</f>
        <v>Hyperion Shield visual accessory, no stat changes</v>
      </c>
      <c r="H1128" s="102"/>
      <c r="I1128" s="102"/>
      <c r="J1128" s="102"/>
      <c r="K1128" s="102"/>
      <c r="L1128" s="102"/>
    </row>
    <row r="1129">
      <c r="A1129" s="102" t="str">
        <f>IFERROR(__xludf.DUMMYFUNCTION("""COMPUTED_VALUE"""),"Ripper")</f>
        <v>Ripper</v>
      </c>
      <c r="B1129" s="102" t="str">
        <f>IFERROR(__xludf.DUMMYFUNCTION("""COMPUTED_VALUE"""),"Shotgun")</f>
        <v>Shotgun</v>
      </c>
      <c r="C1129" s="103">
        <f>IFERROR(__xludf.DUMMYFUNCTION("""COMPUTED_VALUE"""),80.0)</f>
        <v>80</v>
      </c>
      <c r="D1129" s="102" t="str">
        <f>IFERROR(__xludf.DUMMYFUNCTION("""COMPUTED_VALUE"""),"Underbarrel")</f>
        <v>Underbarrel</v>
      </c>
      <c r="E1129" s="102" t="str">
        <f>IFERROR(__xludf.DUMMYFUNCTION("""COMPUTED_VALUE"""),"BOR_SG.part_underbarrel_03_discharge")</f>
        <v>BOR_SG.part_underbarrel_03_discharge</v>
      </c>
      <c r="F1129" s="102"/>
      <c r="G1129" s="102" t="str">
        <f>IFERROR(__xludf.DUMMYFUNCTION("""COMPUTED_VALUE"""),"Alt Fire - Fuel Rod Discharge")</f>
        <v>Alt Fire - Fuel Rod Discharge</v>
      </c>
      <c r="H1129" s="102" t="str">
        <f>IFERROR(__xludf.DUMMYFUNCTION("""COMPUTED_VALUE"""),"Fires a spent Fuel Rod that explodes after 3s and deals XXX Radiation Damage")</f>
        <v>Fires a spent Fuel Rod that explodes after 3s and deals XXX Radiation Damage</v>
      </c>
      <c r="I1129" s="102"/>
      <c r="J1129" s="102"/>
      <c r="K1129" s="102"/>
      <c r="L1129" s="102"/>
    </row>
    <row r="1130">
      <c r="A1130" s="102" t="str">
        <f>IFERROR(__xludf.DUMMYFUNCTION("""COMPUTED_VALUE"""),"Ripper")</f>
        <v>Ripper</v>
      </c>
      <c r="B1130" s="102" t="str">
        <f>IFERROR(__xludf.DUMMYFUNCTION("""COMPUTED_VALUE"""),"Shotgun")</f>
        <v>Shotgun</v>
      </c>
      <c r="C1130" s="103">
        <f>IFERROR(__xludf.DUMMYFUNCTION("""COMPUTED_VALUE"""),81.0)</f>
        <v>81</v>
      </c>
      <c r="D1130" s="102" t="str">
        <f>IFERROR(__xludf.DUMMYFUNCTION("""COMPUTED_VALUE"""),"Foregrip")</f>
        <v>Foregrip</v>
      </c>
      <c r="E1130" s="102" t="str">
        <f>IFERROR(__xludf.DUMMYFUNCTION("""COMPUTED_VALUE"""),"BOR_SG.part_foregrip_02")</f>
        <v>BOR_SG.part_foregrip_02</v>
      </c>
      <c r="F1130" s="102"/>
      <c r="G1130" s="102" t="str">
        <f>IFERROR(__xludf.DUMMYFUNCTION("""COMPUTED_VALUE"""),"+Fire Rate")</f>
        <v>+Fire Rate</v>
      </c>
      <c r="H1130" s="102"/>
      <c r="I1130" s="102"/>
      <c r="J1130" s="102"/>
      <c r="K1130" s="102"/>
      <c r="L1130" s="102"/>
    </row>
    <row r="1131">
      <c r="A1131" s="102" t="str">
        <f>IFERROR(__xludf.DUMMYFUNCTION("""COMPUTED_VALUE"""),"Ripper")</f>
        <v>Ripper</v>
      </c>
      <c r="B1131" s="102" t="str">
        <f>IFERROR(__xludf.DUMMYFUNCTION("""COMPUTED_VALUE"""),"Shotgun")</f>
        <v>Shotgun</v>
      </c>
      <c r="C1131" s="103">
        <f>IFERROR(__xludf.DUMMYFUNCTION("""COMPUTED_VALUE"""),82.0)</f>
        <v>82</v>
      </c>
      <c r="D1131" s="102" t="str">
        <f>IFERROR(__xludf.DUMMYFUNCTION("""COMPUTED_VALUE"""),"Manufacturer Part")</f>
        <v>Manufacturer Part</v>
      </c>
      <c r="E1131" s="102" t="str">
        <f>IFERROR(__xludf.DUMMYFUNCTION("""COMPUTED_VALUE"""),"BOR_SG.part_mag_torgue_normal")</f>
        <v>BOR_SG.part_mag_torgue_normal</v>
      </c>
      <c r="F1131" s="102"/>
      <c r="G1131" s="102" t="str">
        <f>IFERROR(__xludf.DUMMYFUNCTION("""COMPUTED_VALUE"""),"Torgue Impact Gyrojets")</f>
        <v>Torgue Impact Gyrojets</v>
      </c>
      <c r="H1131" s="102"/>
      <c r="I1131" s="102"/>
      <c r="J1131" s="102"/>
      <c r="K1131" s="102"/>
      <c r="L1131" s="102"/>
    </row>
    <row r="1132">
      <c r="A1132" s="102" t="str">
        <f>IFERROR(__xludf.DUMMYFUNCTION("""COMPUTED_VALUE"""),"Ripper")</f>
        <v>Ripper</v>
      </c>
      <c r="B1132" s="102" t="str">
        <f>IFERROR(__xludf.DUMMYFUNCTION("""COMPUTED_VALUE"""),"Shotgun")</f>
        <v>Shotgun</v>
      </c>
      <c r="C1132" s="103">
        <f>IFERROR(__xludf.DUMMYFUNCTION("""COMPUTED_VALUE"""),83.0)</f>
        <v>83</v>
      </c>
      <c r="D1132" s="102" t="str">
        <f>IFERROR(__xludf.DUMMYFUNCTION("""COMPUTED_VALUE"""),"Manufacturer Part")</f>
        <v>Manufacturer Part</v>
      </c>
      <c r="E1132" s="102" t="str">
        <f>IFERROR(__xludf.DUMMYFUNCTION("""COMPUTED_VALUE"""),"BOR_SG.part_mag_torgue_sticky")</f>
        <v>BOR_SG.part_mag_torgue_sticky</v>
      </c>
      <c r="F1132" s="102"/>
      <c r="G1132" s="102" t="str">
        <f>IFERROR(__xludf.DUMMYFUNCTION("""COMPUTED_VALUE"""),"Torgue Sticky Gyrojets")</f>
        <v>Torgue Sticky Gyrojets</v>
      </c>
      <c r="H1132" s="102"/>
      <c r="I1132" s="102"/>
      <c r="J1132" s="102"/>
      <c r="K1132" s="102"/>
      <c r="L1132" s="102"/>
    </row>
    <row r="1133">
      <c r="A1133" s="102" t="str">
        <f>IFERROR(__xludf.DUMMYFUNCTION("""COMPUTED_VALUE"""),"Ripper")</f>
        <v>Ripper</v>
      </c>
      <c r="B1133" s="102" t="str">
        <f>IFERROR(__xludf.DUMMYFUNCTION("""COMPUTED_VALUE"""),"SMG")</f>
        <v>SMG</v>
      </c>
      <c r="C1133" s="103">
        <f>IFERROR(__xludf.DUMMYFUNCTION("""COMPUTED_VALUE"""),2.0)</f>
        <v>2</v>
      </c>
      <c r="D1133" s="102" t="str">
        <f>IFERROR(__xludf.DUMMYFUNCTION("""COMPUTED_VALUE"""),"Body")</f>
        <v>Body</v>
      </c>
      <c r="E1133" s="102" t="str">
        <f>IFERROR(__xludf.DUMMYFUNCTION("""COMPUTED_VALUE"""),"BOR_SM.part_body")</f>
        <v>BOR_SM.part_body</v>
      </c>
      <c r="F1133" s="102"/>
      <c r="G1133" s="102" t="str">
        <f>IFERROR(__xludf.DUMMYFUNCTION("""COMPUTED_VALUE"""),"No Stat Changes, always present")</f>
        <v>No Stat Changes, always present</v>
      </c>
      <c r="H1133" s="102"/>
      <c r="I1133" s="102"/>
      <c r="J1133" s="102"/>
      <c r="K1133" s="102"/>
      <c r="L1133" s="102"/>
    </row>
    <row r="1134">
      <c r="A1134" s="102" t="str">
        <f>IFERROR(__xludf.DUMMYFUNCTION("""COMPUTED_VALUE"""),"Ripper")</f>
        <v>Ripper</v>
      </c>
      <c r="B1134" s="102" t="str">
        <f>IFERROR(__xludf.DUMMYFUNCTION("""COMPUTED_VALUE"""),"SMG")</f>
        <v>SMG</v>
      </c>
      <c r="C1134" s="103">
        <f>IFERROR(__xludf.DUMMYFUNCTION("""COMPUTED_VALUE"""),3.0)</f>
        <v>3</v>
      </c>
      <c r="D1134" s="102" t="str">
        <f>IFERROR(__xludf.DUMMYFUNCTION("""COMPUTED_VALUE"""),"Body Accessory")</f>
        <v>Body Accessory</v>
      </c>
      <c r="E1134" s="102" t="str">
        <f>IFERROR(__xludf.DUMMYFUNCTION("""COMPUTED_VALUE"""),"BOR_SM.part_body_a")</f>
        <v>BOR_SM.part_body_a</v>
      </c>
      <c r="F1134" s="102"/>
      <c r="G1134" s="102" t="str">
        <f>IFERROR(__xludf.DUMMYFUNCTION("""COMPUTED_VALUE"""),"-Reload Speed")</f>
        <v>-Reload Speed</v>
      </c>
      <c r="H1134" s="102"/>
      <c r="I1134" s="102"/>
      <c r="J1134" s="102"/>
      <c r="K1134" s="102"/>
      <c r="L1134" s="102"/>
    </row>
    <row r="1135">
      <c r="A1135" s="102" t="str">
        <f>IFERROR(__xludf.DUMMYFUNCTION("""COMPUTED_VALUE"""),"Ripper")</f>
        <v>Ripper</v>
      </c>
      <c r="B1135" s="102" t="str">
        <f>IFERROR(__xludf.DUMMYFUNCTION("""COMPUTED_VALUE"""),"SMG")</f>
        <v>SMG</v>
      </c>
      <c r="C1135" s="103">
        <f>IFERROR(__xludf.DUMMYFUNCTION("""COMPUTED_VALUE"""),4.0)</f>
        <v>4</v>
      </c>
      <c r="D1135" s="102" t="str">
        <f>IFERROR(__xludf.DUMMYFUNCTION("""COMPUTED_VALUE"""),"Body Accessory")</f>
        <v>Body Accessory</v>
      </c>
      <c r="E1135" s="102" t="str">
        <f>IFERROR(__xludf.DUMMYFUNCTION("""COMPUTED_VALUE"""),"BOR_SM.part_body_b")</f>
        <v>BOR_SM.part_body_b</v>
      </c>
      <c r="F1135" s="102"/>
      <c r="G1135" s="102" t="str">
        <f>IFERROR(__xludf.DUMMYFUNCTION("""COMPUTED_VALUE"""),"+Ammo")</f>
        <v>+Ammo</v>
      </c>
      <c r="H1135" s="102"/>
      <c r="I1135" s="102"/>
      <c r="J1135" s="102"/>
      <c r="K1135" s="102"/>
      <c r="L1135" s="102"/>
    </row>
    <row r="1136">
      <c r="A1136" s="102" t="str">
        <f>IFERROR(__xludf.DUMMYFUNCTION("""COMPUTED_VALUE"""),"Ripper")</f>
        <v>Ripper</v>
      </c>
      <c r="B1136" s="102" t="str">
        <f>IFERROR(__xludf.DUMMYFUNCTION("""COMPUTED_VALUE"""),"SMG")</f>
        <v>SMG</v>
      </c>
      <c r="C1136" s="103">
        <f>IFERROR(__xludf.DUMMYFUNCTION("""COMPUTED_VALUE"""),5.0)</f>
        <v>5</v>
      </c>
      <c r="D1136" s="102" t="str">
        <f>IFERROR(__xludf.DUMMYFUNCTION("""COMPUTED_VALUE"""),"Body Accessory")</f>
        <v>Body Accessory</v>
      </c>
      <c r="E1136" s="102" t="str">
        <f>IFERROR(__xludf.DUMMYFUNCTION("""COMPUTED_VALUE"""),"BOR_SM.part_body_c")</f>
        <v>BOR_SM.part_body_c</v>
      </c>
      <c r="F1136" s="102"/>
      <c r="G1136" s="102" t="str">
        <f>IFERROR(__xludf.DUMMYFUNCTION("""COMPUTED_VALUE"""),"+Accuracy")</f>
        <v>+Accuracy</v>
      </c>
      <c r="H1136" s="102"/>
      <c r="I1136" s="102"/>
      <c r="J1136" s="102"/>
      <c r="K1136" s="102"/>
      <c r="L1136" s="102"/>
    </row>
    <row r="1137">
      <c r="A1137" s="102" t="str">
        <f>IFERROR(__xludf.DUMMYFUNCTION("""COMPUTED_VALUE"""),"Ripper")</f>
        <v>Ripper</v>
      </c>
      <c r="B1137" s="102" t="str">
        <f>IFERROR(__xludf.DUMMYFUNCTION("""COMPUTED_VALUE"""),"SMG")</f>
        <v>SMG</v>
      </c>
      <c r="C1137" s="103">
        <f>IFERROR(__xludf.DUMMYFUNCTION("""COMPUTED_VALUE"""),6.0)</f>
        <v>6</v>
      </c>
      <c r="D1137" s="102" t="str">
        <f>IFERROR(__xludf.DUMMYFUNCTION("""COMPUTED_VALUE"""),"Body Accessory")</f>
        <v>Body Accessory</v>
      </c>
      <c r="E1137" s="102" t="str">
        <f>IFERROR(__xludf.DUMMYFUNCTION("""COMPUTED_VALUE"""),"BOR_SM.part_body_d")</f>
        <v>BOR_SM.part_body_d</v>
      </c>
      <c r="F1137" s="102"/>
      <c r="G1137" s="102" t="str">
        <f>IFERROR(__xludf.DUMMYFUNCTION("""COMPUTED_VALUE"""),"No Stat Changes")</f>
        <v>No Stat Changes</v>
      </c>
      <c r="H1137" s="102"/>
      <c r="I1137" s="102"/>
      <c r="J1137" s="102"/>
      <c r="K1137" s="102"/>
      <c r="L1137" s="102"/>
    </row>
    <row r="1138">
      <c r="A1138" s="102" t="str">
        <f>IFERROR(__xludf.DUMMYFUNCTION("""COMPUTED_VALUE"""),"Ripper")</f>
        <v>Ripper</v>
      </c>
      <c r="B1138" s="102" t="str">
        <f>IFERROR(__xludf.DUMMYFUNCTION("""COMPUTED_VALUE"""),"SMG")</f>
        <v>SMG</v>
      </c>
      <c r="C1138" s="103">
        <f>IFERROR(__xludf.DUMMYFUNCTION("""COMPUTED_VALUE"""),7.0)</f>
        <v>7</v>
      </c>
      <c r="D1138" s="102" t="str">
        <f>IFERROR(__xludf.DUMMYFUNCTION("""COMPUTED_VALUE"""),"Barrel")</f>
        <v>Barrel</v>
      </c>
      <c r="E1138" s="102" t="str">
        <f>IFERROR(__xludf.DUMMYFUNCTION("""COMPUTED_VALUE"""),"BOR_SM.part_barrel_01")</f>
        <v>BOR_SM.part_barrel_01</v>
      </c>
      <c r="F1138" s="102"/>
      <c r="G1138" s="102" t="str">
        <f>IFERROR(__xludf.DUMMYFUNCTION("""COMPUTED_VALUE"""),"Phage, 758 Damage, 72% Acc, 6.8/s FR")</f>
        <v>Phage, 758 Damage, 72% Acc, 6.8/s FR</v>
      </c>
      <c r="H1138" s="102"/>
      <c r="I1138" s="102"/>
      <c r="J1138" s="102"/>
      <c r="K1138" s="102"/>
      <c r="L1138" s="102"/>
    </row>
    <row r="1139">
      <c r="A1139" s="102" t="str">
        <f>IFERROR(__xludf.DUMMYFUNCTION("""COMPUTED_VALUE"""),"Ripper")</f>
        <v>Ripper</v>
      </c>
      <c r="B1139" s="102" t="str">
        <f>IFERROR(__xludf.DUMMYFUNCTION("""COMPUTED_VALUE"""),"SMG")</f>
        <v>SMG</v>
      </c>
      <c r="C1139" s="103">
        <f>IFERROR(__xludf.DUMMYFUNCTION("""COMPUTED_VALUE"""),8.0)</f>
        <v>8</v>
      </c>
      <c r="D1139" s="102" t="str">
        <f>IFERROR(__xludf.DUMMYFUNCTION("""COMPUTED_VALUE"""),"Barrel")</f>
        <v>Barrel</v>
      </c>
      <c r="E1139" s="102" t="str">
        <f>IFERROR(__xludf.DUMMYFUNCTION("""COMPUTED_VALUE"""),"BOR_SM.part_barrel_02")</f>
        <v>BOR_SM.part_barrel_02</v>
      </c>
      <c r="F1139" s="102"/>
      <c r="G1139" s="102" t="str">
        <f>IFERROR(__xludf.DUMMYFUNCTION("""COMPUTED_VALUE"""),"Infestation, 848 Damage, 79% Acc, 5.5/s FR")</f>
        <v>Infestation, 848 Damage, 79% Acc, 5.5/s FR</v>
      </c>
      <c r="H1139" s="102"/>
      <c r="I1139" s="102"/>
      <c r="J1139" s="102"/>
      <c r="K1139" s="102"/>
      <c r="L1139" s="102"/>
    </row>
    <row r="1140">
      <c r="A1140" s="102" t="str">
        <f>IFERROR(__xludf.DUMMYFUNCTION("""COMPUTED_VALUE"""),"Ripper")</f>
        <v>Ripper</v>
      </c>
      <c r="B1140" s="102" t="str">
        <f>IFERROR(__xludf.DUMMYFUNCTION("""COMPUTED_VALUE"""),"SMG")</f>
        <v>SMG</v>
      </c>
      <c r="C1140" s="103">
        <f>IFERROR(__xludf.DUMMYFUNCTION("""COMPUTED_VALUE"""),9.0)</f>
        <v>9</v>
      </c>
      <c r="D1140" s="102" t="str">
        <f>IFERROR(__xludf.DUMMYFUNCTION("""COMPUTED_VALUE"""),"Manufacturer Part")</f>
        <v>Manufacturer Part</v>
      </c>
      <c r="E1140" s="102" t="str">
        <f>IFERROR(__xludf.DUMMYFUNCTION("""COMPUTED_VALUE"""),"BOR_SM.part_shield_default")</f>
        <v>BOR_SM.part_shield_default</v>
      </c>
      <c r="F1140" s="102"/>
      <c r="G1140" s="102" t="str">
        <f>IFERROR(__xludf.DUMMYFUNCTION("""COMPUTED_VALUE"""),"Hyperion Shield")</f>
        <v>Hyperion Shield</v>
      </c>
      <c r="H1140" s="102"/>
      <c r="I1140" s="102"/>
      <c r="J1140" s="102"/>
      <c r="K1140" s="102"/>
      <c r="L1140" s="102"/>
    </row>
    <row r="1141">
      <c r="A1141" s="102" t="str">
        <f>IFERROR(__xludf.DUMMYFUNCTION("""COMPUTED_VALUE"""),"Ripper")</f>
        <v>Ripper</v>
      </c>
      <c r="B1141" s="102" t="str">
        <f>IFERROR(__xludf.DUMMYFUNCTION("""COMPUTED_VALUE"""),"SMG")</f>
        <v>SMG</v>
      </c>
      <c r="C1141" s="103">
        <f>IFERROR(__xludf.DUMMYFUNCTION("""COMPUTED_VALUE"""),10.0)</f>
        <v>10</v>
      </c>
      <c r="D1141" s="102" t="str">
        <f>IFERROR(__xludf.DUMMYFUNCTION("""COMPUTED_VALUE"""),"Manufacturer Part")</f>
        <v>Manufacturer Part</v>
      </c>
      <c r="E1141" s="102" t="str">
        <f>IFERROR(__xludf.DUMMYFUNCTION("""COMPUTED_VALUE"""),"BOR_SM.part_shield_ricochet")</f>
        <v>BOR_SM.part_shield_ricochet</v>
      </c>
      <c r="F1141" s="102"/>
      <c r="G1141" s="102" t="str">
        <f>IFERROR(__xludf.DUMMYFUNCTION("""COMPUTED_VALUE"""),"Hyperion Ricochet Shield")</f>
        <v>Hyperion Ricochet Shield</v>
      </c>
      <c r="H1141" s="102"/>
      <c r="I1141" s="102"/>
      <c r="J1141" s="102"/>
      <c r="K1141" s="102"/>
      <c r="L1141" s="102"/>
    </row>
    <row r="1142">
      <c r="A1142" s="102" t="str">
        <f>IFERROR(__xludf.DUMMYFUNCTION("""COMPUTED_VALUE"""),"Ripper")</f>
        <v>Ripper</v>
      </c>
      <c r="B1142" s="102" t="str">
        <f>IFERROR(__xludf.DUMMYFUNCTION("""COMPUTED_VALUE"""),"SMG")</f>
        <v>SMG</v>
      </c>
      <c r="C1142" s="103">
        <f>IFERROR(__xludf.DUMMYFUNCTION("""COMPUTED_VALUE"""),11.0)</f>
        <v>11</v>
      </c>
      <c r="D1142" s="102" t="str">
        <f>IFERROR(__xludf.DUMMYFUNCTION("""COMPUTED_VALUE"""),"Manufacturer Part")</f>
        <v>Manufacturer Part</v>
      </c>
      <c r="E1142" s="102" t="str">
        <f>IFERROR(__xludf.DUMMYFUNCTION("""COMPUTED_VALUE"""),"BOR_SM.part_shield_ammo")</f>
        <v>BOR_SM.part_shield_ammo</v>
      </c>
      <c r="F1142" s="102"/>
      <c r="G1142" s="102" t="str">
        <f>IFERROR(__xludf.DUMMYFUNCTION("""COMPUTED_VALUE"""),"Hyperion Absorb Shield")</f>
        <v>Hyperion Absorb Shield</v>
      </c>
      <c r="H1142" s="102"/>
      <c r="I1142" s="102"/>
      <c r="J1142" s="102"/>
      <c r="K1142" s="102"/>
      <c r="L1142" s="102"/>
    </row>
    <row r="1143">
      <c r="A1143" s="102" t="str">
        <f>IFERROR(__xludf.DUMMYFUNCTION("""COMPUTED_VALUE"""),"Ripper")</f>
        <v>Ripper</v>
      </c>
      <c r="B1143" s="102" t="str">
        <f>IFERROR(__xludf.DUMMYFUNCTION("""COMPUTED_VALUE"""),"SMG")</f>
        <v>SMG</v>
      </c>
      <c r="C1143" s="103">
        <f>IFERROR(__xludf.DUMMYFUNCTION("""COMPUTED_VALUE"""),12.0)</f>
        <v>12</v>
      </c>
      <c r="D1143" s="102" t="str">
        <f>IFERROR(__xludf.DUMMYFUNCTION("""COMPUTED_VALUE"""),"Manufacturer Part")</f>
        <v>Manufacturer Part</v>
      </c>
      <c r="E1143" s="102" t="str">
        <f>IFERROR(__xludf.DUMMYFUNCTION("""COMPUTED_VALUE"""),"BOR_SM.part_shield_amp")</f>
        <v>BOR_SM.part_shield_amp</v>
      </c>
      <c r="F1143" s="102"/>
      <c r="G1143" s="102" t="str">
        <f>IFERROR(__xludf.DUMMYFUNCTION("""COMPUTED_VALUE"""),"Hyperion Amp Shield")</f>
        <v>Hyperion Amp Shield</v>
      </c>
      <c r="H1143" s="102"/>
      <c r="I1143" s="102"/>
      <c r="J1143" s="102"/>
      <c r="K1143" s="102"/>
      <c r="L1143" s="102"/>
    </row>
    <row r="1144">
      <c r="A1144" s="102" t="str">
        <f>IFERROR(__xludf.DUMMYFUNCTION("""COMPUTED_VALUE"""),"Ripper")</f>
        <v>Ripper</v>
      </c>
      <c r="B1144" s="102" t="str">
        <f>IFERROR(__xludf.DUMMYFUNCTION("""COMPUTED_VALUE"""),"SMG")</f>
        <v>SMG</v>
      </c>
      <c r="C1144" s="103">
        <f>IFERROR(__xludf.DUMMYFUNCTION("""COMPUTED_VALUE"""),13.0)</f>
        <v>13</v>
      </c>
      <c r="D1144" s="102" t="str">
        <f>IFERROR(__xludf.DUMMYFUNCTION("""COMPUTED_VALUE"""),"Magazine")</f>
        <v>Magazine</v>
      </c>
      <c r="E1144" s="102" t="str">
        <f>IFERROR(__xludf.DUMMYFUNCTION("""COMPUTED_VALUE"""),"BOR_SM.part_mag_01")</f>
        <v>BOR_SM.part_mag_01</v>
      </c>
      <c r="F1144" s="102"/>
      <c r="G1144" s="102" t="str">
        <f>IFERROR(__xludf.DUMMYFUNCTION("""COMPUTED_VALUE"""),"2.1s Reload, 25 Shots")</f>
        <v>2.1s Reload, 25 Shots</v>
      </c>
      <c r="H1144" s="102"/>
      <c r="I1144" s="102"/>
      <c r="J1144" s="102"/>
      <c r="K1144" s="102"/>
      <c r="L1144" s="102"/>
    </row>
    <row r="1145">
      <c r="A1145" s="102" t="str">
        <f>IFERROR(__xludf.DUMMYFUNCTION("""COMPUTED_VALUE"""),"Ripper")</f>
        <v>Ripper</v>
      </c>
      <c r="B1145" s="102" t="str">
        <f>IFERROR(__xludf.DUMMYFUNCTION("""COMPUTED_VALUE"""),"SMG")</f>
        <v>SMG</v>
      </c>
      <c r="C1145" s="103">
        <f>IFERROR(__xludf.DUMMYFUNCTION("""COMPUTED_VALUE"""),14.0)</f>
        <v>14</v>
      </c>
      <c r="D1145" s="102" t="str">
        <f>IFERROR(__xludf.DUMMYFUNCTION("""COMPUTED_VALUE"""),"Magazine")</f>
        <v>Magazine</v>
      </c>
      <c r="E1145" s="102" t="str">
        <f>IFERROR(__xludf.DUMMYFUNCTION("""COMPUTED_VALUE"""),"BOR_SM.part_mag_02")</f>
        <v>BOR_SM.part_mag_02</v>
      </c>
      <c r="F1145" s="102"/>
      <c r="G1145" s="102" t="str">
        <f>IFERROR(__xludf.DUMMYFUNCTION("""COMPUTED_VALUE"""),"2.7s Reload, 30 Shots")</f>
        <v>2.7s Reload, 30 Shots</v>
      </c>
      <c r="H1145" s="102"/>
      <c r="I1145" s="102"/>
      <c r="J1145" s="102"/>
      <c r="K1145" s="102"/>
      <c r="L1145" s="102"/>
    </row>
    <row r="1146">
      <c r="A1146" s="102" t="str">
        <f>IFERROR(__xludf.DUMMYFUNCTION("""COMPUTED_VALUE"""),"Ripper")</f>
        <v>Ripper</v>
      </c>
      <c r="B1146" s="102" t="str">
        <f>IFERROR(__xludf.DUMMYFUNCTION("""COMPUTED_VALUE"""),"SMG")</f>
        <v>SMG</v>
      </c>
      <c r="C1146" s="103">
        <f>IFERROR(__xludf.DUMMYFUNCTION("""COMPUTED_VALUE"""),15.0)</f>
        <v>15</v>
      </c>
      <c r="D1146" s="102" t="str">
        <f>IFERROR(__xludf.DUMMYFUNCTION("""COMPUTED_VALUE"""),"Magazine")</f>
        <v>Magazine</v>
      </c>
      <c r="E1146" s="102" t="str">
        <f>IFERROR(__xludf.DUMMYFUNCTION("""COMPUTED_VALUE"""),"BOR_SM.part_mag_03_tor")</f>
        <v>BOR_SM.part_mag_03_tor</v>
      </c>
      <c r="F1146" s="102"/>
      <c r="G1146" s="102" t="str">
        <f>IFERROR(__xludf.DUMMYFUNCTION("""COMPUTED_VALUE"""),"2.4s Reload, +Damage, -Fire Rate, 20 Shots, Torgue")</f>
        <v>2.4s Reload, +Damage, -Fire Rate, 20 Shots, Torgue</v>
      </c>
      <c r="H1146" s="102"/>
      <c r="I1146" s="102"/>
      <c r="J1146" s="102"/>
      <c r="K1146" s="102"/>
      <c r="L1146" s="102"/>
    </row>
    <row r="1147">
      <c r="A1147" s="102" t="str">
        <f>IFERROR(__xludf.DUMMYFUNCTION("""COMPUTED_VALUE"""),"Ripper")</f>
        <v>Ripper</v>
      </c>
      <c r="B1147" s="102" t="str">
        <f>IFERROR(__xludf.DUMMYFUNCTION("""COMPUTED_VALUE"""),"SMG")</f>
        <v>SMG</v>
      </c>
      <c r="C1147" s="103">
        <f>IFERROR(__xludf.DUMMYFUNCTION("""COMPUTED_VALUE"""),16.0)</f>
        <v>16</v>
      </c>
      <c r="D1147" s="102" t="str">
        <f>IFERROR(__xludf.DUMMYFUNCTION("""COMPUTED_VALUE"""),"Magazine")</f>
        <v>Magazine</v>
      </c>
      <c r="E1147" s="102" t="str">
        <f>IFERROR(__xludf.DUMMYFUNCTION("""COMPUTED_VALUE"""),"BOR_SM.part_mag_04_cov")</f>
        <v>BOR_SM.part_mag_04_cov</v>
      </c>
      <c r="F1147" s="102"/>
      <c r="G1147" s="102" t="str">
        <f>IFERROR(__xludf.DUMMYFUNCTION("""COMPUTED_VALUE"""),"3.1s Reload, +Damage, -Acc, 25 Shots, CoV Mag")</f>
        <v>3.1s Reload, +Damage, -Acc, 25 Shots, CoV Mag</v>
      </c>
      <c r="H1147" s="102"/>
      <c r="I1147" s="102"/>
      <c r="J1147" s="102"/>
      <c r="K1147" s="102"/>
      <c r="L1147" s="102"/>
    </row>
    <row r="1148">
      <c r="A1148" s="102" t="str">
        <f>IFERROR(__xludf.DUMMYFUNCTION("""COMPUTED_VALUE"""),"Ripper")</f>
        <v>Ripper</v>
      </c>
      <c r="B1148" s="102" t="str">
        <f>IFERROR(__xludf.DUMMYFUNCTION("""COMPUTED_VALUE"""),"SMG")</f>
        <v>SMG</v>
      </c>
      <c r="C1148" s="103">
        <f>IFERROR(__xludf.DUMMYFUNCTION("""COMPUTED_VALUE"""),17.0)</f>
        <v>17</v>
      </c>
      <c r="D1148" s="102" t="str">
        <f>IFERROR(__xludf.DUMMYFUNCTION("""COMPUTED_VALUE"""),"Barrel")</f>
        <v>Barrel</v>
      </c>
      <c r="E1148" s="102" t="str">
        <f>IFERROR(__xludf.DUMMYFUNCTION("""COMPUTED_VALUE"""),"BOR_SM.part_barrel_02_prince")</f>
        <v>BOR_SM.part_barrel_02_prince</v>
      </c>
      <c r="F1148" s="102"/>
      <c r="G1148" s="102" t="str">
        <f>IFERROR(__xludf.DUMMYFUNCTION("""COMPUTED_VALUE"""),"Prince Harming, 848 Damage, 79% Acc, 5.5/s FR")</f>
        <v>Prince Harming, 848 Damage, 79% Acc, 5.5/s FR</v>
      </c>
      <c r="H1148" s="102" t="str">
        <f>IFERROR(__xludf.DUMMYFUNCTION("""COMPUTED_VALUE"""),"Pamplemousse - Hitting enemies deals xxx Damage to you, and grants a stack of Cruelty - which, on kill, restores xxx Overshield per Stack of Cruelty - Max 30 Stacks")</f>
        <v>Pamplemousse - Hitting enemies deals xxx Damage to you, and grants a stack of Cruelty - which, on kill, restores xxx Overshield per Stack of Cruelty - Max 30 Stacks</v>
      </c>
      <c r="I1148" s="102"/>
      <c r="J1148" s="102"/>
      <c r="K1148" s="102"/>
      <c r="L1148" s="102"/>
    </row>
    <row r="1149">
      <c r="A1149" s="102" t="str">
        <f>IFERROR(__xludf.DUMMYFUNCTION("""COMPUTED_VALUE"""),"Ripper")</f>
        <v>Ripper</v>
      </c>
      <c r="B1149" s="102" t="str">
        <f>IFERROR(__xludf.DUMMYFUNCTION("""COMPUTED_VALUE"""),"SMG")</f>
        <v>SMG</v>
      </c>
      <c r="C1149" s="103">
        <f>IFERROR(__xludf.DUMMYFUNCTION("""COMPUTED_VALUE"""),20.0)</f>
        <v>20</v>
      </c>
      <c r="D1149" s="102" t="str">
        <f>IFERROR(__xludf.DUMMYFUNCTION("""COMPUTED_VALUE"""),"Barrel")</f>
        <v>Barrel</v>
      </c>
      <c r="E1149" s="102" t="str">
        <f>IFERROR(__xludf.DUMMYFUNCTION("""COMPUTED_VALUE"""),"BOR_SM.part_barrel_01_hellfire")</f>
        <v>BOR_SM.part_barrel_01_hellfire</v>
      </c>
      <c r="F1149" s="102"/>
      <c r="G1149" s="102" t="str">
        <f>IFERROR(__xludf.DUMMYFUNCTION("""COMPUTED_VALUE"""),"Hellfire, 758 Damage, 70% Acc, 6.8/s FR")</f>
        <v>Hellfire, 758 Damage, 70% Acc, 6.8/s FR</v>
      </c>
      <c r="H1149" s="102" t="str">
        <f>IFERROR(__xludf.DUMMYFUNCTION("""COMPUTED_VALUE"""),"Burning Desire")</f>
        <v>Burning Desire</v>
      </c>
      <c r="I1149" s="102"/>
      <c r="J1149" s="102"/>
      <c r="K1149" s="102"/>
      <c r="L1149" s="102"/>
    </row>
    <row r="1150">
      <c r="A1150" s="102" t="str">
        <f>IFERROR(__xludf.DUMMYFUNCTION("""COMPUTED_VALUE"""),"Ripper")</f>
        <v>Ripper</v>
      </c>
      <c r="B1150" s="102" t="str">
        <f>IFERROR(__xludf.DUMMYFUNCTION("""COMPUTED_VALUE"""),"SMG")</f>
        <v>SMG</v>
      </c>
      <c r="C1150" s="103">
        <f>IFERROR(__xludf.DUMMYFUNCTION("""COMPUTED_VALUE"""),21.0)</f>
        <v>21</v>
      </c>
      <c r="D1150" s="102" t="str">
        <f>IFERROR(__xludf.DUMMYFUNCTION("""COMPUTED_VALUE"""),"Underbarrel")</f>
        <v>Underbarrel</v>
      </c>
      <c r="E1150" s="102" t="str">
        <f>IFERROR(__xludf.DUMMYFUNCTION("""COMPUTED_VALUE"""),"BOR_SM.part_underbarrel_05_Roil")</f>
        <v>BOR_SM.part_underbarrel_05_Roil</v>
      </c>
      <c r="F1150" s="102"/>
      <c r="G1150" s="102" t="str">
        <f>IFERROR(__xludf.DUMMYFUNCTION("""COMPUTED_VALUE"""),"Switch for Roil")</f>
        <v>Switch for Roil</v>
      </c>
      <c r="H1150" s="102"/>
      <c r="I1150" s="102"/>
      <c r="J1150" s="102"/>
      <c r="K1150" s="102"/>
      <c r="L1150" s="102"/>
    </row>
    <row r="1151">
      <c r="A1151" s="102" t="str">
        <f>IFERROR(__xludf.DUMMYFUNCTION("""COMPUTED_VALUE"""),"Ripper")</f>
        <v>Ripper</v>
      </c>
      <c r="B1151" s="102" t="str">
        <f>IFERROR(__xludf.DUMMYFUNCTION("""COMPUTED_VALUE"""),"SMG")</f>
        <v>SMG</v>
      </c>
      <c r="C1151" s="103">
        <f>IFERROR(__xludf.DUMMYFUNCTION("""COMPUTED_VALUE"""),22.0)</f>
        <v>22</v>
      </c>
      <c r="D1151" s="102" t="str">
        <f>IFERROR(__xludf.DUMMYFUNCTION("""COMPUTED_VALUE"""),"Stat Modifier")</f>
        <v>Stat Modifier</v>
      </c>
      <c r="E1151" s="102" t="str">
        <f>IFERROR(__xludf.DUMMYFUNCTION("""COMPUTED_VALUE"""),"BOR_SM.part_mag_ted_thrown_01")</f>
        <v>BOR_SM.part_mag_ted_thrown_01</v>
      </c>
      <c r="F1151" s="102"/>
      <c r="G1151" s="102" t="str">
        <f>IFERROR(__xludf.DUMMYFUNCTION("""COMPUTED_VALUE"""),"2.0s Reload")</f>
        <v>2.0s Reload</v>
      </c>
      <c r="H1151" s="102"/>
      <c r="I1151" s="102"/>
      <c r="J1151" s="102"/>
      <c r="K1151" s="102"/>
      <c r="L1151" s="102"/>
    </row>
    <row r="1152">
      <c r="A1152" s="102" t="str">
        <f>IFERROR(__xludf.DUMMYFUNCTION("""COMPUTED_VALUE"""),"Ripper")</f>
        <v>Ripper</v>
      </c>
      <c r="B1152" s="102" t="str">
        <f>IFERROR(__xludf.DUMMYFUNCTION("""COMPUTED_VALUE"""),"SMG")</f>
        <v>SMG</v>
      </c>
      <c r="C1152" s="103">
        <f>IFERROR(__xludf.DUMMYFUNCTION("""COMPUTED_VALUE"""),23.0)</f>
        <v>23</v>
      </c>
      <c r="D1152" s="102" t="str">
        <f>IFERROR(__xludf.DUMMYFUNCTION("""COMPUTED_VALUE"""),"Stat Modifier")</f>
        <v>Stat Modifier</v>
      </c>
      <c r="E1152" s="102" t="str">
        <f>IFERROR(__xludf.DUMMYFUNCTION("""COMPUTED_VALUE"""),"BOR_SM.part_mag_ted_thrown_02")</f>
        <v>BOR_SM.part_mag_ted_thrown_02</v>
      </c>
      <c r="F1152" s="102"/>
      <c r="G1152" s="102" t="str">
        <f>IFERROR(__xludf.DUMMYFUNCTION("""COMPUTED_VALUE"""),"2.0s Reload")</f>
        <v>2.0s Reload</v>
      </c>
      <c r="H1152" s="102"/>
      <c r="I1152" s="102"/>
      <c r="J1152" s="102"/>
      <c r="K1152" s="102"/>
      <c r="L1152" s="102"/>
    </row>
    <row r="1153">
      <c r="A1153" s="102" t="str">
        <f>IFERROR(__xludf.DUMMYFUNCTION("""COMPUTED_VALUE"""),"Ripper")</f>
        <v>Ripper</v>
      </c>
      <c r="B1153" s="102" t="str">
        <f>IFERROR(__xludf.DUMMYFUNCTION("""COMPUTED_VALUE"""),"SMG")</f>
        <v>SMG</v>
      </c>
      <c r="C1153" s="103">
        <f>IFERROR(__xludf.DUMMYFUNCTION("""COMPUTED_VALUE"""),24.0)</f>
        <v>24</v>
      </c>
      <c r="D1153" s="102" t="str">
        <f>IFERROR(__xludf.DUMMYFUNCTION("""COMPUTED_VALUE"""),"Stat Modifier")</f>
        <v>Stat Modifier</v>
      </c>
      <c r="E1153" s="102" t="str">
        <f>IFERROR(__xludf.DUMMYFUNCTION("""COMPUTED_VALUE"""),"BOR_SM.part_mag_ted_thrown_03_tor")</f>
        <v>BOR_SM.part_mag_ted_thrown_03_tor</v>
      </c>
      <c r="F1153" s="102"/>
      <c r="G1153" s="102" t="str">
        <f>IFERROR(__xludf.DUMMYFUNCTION("""COMPUTED_VALUE"""),"2.0s Reload")</f>
        <v>2.0s Reload</v>
      </c>
      <c r="H1153" s="102"/>
      <c r="I1153" s="102"/>
      <c r="J1153" s="102"/>
      <c r="K1153" s="102"/>
      <c r="L1153" s="102"/>
    </row>
    <row r="1154">
      <c r="A1154" s="102" t="str">
        <f>IFERROR(__xludf.DUMMYFUNCTION("""COMPUTED_VALUE"""),"Ripper")</f>
        <v>Ripper</v>
      </c>
      <c r="B1154" s="102" t="str">
        <f>IFERROR(__xludf.DUMMYFUNCTION("""COMPUTED_VALUE"""),"SMG")</f>
        <v>SMG</v>
      </c>
      <c r="C1154" s="103">
        <f>IFERROR(__xludf.DUMMYFUNCTION("""COMPUTED_VALUE"""),25.0)</f>
        <v>25</v>
      </c>
      <c r="D1154" s="102" t="str">
        <f>IFERROR(__xludf.DUMMYFUNCTION("""COMPUTED_VALUE"""),"Stat Modifier")</f>
        <v>Stat Modifier</v>
      </c>
      <c r="E1154" s="102" t="str">
        <f>IFERROR(__xludf.DUMMYFUNCTION("""COMPUTED_VALUE"""),"BOR_SM.part_mag_ted_thrown_04_cov")</f>
        <v>BOR_SM.part_mag_ted_thrown_04_cov</v>
      </c>
      <c r="F1154" s="102"/>
      <c r="G1154" s="102" t="str">
        <f>IFERROR(__xludf.DUMMYFUNCTION("""COMPUTED_VALUE"""),"3.0s Reload")</f>
        <v>3.0s Reload</v>
      </c>
      <c r="H1154" s="102"/>
      <c r="I1154" s="102"/>
      <c r="J1154" s="102"/>
      <c r="K1154" s="102"/>
      <c r="L1154" s="102"/>
    </row>
    <row r="1155">
      <c r="A1155" s="102" t="str">
        <f>IFERROR(__xludf.DUMMYFUNCTION("""COMPUTED_VALUE"""),"Ripper")</f>
        <v>Ripper</v>
      </c>
      <c r="B1155" s="102" t="str">
        <f>IFERROR(__xludf.DUMMYFUNCTION("""COMPUTED_VALUE"""),"SMG")</f>
        <v>SMG</v>
      </c>
      <c r="C1155" s="103">
        <f>IFERROR(__xludf.DUMMYFUNCTION("""COMPUTED_VALUE"""),26.0)</f>
        <v>26</v>
      </c>
      <c r="D1155" s="102" t="str">
        <f>IFERROR(__xludf.DUMMYFUNCTION("""COMPUTED_VALUE"""),"Scope")</f>
        <v>Scope</v>
      </c>
      <c r="E1155" s="102" t="str">
        <f>IFERROR(__xludf.DUMMYFUNCTION("""COMPUTED_VALUE"""),"BOR_SM.part_scope_ironsight")</f>
        <v>BOR_SM.part_scope_ironsight</v>
      </c>
      <c r="F1155" s="102"/>
      <c r="G1155" s="102" t="str">
        <f>IFERROR(__xludf.DUMMYFUNCTION("""COMPUTED_VALUE"""),"ADS")</f>
        <v>ADS</v>
      </c>
      <c r="H1155" s="102"/>
      <c r="I1155" s="102"/>
      <c r="J1155" s="102"/>
      <c r="K1155" s="102"/>
      <c r="L1155" s="102"/>
    </row>
    <row r="1156">
      <c r="A1156" s="102" t="str">
        <f>IFERROR(__xludf.DUMMYFUNCTION("""COMPUTED_VALUE"""),"Ripper")</f>
        <v>Ripper</v>
      </c>
      <c r="B1156" s="102" t="str">
        <f>IFERROR(__xludf.DUMMYFUNCTION("""COMPUTED_VALUE"""),"SMG")</f>
        <v>SMG</v>
      </c>
      <c r="C1156" s="103">
        <f>IFERROR(__xludf.DUMMYFUNCTION("""COMPUTED_VALUE"""),27.0)</f>
        <v>27</v>
      </c>
      <c r="D1156" s="102" t="str">
        <f>IFERROR(__xludf.DUMMYFUNCTION("""COMPUTED_VALUE"""),"Scope")</f>
        <v>Scope</v>
      </c>
      <c r="E1156" s="102" t="str">
        <f>IFERROR(__xludf.DUMMYFUNCTION("""COMPUTED_VALUE"""),"BOR_SM.part_scope_01_lens_01")</f>
        <v>BOR_SM.part_scope_01_lens_01</v>
      </c>
      <c r="F1156" s="102"/>
      <c r="G1156" s="102" t="str">
        <f>IFERROR(__xludf.DUMMYFUNCTION("""COMPUTED_VALUE"""),"ADS +Zoom")</f>
        <v>ADS +Zoom</v>
      </c>
      <c r="H1156" s="102"/>
      <c r="I1156" s="102"/>
      <c r="J1156" s="102"/>
      <c r="K1156" s="102"/>
      <c r="L1156" s="102"/>
    </row>
    <row r="1157">
      <c r="A1157" s="102" t="str">
        <f>IFERROR(__xludf.DUMMYFUNCTION("""COMPUTED_VALUE"""),"Ripper")</f>
        <v>Ripper</v>
      </c>
      <c r="B1157" s="102" t="str">
        <f>IFERROR(__xludf.DUMMYFUNCTION("""COMPUTED_VALUE"""),"SMG")</f>
        <v>SMG</v>
      </c>
      <c r="C1157" s="103">
        <f>IFERROR(__xludf.DUMMYFUNCTION("""COMPUTED_VALUE"""),28.0)</f>
        <v>28</v>
      </c>
      <c r="D1157" s="102" t="str">
        <f>IFERROR(__xludf.DUMMYFUNCTION("""COMPUTED_VALUE"""),"Scope")</f>
        <v>Scope</v>
      </c>
      <c r="E1157" s="102" t="str">
        <f>IFERROR(__xludf.DUMMYFUNCTION("""COMPUTED_VALUE"""),"BOR_SM.part_scope_01_lens_02")</f>
        <v>BOR_SM.part_scope_01_lens_02</v>
      </c>
      <c r="F1157" s="102"/>
      <c r="G1157" s="102" t="str">
        <f>IFERROR(__xludf.DUMMYFUNCTION("""COMPUTED_VALUE"""),"ADS ++Zoom")</f>
        <v>ADS ++Zoom</v>
      </c>
      <c r="H1157" s="102"/>
      <c r="I1157" s="102"/>
      <c r="J1157" s="102"/>
      <c r="K1157" s="102"/>
      <c r="L1157" s="102"/>
    </row>
    <row r="1158">
      <c r="A1158" s="102" t="str">
        <f>IFERROR(__xludf.DUMMYFUNCTION("""COMPUTED_VALUE"""),"Ripper")</f>
        <v>Ripper</v>
      </c>
      <c r="B1158" s="102" t="str">
        <f>IFERROR(__xludf.DUMMYFUNCTION("""COMPUTED_VALUE"""),"SMG")</f>
        <v>SMG</v>
      </c>
      <c r="C1158" s="103">
        <f>IFERROR(__xludf.DUMMYFUNCTION("""COMPUTED_VALUE"""),29.0)</f>
        <v>29</v>
      </c>
      <c r="D1158" s="102" t="str">
        <f>IFERROR(__xludf.DUMMYFUNCTION("""COMPUTED_VALUE"""),"Scope")</f>
        <v>Scope</v>
      </c>
      <c r="E1158" s="102" t="str">
        <f>IFERROR(__xludf.DUMMYFUNCTION("""COMPUTED_VALUE"""),"BOR_SM.part_scope_02_lens_01")</f>
        <v>BOR_SM.part_scope_02_lens_01</v>
      </c>
      <c r="F1158" s="102"/>
      <c r="G1158" s="102" t="str">
        <f>IFERROR(__xludf.DUMMYFUNCTION("""COMPUTED_VALUE"""),"ADS +++Zoom")</f>
        <v>ADS +++Zoom</v>
      </c>
      <c r="H1158" s="102"/>
      <c r="I1158" s="102"/>
      <c r="J1158" s="102"/>
      <c r="K1158" s="102"/>
      <c r="L1158" s="102"/>
    </row>
    <row r="1159">
      <c r="A1159" s="102" t="str">
        <f>IFERROR(__xludf.DUMMYFUNCTION("""COMPUTED_VALUE"""),"Ripper")</f>
        <v>Ripper</v>
      </c>
      <c r="B1159" s="102" t="str">
        <f>IFERROR(__xludf.DUMMYFUNCTION("""COMPUTED_VALUE"""),"SMG")</f>
        <v>SMG</v>
      </c>
      <c r="C1159" s="103">
        <f>IFERROR(__xludf.DUMMYFUNCTION("""COMPUTED_VALUE"""),30.0)</f>
        <v>30</v>
      </c>
      <c r="D1159" s="102" t="str">
        <f>IFERROR(__xludf.DUMMYFUNCTION("""COMPUTED_VALUE"""),"Scope")</f>
        <v>Scope</v>
      </c>
      <c r="E1159" s="102" t="str">
        <f>IFERROR(__xludf.DUMMYFUNCTION("""COMPUTED_VALUE"""),"BOR_SM.part_scope_02_lens_02")</f>
        <v>BOR_SM.part_scope_02_lens_02</v>
      </c>
      <c r="F1159" s="102"/>
      <c r="G1159" s="102" t="str">
        <f>IFERROR(__xludf.DUMMYFUNCTION("""COMPUTED_VALUE"""),"ADS ++++Zoom")</f>
        <v>ADS ++++Zoom</v>
      </c>
      <c r="H1159" s="102"/>
      <c r="I1159" s="102"/>
      <c r="J1159" s="102"/>
      <c r="K1159" s="102"/>
      <c r="L1159" s="102"/>
    </row>
    <row r="1160">
      <c r="A1160" s="102" t="str">
        <f>IFERROR(__xludf.DUMMYFUNCTION("""COMPUTED_VALUE"""),"Ripper")</f>
        <v>Ripper</v>
      </c>
      <c r="B1160" s="102" t="str">
        <f>IFERROR(__xludf.DUMMYFUNCTION("""COMPUTED_VALUE"""),"SMG")</f>
        <v>SMG</v>
      </c>
      <c r="C1160" s="103">
        <f>IFERROR(__xludf.DUMMYFUNCTION("""COMPUTED_VALUE"""),31.0)</f>
        <v>31</v>
      </c>
      <c r="D1160" s="102" t="str">
        <f>IFERROR(__xludf.DUMMYFUNCTION("""COMPUTED_VALUE"""),"Scope Accessory")</f>
        <v>Scope Accessory</v>
      </c>
      <c r="E1160" s="102" t="str">
        <f>IFERROR(__xludf.DUMMYFUNCTION("""COMPUTED_VALUE"""),"BOR_SM.part_scope_acc_s01_l01_a")</f>
        <v>BOR_SM.part_scope_acc_s01_l01_a</v>
      </c>
      <c r="F1160" s="102"/>
      <c r="G1160" s="102" t="str">
        <f>IFERROR(__xludf.DUMMYFUNCTION("""COMPUTED_VALUE"""),"+Damage")</f>
        <v>+Damage</v>
      </c>
      <c r="H1160" s="102" t="str">
        <f>IFERROR(__xludf.DUMMYFUNCTION("""COMPUTED_VALUE"""),"Scope Hood, Charge Meter?")</f>
        <v>Scope Hood, Charge Meter?</v>
      </c>
      <c r="I1160" s="102"/>
      <c r="J1160" s="102"/>
      <c r="K1160" s="102"/>
      <c r="L1160" s="102"/>
    </row>
    <row r="1161">
      <c r="A1161" s="102" t="str">
        <f>IFERROR(__xludf.DUMMYFUNCTION("""COMPUTED_VALUE"""),"Ripper")</f>
        <v>Ripper</v>
      </c>
      <c r="B1161" s="102" t="str">
        <f>IFERROR(__xludf.DUMMYFUNCTION("""COMPUTED_VALUE"""),"SMG")</f>
        <v>SMG</v>
      </c>
      <c r="C1161" s="103">
        <f>IFERROR(__xludf.DUMMYFUNCTION("""COMPUTED_VALUE"""),32.0)</f>
        <v>32</v>
      </c>
      <c r="D1161" s="102" t="str">
        <f>IFERROR(__xludf.DUMMYFUNCTION("""COMPUTED_VALUE"""),"Scope Accessory")</f>
        <v>Scope Accessory</v>
      </c>
      <c r="E1161" s="102" t="str">
        <f>IFERROR(__xludf.DUMMYFUNCTION("""COMPUTED_VALUE"""),"BOR_SM.part_scope_acc_s01_l01_b")</f>
        <v>BOR_SM.part_scope_acc_s01_l01_b</v>
      </c>
      <c r="F1161" s="102"/>
      <c r="G1161" s="102" t="str">
        <f>IFERROR(__xludf.DUMMYFUNCTION("""COMPUTED_VALUE"""),"-Reload Speed")</f>
        <v>-Reload Speed</v>
      </c>
      <c r="H1161" s="102" t="str">
        <f>IFERROR(__xludf.DUMMYFUNCTION("""COMPUTED_VALUE"""),"HUD Elements")</f>
        <v>HUD Elements</v>
      </c>
      <c r="I1161" s="102"/>
      <c r="J1161" s="102"/>
      <c r="K1161" s="102"/>
      <c r="L1161" s="102"/>
    </row>
    <row r="1162">
      <c r="A1162" s="102" t="str">
        <f>IFERROR(__xludf.DUMMYFUNCTION("""COMPUTED_VALUE"""),"Ripper")</f>
        <v>Ripper</v>
      </c>
      <c r="B1162" s="102" t="str">
        <f>IFERROR(__xludf.DUMMYFUNCTION("""COMPUTED_VALUE"""),"SMG")</f>
        <v>SMG</v>
      </c>
      <c r="C1162" s="103">
        <f>IFERROR(__xludf.DUMMYFUNCTION("""COMPUTED_VALUE"""),33.0)</f>
        <v>33</v>
      </c>
      <c r="D1162" s="102" t="str">
        <f>IFERROR(__xludf.DUMMYFUNCTION("""COMPUTED_VALUE"""),"Scope Accessory")</f>
        <v>Scope Accessory</v>
      </c>
      <c r="E1162" s="102" t="str">
        <f>IFERROR(__xludf.DUMMYFUNCTION("""COMPUTED_VALUE"""),"BOR_SM.part_scope_acc_s02_l01_a")</f>
        <v>BOR_SM.part_scope_acc_s02_l01_a</v>
      </c>
      <c r="F1162" s="102"/>
      <c r="G1162" s="102" t="str">
        <f>IFERROR(__xludf.DUMMYFUNCTION("""COMPUTED_VALUE"""),"No Stat Changes")</f>
        <v>No Stat Changes</v>
      </c>
      <c r="H1162" s="102" t="str">
        <f>IFERROR(__xludf.DUMMYFUNCTION("""COMPUTED_VALUE"""),"Mag Counter")</f>
        <v>Mag Counter</v>
      </c>
      <c r="I1162" s="102"/>
      <c r="J1162" s="102"/>
      <c r="K1162" s="102"/>
      <c r="L1162" s="102"/>
    </row>
    <row r="1163">
      <c r="A1163" s="102" t="str">
        <f>IFERROR(__xludf.DUMMYFUNCTION("""COMPUTED_VALUE"""),"Ripper")</f>
        <v>Ripper</v>
      </c>
      <c r="B1163" s="102" t="str">
        <f>IFERROR(__xludf.DUMMYFUNCTION("""COMPUTED_VALUE"""),"SMG")</f>
        <v>SMG</v>
      </c>
      <c r="C1163" s="103">
        <f>IFERROR(__xludf.DUMMYFUNCTION("""COMPUTED_VALUE"""),34.0)</f>
        <v>34</v>
      </c>
      <c r="D1163" s="102" t="str">
        <f>IFERROR(__xludf.DUMMYFUNCTION("""COMPUTED_VALUE"""),"Scope Accessory")</f>
        <v>Scope Accessory</v>
      </c>
      <c r="E1163" s="102" t="str">
        <f>IFERROR(__xludf.DUMMYFUNCTION("""COMPUTED_VALUE"""),"BOR_SM.part_scope_acc_s02_l01_b")</f>
        <v>BOR_SM.part_scope_acc_s02_l01_b</v>
      </c>
      <c r="F1163" s="102"/>
      <c r="G1163" s="102" t="str">
        <f>IFERROR(__xludf.DUMMYFUNCTION("""COMPUTED_VALUE"""),"+Crit Damage")</f>
        <v>+Crit Damage</v>
      </c>
      <c r="H1163" s="102" t="str">
        <f>IFERROR(__xludf.DUMMYFUNCTION("""COMPUTED_VALUE"""),"Damage Type")</f>
        <v>Damage Type</v>
      </c>
      <c r="I1163" s="102"/>
      <c r="J1163" s="102"/>
      <c r="K1163" s="102"/>
      <c r="L1163" s="102"/>
    </row>
    <row r="1164">
      <c r="A1164" s="102" t="str">
        <f>IFERROR(__xludf.DUMMYFUNCTION("""COMPUTED_VALUE"""),"Ripper")</f>
        <v>Ripper</v>
      </c>
      <c r="B1164" s="102" t="str">
        <f>IFERROR(__xludf.DUMMYFUNCTION("""COMPUTED_VALUE"""),"SMG")</f>
        <v>SMG</v>
      </c>
      <c r="C1164" s="103">
        <f>IFERROR(__xludf.DUMMYFUNCTION("""COMPUTED_VALUE"""),35.0)</f>
        <v>35</v>
      </c>
      <c r="D1164" s="102" t="str">
        <f>IFERROR(__xludf.DUMMYFUNCTION("""COMPUTED_VALUE"""),"Scope Accessory")</f>
        <v>Scope Accessory</v>
      </c>
      <c r="E1164" s="102" t="str">
        <f>IFERROR(__xludf.DUMMYFUNCTION("""COMPUTED_VALUE"""),"BOR_SM.part_scope_acc_s01_l02_a")</f>
        <v>BOR_SM.part_scope_acc_s01_l02_a</v>
      </c>
      <c r="F1164" s="102"/>
      <c r="G1164" s="102" t="str">
        <f>IFERROR(__xludf.DUMMYFUNCTION("""COMPUTED_VALUE"""),"+Damage")</f>
        <v>+Damage</v>
      </c>
      <c r="H1164" s="102" t="str">
        <f>IFERROR(__xludf.DUMMYFUNCTION("""COMPUTED_VALUE"""),"Scope Hood")</f>
        <v>Scope Hood</v>
      </c>
      <c r="I1164" s="102"/>
      <c r="J1164" s="102"/>
      <c r="K1164" s="102"/>
      <c r="L1164" s="102"/>
    </row>
    <row r="1165">
      <c r="A1165" s="102" t="str">
        <f>IFERROR(__xludf.DUMMYFUNCTION("""COMPUTED_VALUE"""),"Ripper")</f>
        <v>Ripper</v>
      </c>
      <c r="B1165" s="102" t="str">
        <f>IFERROR(__xludf.DUMMYFUNCTION("""COMPUTED_VALUE"""),"SMG")</f>
        <v>SMG</v>
      </c>
      <c r="C1165" s="103">
        <f>IFERROR(__xludf.DUMMYFUNCTION("""COMPUTED_VALUE"""),36.0)</f>
        <v>36</v>
      </c>
      <c r="D1165" s="102" t="str">
        <f>IFERROR(__xludf.DUMMYFUNCTION("""COMPUTED_VALUE"""),"Scope Accessory")</f>
        <v>Scope Accessory</v>
      </c>
      <c r="E1165" s="102" t="str">
        <f>IFERROR(__xludf.DUMMYFUNCTION("""COMPUTED_VALUE"""),"BOR_SM.part_scope_acc_s01_l02_b")</f>
        <v>BOR_SM.part_scope_acc_s01_l02_b</v>
      </c>
      <c r="F1165" s="102"/>
      <c r="G1165" s="102" t="str">
        <f>IFERROR(__xludf.DUMMYFUNCTION("""COMPUTED_VALUE"""),"-Reload Speed")</f>
        <v>-Reload Speed</v>
      </c>
      <c r="H1165" s="102" t="str">
        <f>IFERROR(__xludf.DUMMYFUNCTION("""COMPUTED_VALUE"""),"Damage Type")</f>
        <v>Damage Type</v>
      </c>
      <c r="I1165" s="102"/>
      <c r="J1165" s="102"/>
      <c r="K1165" s="102"/>
      <c r="L1165" s="102"/>
    </row>
    <row r="1166">
      <c r="A1166" s="102" t="str">
        <f>IFERROR(__xludf.DUMMYFUNCTION("""COMPUTED_VALUE"""),"Ripper")</f>
        <v>Ripper</v>
      </c>
      <c r="B1166" s="102" t="str">
        <f>IFERROR(__xludf.DUMMYFUNCTION("""COMPUTED_VALUE"""),"SMG")</f>
        <v>SMG</v>
      </c>
      <c r="C1166" s="103">
        <f>IFERROR(__xludf.DUMMYFUNCTION("""COMPUTED_VALUE"""),37.0)</f>
        <v>37</v>
      </c>
      <c r="D1166" s="102" t="str">
        <f>IFERROR(__xludf.DUMMYFUNCTION("""COMPUTED_VALUE"""),"Scope Accessory")</f>
        <v>Scope Accessory</v>
      </c>
      <c r="E1166" s="102" t="str">
        <f>IFERROR(__xludf.DUMMYFUNCTION("""COMPUTED_VALUE"""),"BOR_SM.part_scope_acc_s02_l02_a")</f>
        <v>BOR_SM.part_scope_acc_s02_l02_a</v>
      </c>
      <c r="F1166" s="102"/>
      <c r="G1166" s="102" t="str">
        <f>IFERROR(__xludf.DUMMYFUNCTION("""COMPUTED_VALUE"""),"No Stat Changes")</f>
        <v>No Stat Changes</v>
      </c>
      <c r="H1166" s="102" t="str">
        <f>IFERROR(__xludf.DUMMYFUNCTION("""COMPUTED_VALUE"""),"Unknown element on the right")</f>
        <v>Unknown element on the right</v>
      </c>
      <c r="I1166" s="102"/>
      <c r="J1166" s="102"/>
      <c r="K1166" s="102"/>
      <c r="L1166" s="102"/>
    </row>
    <row r="1167">
      <c r="A1167" s="102" t="str">
        <f>IFERROR(__xludf.DUMMYFUNCTION("""COMPUTED_VALUE"""),"Ripper")</f>
        <v>Ripper</v>
      </c>
      <c r="B1167" s="102" t="str">
        <f>IFERROR(__xludf.DUMMYFUNCTION("""COMPUTED_VALUE"""),"SMG")</f>
        <v>SMG</v>
      </c>
      <c r="C1167" s="103">
        <f>IFERROR(__xludf.DUMMYFUNCTION("""COMPUTED_VALUE"""),38.0)</f>
        <v>38</v>
      </c>
      <c r="D1167" s="102" t="str">
        <f>IFERROR(__xludf.DUMMYFUNCTION("""COMPUTED_VALUE"""),"Scope Accessory")</f>
        <v>Scope Accessory</v>
      </c>
      <c r="E1167" s="102" t="str">
        <f>IFERROR(__xludf.DUMMYFUNCTION("""COMPUTED_VALUE"""),"BOR_SM.part_scope_acc_s02_l02_b")</f>
        <v>BOR_SM.part_scope_acc_s02_l02_b</v>
      </c>
      <c r="F1167" s="102"/>
      <c r="G1167" s="102" t="str">
        <f>IFERROR(__xludf.DUMMYFUNCTION("""COMPUTED_VALUE"""),"+Crit Damage")</f>
        <v>+Crit Damage</v>
      </c>
      <c r="H1167" s="102" t="str">
        <f>IFERROR(__xludf.DUMMYFUNCTION("""COMPUTED_VALUE"""),"HUD Elements")</f>
        <v>HUD Elements</v>
      </c>
      <c r="I1167" s="102"/>
      <c r="J1167" s="102"/>
      <c r="K1167" s="102"/>
      <c r="L1167" s="102"/>
    </row>
    <row r="1168">
      <c r="A1168" s="102" t="str">
        <f>IFERROR(__xludf.DUMMYFUNCTION("""COMPUTED_VALUE"""),"Ripper")</f>
        <v>Ripper</v>
      </c>
      <c r="B1168" s="102" t="str">
        <f>IFERROR(__xludf.DUMMYFUNCTION("""COMPUTED_VALUE"""),"SMG")</f>
        <v>SMG</v>
      </c>
      <c r="C1168" s="103">
        <f>IFERROR(__xludf.DUMMYFUNCTION("""COMPUTED_VALUE"""),39.0)</f>
        <v>39</v>
      </c>
      <c r="D1168" s="102" t="str">
        <f>IFERROR(__xludf.DUMMYFUNCTION("""COMPUTED_VALUE"""),"Grip")</f>
        <v>Grip</v>
      </c>
      <c r="E1168" s="102" t="str">
        <f>IFERROR(__xludf.DUMMYFUNCTION("""COMPUTED_VALUE"""),"BOR_SM.part_grip_05a_ted_legs")</f>
        <v>BOR_SM.part_grip_05a_ted_legs</v>
      </c>
      <c r="F1168" s="102"/>
      <c r="G1168" s="102" t="str">
        <f>IFERROR(__xludf.DUMMYFUNCTION("""COMPUTED_VALUE"""),"Tediore reload modifier: Legs, no stat changes")</f>
        <v>Tediore reload modifier: Legs, no stat changes</v>
      </c>
      <c r="H1168" s="102"/>
      <c r="I1168" s="102"/>
      <c r="J1168" s="102"/>
      <c r="K1168" s="102"/>
      <c r="L1168" s="102"/>
    </row>
    <row r="1169">
      <c r="A1169" s="102" t="str">
        <f>IFERROR(__xludf.DUMMYFUNCTION("""COMPUTED_VALUE"""),"Ripper")</f>
        <v>Ripper</v>
      </c>
      <c r="B1169" s="102" t="str">
        <f>IFERROR(__xludf.DUMMYFUNCTION("""COMPUTED_VALUE"""),"SMG")</f>
        <v>SMG</v>
      </c>
      <c r="C1169" s="103">
        <f>IFERROR(__xludf.DUMMYFUNCTION("""COMPUTED_VALUE"""),40.0)</f>
        <v>40</v>
      </c>
      <c r="D1169" s="102" t="str">
        <f>IFERROR(__xludf.DUMMYFUNCTION("""COMPUTED_VALUE"""),"Grip")</f>
        <v>Grip</v>
      </c>
      <c r="E1169" s="102" t="str">
        <f>IFERROR(__xludf.DUMMYFUNCTION("""COMPUTED_VALUE"""),"BOR_SM.part_grip_05c_ted_jav")</f>
        <v>BOR_SM.part_grip_05c_ted_jav</v>
      </c>
      <c r="F1169" s="102"/>
      <c r="G1169" s="102" t="str">
        <f>IFERROR(__xludf.DUMMYFUNCTION("""COMPUTED_VALUE"""),"Tediore reload modifier: Javelin, no stat changes")</f>
        <v>Tediore reload modifier: Javelin, no stat changes</v>
      </c>
      <c r="H1169" s="102"/>
      <c r="I1169" s="102"/>
      <c r="J1169" s="102"/>
      <c r="K1169" s="102"/>
      <c r="L1169" s="102"/>
    </row>
    <row r="1170">
      <c r="A1170" s="102" t="str">
        <f>IFERROR(__xludf.DUMMYFUNCTION("""COMPUTED_VALUE"""),"Ripper")</f>
        <v>Ripper</v>
      </c>
      <c r="B1170" s="102" t="str">
        <f>IFERROR(__xludf.DUMMYFUNCTION("""COMPUTED_VALUE"""),"SMG")</f>
        <v>SMG</v>
      </c>
      <c r="C1170" s="103">
        <f>IFERROR(__xludf.DUMMYFUNCTION("""COMPUTED_VALUE"""),41.0)</f>
        <v>41</v>
      </c>
      <c r="D1170" s="102" t="str">
        <f>IFERROR(__xludf.DUMMYFUNCTION("""COMPUTED_VALUE"""),"Grip")</f>
        <v>Grip</v>
      </c>
      <c r="E1170" s="102" t="str">
        <f>IFERROR(__xludf.DUMMYFUNCTION("""COMPUTED_VALUE"""),"BOR_SM.part_grip_05b_ted_homing")</f>
        <v>BOR_SM.part_grip_05b_ted_homing</v>
      </c>
      <c r="F1170" s="102"/>
      <c r="G1170" s="102" t="str">
        <f>IFERROR(__xludf.DUMMYFUNCTION("""COMPUTED_VALUE"""),"Tediore reload modifier: Homing, no stat changes")</f>
        <v>Tediore reload modifier: Homing, no stat changes</v>
      </c>
      <c r="H1170" s="102"/>
      <c r="I1170" s="102"/>
      <c r="J1170" s="102"/>
      <c r="K1170" s="102"/>
      <c r="L1170" s="102"/>
    </row>
    <row r="1171">
      <c r="A1171" s="102" t="str">
        <f>IFERROR(__xludf.DUMMYFUNCTION("""COMPUTED_VALUE"""),"Ripper")</f>
        <v>Ripper</v>
      </c>
      <c r="B1171" s="102" t="str">
        <f>IFERROR(__xludf.DUMMYFUNCTION("""COMPUTED_VALUE"""),"SMG")</f>
        <v>SMG</v>
      </c>
      <c r="C1171" s="103">
        <f>IFERROR(__xludf.DUMMYFUNCTION("""COMPUTED_VALUE"""),42.0)</f>
        <v>42</v>
      </c>
      <c r="D1171" s="102" t="str">
        <f>IFERROR(__xludf.DUMMYFUNCTION("""COMPUTED_VALUE"""),"Grip")</f>
        <v>Grip</v>
      </c>
      <c r="E1171" s="102" t="str">
        <f>IFERROR(__xludf.DUMMYFUNCTION("""COMPUTED_VALUE"""),"BOR_SM.part_grip_01")</f>
        <v>BOR_SM.part_grip_01</v>
      </c>
      <c r="F1171" s="102"/>
      <c r="G1171" s="102" t="str">
        <f>IFERROR(__xludf.DUMMYFUNCTION("""COMPUTED_VALUE"""),"+Damage")</f>
        <v>+Damage</v>
      </c>
      <c r="H1171" s="102"/>
      <c r="I1171" s="102"/>
      <c r="J1171" s="102"/>
      <c r="K1171" s="102"/>
      <c r="L1171" s="102"/>
    </row>
    <row r="1172">
      <c r="A1172" s="102" t="str">
        <f>IFERROR(__xludf.DUMMYFUNCTION("""COMPUTED_VALUE"""),"Ripper")</f>
        <v>Ripper</v>
      </c>
      <c r="B1172" s="102" t="str">
        <f>IFERROR(__xludf.DUMMYFUNCTION("""COMPUTED_VALUE"""),"SMG")</f>
        <v>SMG</v>
      </c>
      <c r="C1172" s="103">
        <f>IFERROR(__xludf.DUMMYFUNCTION("""COMPUTED_VALUE"""),43.0)</f>
        <v>43</v>
      </c>
      <c r="D1172" s="102" t="str">
        <f>IFERROR(__xludf.DUMMYFUNCTION("""COMPUTED_VALUE"""),"Grip")</f>
        <v>Grip</v>
      </c>
      <c r="E1172" s="102" t="str">
        <f>IFERROR(__xludf.DUMMYFUNCTION("""COMPUTED_VALUE"""),"BOR_SM.part_grip_02")</f>
        <v>BOR_SM.part_grip_02</v>
      </c>
      <c r="F1172" s="102"/>
      <c r="G1172" s="102" t="str">
        <f>IFERROR(__xludf.DUMMYFUNCTION("""COMPUTED_VALUE"""),"+Fire Rate")</f>
        <v>+Fire Rate</v>
      </c>
      <c r="H1172" s="102"/>
      <c r="I1172" s="102"/>
      <c r="J1172" s="102"/>
      <c r="K1172" s="102"/>
      <c r="L1172" s="102"/>
    </row>
    <row r="1173">
      <c r="A1173" s="102" t="str">
        <f>IFERROR(__xludf.DUMMYFUNCTION("""COMPUTED_VALUE"""),"Ripper")</f>
        <v>Ripper</v>
      </c>
      <c r="B1173" s="102" t="str">
        <f>IFERROR(__xludf.DUMMYFUNCTION("""COMPUTED_VALUE"""),"SMG")</f>
        <v>SMG</v>
      </c>
      <c r="C1173" s="103">
        <f>IFERROR(__xludf.DUMMYFUNCTION("""COMPUTED_VALUE"""),44.0)</f>
        <v>44</v>
      </c>
      <c r="D1173" s="102" t="str">
        <f>IFERROR(__xludf.DUMMYFUNCTION("""COMPUTED_VALUE"""),"Grip")</f>
        <v>Grip</v>
      </c>
      <c r="E1173" s="102" t="str">
        <f>IFERROR(__xludf.DUMMYFUNCTION("""COMPUTED_VALUE"""),"BOR_SM.part_grip_03")</f>
        <v>BOR_SM.part_grip_03</v>
      </c>
      <c r="F1173" s="102"/>
      <c r="G1173" s="102" t="str">
        <f>IFERROR(__xludf.DUMMYFUNCTION("""COMPUTED_VALUE"""),"-Reload Speed")</f>
        <v>-Reload Speed</v>
      </c>
      <c r="H1173" s="102"/>
      <c r="I1173" s="102"/>
      <c r="J1173" s="102"/>
      <c r="K1173" s="102"/>
      <c r="L1173" s="102"/>
    </row>
    <row r="1174">
      <c r="A1174" s="102" t="str">
        <f>IFERROR(__xludf.DUMMYFUNCTION("""COMPUTED_VALUE"""),"Ripper")</f>
        <v>Ripper</v>
      </c>
      <c r="B1174" s="102" t="str">
        <f>IFERROR(__xludf.DUMMYFUNCTION("""COMPUTED_VALUE"""),"SMG")</f>
        <v>SMG</v>
      </c>
      <c r="C1174" s="103">
        <f>IFERROR(__xludf.DUMMYFUNCTION("""COMPUTED_VALUE"""),45.0)</f>
        <v>45</v>
      </c>
      <c r="D1174" s="102" t="str">
        <f>IFERROR(__xludf.DUMMYFUNCTION("""COMPUTED_VALUE"""),"Grip")</f>
        <v>Grip</v>
      </c>
      <c r="E1174" s="102" t="str">
        <f>IFERROR(__xludf.DUMMYFUNCTION("""COMPUTED_VALUE"""),"BOR_SM.part_grip_04_hyp")</f>
        <v>BOR_SM.part_grip_04_hyp</v>
      </c>
      <c r="F1174" s="102"/>
      <c r="G1174" s="102" t="str">
        <f>IFERROR(__xludf.DUMMYFUNCTION("""COMPUTED_VALUE"""),"Hyperion Grip, -Acc, Acc increases with continuous fire")</f>
        <v>Hyperion Grip, -Acc, Acc increases with continuous fire</v>
      </c>
      <c r="H1174" s="102"/>
      <c r="I1174" s="102"/>
      <c r="J1174" s="102"/>
      <c r="K1174" s="102"/>
      <c r="L1174" s="102"/>
    </row>
    <row r="1175">
      <c r="A1175" s="102" t="str">
        <f>IFERROR(__xludf.DUMMYFUNCTION("""COMPUTED_VALUE"""),"Ripper")</f>
        <v>Ripper</v>
      </c>
      <c r="B1175" s="102" t="str">
        <f>IFERROR(__xludf.DUMMYFUNCTION("""COMPUTED_VALUE"""),"SMG")</f>
        <v>SMG</v>
      </c>
      <c r="C1175" s="103">
        <f>IFERROR(__xludf.DUMMYFUNCTION("""COMPUTED_VALUE"""),46.0)</f>
        <v>46</v>
      </c>
      <c r="D1175" s="102" t="str">
        <f>IFERROR(__xludf.DUMMYFUNCTION("""COMPUTED_VALUE"""),"Underbarrel")</f>
        <v>Underbarrel</v>
      </c>
      <c r="E1175" s="102" t="str">
        <f>IFERROR(__xludf.DUMMYFUNCTION("""COMPUTED_VALUE"""),"BOR_SM.part_underbarrel_03_gastrap")</f>
        <v>BOR_SM.part_underbarrel_03_gastrap</v>
      </c>
      <c r="F1175" s="102"/>
      <c r="G1175" s="102" t="str">
        <f>IFERROR(__xludf.DUMMYFUNCTION("""COMPUTED_VALUE"""),"Alt Fire - Gas Trap")</f>
        <v>Alt Fire - Gas Trap</v>
      </c>
      <c r="H1175" s="102" t="str">
        <f>IFERROR(__xludf.DUMMYFUNCTION("""COMPUTED_VALUE"""),"Fires a Projectile that explodes, causing a cloud of Noxious Gas that deals Corosive Damage to enemies over time")</f>
        <v>Fires a Projectile that explodes, causing a cloud of Noxious Gas that deals Corosive Damage to enemies over time</v>
      </c>
      <c r="I1175" s="102"/>
      <c r="J1175" s="102"/>
      <c r="K1175" s="102"/>
      <c r="L1175" s="102"/>
    </row>
    <row r="1176">
      <c r="A1176" s="102" t="str">
        <f>IFERROR(__xludf.DUMMYFUNCTION("""COMPUTED_VALUE"""),"Ripper")</f>
        <v>Ripper</v>
      </c>
      <c r="B1176" s="102" t="str">
        <f>IFERROR(__xludf.DUMMYFUNCTION("""COMPUTED_VALUE"""),"SMG")</f>
        <v>SMG</v>
      </c>
      <c r="C1176" s="103">
        <f>IFERROR(__xludf.DUMMYFUNCTION("""COMPUTED_VALUE"""),47.0)</f>
        <v>47</v>
      </c>
      <c r="D1176" s="102" t="str">
        <f>IFERROR(__xludf.DUMMYFUNCTION("""COMPUTED_VALUE"""),"Underbarrel")</f>
        <v>Underbarrel</v>
      </c>
      <c r="E1176" s="102" t="str">
        <f>IFERROR(__xludf.DUMMYFUNCTION("""COMPUTED_VALUE"""),"BOR_SM.part_underbarrel_02_drunkrocket")</f>
        <v>BOR_SM.part_underbarrel_02_drunkrocket</v>
      </c>
      <c r="F1176" s="102"/>
      <c r="G1176" s="102" t="str">
        <f>IFERROR(__xludf.DUMMYFUNCTION("""COMPUTED_VALUE"""),"Alt Fire - Ripper Rocket Launcher")</f>
        <v>Alt Fire - Ripper Rocket Launcher</v>
      </c>
      <c r="H1176" s="102" t="str">
        <f>IFERROR(__xludf.DUMMYFUNCTION("""COMPUTED_VALUE"""),"Launches a burst of 6 rockets that deal XXX Damage")</f>
        <v>Launches a burst of 6 rockets that deal XXX Damage</v>
      </c>
      <c r="I1176" s="102"/>
      <c r="J1176" s="102"/>
      <c r="K1176" s="102"/>
      <c r="L1176" s="102"/>
    </row>
    <row r="1177">
      <c r="A1177" s="102" t="str">
        <f>IFERROR(__xludf.DUMMYFUNCTION("""COMPUTED_VALUE"""),"Ripper")</f>
        <v>Ripper</v>
      </c>
      <c r="B1177" s="102" t="str">
        <f>IFERROR(__xludf.DUMMYFUNCTION("""COMPUTED_VALUE"""),"SMG")</f>
        <v>SMG</v>
      </c>
      <c r="C1177" s="103">
        <f>IFERROR(__xludf.DUMMYFUNCTION("""COMPUTED_VALUE"""),48.0)</f>
        <v>48</v>
      </c>
      <c r="D1177" s="102" t="str">
        <f>IFERROR(__xludf.DUMMYFUNCTION("""COMPUTED_VALUE"""),"Underbarrel")</f>
        <v>Underbarrel</v>
      </c>
      <c r="E1177" s="102" t="str">
        <f>IFERROR(__xludf.DUMMYFUNCTION("""COMPUTED_VALUE"""),"BOR_SM.part_underbarrel_06_malswitch")</f>
        <v>BOR_SM.part_underbarrel_06_malswitch</v>
      </c>
      <c r="F1177" s="102"/>
      <c r="G1177" s="102" t="str">
        <f>IFERROR(__xludf.DUMMYFUNCTION("""COMPUTED_VALUE"""),"Maliwan Element Switch")</f>
        <v>Maliwan Element Switch</v>
      </c>
      <c r="H1177" s="102" t="str">
        <f>IFERROR(__xludf.DUMMYFUNCTION("""COMPUTED_VALUE"""),"Used for Maliwan elemental switch")</f>
        <v>Used for Maliwan elemental switch</v>
      </c>
      <c r="I1177" s="102"/>
      <c r="J1177" s="102"/>
      <c r="K1177" s="102"/>
      <c r="L1177" s="102"/>
    </row>
    <row r="1178">
      <c r="A1178" s="102" t="str">
        <f>IFERROR(__xludf.DUMMYFUNCTION("""COMPUTED_VALUE"""),"Ripper")</f>
        <v>Ripper</v>
      </c>
      <c r="B1178" s="102" t="str">
        <f>IFERROR(__xludf.DUMMYFUNCTION("""COMPUTED_VALUE"""),"SMG")</f>
        <v>SMG</v>
      </c>
      <c r="C1178" s="103">
        <f>IFERROR(__xludf.DUMMYFUNCTION("""COMPUTED_VALUE"""),49.0)</f>
        <v>49</v>
      </c>
      <c r="D1178" s="102" t="str">
        <f>IFERROR(__xludf.DUMMYFUNCTION("""COMPUTED_VALUE"""),"Underbarrel")</f>
        <v>Underbarrel</v>
      </c>
      <c r="E1178" s="102" t="str">
        <f>IFERROR(__xludf.DUMMYFUNCTION("""COMPUTED_VALUE"""),"BOR_SM.part_underbarrel_04_atlas")</f>
        <v>BOR_SM.part_underbarrel_04_atlas</v>
      </c>
      <c r="F1178" s="102"/>
      <c r="G1178" s="102" t="str">
        <f>IFERROR(__xludf.DUMMYFUNCTION("""COMPUTED_VALUE"""),"Atlas Tracker Darts")</f>
        <v>Atlas Tracker Darts</v>
      </c>
      <c r="H1178" s="102"/>
      <c r="I1178" s="102"/>
      <c r="J1178" s="102"/>
      <c r="K1178" s="102"/>
      <c r="L1178" s="102"/>
    </row>
    <row r="1179">
      <c r="A1179" s="102" t="str">
        <f>IFERROR(__xludf.DUMMYFUNCTION("""COMPUTED_VALUE"""),"Ripper")</f>
        <v>Ripper</v>
      </c>
      <c r="B1179" s="102" t="str">
        <f>IFERROR(__xludf.DUMMYFUNCTION("""COMPUTED_VALUE"""),"SMG")</f>
        <v>SMG</v>
      </c>
      <c r="C1179" s="103">
        <f>IFERROR(__xludf.DUMMYFUNCTION("""COMPUTED_VALUE"""),50.0)</f>
        <v>50</v>
      </c>
      <c r="D1179" s="102" t="str">
        <f>IFERROR(__xludf.DUMMYFUNCTION("""COMPUTED_VALUE"""),"Foregrip")</f>
        <v>Foregrip</v>
      </c>
      <c r="E1179" s="102" t="str">
        <f>IFERROR(__xludf.DUMMYFUNCTION("""COMPUTED_VALUE"""),"BOR_SM.part_foregrip_01")</f>
        <v>BOR_SM.part_foregrip_01</v>
      </c>
      <c r="F1179" s="102"/>
      <c r="G1179" s="102" t="str">
        <f>IFERROR(__xludf.DUMMYFUNCTION("""COMPUTED_VALUE"""),"+Damage")</f>
        <v>+Damage</v>
      </c>
      <c r="H1179" s="102"/>
      <c r="I1179" s="102"/>
      <c r="J1179" s="102"/>
      <c r="K1179" s="102"/>
      <c r="L1179" s="102"/>
    </row>
    <row r="1180">
      <c r="A1180" s="102" t="str">
        <f>IFERROR(__xludf.DUMMYFUNCTION("""COMPUTED_VALUE"""),"Ripper")</f>
        <v>Ripper</v>
      </c>
      <c r="B1180" s="102" t="str">
        <f>IFERROR(__xludf.DUMMYFUNCTION("""COMPUTED_VALUE"""),"SMG")</f>
        <v>SMG</v>
      </c>
      <c r="C1180" s="103">
        <f>IFERROR(__xludf.DUMMYFUNCTION("""COMPUTED_VALUE"""),51.0)</f>
        <v>51</v>
      </c>
      <c r="D1180" s="102" t="str">
        <f>IFERROR(__xludf.DUMMYFUNCTION("""COMPUTED_VALUE"""),"Foregrip")</f>
        <v>Foregrip</v>
      </c>
      <c r="E1180" s="102" t="str">
        <f>IFERROR(__xludf.DUMMYFUNCTION("""COMPUTED_VALUE"""),"BOR_SM.part_foregrip_03")</f>
        <v>BOR_SM.part_foregrip_03</v>
      </c>
      <c r="F1180" s="102"/>
      <c r="G1180" s="102" t="str">
        <f>IFERROR(__xludf.DUMMYFUNCTION("""COMPUTED_VALUE"""),"+Accuracy")</f>
        <v>+Accuracy</v>
      </c>
      <c r="H1180" s="102"/>
      <c r="I1180" s="102"/>
      <c r="J1180" s="102"/>
      <c r="K1180" s="102"/>
      <c r="L1180" s="102"/>
    </row>
    <row r="1181">
      <c r="A1181" s="102" t="str">
        <f>IFERROR(__xludf.DUMMYFUNCTION("""COMPUTED_VALUE"""),"Ripper")</f>
        <v>Ripper</v>
      </c>
      <c r="B1181" s="102" t="str">
        <f>IFERROR(__xludf.DUMMYFUNCTION("""COMPUTED_VALUE"""),"SMG")</f>
        <v>SMG</v>
      </c>
      <c r="C1181" s="103">
        <f>IFERROR(__xludf.DUMMYFUNCTION("""COMPUTED_VALUE"""),52.0)</f>
        <v>52</v>
      </c>
      <c r="D1181" s="102" t="str">
        <f>IFERROR(__xludf.DUMMYFUNCTION("""COMPUTED_VALUE"""),"Underbarrel")</f>
        <v>Underbarrel</v>
      </c>
      <c r="E1181" s="102" t="str">
        <f>IFERROR(__xludf.DUMMYFUNCTION("""COMPUTED_VALUE"""),"BOR_SM.part_underbarrel_01_shrapnel")</f>
        <v>BOR_SM.part_underbarrel_01_shrapnel</v>
      </c>
      <c r="F1181" s="102"/>
      <c r="G1181" s="102" t="str">
        <f>IFERROR(__xludf.DUMMYFUNCTION("""COMPUTED_VALUE"""),"Alt Fire - Shrapnel Cannon")</f>
        <v>Alt Fire - Shrapnel Cannon</v>
      </c>
      <c r="H1181" s="102"/>
      <c r="I1181" s="102"/>
      <c r="J1181" s="102"/>
      <c r="K1181" s="102"/>
      <c r="L1181" s="102"/>
    </row>
    <row r="1182">
      <c r="A1182" s="102" t="str">
        <f>IFERROR(__xludf.DUMMYFUNCTION("""COMPUTED_VALUE"""),"Ripper")</f>
        <v>Ripper</v>
      </c>
      <c r="B1182" s="102" t="str">
        <f>IFERROR(__xludf.DUMMYFUNCTION("""COMPUTED_VALUE"""),"SMG")</f>
        <v>SMG</v>
      </c>
      <c r="C1182" s="103">
        <f>IFERROR(__xludf.DUMMYFUNCTION("""COMPUTED_VALUE"""),53.0)</f>
        <v>53</v>
      </c>
      <c r="D1182" s="102" t="str">
        <f>IFERROR(__xludf.DUMMYFUNCTION("""COMPUTED_VALUE"""),"Underbarrel")</f>
        <v>Underbarrel</v>
      </c>
      <c r="E1182" s="102" t="str">
        <f>IFERROR(__xludf.DUMMYFUNCTION("""COMPUTED_VALUE"""),"BOR_SM.part_underbarrel_04_atlas_ball")</f>
        <v>BOR_SM.part_underbarrel_04_atlas_ball</v>
      </c>
      <c r="F1182" s="102"/>
      <c r="G1182" s="102" t="str">
        <f>IFERROR(__xludf.DUMMYFUNCTION("""COMPUTED_VALUE"""),"Atlas Tracker Grenades")</f>
        <v>Atlas Tracker Grenades</v>
      </c>
      <c r="H1182" s="102"/>
      <c r="I1182" s="102"/>
      <c r="J1182" s="102"/>
      <c r="K1182" s="102"/>
      <c r="L1182" s="102"/>
    </row>
    <row r="1183">
      <c r="A1183" s="102" t="str">
        <f>IFERROR(__xludf.DUMMYFUNCTION("""COMPUTED_VALUE"""),"Ripper")</f>
        <v>Ripper</v>
      </c>
      <c r="B1183" s="102" t="str">
        <f>IFERROR(__xludf.DUMMYFUNCTION("""COMPUTED_VALUE"""),"SMG")</f>
        <v>SMG</v>
      </c>
      <c r="C1183" s="103">
        <f>IFERROR(__xludf.DUMMYFUNCTION("""COMPUTED_VALUE"""),54.0)</f>
        <v>54</v>
      </c>
      <c r="D1183" s="102" t="str">
        <f>IFERROR(__xludf.DUMMYFUNCTION("""COMPUTED_VALUE"""),"Underbarrel")</f>
        <v>Underbarrel</v>
      </c>
      <c r="E1183" s="102" t="str">
        <f>IFERROR(__xludf.DUMMYFUNCTION("""COMPUTED_VALUE"""),"BOR_SM.part_underbarrel_05_ammoswitcher")</f>
        <v>BOR_SM.part_underbarrel_05_ammoswitcher</v>
      </c>
      <c r="F1183" s="102"/>
      <c r="G1183" s="102" t="str">
        <f>IFERROR(__xludf.DUMMYFUNCTION("""COMPUTED_VALUE"""),"Daedalus Ammo Switch")</f>
        <v>Daedalus Ammo Switch</v>
      </c>
      <c r="H1183" s="102" t="str">
        <f>IFERROR(__xludf.DUMMYFUNCTION("""COMPUTED_VALUE"""),"Used for Daedalus Ammo switch")</f>
        <v>Used for Daedalus Ammo switch</v>
      </c>
      <c r="I1183" s="102"/>
      <c r="J1183" s="102"/>
      <c r="K1183" s="102"/>
      <c r="L1183" s="102"/>
    </row>
    <row r="1184">
      <c r="A1184" s="102" t="str">
        <f>IFERROR(__xludf.DUMMYFUNCTION("""COMPUTED_VALUE"""),"Ripper")</f>
        <v>Ripper</v>
      </c>
      <c r="B1184" s="102" t="str">
        <f>IFERROR(__xludf.DUMMYFUNCTION("""COMPUTED_VALUE"""),"SMG")</f>
        <v>SMG</v>
      </c>
      <c r="C1184" s="103">
        <f>IFERROR(__xludf.DUMMYFUNCTION("""COMPUTED_VALUE"""),55.0)</f>
        <v>55</v>
      </c>
      <c r="D1184" s="102" t="str">
        <f>IFERROR(__xludf.DUMMYFUNCTION("""COMPUTED_VALUE"""),"Foregrip")</f>
        <v>Foregrip</v>
      </c>
      <c r="E1184" s="102" t="str">
        <f>IFERROR(__xludf.DUMMYFUNCTION("""COMPUTED_VALUE"""),"BOR_SM.part_foregrip_02")</f>
        <v>BOR_SM.part_foregrip_02</v>
      </c>
      <c r="F1184" s="102"/>
      <c r="G1184" s="102" t="str">
        <f>IFERROR(__xludf.DUMMYFUNCTION("""COMPUTED_VALUE"""),"+Fire Rate")</f>
        <v>+Fire Rate</v>
      </c>
      <c r="H1184" s="102"/>
      <c r="I1184" s="102"/>
      <c r="J1184" s="102"/>
      <c r="K1184" s="102"/>
      <c r="L1184" s="102"/>
    </row>
    <row r="1185">
      <c r="A1185" s="102" t="str">
        <f>IFERROR(__xludf.DUMMYFUNCTION("""COMPUTED_VALUE"""),"Ripper")</f>
        <v>Ripper</v>
      </c>
      <c r="B1185" s="102" t="str">
        <f>IFERROR(__xludf.DUMMYFUNCTION("""COMPUTED_VALUE"""),"SMG")</f>
        <v>SMG</v>
      </c>
      <c r="C1185" s="103">
        <f>IFERROR(__xludf.DUMMYFUNCTION("""COMPUTED_VALUE"""),57.0)</f>
        <v>57</v>
      </c>
      <c r="D1185" s="102" t="str">
        <f>IFERROR(__xludf.DUMMYFUNCTION("""COMPUTED_VALUE"""),"Barrel")</f>
        <v>Barrel</v>
      </c>
      <c r="E1185" s="102" t="str">
        <f>IFERROR(__xludf.DUMMYFUNCTION("""COMPUTED_VALUE"""),"BOR_SM.part_barrel_01_Roil")</f>
        <v>BOR_SM.part_barrel_01_Roil</v>
      </c>
      <c r="F1185" s="102"/>
      <c r="G1185" s="102" t="str">
        <f>IFERROR(__xludf.DUMMYFUNCTION("""COMPUTED_VALUE"""),"Roil, 937 Damage, 70% Acc, 6.8/s FR")</f>
        <v>Roil, 937 Damage, 70% Acc, 6.8/s FR</v>
      </c>
      <c r="H1185" s="102" t="str">
        <f>IFERROR(__xludf.DUMMYFUNCTION("""COMPUTED_VALUE"""),"Hydropower - Overheating prevents firing. Switching modes reduces heat")</f>
        <v>Hydropower - Overheating prevents firing. Switching modes reduces heat</v>
      </c>
      <c r="I1185" s="102"/>
      <c r="J1185" s="102"/>
      <c r="K1185" s="102"/>
      <c r="L1185" s="102"/>
    </row>
    <row r="1186">
      <c r="A1186" s="102" t="str">
        <f>IFERROR(__xludf.DUMMYFUNCTION("""COMPUTED_VALUE"""),"Ripper")</f>
        <v>Ripper</v>
      </c>
      <c r="B1186" s="102" t="str">
        <f>IFERROR(__xludf.DUMMYFUNCTION("""COMPUTED_VALUE"""),"SMG")</f>
        <v>SMG</v>
      </c>
      <c r="C1186" s="103">
        <f>IFERROR(__xludf.DUMMYFUNCTION("""COMPUTED_VALUE"""),62.0)</f>
        <v>62</v>
      </c>
      <c r="D1186" s="102" t="str">
        <f>IFERROR(__xludf.DUMMYFUNCTION("""COMPUTED_VALUE"""),"Manufacturer Part")</f>
        <v>Manufacturer Part</v>
      </c>
      <c r="E1186" s="102" t="str">
        <f>IFERROR(__xludf.DUMMYFUNCTION("""COMPUTED_VALUE"""),"BOR_SM.part_secondary_ammo_sg")</f>
        <v>BOR_SM.part_secondary_ammo_sg</v>
      </c>
      <c r="F1186" s="102"/>
      <c r="G1186" s="102" t="str">
        <f>IFERROR(__xludf.DUMMYFUNCTION("""COMPUTED_VALUE"""),"Daedalus Shotgun Ammo")</f>
        <v>Daedalus Shotgun Ammo</v>
      </c>
      <c r="H1186" s="102"/>
      <c r="I1186" s="102"/>
      <c r="J1186" s="102"/>
      <c r="K1186" s="102"/>
      <c r="L1186" s="102"/>
    </row>
    <row r="1187">
      <c r="A1187" s="102" t="str">
        <f>IFERROR(__xludf.DUMMYFUNCTION("""COMPUTED_VALUE"""),"Ripper")</f>
        <v>Ripper</v>
      </c>
      <c r="B1187" s="102" t="str">
        <f>IFERROR(__xludf.DUMMYFUNCTION("""COMPUTED_VALUE"""),"SMG")</f>
        <v>SMG</v>
      </c>
      <c r="C1187" s="103">
        <f>IFERROR(__xludf.DUMMYFUNCTION("""COMPUTED_VALUE"""),63.0)</f>
        <v>63</v>
      </c>
      <c r="D1187" s="102" t="str">
        <f>IFERROR(__xludf.DUMMYFUNCTION("""COMPUTED_VALUE"""),"Manufacturer Part")</f>
        <v>Manufacturer Part</v>
      </c>
      <c r="E1187" s="102" t="str">
        <f>IFERROR(__xludf.DUMMYFUNCTION("""COMPUTED_VALUE"""),"BOR_SM.part_secondary_ammo_ar")</f>
        <v>BOR_SM.part_secondary_ammo_ar</v>
      </c>
      <c r="F1187" s="102"/>
      <c r="G1187" s="102" t="str">
        <f>IFERROR(__xludf.DUMMYFUNCTION("""COMPUTED_VALUE"""),"Daedalus AR Ammo")</f>
        <v>Daedalus AR Ammo</v>
      </c>
      <c r="H1187" s="102"/>
      <c r="I1187" s="102"/>
      <c r="J1187" s="102"/>
      <c r="K1187" s="102"/>
      <c r="L1187" s="102"/>
    </row>
    <row r="1188">
      <c r="A1188" s="102" t="str">
        <f>IFERROR(__xludf.DUMMYFUNCTION("""COMPUTED_VALUE"""),"Ripper")</f>
        <v>Ripper</v>
      </c>
      <c r="B1188" s="102" t="str">
        <f>IFERROR(__xludf.DUMMYFUNCTION("""COMPUTED_VALUE"""),"SMG")</f>
        <v>SMG</v>
      </c>
      <c r="C1188" s="103">
        <f>IFERROR(__xludf.DUMMYFUNCTION("""COMPUTED_VALUE"""),64.0)</f>
        <v>64</v>
      </c>
      <c r="D1188" s="102" t="str">
        <f>IFERROR(__xludf.DUMMYFUNCTION("""COMPUTED_VALUE"""),"Manufacturer Part")</f>
        <v>Manufacturer Part</v>
      </c>
      <c r="E1188" s="102" t="str">
        <f>IFERROR(__xludf.DUMMYFUNCTION("""COMPUTED_VALUE"""),"BOR_SM.part_secondary_ammo_ps")</f>
        <v>BOR_SM.part_secondary_ammo_ps</v>
      </c>
      <c r="F1188" s="102"/>
      <c r="G1188" s="102" t="str">
        <f>IFERROR(__xludf.DUMMYFUNCTION("""COMPUTED_VALUE"""),"Daedalus Pistol Ammo")</f>
        <v>Daedalus Pistol Ammo</v>
      </c>
      <c r="H1188" s="102"/>
      <c r="I1188" s="102"/>
      <c r="J1188" s="102"/>
      <c r="K1188" s="102"/>
      <c r="L1188" s="102"/>
    </row>
    <row r="1189">
      <c r="A1189" s="102" t="str">
        <f>IFERROR(__xludf.DUMMYFUNCTION("""COMPUTED_VALUE"""),"Ripper")</f>
        <v>Ripper</v>
      </c>
      <c r="B1189" s="102" t="str">
        <f>IFERROR(__xludf.DUMMYFUNCTION("""COMPUTED_VALUE"""),"SMG")</f>
        <v>SMG</v>
      </c>
      <c r="C1189" s="103">
        <f>IFERROR(__xludf.DUMMYFUNCTION("""COMPUTED_VALUE"""),65.0)</f>
        <v>65</v>
      </c>
      <c r="D1189" s="102" t="str">
        <f>IFERROR(__xludf.DUMMYFUNCTION("""COMPUTED_VALUE"""),"Manufacturer Part")</f>
        <v>Manufacturer Part</v>
      </c>
      <c r="E1189" s="102" t="str">
        <f>IFERROR(__xludf.DUMMYFUNCTION("""COMPUTED_VALUE"""),"BOR_SM.part_secondary_ammo_sr")</f>
        <v>BOR_SM.part_secondary_ammo_sr</v>
      </c>
      <c r="F1189" s="102"/>
      <c r="G1189" s="102" t="str">
        <f>IFERROR(__xludf.DUMMYFUNCTION("""COMPUTED_VALUE"""),"Daedalus SR Ammo")</f>
        <v>Daedalus SR Ammo</v>
      </c>
      <c r="H1189" s="102"/>
      <c r="I1189" s="102"/>
      <c r="J1189" s="102"/>
      <c r="K1189" s="102"/>
      <c r="L1189" s="102"/>
    </row>
    <row r="1190">
      <c r="A1190" s="102" t="str">
        <f>IFERROR(__xludf.DUMMYFUNCTION("""COMPUTED_VALUE"""),"Ripper")</f>
        <v>Ripper</v>
      </c>
      <c r="B1190" s="102" t="str">
        <f>IFERROR(__xludf.DUMMYFUNCTION("""COMPUTED_VALUE"""),"SMG")</f>
        <v>SMG</v>
      </c>
      <c r="C1190" s="103">
        <f>IFERROR(__xludf.DUMMYFUNCTION("""COMPUTED_VALUE"""),66.0)</f>
        <v>66</v>
      </c>
      <c r="D1190" s="102" t="str">
        <f>IFERROR(__xludf.DUMMYFUNCTION("""COMPUTED_VALUE"""),"Barrel Accessory")</f>
        <v>Barrel Accessory</v>
      </c>
      <c r="E1190" s="102" t="str">
        <f>IFERROR(__xludf.DUMMYFUNCTION("""COMPUTED_VALUE"""),"BOR_SM.part_barrel_01_a")</f>
        <v>BOR_SM.part_barrel_01_a</v>
      </c>
      <c r="F1190" s="102"/>
      <c r="G1190" s="102" t="str">
        <f>IFERROR(__xludf.DUMMYFUNCTION("""COMPUTED_VALUE"""),"+Damage")</f>
        <v>+Damage</v>
      </c>
      <c r="H1190" s="102"/>
      <c r="I1190" s="102"/>
      <c r="J1190" s="102"/>
      <c r="K1190" s="102"/>
      <c r="L1190" s="102"/>
    </row>
    <row r="1191">
      <c r="A1191" s="102" t="str">
        <f>IFERROR(__xludf.DUMMYFUNCTION("""COMPUTED_VALUE"""),"Ripper")</f>
        <v>Ripper</v>
      </c>
      <c r="B1191" s="102" t="str">
        <f>IFERROR(__xludf.DUMMYFUNCTION("""COMPUTED_VALUE"""),"SMG")</f>
        <v>SMG</v>
      </c>
      <c r="C1191" s="103">
        <f>IFERROR(__xludf.DUMMYFUNCTION("""COMPUTED_VALUE"""),67.0)</f>
        <v>67</v>
      </c>
      <c r="D1191" s="102" t="str">
        <f>IFERROR(__xludf.DUMMYFUNCTION("""COMPUTED_VALUE"""),"Barrel Accessory")</f>
        <v>Barrel Accessory</v>
      </c>
      <c r="E1191" s="102" t="str">
        <f>IFERROR(__xludf.DUMMYFUNCTION("""COMPUTED_VALUE"""),"BOR_SM.part_barrel_01_b")</f>
        <v>BOR_SM.part_barrel_01_b</v>
      </c>
      <c r="F1191" s="102"/>
      <c r="G1191" s="102" t="str">
        <f>IFERROR(__xludf.DUMMYFUNCTION("""COMPUTED_VALUE"""),"-Reload Speed")</f>
        <v>-Reload Speed</v>
      </c>
      <c r="H1191" s="102"/>
      <c r="I1191" s="102"/>
      <c r="J1191" s="102"/>
      <c r="K1191" s="102"/>
      <c r="L1191" s="102"/>
    </row>
    <row r="1192">
      <c r="A1192" s="102" t="str">
        <f>IFERROR(__xludf.DUMMYFUNCTION("""COMPUTED_VALUE"""),"Ripper")</f>
        <v>Ripper</v>
      </c>
      <c r="B1192" s="102" t="str">
        <f>IFERROR(__xludf.DUMMYFUNCTION("""COMPUTED_VALUE"""),"SMG")</f>
        <v>SMG</v>
      </c>
      <c r="C1192" s="103">
        <f>IFERROR(__xludf.DUMMYFUNCTION("""COMPUTED_VALUE"""),68.0)</f>
        <v>68</v>
      </c>
      <c r="D1192" s="102" t="str">
        <f>IFERROR(__xludf.DUMMYFUNCTION("""COMPUTED_VALUE"""),"Barrel Accessory")</f>
        <v>Barrel Accessory</v>
      </c>
      <c r="E1192" s="102" t="str">
        <f>IFERROR(__xludf.DUMMYFUNCTION("""COMPUTED_VALUE"""),"BOR_SM.part_barrel_01_c")</f>
        <v>BOR_SM.part_barrel_01_c</v>
      </c>
      <c r="F1192" s="102"/>
      <c r="G1192" s="102" t="str">
        <f>IFERROR(__xludf.DUMMYFUNCTION("""COMPUTED_VALUE"""),"+Damage")</f>
        <v>+Damage</v>
      </c>
      <c r="H1192" s="102"/>
      <c r="I1192" s="102"/>
      <c r="J1192" s="102"/>
      <c r="K1192" s="102"/>
      <c r="L1192" s="102"/>
    </row>
    <row r="1193">
      <c r="A1193" s="102" t="str">
        <f>IFERROR(__xludf.DUMMYFUNCTION("""COMPUTED_VALUE"""),"Ripper")</f>
        <v>Ripper</v>
      </c>
      <c r="B1193" s="102" t="str">
        <f>IFERROR(__xludf.DUMMYFUNCTION("""COMPUTED_VALUE"""),"SMG")</f>
        <v>SMG</v>
      </c>
      <c r="C1193" s="103">
        <f>IFERROR(__xludf.DUMMYFUNCTION("""COMPUTED_VALUE"""),69.0)</f>
        <v>69</v>
      </c>
      <c r="D1193" s="102" t="str">
        <f>IFERROR(__xludf.DUMMYFUNCTION("""COMPUTED_VALUE"""),"Barrel Accessory")</f>
        <v>Barrel Accessory</v>
      </c>
      <c r="E1193" s="102" t="str">
        <f>IFERROR(__xludf.DUMMYFUNCTION("""COMPUTED_VALUE"""),"BOR_SM.part_barrel_01_d")</f>
        <v>BOR_SM.part_barrel_01_d</v>
      </c>
      <c r="F1193" s="102"/>
      <c r="G1193" s="102" t="str">
        <f>IFERROR(__xludf.DUMMYFUNCTION("""COMPUTED_VALUE"""),"+Accuracy")</f>
        <v>+Accuracy</v>
      </c>
      <c r="H1193" s="102"/>
      <c r="I1193" s="102"/>
      <c r="J1193" s="102"/>
      <c r="K1193" s="102"/>
      <c r="L1193" s="102"/>
    </row>
    <row r="1194">
      <c r="A1194" s="102" t="str">
        <f>IFERROR(__xludf.DUMMYFUNCTION("""COMPUTED_VALUE"""),"Ripper")</f>
        <v>Ripper</v>
      </c>
      <c r="B1194" s="102" t="str">
        <f>IFERROR(__xludf.DUMMYFUNCTION("""COMPUTED_VALUE"""),"SMG")</f>
        <v>SMG</v>
      </c>
      <c r="C1194" s="103">
        <f>IFERROR(__xludf.DUMMYFUNCTION("""COMPUTED_VALUE"""),70.0)</f>
        <v>70</v>
      </c>
      <c r="D1194" s="102" t="str">
        <f>IFERROR(__xludf.DUMMYFUNCTION("""COMPUTED_VALUE"""),"Barrel Accessory")</f>
        <v>Barrel Accessory</v>
      </c>
      <c r="E1194" s="102" t="str">
        <f>IFERROR(__xludf.DUMMYFUNCTION("""COMPUTED_VALUE"""),"BOR_SM.part_barrel_02_a")</f>
        <v>BOR_SM.part_barrel_02_a</v>
      </c>
      <c r="F1194" s="102"/>
      <c r="G1194" s="102" t="str">
        <f>IFERROR(__xludf.DUMMYFUNCTION("""COMPUTED_VALUE"""),"+Damage")</f>
        <v>+Damage</v>
      </c>
      <c r="H1194" s="102"/>
      <c r="I1194" s="102"/>
      <c r="J1194" s="102"/>
      <c r="K1194" s="102"/>
      <c r="L1194" s="102"/>
    </row>
    <row r="1195">
      <c r="A1195" s="102" t="str">
        <f>IFERROR(__xludf.DUMMYFUNCTION("""COMPUTED_VALUE"""),"Ripper")</f>
        <v>Ripper</v>
      </c>
      <c r="B1195" s="102" t="str">
        <f>IFERROR(__xludf.DUMMYFUNCTION("""COMPUTED_VALUE"""),"SMG")</f>
        <v>SMG</v>
      </c>
      <c r="C1195" s="103">
        <f>IFERROR(__xludf.DUMMYFUNCTION("""COMPUTED_VALUE"""),71.0)</f>
        <v>71</v>
      </c>
      <c r="D1195" s="102" t="str">
        <f>IFERROR(__xludf.DUMMYFUNCTION("""COMPUTED_VALUE"""),"Barrel Accessory")</f>
        <v>Barrel Accessory</v>
      </c>
      <c r="E1195" s="102" t="str">
        <f>IFERROR(__xludf.DUMMYFUNCTION("""COMPUTED_VALUE"""),"BOR_SM.part_barrel_02_b")</f>
        <v>BOR_SM.part_barrel_02_b</v>
      </c>
      <c r="F1195" s="102"/>
      <c r="G1195" s="102" t="str">
        <f>IFERROR(__xludf.DUMMYFUNCTION("""COMPUTED_VALUE"""),"+Accuracy")</f>
        <v>+Accuracy</v>
      </c>
      <c r="H1195" s="102"/>
      <c r="I1195" s="102"/>
      <c r="J1195" s="102"/>
      <c r="K1195" s="102"/>
      <c r="L1195" s="102"/>
    </row>
    <row r="1196">
      <c r="A1196" s="102" t="str">
        <f>IFERROR(__xludf.DUMMYFUNCTION("""COMPUTED_VALUE"""),"Ripper")</f>
        <v>Ripper</v>
      </c>
      <c r="B1196" s="102" t="str">
        <f>IFERROR(__xludf.DUMMYFUNCTION("""COMPUTED_VALUE"""),"SMG")</f>
        <v>SMG</v>
      </c>
      <c r="C1196" s="103">
        <f>IFERROR(__xludf.DUMMYFUNCTION("""COMPUTED_VALUE"""),72.0)</f>
        <v>72</v>
      </c>
      <c r="D1196" s="102" t="str">
        <f>IFERROR(__xludf.DUMMYFUNCTION("""COMPUTED_VALUE"""),"Barrel Accessory")</f>
        <v>Barrel Accessory</v>
      </c>
      <c r="E1196" s="102" t="str">
        <f>IFERROR(__xludf.DUMMYFUNCTION("""COMPUTED_VALUE"""),"BOR_SM.part_barrel_02_c")</f>
        <v>BOR_SM.part_barrel_02_c</v>
      </c>
      <c r="F1196" s="102"/>
      <c r="G1196" s="102" t="str">
        <f>IFERROR(__xludf.DUMMYFUNCTION("""COMPUTED_VALUE"""),"+Fire Rate")</f>
        <v>+Fire Rate</v>
      </c>
      <c r="H1196" s="102"/>
      <c r="I1196" s="102"/>
      <c r="J1196" s="102"/>
      <c r="K1196" s="102"/>
      <c r="L1196" s="102"/>
    </row>
    <row r="1197">
      <c r="A1197" s="102" t="str">
        <f>IFERROR(__xludf.DUMMYFUNCTION("""COMPUTED_VALUE"""),"Ripper")</f>
        <v>Ripper</v>
      </c>
      <c r="B1197" s="102" t="str">
        <f>IFERROR(__xludf.DUMMYFUNCTION("""COMPUTED_VALUE"""),"SMG")</f>
        <v>SMG</v>
      </c>
      <c r="C1197" s="103">
        <f>IFERROR(__xludf.DUMMYFUNCTION("""COMPUTED_VALUE"""),73.0)</f>
        <v>73</v>
      </c>
      <c r="D1197" s="102" t="str">
        <f>IFERROR(__xludf.DUMMYFUNCTION("""COMPUTED_VALUE"""),"Barrel Accessory")</f>
        <v>Barrel Accessory</v>
      </c>
      <c r="E1197" s="102" t="str">
        <f>IFERROR(__xludf.DUMMYFUNCTION("""COMPUTED_VALUE"""),"BOR_SM.part_barrel_02_d")</f>
        <v>BOR_SM.part_barrel_02_d</v>
      </c>
      <c r="F1197" s="102"/>
      <c r="G1197" s="102" t="str">
        <f>IFERROR(__xludf.DUMMYFUNCTION("""COMPUTED_VALUE"""),"+Fire Rate")</f>
        <v>+Fire Rate</v>
      </c>
      <c r="H1197" s="102"/>
      <c r="I1197" s="102"/>
      <c r="J1197" s="102"/>
      <c r="K1197" s="102"/>
      <c r="L1197" s="102"/>
    </row>
    <row r="1198">
      <c r="A1198" s="102" t="str">
        <f>IFERROR(__xludf.DUMMYFUNCTION("""COMPUTED_VALUE"""),"Ripper")</f>
        <v>Ripper</v>
      </c>
      <c r="B1198" s="102" t="str">
        <f>IFERROR(__xludf.DUMMYFUNCTION("""COMPUTED_VALUE"""),"SMG")</f>
        <v>SMG</v>
      </c>
      <c r="C1198" s="103">
        <f>IFERROR(__xludf.DUMMYFUNCTION("""COMPUTED_VALUE"""),74.0)</f>
        <v>74</v>
      </c>
      <c r="D1198" s="102" t="str">
        <f>IFERROR(__xludf.DUMMYFUNCTION("""COMPUTED_VALUE"""),"Manufacturer Part")</f>
        <v>Manufacturer Part</v>
      </c>
      <c r="E1198" s="102" t="str">
        <f>IFERROR(__xludf.DUMMYFUNCTION("""COMPUTED_VALUE"""),"BOR_SM.part_barrel_licensed_jak")</f>
        <v>BOR_SM.part_barrel_licensed_jak</v>
      </c>
      <c r="F1198" s="102"/>
      <c r="G1198" s="102" t="str">
        <f>IFERROR(__xludf.DUMMYFUNCTION("""COMPUTED_VALUE"""),"Jakobs Ricochet")</f>
        <v>Jakobs Ricochet</v>
      </c>
      <c r="H1198" s="102"/>
      <c r="I1198" s="102"/>
      <c r="J1198" s="102"/>
      <c r="K1198" s="102"/>
      <c r="L1198" s="102"/>
    </row>
    <row r="1199">
      <c r="A1199" s="102" t="str">
        <f>IFERROR(__xludf.DUMMYFUNCTION("""COMPUTED_VALUE"""),"Ripper")</f>
        <v>Ripper</v>
      </c>
      <c r="B1199" s="102" t="str">
        <f>IFERROR(__xludf.DUMMYFUNCTION("""COMPUTED_VALUE"""),"SMG")</f>
        <v>SMG</v>
      </c>
      <c r="C1199" s="103">
        <f>IFERROR(__xludf.DUMMYFUNCTION("""COMPUTED_VALUE"""),75.0)</f>
        <v>75</v>
      </c>
      <c r="D1199" s="102" t="str">
        <f>IFERROR(__xludf.DUMMYFUNCTION("""COMPUTED_VALUE"""),"Manufacturer Part")</f>
        <v>Manufacturer Part</v>
      </c>
      <c r="E1199" s="102" t="str">
        <f>IFERROR(__xludf.DUMMYFUNCTION("""COMPUTED_VALUE"""),"BOR_SM.part_barrel_licensed_ted")</f>
        <v>BOR_SM.part_barrel_licensed_ted</v>
      </c>
      <c r="F1199" s="102"/>
      <c r="G1199" s="102" t="str">
        <f>IFERROR(__xludf.DUMMYFUNCTION("""COMPUTED_VALUE"""),"Tediore Reload, no stat changes")</f>
        <v>Tediore Reload, no stat changes</v>
      </c>
      <c r="H1199" s="102"/>
      <c r="I1199" s="102"/>
      <c r="J1199" s="102"/>
      <c r="K1199" s="102"/>
      <c r="L1199" s="102"/>
    </row>
    <row r="1200">
      <c r="A1200" s="102" t="str">
        <f>IFERROR(__xludf.DUMMYFUNCTION("""COMPUTED_VALUE"""),"Ripper")</f>
        <v>Ripper</v>
      </c>
      <c r="B1200" s="102" t="str">
        <f>IFERROR(__xludf.DUMMYFUNCTION("""COMPUTED_VALUE"""),"SMG")</f>
        <v>SMG</v>
      </c>
      <c r="C1200" s="103">
        <f>IFERROR(__xludf.DUMMYFUNCTION("""COMPUTED_VALUE"""),76.0)</f>
        <v>76</v>
      </c>
      <c r="D1200" s="102" t="str">
        <f>IFERROR(__xludf.DUMMYFUNCTION("""COMPUTED_VALUE"""),"Manufacturer Part")</f>
        <v>Manufacturer Part</v>
      </c>
      <c r="E1200" s="102" t="str">
        <f>IFERROR(__xludf.DUMMYFUNCTION("""COMPUTED_VALUE"""),"BOR_SM.part_barrel_licensed_ted_shooting")</f>
        <v>BOR_SM.part_barrel_licensed_ted_shooting</v>
      </c>
      <c r="F1200" s="102"/>
      <c r="G1200" s="102" t="str">
        <f>IFERROR(__xludf.DUMMYFUNCTION("""COMPUTED_VALUE"""),"Tediore Shooting, no stat changes")</f>
        <v>Tediore Shooting, no stat changes</v>
      </c>
      <c r="H1200" s="102"/>
      <c r="I1200" s="102"/>
      <c r="J1200" s="102"/>
      <c r="K1200" s="102"/>
      <c r="L1200" s="102"/>
    </row>
    <row r="1201">
      <c r="A1201" s="102" t="str">
        <f>IFERROR(__xludf.DUMMYFUNCTION("""COMPUTED_VALUE"""),"Ripper")</f>
        <v>Ripper</v>
      </c>
      <c r="B1201" s="102" t="str">
        <f>IFERROR(__xludf.DUMMYFUNCTION("""COMPUTED_VALUE"""),"SMG")</f>
        <v>SMG</v>
      </c>
      <c r="C1201" s="103">
        <f>IFERROR(__xludf.DUMMYFUNCTION("""COMPUTED_VALUE"""),77.0)</f>
        <v>77</v>
      </c>
      <c r="D1201" s="102" t="str">
        <f>IFERROR(__xludf.DUMMYFUNCTION("""COMPUTED_VALUE"""),"Manufacturer Part")</f>
        <v>Manufacturer Part</v>
      </c>
      <c r="E1201" s="102" t="str">
        <f>IFERROR(__xludf.DUMMYFUNCTION("""COMPUTED_VALUE"""),"BOR_SM.part_barrel_licensed_ted_mirv")</f>
        <v>BOR_SM.part_barrel_licensed_ted_mirv</v>
      </c>
      <c r="F1201" s="102"/>
      <c r="G1201" s="102" t="str">
        <f>IFERROR(__xludf.DUMMYFUNCTION("""COMPUTED_VALUE"""),"Tediore MIRV, no stat changes")</f>
        <v>Tediore MIRV, no stat changes</v>
      </c>
      <c r="H1201" s="102"/>
      <c r="I1201" s="102"/>
      <c r="J1201" s="102"/>
      <c r="K1201" s="102"/>
      <c r="L1201" s="102"/>
    </row>
    <row r="1202">
      <c r="A1202" s="102" t="str">
        <f>IFERROR(__xludf.DUMMYFUNCTION("""COMPUTED_VALUE"""),"Ripper")</f>
        <v>Ripper</v>
      </c>
      <c r="B1202" s="102" t="str">
        <f>IFERROR(__xludf.DUMMYFUNCTION("""COMPUTED_VALUE"""),"SMG")</f>
        <v>SMG</v>
      </c>
      <c r="C1202" s="103">
        <f>IFERROR(__xludf.DUMMYFUNCTION("""COMPUTED_VALUE"""),78.0)</f>
        <v>78</v>
      </c>
      <c r="D1202" s="102" t="str">
        <f>IFERROR(__xludf.DUMMYFUNCTION("""COMPUTED_VALUE"""),"Manufacturer Part")</f>
        <v>Manufacturer Part</v>
      </c>
      <c r="E1202" s="102" t="str">
        <f>IFERROR(__xludf.DUMMYFUNCTION("""COMPUTED_VALUE"""),"BOR_SM.part_barrel_licensed_ted_combo")</f>
        <v>BOR_SM.part_barrel_licensed_ted_combo</v>
      </c>
      <c r="F1202" s="102"/>
      <c r="G1202" s="102" t="str">
        <f>IFERROR(__xludf.DUMMYFUNCTION("""COMPUTED_VALUE"""),"Tediore Combo, no stat changes")</f>
        <v>Tediore Combo, no stat changes</v>
      </c>
      <c r="H1202" s="102"/>
      <c r="I1202" s="102"/>
      <c r="J1202" s="102"/>
      <c r="K1202" s="102"/>
      <c r="L1202" s="102"/>
    </row>
    <row r="1203">
      <c r="A1203" s="102" t="str">
        <f>IFERROR(__xludf.DUMMYFUNCTION("""COMPUTED_VALUE"""),"Ripper")</f>
        <v>Ripper</v>
      </c>
      <c r="B1203" s="102" t="str">
        <f>IFERROR(__xludf.DUMMYFUNCTION("""COMPUTED_VALUE"""),"SMG")</f>
        <v>SMG</v>
      </c>
      <c r="C1203" s="103">
        <f>IFERROR(__xludf.DUMMYFUNCTION("""COMPUTED_VALUE"""),79.0)</f>
        <v>79</v>
      </c>
      <c r="D1203" s="102" t="str">
        <f>IFERROR(__xludf.DUMMYFUNCTION("""COMPUTED_VALUE"""),"Manufacturer Part")</f>
        <v>Manufacturer Part</v>
      </c>
      <c r="E1203" s="102" t="str">
        <f>IFERROR(__xludf.DUMMYFUNCTION("""COMPUTED_VALUE"""),"BOR_SM.part_barrel_licensed_hyp")</f>
        <v>BOR_SM.part_barrel_licensed_hyp</v>
      </c>
      <c r="F1203" s="102"/>
      <c r="G1203" s="102" t="str">
        <f>IFERROR(__xludf.DUMMYFUNCTION("""COMPUTED_VALUE"""),"Hyperion Shield visual accessory, no stat changes")</f>
        <v>Hyperion Shield visual accessory, no stat changes</v>
      </c>
      <c r="H1203" s="102"/>
      <c r="I1203" s="102"/>
      <c r="J1203" s="102"/>
      <c r="K1203" s="102"/>
      <c r="L1203" s="102"/>
    </row>
    <row r="1204">
      <c r="A1204" s="102" t="str">
        <f>IFERROR(__xludf.DUMMYFUNCTION("""COMPUTED_VALUE"""),"Ripper")</f>
        <v>Ripper</v>
      </c>
      <c r="B1204" s="102" t="str">
        <f>IFERROR(__xludf.DUMMYFUNCTION("""COMPUTED_VALUE"""),"SMG")</f>
        <v>SMG</v>
      </c>
      <c r="C1204" s="103">
        <f>IFERROR(__xludf.DUMMYFUNCTION("""COMPUTED_VALUE"""),80.0)</f>
        <v>80</v>
      </c>
      <c r="D1204" s="102" t="str">
        <f>IFERROR(__xludf.DUMMYFUNCTION("""COMPUTED_VALUE"""),"Manufacturer Part")</f>
        <v>Manufacturer Part</v>
      </c>
      <c r="E1204" s="102" t="str">
        <f>IFERROR(__xludf.DUMMYFUNCTION("""COMPUTED_VALUE"""),"BOR_SM.part_mag_torgue_normal")</f>
        <v>BOR_SM.part_mag_torgue_normal</v>
      </c>
      <c r="F1204" s="102"/>
      <c r="G1204" s="102" t="str">
        <f>IFERROR(__xludf.DUMMYFUNCTION("""COMPUTED_VALUE"""),"Torgue Impact Gyrojets")</f>
        <v>Torgue Impact Gyrojets</v>
      </c>
      <c r="H1204" s="102"/>
      <c r="I1204" s="102"/>
      <c r="J1204" s="102"/>
      <c r="K1204" s="102"/>
      <c r="L1204" s="102"/>
    </row>
    <row r="1205">
      <c r="A1205" s="102" t="str">
        <f>IFERROR(__xludf.DUMMYFUNCTION("""COMPUTED_VALUE"""),"Ripper")</f>
        <v>Ripper</v>
      </c>
      <c r="B1205" s="102" t="str">
        <f>IFERROR(__xludf.DUMMYFUNCTION("""COMPUTED_VALUE"""),"SMG")</f>
        <v>SMG</v>
      </c>
      <c r="C1205" s="103">
        <f>IFERROR(__xludf.DUMMYFUNCTION("""COMPUTED_VALUE"""),81.0)</f>
        <v>81</v>
      </c>
      <c r="D1205" s="102" t="str">
        <f>IFERROR(__xludf.DUMMYFUNCTION("""COMPUTED_VALUE"""),"Manufacturer Part")</f>
        <v>Manufacturer Part</v>
      </c>
      <c r="E1205" s="102" t="str">
        <f>IFERROR(__xludf.DUMMYFUNCTION("""COMPUTED_VALUE"""),"BOR_SM.part_mag_torgue_sticky")</f>
        <v>BOR_SM.part_mag_torgue_sticky</v>
      </c>
      <c r="F1205" s="102"/>
      <c r="G1205" s="102" t="str">
        <f>IFERROR(__xludf.DUMMYFUNCTION("""COMPUTED_VALUE"""),"Torgue Sticky Gyrojets")</f>
        <v>Torgue Sticky Gyrojets</v>
      </c>
      <c r="H1205" s="102"/>
      <c r="I1205" s="102"/>
      <c r="J1205" s="102"/>
      <c r="K1205" s="102"/>
      <c r="L1205" s="102"/>
    </row>
    <row r="1206">
      <c r="A1206" s="102" t="str">
        <f>IFERROR(__xludf.DUMMYFUNCTION("""COMPUTED_VALUE"""),"Ripper")</f>
        <v>Ripper</v>
      </c>
      <c r="B1206" s="102" t="str">
        <f>IFERROR(__xludf.DUMMYFUNCTION("""COMPUTED_VALUE"""),"Sniper")</f>
        <v>Sniper</v>
      </c>
      <c r="C1206" s="103">
        <f>IFERROR(__xludf.DUMMYFUNCTION("""COMPUTED_VALUE"""),2.0)</f>
        <v>2</v>
      </c>
      <c r="D1206" s="102" t="str">
        <f>IFERROR(__xludf.DUMMYFUNCTION("""COMPUTED_VALUE"""),"Body")</f>
        <v>Body</v>
      </c>
      <c r="E1206" s="102" t="str">
        <f>IFERROR(__xludf.DUMMYFUNCTION("""COMPUTED_VALUE"""),"BOR_SR.part_body")</f>
        <v>BOR_SR.part_body</v>
      </c>
      <c r="F1206" s="102"/>
      <c r="G1206" s="102" t="str">
        <f>IFERROR(__xludf.DUMMYFUNCTION("""COMPUTED_VALUE"""),"No Stat Changes, always present")</f>
        <v>No Stat Changes, always present</v>
      </c>
      <c r="H1206" s="102"/>
      <c r="I1206" s="102"/>
      <c r="J1206" s="102"/>
      <c r="K1206" s="102"/>
      <c r="L1206" s="102"/>
    </row>
    <row r="1207">
      <c r="A1207" s="102" t="str">
        <f>IFERROR(__xludf.DUMMYFUNCTION("""COMPUTED_VALUE"""),"Ripper")</f>
        <v>Ripper</v>
      </c>
      <c r="B1207" s="102" t="str">
        <f>IFERROR(__xludf.DUMMYFUNCTION("""COMPUTED_VALUE"""),"Sniper")</f>
        <v>Sniper</v>
      </c>
      <c r="C1207" s="103">
        <f>IFERROR(__xludf.DUMMYFUNCTION("""COMPUTED_VALUE"""),3.0)</f>
        <v>3</v>
      </c>
      <c r="D1207" s="102" t="str">
        <f>IFERROR(__xludf.DUMMYFUNCTION("""COMPUTED_VALUE"""),"Body Accessory")</f>
        <v>Body Accessory</v>
      </c>
      <c r="E1207" s="102" t="str">
        <f>IFERROR(__xludf.DUMMYFUNCTION("""COMPUTED_VALUE"""),"BOR_SR.part_body_a")</f>
        <v>BOR_SR.part_body_a</v>
      </c>
      <c r="F1207" s="102"/>
      <c r="G1207" s="102" t="str">
        <f>IFERROR(__xludf.DUMMYFUNCTION("""COMPUTED_VALUE"""),"-Reload Speed")</f>
        <v>-Reload Speed</v>
      </c>
      <c r="H1207" s="102"/>
      <c r="I1207" s="102"/>
      <c r="J1207" s="102"/>
      <c r="K1207" s="102"/>
      <c r="L1207" s="102"/>
    </row>
    <row r="1208">
      <c r="A1208" s="102" t="str">
        <f>IFERROR(__xludf.DUMMYFUNCTION("""COMPUTED_VALUE"""),"Ripper")</f>
        <v>Ripper</v>
      </c>
      <c r="B1208" s="102" t="str">
        <f>IFERROR(__xludf.DUMMYFUNCTION("""COMPUTED_VALUE"""),"Sniper")</f>
        <v>Sniper</v>
      </c>
      <c r="C1208" s="103">
        <f>IFERROR(__xludf.DUMMYFUNCTION("""COMPUTED_VALUE"""),4.0)</f>
        <v>4</v>
      </c>
      <c r="D1208" s="102" t="str">
        <f>IFERROR(__xludf.DUMMYFUNCTION("""COMPUTED_VALUE"""),"Body Accessory")</f>
        <v>Body Accessory</v>
      </c>
      <c r="E1208" s="102" t="str">
        <f>IFERROR(__xludf.DUMMYFUNCTION("""COMPUTED_VALUE"""),"BOR_SR.part_body_b")</f>
        <v>BOR_SR.part_body_b</v>
      </c>
      <c r="F1208" s="102"/>
      <c r="G1208" s="102" t="str">
        <f>IFERROR(__xludf.DUMMYFUNCTION("""COMPUTED_VALUE"""),"+Ammo")</f>
        <v>+Ammo</v>
      </c>
      <c r="H1208" s="102"/>
      <c r="I1208" s="102"/>
      <c r="J1208" s="102"/>
      <c r="K1208" s="102"/>
      <c r="L1208" s="102"/>
    </row>
    <row r="1209">
      <c r="A1209" s="102" t="str">
        <f>IFERROR(__xludf.DUMMYFUNCTION("""COMPUTED_VALUE"""),"Ripper")</f>
        <v>Ripper</v>
      </c>
      <c r="B1209" s="102" t="str">
        <f>IFERROR(__xludf.DUMMYFUNCTION("""COMPUTED_VALUE"""),"Sniper")</f>
        <v>Sniper</v>
      </c>
      <c r="C1209" s="103">
        <f>IFERROR(__xludf.DUMMYFUNCTION("""COMPUTED_VALUE"""),5.0)</f>
        <v>5</v>
      </c>
      <c r="D1209" s="102" t="str">
        <f>IFERROR(__xludf.DUMMYFUNCTION("""COMPUTED_VALUE"""),"Body Accessory")</f>
        <v>Body Accessory</v>
      </c>
      <c r="E1209" s="102" t="str">
        <f>IFERROR(__xludf.DUMMYFUNCTION("""COMPUTED_VALUE"""),"BOR_SR.part_body_c")</f>
        <v>BOR_SR.part_body_c</v>
      </c>
      <c r="F1209" s="102"/>
      <c r="G1209" s="102" t="str">
        <f>IFERROR(__xludf.DUMMYFUNCTION("""COMPUTED_VALUE"""),"No Stat Changes")</f>
        <v>No Stat Changes</v>
      </c>
      <c r="H1209" s="102"/>
      <c r="I1209" s="102"/>
      <c r="J1209" s="102"/>
      <c r="K1209" s="102"/>
      <c r="L1209" s="102"/>
    </row>
    <row r="1210">
      <c r="A1210" s="102" t="str">
        <f>IFERROR(__xludf.DUMMYFUNCTION("""COMPUTED_VALUE"""),"Ripper")</f>
        <v>Ripper</v>
      </c>
      <c r="B1210" s="102" t="str">
        <f>IFERROR(__xludf.DUMMYFUNCTION("""COMPUTED_VALUE"""),"Sniper")</f>
        <v>Sniper</v>
      </c>
      <c r="C1210" s="103">
        <f>IFERROR(__xludf.DUMMYFUNCTION("""COMPUTED_VALUE"""),6.0)</f>
        <v>6</v>
      </c>
      <c r="D1210" s="102" t="str">
        <f>IFERROR(__xludf.DUMMYFUNCTION("""COMPUTED_VALUE"""),"Body Accessory")</f>
        <v>Body Accessory</v>
      </c>
      <c r="E1210" s="102" t="str">
        <f>IFERROR(__xludf.DUMMYFUNCTION("""COMPUTED_VALUE"""),"BOR_SR.part_body_d")</f>
        <v>BOR_SR.part_body_d</v>
      </c>
      <c r="F1210" s="102"/>
      <c r="G1210" s="102" t="str">
        <f>IFERROR(__xludf.DUMMYFUNCTION("""COMPUTED_VALUE"""),"No Stat Changes")</f>
        <v>No Stat Changes</v>
      </c>
      <c r="H1210" s="102"/>
      <c r="I1210" s="102"/>
      <c r="J1210" s="102"/>
      <c r="K1210" s="102"/>
      <c r="L1210" s="102"/>
    </row>
    <row r="1211">
      <c r="A1211" s="102" t="str">
        <f>IFERROR(__xludf.DUMMYFUNCTION("""COMPUTED_VALUE"""),"Ripper")</f>
        <v>Ripper</v>
      </c>
      <c r="B1211" s="102" t="str">
        <f>IFERROR(__xludf.DUMMYFUNCTION("""COMPUTED_VALUE"""),"Sniper")</f>
        <v>Sniper</v>
      </c>
      <c r="C1211" s="103">
        <f>IFERROR(__xludf.DUMMYFUNCTION("""COMPUTED_VALUE"""),7.0)</f>
        <v>7</v>
      </c>
      <c r="D1211" s="102" t="str">
        <f>IFERROR(__xludf.DUMMYFUNCTION("""COMPUTED_VALUE"""),"Barrel")</f>
        <v>Barrel</v>
      </c>
      <c r="E1211" s="102" t="str">
        <f>IFERROR(__xludf.DUMMYFUNCTION("""COMPUTED_VALUE"""),"BOR_SR.part_barrel_01")</f>
        <v>BOR_SR.part_barrel_01</v>
      </c>
      <c r="F1211" s="102"/>
      <c r="G1211" s="102" t="str">
        <f>IFERROR(__xludf.DUMMYFUNCTION("""COMPUTED_VALUE"""),"Nullsaint, 2249 Damage, 90% Acc, 2.3/s FR")</f>
        <v>Nullsaint, 2249 Damage, 90% Acc, 2.3/s FR</v>
      </c>
      <c r="H1211" s="102"/>
      <c r="I1211" s="102"/>
      <c r="J1211" s="102"/>
      <c r="K1211" s="102"/>
      <c r="L1211" s="102"/>
    </row>
    <row r="1212">
      <c r="A1212" s="102" t="str">
        <f>IFERROR(__xludf.DUMMYFUNCTION("""COMPUTED_VALUE"""),"Ripper")</f>
        <v>Ripper</v>
      </c>
      <c r="B1212" s="102" t="str">
        <f>IFERROR(__xludf.DUMMYFUNCTION("""COMPUTED_VALUE"""),"Sniper")</f>
        <v>Sniper</v>
      </c>
      <c r="C1212" s="103">
        <f>IFERROR(__xludf.DUMMYFUNCTION("""COMPUTED_VALUE"""),8.0)</f>
        <v>8</v>
      </c>
      <c r="D1212" s="102" t="str">
        <f>IFERROR(__xludf.DUMMYFUNCTION("""COMPUTED_VALUE"""),"Barrel")</f>
        <v>Barrel</v>
      </c>
      <c r="E1212" s="102" t="str">
        <f>IFERROR(__xludf.DUMMYFUNCTION("""COMPUTED_VALUE"""),"BOR_SR.part_barrel_02")</f>
        <v>BOR_SR.part_barrel_02</v>
      </c>
      <c r="F1212" s="102"/>
      <c r="G1212" s="102" t="str">
        <f>IFERROR(__xludf.DUMMYFUNCTION("""COMPUTED_VALUE"""),"Daemon, 2647 Damage, 88% Acc, 1.5/s FR")</f>
        <v>Daemon, 2647 Damage, 88% Acc, 1.5/s FR</v>
      </c>
      <c r="H1212" s="102"/>
      <c r="I1212" s="102"/>
      <c r="J1212" s="102"/>
      <c r="K1212" s="102"/>
      <c r="L1212" s="102"/>
    </row>
    <row r="1213">
      <c r="A1213" s="102" t="str">
        <f>IFERROR(__xludf.DUMMYFUNCTION("""COMPUTED_VALUE"""),"Ripper")</f>
        <v>Ripper</v>
      </c>
      <c r="B1213" s="102" t="str">
        <f>IFERROR(__xludf.DUMMYFUNCTION("""COMPUTED_VALUE"""),"Sniper")</f>
        <v>Sniper</v>
      </c>
      <c r="C1213" s="103">
        <f>IFERROR(__xludf.DUMMYFUNCTION("""COMPUTED_VALUE"""),9.0)</f>
        <v>9</v>
      </c>
      <c r="D1213" s="102" t="str">
        <f>IFERROR(__xludf.DUMMYFUNCTION("""COMPUTED_VALUE"""),"Manufacturer Part")</f>
        <v>Manufacturer Part</v>
      </c>
      <c r="E1213" s="102" t="str">
        <f>IFERROR(__xludf.DUMMYFUNCTION("""COMPUTED_VALUE"""),"BOR_SR.part_shield_default")</f>
        <v>BOR_SR.part_shield_default</v>
      </c>
      <c r="F1213" s="102"/>
      <c r="G1213" s="102" t="str">
        <f>IFERROR(__xludf.DUMMYFUNCTION("""COMPUTED_VALUE"""),"Hyperion Shield")</f>
        <v>Hyperion Shield</v>
      </c>
      <c r="H1213" s="102"/>
      <c r="I1213" s="102"/>
      <c r="J1213" s="102"/>
      <c r="K1213" s="102"/>
      <c r="L1213" s="102"/>
    </row>
    <row r="1214">
      <c r="A1214" s="102" t="str">
        <f>IFERROR(__xludf.DUMMYFUNCTION("""COMPUTED_VALUE"""),"Ripper")</f>
        <v>Ripper</v>
      </c>
      <c r="B1214" s="102" t="str">
        <f>IFERROR(__xludf.DUMMYFUNCTION("""COMPUTED_VALUE"""),"Sniper")</f>
        <v>Sniper</v>
      </c>
      <c r="C1214" s="103">
        <f>IFERROR(__xludf.DUMMYFUNCTION("""COMPUTED_VALUE"""),10.0)</f>
        <v>10</v>
      </c>
      <c r="D1214" s="102" t="str">
        <f>IFERROR(__xludf.DUMMYFUNCTION("""COMPUTED_VALUE"""),"Manufacturer Part")</f>
        <v>Manufacturer Part</v>
      </c>
      <c r="E1214" s="102" t="str">
        <f>IFERROR(__xludf.DUMMYFUNCTION("""COMPUTED_VALUE"""),"BOR_SR.part_shield_ricochet")</f>
        <v>BOR_SR.part_shield_ricochet</v>
      </c>
      <c r="F1214" s="102"/>
      <c r="G1214" s="102" t="str">
        <f>IFERROR(__xludf.DUMMYFUNCTION("""COMPUTED_VALUE"""),"Hyperion Ricochet Shield")</f>
        <v>Hyperion Ricochet Shield</v>
      </c>
      <c r="H1214" s="102"/>
      <c r="I1214" s="102"/>
      <c r="J1214" s="102"/>
      <c r="K1214" s="102"/>
      <c r="L1214" s="102"/>
    </row>
    <row r="1215">
      <c r="A1215" s="102" t="str">
        <f>IFERROR(__xludf.DUMMYFUNCTION("""COMPUTED_VALUE"""),"Ripper")</f>
        <v>Ripper</v>
      </c>
      <c r="B1215" s="102" t="str">
        <f>IFERROR(__xludf.DUMMYFUNCTION("""COMPUTED_VALUE"""),"Sniper")</f>
        <v>Sniper</v>
      </c>
      <c r="C1215" s="103">
        <f>IFERROR(__xludf.DUMMYFUNCTION("""COMPUTED_VALUE"""),11.0)</f>
        <v>11</v>
      </c>
      <c r="D1215" s="102" t="str">
        <f>IFERROR(__xludf.DUMMYFUNCTION("""COMPUTED_VALUE"""),"Manufacturer Part")</f>
        <v>Manufacturer Part</v>
      </c>
      <c r="E1215" s="102" t="str">
        <f>IFERROR(__xludf.DUMMYFUNCTION("""COMPUTED_VALUE"""),"BOR_SR.part_shield_ammo")</f>
        <v>BOR_SR.part_shield_ammo</v>
      </c>
      <c r="F1215" s="102"/>
      <c r="G1215" s="102" t="str">
        <f>IFERROR(__xludf.DUMMYFUNCTION("""COMPUTED_VALUE"""),"Hyperion Absorb Shield")</f>
        <v>Hyperion Absorb Shield</v>
      </c>
      <c r="H1215" s="102"/>
      <c r="I1215" s="102"/>
      <c r="J1215" s="102"/>
      <c r="K1215" s="102"/>
      <c r="L1215" s="102"/>
    </row>
    <row r="1216">
      <c r="A1216" s="102" t="str">
        <f>IFERROR(__xludf.DUMMYFUNCTION("""COMPUTED_VALUE"""),"Ripper")</f>
        <v>Ripper</v>
      </c>
      <c r="B1216" s="102" t="str">
        <f>IFERROR(__xludf.DUMMYFUNCTION("""COMPUTED_VALUE"""),"Sniper")</f>
        <v>Sniper</v>
      </c>
      <c r="C1216" s="103">
        <f>IFERROR(__xludf.DUMMYFUNCTION("""COMPUTED_VALUE"""),12.0)</f>
        <v>12</v>
      </c>
      <c r="D1216" s="102" t="str">
        <f>IFERROR(__xludf.DUMMYFUNCTION("""COMPUTED_VALUE"""),"Manufacturer Part")</f>
        <v>Manufacturer Part</v>
      </c>
      <c r="E1216" s="102" t="str">
        <f>IFERROR(__xludf.DUMMYFUNCTION("""COMPUTED_VALUE"""),"BOR_SR.part_shield_amp")</f>
        <v>BOR_SR.part_shield_amp</v>
      </c>
      <c r="F1216" s="102"/>
      <c r="G1216" s="102" t="str">
        <f>IFERROR(__xludf.DUMMYFUNCTION("""COMPUTED_VALUE"""),"Hyperion Amp Shield")</f>
        <v>Hyperion Amp Shield</v>
      </c>
      <c r="H1216" s="102"/>
      <c r="I1216" s="102"/>
      <c r="J1216" s="102"/>
      <c r="K1216" s="102"/>
      <c r="L1216" s="102"/>
    </row>
    <row r="1217">
      <c r="A1217" s="102" t="str">
        <f>IFERROR(__xludf.DUMMYFUNCTION("""COMPUTED_VALUE"""),"Ripper")</f>
        <v>Ripper</v>
      </c>
      <c r="B1217" s="102" t="str">
        <f>IFERROR(__xludf.DUMMYFUNCTION("""COMPUTED_VALUE"""),"Sniper")</f>
        <v>Sniper</v>
      </c>
      <c r="C1217" s="103">
        <f>IFERROR(__xludf.DUMMYFUNCTION("""COMPUTED_VALUE"""),13.0)</f>
        <v>13</v>
      </c>
      <c r="D1217" s="102" t="str">
        <f>IFERROR(__xludf.DUMMYFUNCTION("""COMPUTED_VALUE"""),"Magazine")</f>
        <v>Magazine</v>
      </c>
      <c r="E1217" s="102" t="str">
        <f>IFERROR(__xludf.DUMMYFUNCTION("""COMPUTED_VALUE"""),"BOR_SR.part_mag_01")</f>
        <v>BOR_SR.part_mag_01</v>
      </c>
      <c r="F1217" s="102"/>
      <c r="G1217" s="102" t="str">
        <f>IFERROR(__xludf.DUMMYFUNCTION("""COMPUTED_VALUE"""),"2.9s Reload, 10 Shots")</f>
        <v>2.9s Reload, 10 Shots</v>
      </c>
      <c r="H1217" s="102"/>
      <c r="I1217" s="102"/>
      <c r="J1217" s="102"/>
      <c r="K1217" s="102"/>
      <c r="L1217" s="102"/>
    </row>
    <row r="1218">
      <c r="A1218" s="102" t="str">
        <f>IFERROR(__xludf.DUMMYFUNCTION("""COMPUTED_VALUE"""),"Ripper")</f>
        <v>Ripper</v>
      </c>
      <c r="B1218" s="102" t="str">
        <f>IFERROR(__xludf.DUMMYFUNCTION("""COMPUTED_VALUE"""),"Sniper")</f>
        <v>Sniper</v>
      </c>
      <c r="C1218" s="103">
        <f>IFERROR(__xludf.DUMMYFUNCTION("""COMPUTED_VALUE"""),14.0)</f>
        <v>14</v>
      </c>
      <c r="D1218" s="102" t="str">
        <f>IFERROR(__xludf.DUMMYFUNCTION("""COMPUTED_VALUE"""),"Magazine")</f>
        <v>Magazine</v>
      </c>
      <c r="E1218" s="102" t="str">
        <f>IFERROR(__xludf.DUMMYFUNCTION("""COMPUTED_VALUE"""),"BOR_SR.part_mag_02")</f>
        <v>BOR_SR.part_mag_02</v>
      </c>
      <c r="F1218" s="102"/>
      <c r="G1218" s="102" t="str">
        <f>IFERROR(__xludf.DUMMYFUNCTION("""COMPUTED_VALUE"""),"3.1s Reload, -Damage, 16 Shots")</f>
        <v>3.1s Reload, -Damage, 16 Shots</v>
      </c>
      <c r="H1218" s="102"/>
      <c r="I1218" s="102"/>
      <c r="J1218" s="102"/>
      <c r="K1218" s="102"/>
      <c r="L1218" s="102"/>
    </row>
    <row r="1219">
      <c r="A1219" s="102" t="str">
        <f>IFERROR(__xludf.DUMMYFUNCTION("""COMPUTED_VALUE"""),"Ripper")</f>
        <v>Ripper</v>
      </c>
      <c r="B1219" s="102" t="str">
        <f>IFERROR(__xludf.DUMMYFUNCTION("""COMPUTED_VALUE"""),"Sniper")</f>
        <v>Sniper</v>
      </c>
      <c r="C1219" s="103">
        <f>IFERROR(__xludf.DUMMYFUNCTION("""COMPUTED_VALUE"""),15.0)</f>
        <v>15</v>
      </c>
      <c r="D1219" s="102" t="str">
        <f>IFERROR(__xludf.DUMMYFUNCTION("""COMPUTED_VALUE"""),"Magazine")</f>
        <v>Magazine</v>
      </c>
      <c r="E1219" s="102" t="str">
        <f>IFERROR(__xludf.DUMMYFUNCTION("""COMPUTED_VALUE"""),"BOR_SR.part_mag_04_cov")</f>
        <v>BOR_SR.part_mag_04_cov</v>
      </c>
      <c r="F1219" s="102"/>
      <c r="G1219" s="102" t="str">
        <f>IFERROR(__xludf.DUMMYFUNCTION("""COMPUTED_VALUE"""),"4.0s Reload, -Damage, 15 Shots, CoV Mag")</f>
        <v>4.0s Reload, -Damage, 15 Shots, CoV Mag</v>
      </c>
      <c r="H1219" s="102"/>
      <c r="I1219" s="102"/>
      <c r="J1219" s="102"/>
      <c r="K1219" s="102"/>
      <c r="L1219" s="102"/>
    </row>
    <row r="1220">
      <c r="A1220" s="102" t="str">
        <f>IFERROR(__xludf.DUMMYFUNCTION("""COMPUTED_VALUE"""),"Ripper")</f>
        <v>Ripper</v>
      </c>
      <c r="B1220" s="102" t="str">
        <f>IFERROR(__xludf.DUMMYFUNCTION("""COMPUTED_VALUE"""),"Sniper")</f>
        <v>Sniper</v>
      </c>
      <c r="C1220" s="103">
        <f>IFERROR(__xludf.DUMMYFUNCTION("""COMPUTED_VALUE"""),16.0)</f>
        <v>16</v>
      </c>
      <c r="D1220" s="102" t="str">
        <f>IFERROR(__xludf.DUMMYFUNCTION("""COMPUTED_VALUE"""),"Manufacturer Part")</f>
        <v>Manufacturer Part</v>
      </c>
      <c r="E1220" s="102" t="str">
        <f>IFERROR(__xludf.DUMMYFUNCTION("""COMPUTED_VALUE"""),"BOR_SR.part_mag_torgue_normal")</f>
        <v>BOR_SR.part_mag_torgue_normal</v>
      </c>
      <c r="F1220" s="102"/>
      <c r="G1220" s="102" t="str">
        <f>IFERROR(__xludf.DUMMYFUNCTION("""COMPUTED_VALUE"""),"Torgue Impact Gyrojets")</f>
        <v>Torgue Impact Gyrojets</v>
      </c>
      <c r="H1220" s="102"/>
      <c r="I1220" s="102"/>
      <c r="J1220" s="102"/>
      <c r="K1220" s="102"/>
      <c r="L1220" s="102"/>
    </row>
    <row r="1221">
      <c r="A1221" s="102" t="str">
        <f>IFERROR(__xludf.DUMMYFUNCTION("""COMPUTED_VALUE"""),"Ripper")</f>
        <v>Ripper</v>
      </c>
      <c r="B1221" s="102" t="str">
        <f>IFERROR(__xludf.DUMMYFUNCTION("""COMPUTED_VALUE"""),"Sniper")</f>
        <v>Sniper</v>
      </c>
      <c r="C1221" s="103">
        <f>IFERROR(__xludf.DUMMYFUNCTION("""COMPUTED_VALUE"""),17.0)</f>
        <v>17</v>
      </c>
      <c r="D1221" s="102" t="str">
        <f>IFERROR(__xludf.DUMMYFUNCTION("""COMPUTED_VALUE"""),"Manufacturer Part")</f>
        <v>Manufacturer Part</v>
      </c>
      <c r="E1221" s="102" t="str">
        <f>IFERROR(__xludf.DUMMYFUNCTION("""COMPUTED_VALUE"""),"BOR_SR.part_mag_torgue_sticky")</f>
        <v>BOR_SR.part_mag_torgue_sticky</v>
      </c>
      <c r="F1221" s="102"/>
      <c r="G1221" s="102" t="str">
        <f>IFERROR(__xludf.DUMMYFUNCTION("""COMPUTED_VALUE"""),"Torgue Sticky Gyrojets")</f>
        <v>Torgue Sticky Gyrojets</v>
      </c>
      <c r="H1221" s="102"/>
      <c r="I1221" s="102"/>
      <c r="J1221" s="102"/>
      <c r="K1221" s="102"/>
      <c r="L1221" s="102"/>
    </row>
    <row r="1222">
      <c r="A1222" s="102" t="str">
        <f>IFERROR(__xludf.DUMMYFUNCTION("""COMPUTED_VALUE"""),"Ripper")</f>
        <v>Ripper</v>
      </c>
      <c r="B1222" s="102" t="str">
        <f>IFERROR(__xludf.DUMMYFUNCTION("""COMPUTED_VALUE"""),"Sniper")</f>
        <v>Sniper</v>
      </c>
      <c r="C1222" s="103">
        <f>IFERROR(__xludf.DUMMYFUNCTION("""COMPUTED_VALUE"""),20.0)</f>
        <v>20</v>
      </c>
      <c r="D1222" s="102" t="str">
        <f>IFERROR(__xludf.DUMMYFUNCTION("""COMPUTED_VALUE"""),"Barrel")</f>
        <v>Barrel</v>
      </c>
      <c r="E1222" s="102" t="str">
        <f>IFERROR(__xludf.DUMMYFUNCTION("""COMPUTED_VALUE"""),"BOR_SR.part_barrel_01_stray")</f>
        <v>BOR_SR.part_barrel_01_stray</v>
      </c>
      <c r="F1222" s="102"/>
      <c r="G1222" s="102" t="str">
        <f>IFERROR(__xludf.DUMMYFUNCTION("""COMPUTED_VALUE"""),"Stray, 1405 x 3 Damage, 90% Acc, 2.3/s FR")</f>
        <v>Stray, 1405 x 3 Damage, 90% Acc, 2.3/s FR</v>
      </c>
      <c r="H1222" s="102" t="str">
        <f>IFERROR(__xludf.DUMMYFUNCTION("""COMPUTED_VALUE"""),"Stray - Fires 2 secondary bullets that home in on nearby targets")</f>
        <v>Stray - Fires 2 secondary bullets that home in on nearby targets</v>
      </c>
      <c r="I1222" s="102"/>
      <c r="J1222" s="102"/>
      <c r="K1222" s="102"/>
      <c r="L1222" s="102"/>
    </row>
    <row r="1223">
      <c r="A1223" s="102" t="str">
        <f>IFERROR(__xludf.DUMMYFUNCTION("""COMPUTED_VALUE"""),"Ripper")</f>
        <v>Ripper</v>
      </c>
      <c r="B1223" s="102" t="str">
        <f>IFERROR(__xludf.DUMMYFUNCTION("""COMPUTED_VALUE"""),"Sniper")</f>
        <v>Sniper</v>
      </c>
      <c r="C1223" s="103">
        <f>IFERROR(__xludf.DUMMYFUNCTION("""COMPUTED_VALUE"""),21.0)</f>
        <v>21</v>
      </c>
      <c r="D1223" s="102" t="str">
        <f>IFERROR(__xludf.DUMMYFUNCTION("""COMPUTED_VALUE"""),"Barrel")</f>
        <v>Barrel</v>
      </c>
      <c r="E1223" s="102" t="str">
        <f>IFERROR(__xludf.DUMMYFUNCTION("""COMPUTED_VALUE"""),"BOR_SR.part_barrel_02_vamoose")</f>
        <v>BOR_SR.part_barrel_02_vamoose</v>
      </c>
      <c r="F1223" s="102"/>
      <c r="G1223" s="102" t="str">
        <f>IFERROR(__xludf.DUMMYFUNCTION("""COMPUTED_VALUE"""),"Vamoose, 2342 Damage, 93% Acc, 9.0/s FR")</f>
        <v>Vamoose, 2342 Damage, 93% Acc, 9.0/s FR</v>
      </c>
      <c r="H1223" s="102" t="str">
        <f>IFERROR(__xludf.DUMMYFUNCTION("""COMPUTED_VALUE"""),"Scarce")</f>
        <v>Scarce</v>
      </c>
      <c r="I1223" s="102"/>
      <c r="J1223" s="102"/>
      <c r="K1223" s="102"/>
      <c r="L1223" s="102"/>
    </row>
    <row r="1224">
      <c r="A1224" s="102" t="str">
        <f>IFERROR(__xludf.DUMMYFUNCTION("""COMPUTED_VALUE"""),"Ripper")</f>
        <v>Ripper</v>
      </c>
      <c r="B1224" s="102" t="str">
        <f>IFERROR(__xludf.DUMMYFUNCTION("""COMPUTED_VALUE"""),"Sniper")</f>
        <v>Sniper</v>
      </c>
      <c r="C1224" s="103">
        <f>IFERROR(__xludf.DUMMYFUNCTION("""COMPUTED_VALUE"""),23.0)</f>
        <v>23</v>
      </c>
      <c r="D1224" s="102" t="str">
        <f>IFERROR(__xludf.DUMMYFUNCTION("""COMPUTED_VALUE"""),"Stat Modifier")</f>
        <v>Stat Modifier</v>
      </c>
      <c r="E1224" s="102" t="str">
        <f>IFERROR(__xludf.DUMMYFUNCTION("""COMPUTED_VALUE"""),"BOR_SR.part_mag_ted_thrown_01")</f>
        <v>BOR_SR.part_mag_ted_thrown_01</v>
      </c>
      <c r="F1224" s="102"/>
      <c r="G1224" s="102" t="str">
        <f>IFERROR(__xludf.DUMMYFUNCTION("""COMPUTED_VALUE"""),"1.6s Reload")</f>
        <v>1.6s Reload</v>
      </c>
      <c r="H1224" s="102"/>
      <c r="I1224" s="102"/>
      <c r="J1224" s="102"/>
      <c r="K1224" s="102"/>
      <c r="L1224" s="102"/>
    </row>
    <row r="1225">
      <c r="A1225" s="102" t="str">
        <f>IFERROR(__xludf.DUMMYFUNCTION("""COMPUTED_VALUE"""),"Ripper")</f>
        <v>Ripper</v>
      </c>
      <c r="B1225" s="102" t="str">
        <f>IFERROR(__xludf.DUMMYFUNCTION("""COMPUTED_VALUE"""),"Sniper")</f>
        <v>Sniper</v>
      </c>
      <c r="C1225" s="103">
        <f>IFERROR(__xludf.DUMMYFUNCTION("""COMPUTED_VALUE"""),24.0)</f>
        <v>24</v>
      </c>
      <c r="D1225" s="102" t="str">
        <f>IFERROR(__xludf.DUMMYFUNCTION("""COMPUTED_VALUE"""),"Stat Modifier")</f>
        <v>Stat Modifier</v>
      </c>
      <c r="E1225" s="102" t="str">
        <f>IFERROR(__xludf.DUMMYFUNCTION("""COMPUTED_VALUE"""),"BOR_SR.part_mag_ted_thrown_02")</f>
        <v>BOR_SR.part_mag_ted_thrown_02</v>
      </c>
      <c r="F1225" s="102"/>
      <c r="G1225" s="102" t="str">
        <f>IFERROR(__xludf.DUMMYFUNCTION("""COMPUTED_VALUE"""),"1.6s Reload")</f>
        <v>1.6s Reload</v>
      </c>
      <c r="H1225" s="102"/>
      <c r="I1225" s="102"/>
      <c r="J1225" s="102"/>
      <c r="K1225" s="102"/>
      <c r="L1225" s="102"/>
    </row>
    <row r="1226">
      <c r="A1226" s="102" t="str">
        <f>IFERROR(__xludf.DUMMYFUNCTION("""COMPUTED_VALUE"""),"Ripper")</f>
        <v>Ripper</v>
      </c>
      <c r="B1226" s="102" t="str">
        <f>IFERROR(__xludf.DUMMYFUNCTION("""COMPUTED_VALUE"""),"Sniper")</f>
        <v>Sniper</v>
      </c>
      <c r="C1226" s="103">
        <f>IFERROR(__xludf.DUMMYFUNCTION("""COMPUTED_VALUE"""),25.0)</f>
        <v>25</v>
      </c>
      <c r="D1226" s="102" t="str">
        <f>IFERROR(__xludf.DUMMYFUNCTION("""COMPUTED_VALUE"""),"Stat Modifier")</f>
        <v>Stat Modifier</v>
      </c>
      <c r="E1226" s="102" t="str">
        <f>IFERROR(__xludf.DUMMYFUNCTION("""COMPUTED_VALUE"""),"BOR_SR.part_mag_ted_thrown_03_tor")</f>
        <v>BOR_SR.part_mag_ted_thrown_03_tor</v>
      </c>
      <c r="F1226" s="102"/>
      <c r="G1226" s="102" t="str">
        <f>IFERROR(__xludf.DUMMYFUNCTION("""COMPUTED_VALUE"""),"1..6s Reload")</f>
        <v>1..6s Reload</v>
      </c>
      <c r="H1226" s="102"/>
      <c r="I1226" s="102"/>
      <c r="J1226" s="102"/>
      <c r="K1226" s="102"/>
      <c r="L1226" s="102"/>
    </row>
    <row r="1227">
      <c r="A1227" s="102" t="str">
        <f>IFERROR(__xludf.DUMMYFUNCTION("""COMPUTED_VALUE"""),"Ripper")</f>
        <v>Ripper</v>
      </c>
      <c r="B1227" s="102" t="str">
        <f>IFERROR(__xludf.DUMMYFUNCTION("""COMPUTED_VALUE"""),"Sniper")</f>
        <v>Sniper</v>
      </c>
      <c r="C1227" s="103">
        <f>IFERROR(__xludf.DUMMYFUNCTION("""COMPUTED_VALUE"""),26.0)</f>
        <v>26</v>
      </c>
      <c r="D1227" s="102" t="str">
        <f>IFERROR(__xludf.DUMMYFUNCTION("""COMPUTED_VALUE"""),"Scope")</f>
        <v>Scope</v>
      </c>
      <c r="E1227" s="102" t="str">
        <f>IFERROR(__xludf.DUMMYFUNCTION("""COMPUTED_VALUE"""),"BOR_SR.part_scope_ironsight")</f>
        <v>BOR_SR.part_scope_ironsight</v>
      </c>
      <c r="F1227" s="102"/>
      <c r="G1227" s="102" t="str">
        <f>IFERROR(__xludf.DUMMYFUNCTION("""COMPUTED_VALUE"""),"ADS")</f>
        <v>ADS</v>
      </c>
      <c r="H1227" s="102"/>
      <c r="I1227" s="102"/>
      <c r="J1227" s="102"/>
      <c r="K1227" s="102"/>
      <c r="L1227" s="102"/>
    </row>
    <row r="1228">
      <c r="A1228" s="102" t="str">
        <f>IFERROR(__xludf.DUMMYFUNCTION("""COMPUTED_VALUE"""),"Ripper")</f>
        <v>Ripper</v>
      </c>
      <c r="B1228" s="102" t="str">
        <f>IFERROR(__xludf.DUMMYFUNCTION("""COMPUTED_VALUE"""),"Sniper")</f>
        <v>Sniper</v>
      </c>
      <c r="C1228" s="103">
        <f>IFERROR(__xludf.DUMMYFUNCTION("""COMPUTED_VALUE"""),27.0)</f>
        <v>27</v>
      </c>
      <c r="D1228" s="102" t="str">
        <f>IFERROR(__xludf.DUMMYFUNCTION("""COMPUTED_VALUE"""),"Scope")</f>
        <v>Scope</v>
      </c>
      <c r="E1228" s="102" t="str">
        <f>IFERROR(__xludf.DUMMYFUNCTION("""COMPUTED_VALUE"""),"BOR_SR.part_scope_01_lens_01")</f>
        <v>BOR_SR.part_scope_01_lens_01</v>
      </c>
      <c r="F1228" s="102"/>
      <c r="G1228" s="102" t="str">
        <f>IFERROR(__xludf.DUMMYFUNCTION("""COMPUTED_VALUE"""),"ADS ++Zoom")</f>
        <v>ADS ++Zoom</v>
      </c>
      <c r="H1228" s="102"/>
      <c r="I1228" s="102"/>
      <c r="J1228" s="102"/>
      <c r="K1228" s="102"/>
      <c r="L1228" s="102"/>
    </row>
    <row r="1229">
      <c r="A1229" s="102" t="str">
        <f>IFERROR(__xludf.DUMMYFUNCTION("""COMPUTED_VALUE"""),"Ripper")</f>
        <v>Ripper</v>
      </c>
      <c r="B1229" s="102" t="str">
        <f>IFERROR(__xludf.DUMMYFUNCTION("""COMPUTED_VALUE"""),"Sniper")</f>
        <v>Sniper</v>
      </c>
      <c r="C1229" s="103">
        <f>IFERROR(__xludf.DUMMYFUNCTION("""COMPUTED_VALUE"""),28.0)</f>
        <v>28</v>
      </c>
      <c r="D1229" s="102" t="str">
        <f>IFERROR(__xludf.DUMMYFUNCTION("""COMPUTED_VALUE"""),"Scope")</f>
        <v>Scope</v>
      </c>
      <c r="E1229" s="102" t="str">
        <f>IFERROR(__xludf.DUMMYFUNCTION("""COMPUTED_VALUE"""),"BOR_SR.part_scope_01_lens_02")</f>
        <v>BOR_SR.part_scope_01_lens_02</v>
      </c>
      <c r="F1229" s="102"/>
      <c r="G1229" s="102" t="str">
        <f>IFERROR(__xludf.DUMMYFUNCTION("""COMPUTED_VALUE"""),"ADS ++Zoom")</f>
        <v>ADS ++Zoom</v>
      </c>
      <c r="H1229" s="102"/>
      <c r="I1229" s="102"/>
      <c r="J1229" s="102"/>
      <c r="K1229" s="102"/>
      <c r="L1229" s="102"/>
    </row>
    <row r="1230">
      <c r="A1230" s="102" t="str">
        <f>IFERROR(__xludf.DUMMYFUNCTION("""COMPUTED_VALUE"""),"Ripper")</f>
        <v>Ripper</v>
      </c>
      <c r="B1230" s="102" t="str">
        <f>IFERROR(__xludf.DUMMYFUNCTION("""COMPUTED_VALUE"""),"Sniper")</f>
        <v>Sniper</v>
      </c>
      <c r="C1230" s="103">
        <f>IFERROR(__xludf.DUMMYFUNCTION("""COMPUTED_VALUE"""),29.0)</f>
        <v>29</v>
      </c>
      <c r="D1230" s="102" t="str">
        <f>IFERROR(__xludf.DUMMYFUNCTION("""COMPUTED_VALUE"""),"Scope")</f>
        <v>Scope</v>
      </c>
      <c r="E1230" s="102" t="str">
        <f>IFERROR(__xludf.DUMMYFUNCTION("""COMPUTED_VALUE"""),"BOR_SR.part_scope_02_lens_01")</f>
        <v>BOR_SR.part_scope_02_lens_01</v>
      </c>
      <c r="F1230" s="102"/>
      <c r="G1230" s="102" t="str">
        <f>IFERROR(__xludf.DUMMYFUNCTION("""COMPUTED_VALUE"""),"ADS +++Zoom")</f>
        <v>ADS +++Zoom</v>
      </c>
      <c r="H1230" s="102"/>
      <c r="I1230" s="102"/>
      <c r="J1230" s="102"/>
      <c r="K1230" s="102"/>
      <c r="L1230" s="102"/>
    </row>
    <row r="1231">
      <c r="A1231" s="102" t="str">
        <f>IFERROR(__xludf.DUMMYFUNCTION("""COMPUTED_VALUE"""),"Ripper")</f>
        <v>Ripper</v>
      </c>
      <c r="B1231" s="102" t="str">
        <f>IFERROR(__xludf.DUMMYFUNCTION("""COMPUTED_VALUE"""),"Sniper")</f>
        <v>Sniper</v>
      </c>
      <c r="C1231" s="103">
        <f>IFERROR(__xludf.DUMMYFUNCTION("""COMPUTED_VALUE"""),30.0)</f>
        <v>30</v>
      </c>
      <c r="D1231" s="102" t="str">
        <f>IFERROR(__xludf.DUMMYFUNCTION("""COMPUTED_VALUE"""),"Scope")</f>
        <v>Scope</v>
      </c>
      <c r="E1231" s="102" t="str">
        <f>IFERROR(__xludf.DUMMYFUNCTION("""COMPUTED_VALUE"""),"BOR_SR.part_scope_02_lens_02")</f>
        <v>BOR_SR.part_scope_02_lens_02</v>
      </c>
      <c r="F1231" s="102"/>
      <c r="G1231" s="102" t="str">
        <f>IFERROR(__xludf.DUMMYFUNCTION("""COMPUTED_VALUE"""),"ADS +++Zoom")</f>
        <v>ADS +++Zoom</v>
      </c>
      <c r="H1231" s="102"/>
      <c r="I1231" s="102"/>
      <c r="J1231" s="102"/>
      <c r="K1231" s="102"/>
      <c r="L1231" s="102"/>
    </row>
    <row r="1232">
      <c r="A1232" s="102" t="str">
        <f>IFERROR(__xludf.DUMMYFUNCTION("""COMPUTED_VALUE"""),"Ripper")</f>
        <v>Ripper</v>
      </c>
      <c r="B1232" s="102" t="str">
        <f>IFERROR(__xludf.DUMMYFUNCTION("""COMPUTED_VALUE"""),"Sniper")</f>
        <v>Sniper</v>
      </c>
      <c r="C1232" s="103">
        <f>IFERROR(__xludf.DUMMYFUNCTION("""COMPUTED_VALUE"""),31.0)</f>
        <v>31</v>
      </c>
      <c r="D1232" s="102" t="str">
        <f>IFERROR(__xludf.DUMMYFUNCTION("""COMPUTED_VALUE"""),"Scope Accessory")</f>
        <v>Scope Accessory</v>
      </c>
      <c r="E1232" s="102" t="str">
        <f>IFERROR(__xludf.DUMMYFUNCTION("""COMPUTED_VALUE"""),"BOR_SR.part_scope_acc_s01_l01_a")</f>
        <v>BOR_SR.part_scope_acc_s01_l01_a</v>
      </c>
      <c r="F1232" s="102"/>
      <c r="G1232" s="102" t="str">
        <f>IFERROR(__xludf.DUMMYFUNCTION("""COMPUTED_VALUE"""),"+Damage")</f>
        <v>+Damage</v>
      </c>
      <c r="H1232" s="102" t="str">
        <f>IFERROR(__xludf.DUMMYFUNCTION("""COMPUTED_VALUE"""),"HUD Elements")</f>
        <v>HUD Elements</v>
      </c>
      <c r="I1232" s="102"/>
      <c r="J1232" s="102"/>
      <c r="K1232" s="102"/>
      <c r="L1232" s="102"/>
    </row>
    <row r="1233">
      <c r="A1233" s="102" t="str">
        <f>IFERROR(__xludf.DUMMYFUNCTION("""COMPUTED_VALUE"""),"Ripper")</f>
        <v>Ripper</v>
      </c>
      <c r="B1233" s="102" t="str">
        <f>IFERROR(__xludf.DUMMYFUNCTION("""COMPUTED_VALUE"""),"Sniper")</f>
        <v>Sniper</v>
      </c>
      <c r="C1233" s="103">
        <f>IFERROR(__xludf.DUMMYFUNCTION("""COMPUTED_VALUE"""),32.0)</f>
        <v>32</v>
      </c>
      <c r="D1233" s="102" t="str">
        <f>IFERROR(__xludf.DUMMYFUNCTION("""COMPUTED_VALUE"""),"Scope Accessory")</f>
        <v>Scope Accessory</v>
      </c>
      <c r="E1233" s="102" t="str">
        <f>IFERROR(__xludf.DUMMYFUNCTION("""COMPUTED_VALUE"""),"BOR_SR.part_scope_acc_s01_l01_b")</f>
        <v>BOR_SR.part_scope_acc_s01_l01_b</v>
      </c>
      <c r="F1233" s="102"/>
      <c r="G1233" s="102" t="str">
        <f>IFERROR(__xludf.DUMMYFUNCTION("""COMPUTED_VALUE"""),"-Reload Speed")</f>
        <v>-Reload Speed</v>
      </c>
      <c r="H1233" s="102" t="str">
        <f>IFERROR(__xludf.DUMMYFUNCTION("""COMPUTED_VALUE"""),"Charge Gauge, Compass")</f>
        <v>Charge Gauge, Compass</v>
      </c>
      <c r="I1233" s="102"/>
      <c r="J1233" s="102"/>
      <c r="K1233" s="102"/>
      <c r="L1233" s="102"/>
    </row>
    <row r="1234">
      <c r="A1234" s="102" t="str">
        <f>IFERROR(__xludf.DUMMYFUNCTION("""COMPUTED_VALUE"""),"Ripper")</f>
        <v>Ripper</v>
      </c>
      <c r="B1234" s="102" t="str">
        <f>IFERROR(__xludf.DUMMYFUNCTION("""COMPUTED_VALUE"""),"Sniper")</f>
        <v>Sniper</v>
      </c>
      <c r="C1234" s="103">
        <f>IFERROR(__xludf.DUMMYFUNCTION("""COMPUTED_VALUE"""),33.0)</f>
        <v>33</v>
      </c>
      <c r="D1234" s="102" t="str">
        <f>IFERROR(__xludf.DUMMYFUNCTION("""COMPUTED_VALUE"""),"Scope Accessory")</f>
        <v>Scope Accessory</v>
      </c>
      <c r="E1234" s="102" t="str">
        <f>IFERROR(__xludf.DUMMYFUNCTION("""COMPUTED_VALUE"""),"BOR_SR.part_scope_acc_s02_l01_a")</f>
        <v>BOR_SR.part_scope_acc_s02_l01_a</v>
      </c>
      <c r="F1234" s="102"/>
      <c r="G1234" s="102" t="str">
        <f>IFERROR(__xludf.DUMMYFUNCTION("""COMPUTED_VALUE"""),"No Stat Changes")</f>
        <v>No Stat Changes</v>
      </c>
      <c r="H1234" s="102" t="str">
        <f>IFERROR(__xludf.DUMMYFUNCTION("""COMPUTED_VALUE"""),"Scope Hood")</f>
        <v>Scope Hood</v>
      </c>
      <c r="I1234" s="102"/>
      <c r="J1234" s="102"/>
      <c r="K1234" s="102"/>
      <c r="L1234" s="102"/>
    </row>
    <row r="1235">
      <c r="A1235" s="102" t="str">
        <f>IFERROR(__xludf.DUMMYFUNCTION("""COMPUTED_VALUE"""),"Ripper")</f>
        <v>Ripper</v>
      </c>
      <c r="B1235" s="102" t="str">
        <f>IFERROR(__xludf.DUMMYFUNCTION("""COMPUTED_VALUE"""),"Sniper")</f>
        <v>Sniper</v>
      </c>
      <c r="C1235" s="103">
        <f>IFERROR(__xludf.DUMMYFUNCTION("""COMPUTED_VALUE"""),34.0)</f>
        <v>34</v>
      </c>
      <c r="D1235" s="102" t="str">
        <f>IFERROR(__xludf.DUMMYFUNCTION("""COMPUTED_VALUE"""),"Scope Accessory")</f>
        <v>Scope Accessory</v>
      </c>
      <c r="E1235" s="102" t="str">
        <f>IFERROR(__xludf.DUMMYFUNCTION("""COMPUTED_VALUE"""),"BOR_SR.part_scope_acc_s02_l01_b")</f>
        <v>BOR_SR.part_scope_acc_s02_l01_b</v>
      </c>
      <c r="F1235" s="102"/>
      <c r="G1235" s="102" t="str">
        <f>IFERROR(__xludf.DUMMYFUNCTION("""COMPUTED_VALUE"""),"+Crit Damage")</f>
        <v>+Crit Damage</v>
      </c>
      <c r="H1235" s="102" t="str">
        <f>IFERROR(__xludf.DUMMYFUNCTION("""COMPUTED_VALUE"""),"Charge Gauge, Compass")</f>
        <v>Charge Gauge, Compass</v>
      </c>
      <c r="I1235" s="102"/>
      <c r="J1235" s="102"/>
      <c r="K1235" s="102"/>
      <c r="L1235" s="102"/>
    </row>
    <row r="1236">
      <c r="A1236" s="102" t="str">
        <f>IFERROR(__xludf.DUMMYFUNCTION("""COMPUTED_VALUE"""),"Ripper")</f>
        <v>Ripper</v>
      </c>
      <c r="B1236" s="102" t="str">
        <f>IFERROR(__xludf.DUMMYFUNCTION("""COMPUTED_VALUE"""),"Sniper")</f>
        <v>Sniper</v>
      </c>
      <c r="C1236" s="103">
        <f>IFERROR(__xludf.DUMMYFUNCTION("""COMPUTED_VALUE"""),35.0)</f>
        <v>35</v>
      </c>
      <c r="D1236" s="102" t="str">
        <f>IFERROR(__xludf.DUMMYFUNCTION("""COMPUTED_VALUE"""),"Scope Accessory")</f>
        <v>Scope Accessory</v>
      </c>
      <c r="E1236" s="102" t="str">
        <f>IFERROR(__xludf.DUMMYFUNCTION("""COMPUTED_VALUE"""),"BOR_SR.part_scope_acc_s01_l02_a")</f>
        <v>BOR_SR.part_scope_acc_s01_l02_a</v>
      </c>
      <c r="F1236" s="102"/>
      <c r="G1236" s="102" t="str">
        <f>IFERROR(__xludf.DUMMYFUNCTION("""COMPUTED_VALUE"""),"+Damage")</f>
        <v>+Damage</v>
      </c>
      <c r="H1236" s="102" t="str">
        <f>IFERROR(__xludf.DUMMYFUNCTION("""COMPUTED_VALUE"""),"HUD Elements")</f>
        <v>HUD Elements</v>
      </c>
      <c r="I1236" s="102"/>
      <c r="J1236" s="102"/>
      <c r="K1236" s="102"/>
      <c r="L1236" s="102"/>
    </row>
    <row r="1237">
      <c r="A1237" s="102" t="str">
        <f>IFERROR(__xludf.DUMMYFUNCTION("""COMPUTED_VALUE"""),"Ripper")</f>
        <v>Ripper</v>
      </c>
      <c r="B1237" s="102" t="str">
        <f>IFERROR(__xludf.DUMMYFUNCTION("""COMPUTED_VALUE"""),"Sniper")</f>
        <v>Sniper</v>
      </c>
      <c r="C1237" s="103">
        <f>IFERROR(__xludf.DUMMYFUNCTION("""COMPUTED_VALUE"""),36.0)</f>
        <v>36</v>
      </c>
      <c r="D1237" s="102" t="str">
        <f>IFERROR(__xludf.DUMMYFUNCTION("""COMPUTED_VALUE"""),"Scope Accessory")</f>
        <v>Scope Accessory</v>
      </c>
      <c r="E1237" s="102" t="str">
        <f>IFERROR(__xludf.DUMMYFUNCTION("""COMPUTED_VALUE"""),"BOR_SR.part_scope_acc_s01_l02_b")</f>
        <v>BOR_SR.part_scope_acc_s01_l02_b</v>
      </c>
      <c r="F1237" s="102"/>
      <c r="G1237" s="102" t="str">
        <f>IFERROR(__xludf.DUMMYFUNCTION("""COMPUTED_VALUE"""),"-Reload Speed")</f>
        <v>-Reload Speed</v>
      </c>
      <c r="H1237" s="102" t="str">
        <f>IFERROR(__xludf.DUMMYFUNCTION("""COMPUTED_VALUE"""),"Charge Gauge, Compass")</f>
        <v>Charge Gauge, Compass</v>
      </c>
      <c r="I1237" s="102"/>
      <c r="J1237" s="102"/>
      <c r="K1237" s="102"/>
      <c r="L1237" s="102"/>
    </row>
    <row r="1238">
      <c r="A1238" s="102" t="str">
        <f>IFERROR(__xludf.DUMMYFUNCTION("""COMPUTED_VALUE"""),"Ripper")</f>
        <v>Ripper</v>
      </c>
      <c r="B1238" s="102" t="str">
        <f>IFERROR(__xludf.DUMMYFUNCTION("""COMPUTED_VALUE"""),"Sniper")</f>
        <v>Sniper</v>
      </c>
      <c r="C1238" s="103">
        <f>IFERROR(__xludf.DUMMYFUNCTION("""COMPUTED_VALUE"""),37.0)</f>
        <v>37</v>
      </c>
      <c r="D1238" s="102" t="str">
        <f>IFERROR(__xludf.DUMMYFUNCTION("""COMPUTED_VALUE"""),"Scope Accessory")</f>
        <v>Scope Accessory</v>
      </c>
      <c r="E1238" s="102" t="str">
        <f>IFERROR(__xludf.DUMMYFUNCTION("""COMPUTED_VALUE"""),"BOR_SR.part_scope_acc_s02_l02_a")</f>
        <v>BOR_SR.part_scope_acc_s02_l02_a</v>
      </c>
      <c r="F1238" s="102"/>
      <c r="G1238" s="102" t="str">
        <f>IFERROR(__xludf.DUMMYFUNCTION("""COMPUTED_VALUE"""),"No Stat Changes")</f>
        <v>No Stat Changes</v>
      </c>
      <c r="H1238" s="102" t="str">
        <f>IFERROR(__xludf.DUMMYFUNCTION("""COMPUTED_VALUE"""),"HUD Elements")</f>
        <v>HUD Elements</v>
      </c>
      <c r="I1238" s="102"/>
      <c r="J1238" s="102"/>
      <c r="K1238" s="102"/>
      <c r="L1238" s="102"/>
    </row>
    <row r="1239">
      <c r="A1239" s="102" t="str">
        <f>IFERROR(__xludf.DUMMYFUNCTION("""COMPUTED_VALUE"""),"Ripper")</f>
        <v>Ripper</v>
      </c>
      <c r="B1239" s="102" t="str">
        <f>IFERROR(__xludf.DUMMYFUNCTION("""COMPUTED_VALUE"""),"Sniper")</f>
        <v>Sniper</v>
      </c>
      <c r="C1239" s="103">
        <f>IFERROR(__xludf.DUMMYFUNCTION("""COMPUTED_VALUE"""),38.0)</f>
        <v>38</v>
      </c>
      <c r="D1239" s="102" t="str">
        <f>IFERROR(__xludf.DUMMYFUNCTION("""COMPUTED_VALUE"""),"Scope Accessory")</f>
        <v>Scope Accessory</v>
      </c>
      <c r="E1239" s="102" t="str">
        <f>IFERROR(__xludf.DUMMYFUNCTION("""COMPUTED_VALUE"""),"BOR_SR.part_scope_acc_s02_l02_b")</f>
        <v>BOR_SR.part_scope_acc_s02_l02_b</v>
      </c>
      <c r="F1239" s="102"/>
      <c r="G1239" s="102" t="str">
        <f>IFERROR(__xludf.DUMMYFUNCTION("""COMPUTED_VALUE"""),"+Crit Damage")</f>
        <v>+Crit Damage</v>
      </c>
      <c r="H1239" s="102" t="str">
        <f>IFERROR(__xludf.DUMMYFUNCTION("""COMPUTED_VALUE"""),"Charge Gauge, Scope Hood")</f>
        <v>Charge Gauge, Scope Hood</v>
      </c>
      <c r="I1239" s="102"/>
      <c r="J1239" s="102"/>
      <c r="K1239" s="102"/>
      <c r="L1239" s="102"/>
    </row>
    <row r="1240">
      <c r="A1240" s="102" t="str">
        <f>IFERROR(__xludf.DUMMYFUNCTION("""COMPUTED_VALUE"""),"Ripper")</f>
        <v>Ripper</v>
      </c>
      <c r="B1240" s="102" t="str">
        <f>IFERROR(__xludf.DUMMYFUNCTION("""COMPUTED_VALUE"""),"Sniper")</f>
        <v>Sniper</v>
      </c>
      <c r="C1240" s="103">
        <f>IFERROR(__xludf.DUMMYFUNCTION("""COMPUTED_VALUE"""),39.0)</f>
        <v>39</v>
      </c>
      <c r="D1240" s="102" t="str">
        <f>IFERROR(__xludf.DUMMYFUNCTION("""COMPUTED_VALUE"""),"Grip")</f>
        <v>Grip</v>
      </c>
      <c r="E1240" s="102" t="str">
        <f>IFERROR(__xludf.DUMMYFUNCTION("""COMPUTED_VALUE"""),"BOR_SR.part_grip_05a_ted_legs")</f>
        <v>BOR_SR.part_grip_05a_ted_legs</v>
      </c>
      <c r="F1240" s="102"/>
      <c r="G1240" s="102" t="str">
        <f>IFERROR(__xludf.DUMMYFUNCTION("""COMPUTED_VALUE"""),"Tediore reload modifier: Legs, no stat changes")</f>
        <v>Tediore reload modifier: Legs, no stat changes</v>
      </c>
      <c r="H1240" s="102"/>
      <c r="I1240" s="102"/>
      <c r="J1240" s="102"/>
      <c r="K1240" s="102"/>
      <c r="L1240" s="102"/>
    </row>
    <row r="1241">
      <c r="A1241" s="102" t="str">
        <f>IFERROR(__xludf.DUMMYFUNCTION("""COMPUTED_VALUE"""),"Ripper")</f>
        <v>Ripper</v>
      </c>
      <c r="B1241" s="102" t="str">
        <f>IFERROR(__xludf.DUMMYFUNCTION("""COMPUTED_VALUE"""),"Sniper")</f>
        <v>Sniper</v>
      </c>
      <c r="C1241" s="103">
        <f>IFERROR(__xludf.DUMMYFUNCTION("""COMPUTED_VALUE"""),40.0)</f>
        <v>40</v>
      </c>
      <c r="D1241" s="102" t="str">
        <f>IFERROR(__xludf.DUMMYFUNCTION("""COMPUTED_VALUE"""),"Grip")</f>
        <v>Grip</v>
      </c>
      <c r="E1241" s="102" t="str">
        <f>IFERROR(__xludf.DUMMYFUNCTION("""COMPUTED_VALUE"""),"BOR_SR.part_grip_05c_ted_jav")</f>
        <v>BOR_SR.part_grip_05c_ted_jav</v>
      </c>
      <c r="F1241" s="102"/>
      <c r="G1241" s="102" t="str">
        <f>IFERROR(__xludf.DUMMYFUNCTION("""COMPUTED_VALUE"""),"Tediore reload modifier: Javelin, no stat changes")</f>
        <v>Tediore reload modifier: Javelin, no stat changes</v>
      </c>
      <c r="H1241" s="102"/>
      <c r="I1241" s="102"/>
      <c r="J1241" s="102"/>
      <c r="K1241" s="102"/>
      <c r="L1241" s="102"/>
    </row>
    <row r="1242">
      <c r="A1242" s="102" t="str">
        <f>IFERROR(__xludf.DUMMYFUNCTION("""COMPUTED_VALUE"""),"Ripper")</f>
        <v>Ripper</v>
      </c>
      <c r="B1242" s="102" t="str">
        <f>IFERROR(__xludf.DUMMYFUNCTION("""COMPUTED_VALUE"""),"Sniper")</f>
        <v>Sniper</v>
      </c>
      <c r="C1242" s="103">
        <f>IFERROR(__xludf.DUMMYFUNCTION("""COMPUTED_VALUE"""),41.0)</f>
        <v>41</v>
      </c>
      <c r="D1242" s="102" t="str">
        <f>IFERROR(__xludf.DUMMYFUNCTION("""COMPUTED_VALUE"""),"Grip")</f>
        <v>Grip</v>
      </c>
      <c r="E1242" s="102" t="str">
        <f>IFERROR(__xludf.DUMMYFUNCTION("""COMPUTED_VALUE"""),"BOR_SR.part_grip_05b_ted_homing")</f>
        <v>BOR_SR.part_grip_05b_ted_homing</v>
      </c>
      <c r="F1242" s="102"/>
      <c r="G1242" s="102" t="str">
        <f>IFERROR(__xludf.DUMMYFUNCTION("""COMPUTED_VALUE"""),"Tediore reload modifier: Homing, no stat changes")</f>
        <v>Tediore reload modifier: Homing, no stat changes</v>
      </c>
      <c r="H1242" s="102"/>
      <c r="I1242" s="102"/>
      <c r="J1242" s="102"/>
      <c r="K1242" s="102"/>
      <c r="L1242" s="102"/>
    </row>
    <row r="1243">
      <c r="A1243" s="102" t="str">
        <f>IFERROR(__xludf.DUMMYFUNCTION("""COMPUTED_VALUE"""),"Ripper")</f>
        <v>Ripper</v>
      </c>
      <c r="B1243" s="102" t="str">
        <f>IFERROR(__xludf.DUMMYFUNCTION("""COMPUTED_VALUE"""),"Sniper")</f>
        <v>Sniper</v>
      </c>
      <c r="C1243" s="103">
        <f>IFERROR(__xludf.DUMMYFUNCTION("""COMPUTED_VALUE"""),42.0)</f>
        <v>42</v>
      </c>
      <c r="D1243" s="102" t="str">
        <f>IFERROR(__xludf.DUMMYFUNCTION("""COMPUTED_VALUE"""),"Grip")</f>
        <v>Grip</v>
      </c>
      <c r="E1243" s="102" t="str">
        <f>IFERROR(__xludf.DUMMYFUNCTION("""COMPUTED_VALUE"""),"BOR_SR.part_grip_04_hyp")</f>
        <v>BOR_SR.part_grip_04_hyp</v>
      </c>
      <c r="F1243" s="102"/>
      <c r="G1243" s="102" t="str">
        <f>IFERROR(__xludf.DUMMYFUNCTION("""COMPUTED_VALUE"""),"Hyperion Grip, -Acc, Acc increases with continuous fire")</f>
        <v>Hyperion Grip, -Acc, Acc increases with continuous fire</v>
      </c>
      <c r="H1243" s="102"/>
      <c r="I1243" s="102"/>
      <c r="J1243" s="102"/>
      <c r="K1243" s="102"/>
      <c r="L1243" s="102"/>
    </row>
    <row r="1244">
      <c r="A1244" s="102" t="str">
        <f>IFERROR(__xludf.DUMMYFUNCTION("""COMPUTED_VALUE"""),"Ripper")</f>
        <v>Ripper</v>
      </c>
      <c r="B1244" s="102" t="str">
        <f>IFERROR(__xludf.DUMMYFUNCTION("""COMPUTED_VALUE"""),"Sniper")</f>
        <v>Sniper</v>
      </c>
      <c r="C1244" s="103">
        <f>IFERROR(__xludf.DUMMYFUNCTION("""COMPUTED_VALUE"""),43.0)</f>
        <v>43</v>
      </c>
      <c r="D1244" s="102" t="str">
        <f>IFERROR(__xludf.DUMMYFUNCTION("""COMPUTED_VALUE"""),"Grip")</f>
        <v>Grip</v>
      </c>
      <c r="E1244" s="102" t="str">
        <f>IFERROR(__xludf.DUMMYFUNCTION("""COMPUTED_VALUE"""),"BOR_SR.part_grip_01")</f>
        <v>BOR_SR.part_grip_01</v>
      </c>
      <c r="F1244" s="102"/>
      <c r="G1244" s="102" t="str">
        <f>IFERROR(__xludf.DUMMYFUNCTION("""COMPUTED_VALUE"""),"+Damage")</f>
        <v>+Damage</v>
      </c>
      <c r="H1244" s="102"/>
      <c r="I1244" s="102"/>
      <c r="J1244" s="102"/>
      <c r="K1244" s="102"/>
      <c r="L1244" s="102"/>
    </row>
    <row r="1245">
      <c r="A1245" s="102" t="str">
        <f>IFERROR(__xludf.DUMMYFUNCTION("""COMPUTED_VALUE"""),"Ripper")</f>
        <v>Ripper</v>
      </c>
      <c r="B1245" s="102" t="str">
        <f>IFERROR(__xludf.DUMMYFUNCTION("""COMPUTED_VALUE"""),"Sniper")</f>
        <v>Sniper</v>
      </c>
      <c r="C1245" s="103">
        <f>IFERROR(__xludf.DUMMYFUNCTION("""COMPUTED_VALUE"""),44.0)</f>
        <v>44</v>
      </c>
      <c r="D1245" s="102" t="str">
        <f>IFERROR(__xludf.DUMMYFUNCTION("""COMPUTED_VALUE"""),"Grip")</f>
        <v>Grip</v>
      </c>
      <c r="E1245" s="102" t="str">
        <f>IFERROR(__xludf.DUMMYFUNCTION("""COMPUTED_VALUE"""),"BOR_SR.part_grip_02")</f>
        <v>BOR_SR.part_grip_02</v>
      </c>
      <c r="F1245" s="102"/>
      <c r="G1245" s="102" t="str">
        <f>IFERROR(__xludf.DUMMYFUNCTION("""COMPUTED_VALUE"""),"+Fire Rate")</f>
        <v>+Fire Rate</v>
      </c>
      <c r="H1245" s="102"/>
      <c r="I1245" s="102"/>
      <c r="J1245" s="102"/>
      <c r="K1245" s="102"/>
      <c r="L1245" s="102"/>
    </row>
    <row r="1246">
      <c r="A1246" s="102" t="str">
        <f>IFERROR(__xludf.DUMMYFUNCTION("""COMPUTED_VALUE"""),"Ripper")</f>
        <v>Ripper</v>
      </c>
      <c r="B1246" s="102" t="str">
        <f>IFERROR(__xludf.DUMMYFUNCTION("""COMPUTED_VALUE"""),"Sniper")</f>
        <v>Sniper</v>
      </c>
      <c r="C1246" s="103">
        <f>IFERROR(__xludf.DUMMYFUNCTION("""COMPUTED_VALUE"""),45.0)</f>
        <v>45</v>
      </c>
      <c r="D1246" s="102" t="str">
        <f>IFERROR(__xludf.DUMMYFUNCTION("""COMPUTED_VALUE"""),"Grip")</f>
        <v>Grip</v>
      </c>
      <c r="E1246" s="102" t="str">
        <f>IFERROR(__xludf.DUMMYFUNCTION("""COMPUTED_VALUE"""),"BOR_SR.part_grip_03")</f>
        <v>BOR_SR.part_grip_03</v>
      </c>
      <c r="F1246" s="102"/>
      <c r="G1246" s="102" t="str">
        <f>IFERROR(__xludf.DUMMYFUNCTION("""COMPUTED_VALUE"""),"-Reload Speed")</f>
        <v>-Reload Speed</v>
      </c>
      <c r="H1246" s="102"/>
      <c r="I1246" s="102"/>
      <c r="J1246" s="102"/>
      <c r="K1246" s="102"/>
      <c r="L1246" s="102"/>
    </row>
    <row r="1247">
      <c r="A1247" s="102" t="str">
        <f>IFERROR(__xludf.DUMMYFUNCTION("""COMPUTED_VALUE"""),"Ripper")</f>
        <v>Ripper</v>
      </c>
      <c r="B1247" s="102" t="str">
        <f>IFERROR(__xludf.DUMMYFUNCTION("""COMPUTED_VALUE"""),"Sniper")</f>
        <v>Sniper</v>
      </c>
      <c r="C1247" s="103">
        <f>IFERROR(__xludf.DUMMYFUNCTION("""COMPUTED_VALUE"""),46.0)</f>
        <v>46</v>
      </c>
      <c r="D1247" s="102" t="str">
        <f>IFERROR(__xludf.DUMMYFUNCTION("""COMPUTED_VALUE"""),"Underbarrel")</f>
        <v>Underbarrel</v>
      </c>
      <c r="E1247" s="102" t="str">
        <f>IFERROR(__xludf.DUMMYFUNCTION("""COMPUTED_VALUE"""),"BOR_SR.part_underbarrel_06_malswitch")</f>
        <v>BOR_SR.part_underbarrel_06_malswitch</v>
      </c>
      <c r="F1247" s="102"/>
      <c r="G1247" s="102" t="str">
        <f>IFERROR(__xludf.DUMMYFUNCTION("""COMPUTED_VALUE"""),"Maliwan Element Switch")</f>
        <v>Maliwan Element Switch</v>
      </c>
      <c r="H1247" s="102" t="str">
        <f>IFERROR(__xludf.DUMMYFUNCTION("""COMPUTED_VALUE"""),"Used for Maliwan elemental switch")</f>
        <v>Used for Maliwan elemental switch</v>
      </c>
      <c r="I1247" s="102"/>
      <c r="J1247" s="102"/>
      <c r="K1247" s="102"/>
      <c r="L1247" s="102"/>
    </row>
    <row r="1248">
      <c r="A1248" s="102" t="str">
        <f>IFERROR(__xludf.DUMMYFUNCTION("""COMPUTED_VALUE"""),"Ripper")</f>
        <v>Ripper</v>
      </c>
      <c r="B1248" s="102" t="str">
        <f>IFERROR(__xludf.DUMMYFUNCTION("""COMPUTED_VALUE"""),"Sniper")</f>
        <v>Sniper</v>
      </c>
      <c r="C1248" s="103">
        <f>IFERROR(__xludf.DUMMYFUNCTION("""COMPUTED_VALUE"""),47.0)</f>
        <v>47</v>
      </c>
      <c r="D1248" s="102" t="str">
        <f>IFERROR(__xludf.DUMMYFUNCTION("""COMPUTED_VALUE"""),"Underbarrel")</f>
        <v>Underbarrel</v>
      </c>
      <c r="E1248" s="102" t="str">
        <f>IFERROR(__xludf.DUMMYFUNCTION("""COMPUTED_VALUE"""),"BOR_SR.part_underbarrel_02_seeker")</f>
        <v>BOR_SR.part_underbarrel_02_seeker</v>
      </c>
      <c r="F1248" s="102"/>
      <c r="G1248" s="102" t="str">
        <f>IFERROR(__xludf.DUMMYFUNCTION("""COMPUTED_VALUE"""),"Alt Fire - Seeker Missles")</f>
        <v>Alt Fire - Seeker Missles</v>
      </c>
      <c r="H1248" s="102"/>
      <c r="I1248" s="102"/>
      <c r="J1248" s="102"/>
      <c r="K1248" s="102"/>
      <c r="L1248" s="102"/>
    </row>
    <row r="1249">
      <c r="A1249" s="102" t="str">
        <f>IFERROR(__xludf.DUMMYFUNCTION("""COMPUTED_VALUE"""),"Ripper")</f>
        <v>Ripper</v>
      </c>
      <c r="B1249" s="102" t="str">
        <f>IFERROR(__xludf.DUMMYFUNCTION("""COMPUTED_VALUE"""),"Sniper")</f>
        <v>Sniper</v>
      </c>
      <c r="C1249" s="103">
        <f>IFERROR(__xludf.DUMMYFUNCTION("""COMPUTED_VALUE"""),48.0)</f>
        <v>48</v>
      </c>
      <c r="D1249" s="102" t="str">
        <f>IFERROR(__xludf.DUMMYFUNCTION("""COMPUTED_VALUE"""),"Underbarrel")</f>
        <v>Underbarrel</v>
      </c>
      <c r="E1249" s="102" t="str">
        <f>IFERROR(__xludf.DUMMYFUNCTION("""COMPUTED_VALUE"""),"BOR_SR.part_underbarrel_01_gravtrap")</f>
        <v>BOR_SR.part_underbarrel_01_gravtrap</v>
      </c>
      <c r="F1249" s="102"/>
      <c r="G1249" s="102" t="str">
        <f>IFERROR(__xludf.DUMMYFUNCTION("""COMPUTED_VALUE"""),"Alt Fire - Gravity Trap")</f>
        <v>Alt Fire - Gravity Trap</v>
      </c>
      <c r="H1249" s="102" t="str">
        <f>IFERROR(__xludf.DUMMYFUNCTION("""COMPUTED_VALUE"""),"Fires a singularity that deals xxx Damage, and pulls in nearby enemies")</f>
        <v>Fires a singularity that deals xxx Damage, and pulls in nearby enemies</v>
      </c>
      <c r="I1249" s="102"/>
      <c r="J1249" s="102"/>
      <c r="K1249" s="102"/>
      <c r="L1249" s="102"/>
    </row>
    <row r="1250">
      <c r="A1250" s="102" t="str">
        <f>IFERROR(__xludf.DUMMYFUNCTION("""COMPUTED_VALUE"""),"Ripper")</f>
        <v>Ripper</v>
      </c>
      <c r="B1250" s="102" t="str">
        <f>IFERROR(__xludf.DUMMYFUNCTION("""COMPUTED_VALUE"""),"Sniper")</f>
        <v>Sniper</v>
      </c>
      <c r="C1250" s="103">
        <f>IFERROR(__xludf.DUMMYFUNCTION("""COMPUTED_VALUE"""),49.0)</f>
        <v>49</v>
      </c>
      <c r="D1250" s="102" t="str">
        <f>IFERROR(__xludf.DUMMYFUNCTION("""COMPUTED_VALUE"""),"Underbarrel")</f>
        <v>Underbarrel</v>
      </c>
      <c r="E1250" s="102" t="str">
        <f>IFERROR(__xludf.DUMMYFUNCTION("""COMPUTED_VALUE"""),"BOR_SR.part_underbarrel_04_atlas")</f>
        <v>BOR_SR.part_underbarrel_04_atlas</v>
      </c>
      <c r="F1250" s="102"/>
      <c r="G1250" s="102" t="str">
        <f>IFERROR(__xludf.DUMMYFUNCTION("""COMPUTED_VALUE"""),"Atlas Tracker Darts")</f>
        <v>Atlas Tracker Darts</v>
      </c>
      <c r="H1250" s="102"/>
      <c r="I1250" s="102"/>
      <c r="J1250" s="102"/>
      <c r="K1250" s="102"/>
      <c r="L1250" s="102"/>
    </row>
    <row r="1251">
      <c r="A1251" s="102" t="str">
        <f>IFERROR(__xludf.DUMMYFUNCTION("""COMPUTED_VALUE"""),"Ripper")</f>
        <v>Ripper</v>
      </c>
      <c r="B1251" s="102" t="str">
        <f>IFERROR(__xludf.DUMMYFUNCTION("""COMPUTED_VALUE"""),"Sniper")</f>
        <v>Sniper</v>
      </c>
      <c r="C1251" s="103">
        <f>IFERROR(__xludf.DUMMYFUNCTION("""COMPUTED_VALUE"""),50.0)</f>
        <v>50</v>
      </c>
      <c r="D1251" s="102" t="str">
        <f>IFERROR(__xludf.DUMMYFUNCTION("""COMPUTED_VALUE"""),"Foregrip")</f>
        <v>Foregrip</v>
      </c>
      <c r="E1251" s="102" t="str">
        <f>IFERROR(__xludf.DUMMYFUNCTION("""COMPUTED_VALUE"""),"BOR_SR.part_foregrip_01")</f>
        <v>BOR_SR.part_foregrip_01</v>
      </c>
      <c r="F1251" s="102"/>
      <c r="G1251" s="102" t="str">
        <f>IFERROR(__xludf.DUMMYFUNCTION("""COMPUTED_VALUE"""),"+Damage")</f>
        <v>+Damage</v>
      </c>
      <c r="H1251" s="102"/>
      <c r="I1251" s="102"/>
      <c r="J1251" s="102"/>
      <c r="K1251" s="102"/>
      <c r="L1251" s="102"/>
    </row>
    <row r="1252">
      <c r="A1252" s="102" t="str">
        <f>IFERROR(__xludf.DUMMYFUNCTION("""COMPUTED_VALUE"""),"Ripper")</f>
        <v>Ripper</v>
      </c>
      <c r="B1252" s="102" t="str">
        <f>IFERROR(__xludf.DUMMYFUNCTION("""COMPUTED_VALUE"""),"Sniper")</f>
        <v>Sniper</v>
      </c>
      <c r="C1252" s="103">
        <f>IFERROR(__xludf.DUMMYFUNCTION("""COMPUTED_VALUE"""),51.0)</f>
        <v>51</v>
      </c>
      <c r="D1252" s="102" t="str">
        <f>IFERROR(__xludf.DUMMYFUNCTION("""COMPUTED_VALUE"""),"Foregrip")</f>
        <v>Foregrip</v>
      </c>
      <c r="E1252" s="102" t="str">
        <f>IFERROR(__xludf.DUMMYFUNCTION("""COMPUTED_VALUE"""),"BOR_SR.part_foregrip_03")</f>
        <v>BOR_SR.part_foregrip_03</v>
      </c>
      <c r="F1252" s="102"/>
      <c r="G1252" s="102" t="str">
        <f>IFERROR(__xludf.DUMMYFUNCTION("""COMPUTED_VALUE"""),"No Stat Changes")</f>
        <v>No Stat Changes</v>
      </c>
      <c r="H1252" s="102"/>
      <c r="I1252" s="102"/>
      <c r="J1252" s="102"/>
      <c r="K1252" s="102"/>
      <c r="L1252" s="102"/>
    </row>
    <row r="1253">
      <c r="A1253" s="102" t="str">
        <f>IFERROR(__xludf.DUMMYFUNCTION("""COMPUTED_VALUE"""),"Ripper")</f>
        <v>Ripper</v>
      </c>
      <c r="B1253" s="102" t="str">
        <f>IFERROR(__xludf.DUMMYFUNCTION("""COMPUTED_VALUE"""),"Sniper")</f>
        <v>Sniper</v>
      </c>
      <c r="C1253" s="103">
        <f>IFERROR(__xludf.DUMMYFUNCTION("""COMPUTED_VALUE"""),52.0)</f>
        <v>52</v>
      </c>
      <c r="D1253" s="102" t="str">
        <f>IFERROR(__xludf.DUMMYFUNCTION("""COMPUTED_VALUE"""),"Foregrip")</f>
        <v>Foregrip</v>
      </c>
      <c r="E1253" s="102" t="str">
        <f>IFERROR(__xludf.DUMMYFUNCTION("""COMPUTED_VALUE"""),"BOR_SR.part_foregrip_02")</f>
        <v>BOR_SR.part_foregrip_02</v>
      </c>
      <c r="F1253" s="102"/>
      <c r="G1253" s="102" t="str">
        <f>IFERROR(__xludf.DUMMYFUNCTION("""COMPUTED_VALUE"""),"+Fire Rate")</f>
        <v>+Fire Rate</v>
      </c>
      <c r="H1253" s="102"/>
      <c r="I1253" s="102"/>
      <c r="J1253" s="102"/>
      <c r="K1253" s="102"/>
      <c r="L1253" s="102"/>
    </row>
    <row r="1254">
      <c r="A1254" s="102" t="str">
        <f>IFERROR(__xludf.DUMMYFUNCTION("""COMPUTED_VALUE"""),"Ripper")</f>
        <v>Ripper</v>
      </c>
      <c r="B1254" s="102" t="str">
        <f>IFERROR(__xludf.DUMMYFUNCTION("""COMPUTED_VALUE"""),"Sniper")</f>
        <v>Sniper</v>
      </c>
      <c r="C1254" s="103">
        <f>IFERROR(__xludf.DUMMYFUNCTION("""COMPUTED_VALUE"""),53.0)</f>
        <v>53</v>
      </c>
      <c r="D1254" s="102" t="str">
        <f>IFERROR(__xludf.DUMMYFUNCTION("""COMPUTED_VALUE"""),"Underbarrel")</f>
        <v>Underbarrel</v>
      </c>
      <c r="E1254" s="102" t="str">
        <f>IFERROR(__xludf.DUMMYFUNCTION("""COMPUTED_VALUE"""),"BOR_SR.part_underbarrel_05_ammoswitcher")</f>
        <v>BOR_SR.part_underbarrel_05_ammoswitcher</v>
      </c>
      <c r="F1254" s="102"/>
      <c r="G1254" s="102" t="str">
        <f>IFERROR(__xludf.DUMMYFUNCTION("""COMPUTED_VALUE"""),"Daedalus Ammo Switch")</f>
        <v>Daedalus Ammo Switch</v>
      </c>
      <c r="H1254" s="102" t="str">
        <f>IFERROR(__xludf.DUMMYFUNCTION("""COMPUTED_VALUE"""),"Used for Daedalus Ammo switch")</f>
        <v>Used for Daedalus Ammo switch</v>
      </c>
      <c r="I1254" s="102"/>
      <c r="J1254" s="102"/>
      <c r="K1254" s="102"/>
      <c r="L1254" s="102"/>
    </row>
    <row r="1255">
      <c r="A1255" s="102" t="str">
        <f>IFERROR(__xludf.DUMMYFUNCTION("""COMPUTED_VALUE"""),"Ripper")</f>
        <v>Ripper</v>
      </c>
      <c r="B1255" s="102" t="str">
        <f>IFERROR(__xludf.DUMMYFUNCTION("""COMPUTED_VALUE"""),"Sniper")</f>
        <v>Sniper</v>
      </c>
      <c r="C1255" s="103">
        <f>IFERROR(__xludf.DUMMYFUNCTION("""COMPUTED_VALUE"""),54.0)</f>
        <v>54</v>
      </c>
      <c r="D1255" s="102" t="str">
        <f>IFERROR(__xludf.DUMMYFUNCTION("""COMPUTED_VALUE"""),"Underbarrel")</f>
        <v>Underbarrel</v>
      </c>
      <c r="E1255" s="102" t="str">
        <f>IFERROR(__xludf.DUMMYFUNCTION("""COMPUTED_VALUE"""),"BOR_SR.part_underbarrel_04_atlas_ball")</f>
        <v>BOR_SR.part_underbarrel_04_atlas_ball</v>
      </c>
      <c r="F1255" s="102"/>
      <c r="G1255" s="102" t="str">
        <f>IFERROR(__xludf.DUMMYFUNCTION("""COMPUTED_VALUE"""),"Atlas Tracker Grenades")</f>
        <v>Atlas Tracker Grenades</v>
      </c>
      <c r="H1255" s="102"/>
      <c r="I1255" s="102"/>
      <c r="J1255" s="102"/>
      <c r="K1255" s="102"/>
      <c r="L1255" s="102"/>
    </row>
    <row r="1256">
      <c r="A1256" s="102" t="str">
        <f>IFERROR(__xludf.DUMMYFUNCTION("""COMPUTED_VALUE"""),"Ripper")</f>
        <v>Ripper</v>
      </c>
      <c r="B1256" s="102" t="str">
        <f>IFERROR(__xludf.DUMMYFUNCTION("""COMPUTED_VALUE"""),"Sniper")</f>
        <v>Sniper</v>
      </c>
      <c r="C1256" s="103">
        <f>IFERROR(__xludf.DUMMYFUNCTION("""COMPUTED_VALUE"""),55.0)</f>
        <v>55</v>
      </c>
      <c r="D1256" s="102" t="str">
        <f>IFERROR(__xludf.DUMMYFUNCTION("""COMPUTED_VALUE"""),"Underbarrel")</f>
        <v>Underbarrel</v>
      </c>
      <c r="E1256" s="102" t="str">
        <f>IFERROR(__xludf.DUMMYFUNCTION("""COMPUTED_VALUE"""),"BOR_SR.part_underbarrel_03_marked")</f>
        <v>BOR_SR.part_underbarrel_03_marked</v>
      </c>
      <c r="F1256" s="102"/>
      <c r="G1256" s="102" t="str">
        <f>IFERROR(__xludf.DUMMYFUNCTION("""COMPUTED_VALUE"""),"Alt Fire - Target Marker")</f>
        <v>Alt Fire - Target Marker</v>
      </c>
      <c r="H1256" s="102" t="str">
        <f>IFERROR(__xludf.DUMMYFUNCTION("""COMPUTED_VALUE"""),"Fires a marker that deals xxx Damage, Marking the enemy to receive and additional +35% Damage for 8s")</f>
        <v>Fires a marker that deals xxx Damage, Marking the enemy to receive and additional +35% Damage for 8s</v>
      </c>
      <c r="I1256" s="102"/>
      <c r="J1256" s="102"/>
      <c r="K1256" s="102"/>
      <c r="L1256" s="102"/>
    </row>
    <row r="1257">
      <c r="A1257" s="102" t="str">
        <f>IFERROR(__xludf.DUMMYFUNCTION("""COMPUTED_VALUE"""),"Ripper")</f>
        <v>Ripper</v>
      </c>
      <c r="B1257" s="102" t="str">
        <f>IFERROR(__xludf.DUMMYFUNCTION("""COMPUTED_VALUE"""),"Sniper")</f>
        <v>Sniper</v>
      </c>
      <c r="C1257" s="103">
        <f>IFERROR(__xludf.DUMMYFUNCTION("""COMPUTED_VALUE"""),58.0)</f>
        <v>58</v>
      </c>
      <c r="D1257" s="102" t="str">
        <f>IFERROR(__xludf.DUMMYFUNCTION("""COMPUTED_VALUE"""),"Barrel")</f>
        <v>Barrel</v>
      </c>
      <c r="E1257" s="102" t="str">
        <f>IFERROR(__xludf.DUMMYFUNCTION("""COMPUTED_VALUE"""),"BOR_SR.part_barrel_02_rainmaker")</f>
        <v>BOR_SR.part_barrel_02_rainmaker</v>
      </c>
      <c r="F1257" s="102"/>
      <c r="G1257" s="102" t="str">
        <f>IFERROR(__xludf.DUMMYFUNCTION("""COMPUTED_VALUE"""),"Rainmaker, 984 Damage, 93% Acc, 14.0/s FR, +50% Crit Damage")</f>
        <v>Rainmaker, 984 Damage, 93% Acc, 14.0/s FR, +50% Crit Damage</v>
      </c>
      <c r="H1257" s="102" t="str">
        <f>IFERROR(__xludf.DUMMYFUNCTION("""COMPUTED_VALUE"""),"Irrigation")</f>
        <v>Irrigation</v>
      </c>
      <c r="I1257" s="102"/>
      <c r="J1257" s="102"/>
      <c r="K1257" s="102"/>
      <c r="L1257" s="102"/>
    </row>
    <row r="1258">
      <c r="A1258" s="102" t="str">
        <f>IFERROR(__xludf.DUMMYFUNCTION("""COMPUTED_VALUE"""),"Ripper")</f>
        <v>Ripper</v>
      </c>
      <c r="B1258" s="102" t="str">
        <f>IFERROR(__xludf.DUMMYFUNCTION("""COMPUTED_VALUE"""),"Sniper")</f>
        <v>Sniper</v>
      </c>
      <c r="C1258" s="103">
        <f>IFERROR(__xludf.DUMMYFUNCTION("""COMPUTED_VALUE"""),62.0)</f>
        <v>62</v>
      </c>
      <c r="D1258" s="102" t="str">
        <f>IFERROR(__xludf.DUMMYFUNCTION("""COMPUTED_VALUE"""),"Manufacturer Part")</f>
        <v>Manufacturer Part</v>
      </c>
      <c r="E1258" s="102" t="str">
        <f>IFERROR(__xludf.DUMMYFUNCTION("""COMPUTED_VALUE"""),"BOR_SR.part_secondary_ammo_smg")</f>
        <v>BOR_SR.part_secondary_ammo_smg</v>
      </c>
      <c r="F1258" s="102"/>
      <c r="G1258" s="102" t="str">
        <f>IFERROR(__xludf.DUMMYFUNCTION("""COMPUTED_VALUE"""),"Daedalus SMG Ammo")</f>
        <v>Daedalus SMG Ammo</v>
      </c>
      <c r="H1258" s="102"/>
      <c r="I1258" s="102"/>
      <c r="J1258" s="102"/>
      <c r="K1258" s="102"/>
      <c r="L1258" s="102"/>
    </row>
    <row r="1259">
      <c r="A1259" s="102" t="str">
        <f>IFERROR(__xludf.DUMMYFUNCTION("""COMPUTED_VALUE"""),"Ripper")</f>
        <v>Ripper</v>
      </c>
      <c r="B1259" s="102" t="str">
        <f>IFERROR(__xludf.DUMMYFUNCTION("""COMPUTED_VALUE"""),"Sniper")</f>
        <v>Sniper</v>
      </c>
      <c r="C1259" s="103">
        <f>IFERROR(__xludf.DUMMYFUNCTION("""COMPUTED_VALUE"""),63.0)</f>
        <v>63</v>
      </c>
      <c r="D1259" s="102" t="str">
        <f>IFERROR(__xludf.DUMMYFUNCTION("""COMPUTED_VALUE"""),"Manufacturer Part")</f>
        <v>Manufacturer Part</v>
      </c>
      <c r="E1259" s="102" t="str">
        <f>IFERROR(__xludf.DUMMYFUNCTION("""COMPUTED_VALUE"""),"BOR_SR.part_secondary_ammo_sg")</f>
        <v>BOR_SR.part_secondary_ammo_sg</v>
      </c>
      <c r="F1259" s="102"/>
      <c r="G1259" s="102" t="str">
        <f>IFERROR(__xludf.DUMMYFUNCTION("""COMPUTED_VALUE"""),"Daedalus Shotgun Ammo")</f>
        <v>Daedalus Shotgun Ammo</v>
      </c>
      <c r="H1259" s="102"/>
      <c r="I1259" s="102"/>
      <c r="J1259" s="102"/>
      <c r="K1259" s="102"/>
      <c r="L1259" s="102"/>
    </row>
    <row r="1260">
      <c r="A1260" s="102" t="str">
        <f>IFERROR(__xludf.DUMMYFUNCTION("""COMPUTED_VALUE"""),"Ripper")</f>
        <v>Ripper</v>
      </c>
      <c r="B1260" s="102" t="str">
        <f>IFERROR(__xludf.DUMMYFUNCTION("""COMPUTED_VALUE"""),"Sniper")</f>
        <v>Sniper</v>
      </c>
      <c r="C1260" s="103">
        <f>IFERROR(__xludf.DUMMYFUNCTION("""COMPUTED_VALUE"""),64.0)</f>
        <v>64</v>
      </c>
      <c r="D1260" s="102" t="str">
        <f>IFERROR(__xludf.DUMMYFUNCTION("""COMPUTED_VALUE"""),"Manufacturer Part")</f>
        <v>Manufacturer Part</v>
      </c>
      <c r="E1260" s="102" t="str">
        <f>IFERROR(__xludf.DUMMYFUNCTION("""COMPUTED_VALUE"""),"BOR_SR.part_secondary_ammo_ar")</f>
        <v>BOR_SR.part_secondary_ammo_ar</v>
      </c>
      <c r="F1260" s="102"/>
      <c r="G1260" s="102" t="str">
        <f>IFERROR(__xludf.DUMMYFUNCTION("""COMPUTED_VALUE"""),"Daedalus AR Ammo")</f>
        <v>Daedalus AR Ammo</v>
      </c>
      <c r="H1260" s="102"/>
      <c r="I1260" s="102"/>
      <c r="J1260" s="102"/>
      <c r="K1260" s="102"/>
      <c r="L1260" s="102"/>
    </row>
    <row r="1261">
      <c r="A1261" s="102" t="str">
        <f>IFERROR(__xludf.DUMMYFUNCTION("""COMPUTED_VALUE"""),"Ripper")</f>
        <v>Ripper</v>
      </c>
      <c r="B1261" s="102" t="str">
        <f>IFERROR(__xludf.DUMMYFUNCTION("""COMPUTED_VALUE"""),"Sniper")</f>
        <v>Sniper</v>
      </c>
      <c r="C1261" s="103">
        <f>IFERROR(__xludf.DUMMYFUNCTION("""COMPUTED_VALUE"""),65.0)</f>
        <v>65</v>
      </c>
      <c r="D1261" s="102" t="str">
        <f>IFERROR(__xludf.DUMMYFUNCTION("""COMPUTED_VALUE"""),"Manufacturer Part")</f>
        <v>Manufacturer Part</v>
      </c>
      <c r="E1261" s="102" t="str">
        <f>IFERROR(__xludf.DUMMYFUNCTION("""COMPUTED_VALUE"""),"BOR_SR.part_secondary_ammo_ps")</f>
        <v>BOR_SR.part_secondary_ammo_ps</v>
      </c>
      <c r="F1261" s="102"/>
      <c r="G1261" s="102" t="str">
        <f>IFERROR(__xludf.DUMMYFUNCTION("""COMPUTED_VALUE"""),"Daedalus Pistol Ammo")</f>
        <v>Daedalus Pistol Ammo</v>
      </c>
      <c r="H1261" s="102"/>
      <c r="I1261" s="102"/>
      <c r="J1261" s="102"/>
      <c r="K1261" s="102"/>
      <c r="L1261" s="102"/>
    </row>
    <row r="1262">
      <c r="A1262" s="102" t="str">
        <f>IFERROR(__xludf.DUMMYFUNCTION("""COMPUTED_VALUE"""),"Ripper")</f>
        <v>Ripper</v>
      </c>
      <c r="B1262" s="102" t="str">
        <f>IFERROR(__xludf.DUMMYFUNCTION("""COMPUTED_VALUE"""),"Sniper")</f>
        <v>Sniper</v>
      </c>
      <c r="C1262" s="103">
        <f>IFERROR(__xludf.DUMMYFUNCTION("""COMPUTED_VALUE"""),66.0)</f>
        <v>66</v>
      </c>
      <c r="D1262" s="102" t="str">
        <f>IFERROR(__xludf.DUMMYFUNCTION("""COMPUTED_VALUE"""),"Barrel Accessory")</f>
        <v>Barrel Accessory</v>
      </c>
      <c r="E1262" s="102" t="str">
        <f>IFERROR(__xludf.DUMMYFUNCTION("""COMPUTED_VALUE"""),"BOR_SR.part_barrel_01_a")</f>
        <v>BOR_SR.part_barrel_01_a</v>
      </c>
      <c r="F1262" s="102"/>
      <c r="G1262" s="102" t="str">
        <f>IFERROR(__xludf.DUMMYFUNCTION("""COMPUTED_VALUE"""),"+Damage")</f>
        <v>+Damage</v>
      </c>
      <c r="H1262" s="102"/>
      <c r="I1262" s="102"/>
      <c r="J1262" s="102"/>
      <c r="K1262" s="102"/>
      <c r="L1262" s="102"/>
    </row>
    <row r="1263">
      <c r="A1263" s="102" t="str">
        <f>IFERROR(__xludf.DUMMYFUNCTION("""COMPUTED_VALUE"""),"Ripper")</f>
        <v>Ripper</v>
      </c>
      <c r="B1263" s="102" t="str">
        <f>IFERROR(__xludf.DUMMYFUNCTION("""COMPUTED_VALUE"""),"Sniper")</f>
        <v>Sniper</v>
      </c>
      <c r="C1263" s="103">
        <f>IFERROR(__xludf.DUMMYFUNCTION("""COMPUTED_VALUE"""),67.0)</f>
        <v>67</v>
      </c>
      <c r="D1263" s="102" t="str">
        <f>IFERROR(__xludf.DUMMYFUNCTION("""COMPUTED_VALUE"""),"Barrel Accessory")</f>
        <v>Barrel Accessory</v>
      </c>
      <c r="E1263" s="102" t="str">
        <f>IFERROR(__xludf.DUMMYFUNCTION("""COMPUTED_VALUE"""),"BOR_SR.part_barrel_01_b")</f>
        <v>BOR_SR.part_barrel_01_b</v>
      </c>
      <c r="F1263" s="102"/>
      <c r="G1263" s="102" t="str">
        <f>IFERROR(__xludf.DUMMYFUNCTION("""COMPUTED_VALUE"""),"-Reload Speed")</f>
        <v>-Reload Speed</v>
      </c>
      <c r="H1263" s="102"/>
      <c r="I1263" s="102"/>
      <c r="J1263" s="102"/>
      <c r="K1263" s="102"/>
      <c r="L1263" s="102"/>
    </row>
    <row r="1264">
      <c r="A1264" s="102" t="str">
        <f>IFERROR(__xludf.DUMMYFUNCTION("""COMPUTED_VALUE"""),"Ripper")</f>
        <v>Ripper</v>
      </c>
      <c r="B1264" s="102" t="str">
        <f>IFERROR(__xludf.DUMMYFUNCTION("""COMPUTED_VALUE"""),"Sniper")</f>
        <v>Sniper</v>
      </c>
      <c r="C1264" s="103">
        <f>IFERROR(__xludf.DUMMYFUNCTION("""COMPUTED_VALUE"""),68.0)</f>
        <v>68</v>
      </c>
      <c r="D1264" s="102" t="str">
        <f>IFERROR(__xludf.DUMMYFUNCTION("""COMPUTED_VALUE"""),"Barrel Accessory")</f>
        <v>Barrel Accessory</v>
      </c>
      <c r="E1264" s="102" t="str">
        <f>IFERROR(__xludf.DUMMYFUNCTION("""COMPUTED_VALUE"""),"BOR_SR.part_barrel_01_c")</f>
        <v>BOR_SR.part_barrel_01_c</v>
      </c>
      <c r="F1264" s="102"/>
      <c r="G1264" s="102" t="str">
        <f>IFERROR(__xludf.DUMMYFUNCTION("""COMPUTED_VALUE"""),"+Damage")</f>
        <v>+Damage</v>
      </c>
      <c r="H1264" s="102"/>
      <c r="I1264" s="102"/>
      <c r="J1264" s="102"/>
      <c r="K1264" s="102"/>
      <c r="L1264" s="102"/>
    </row>
    <row r="1265">
      <c r="A1265" s="102" t="str">
        <f>IFERROR(__xludf.DUMMYFUNCTION("""COMPUTED_VALUE"""),"Ripper")</f>
        <v>Ripper</v>
      </c>
      <c r="B1265" s="102" t="str">
        <f>IFERROR(__xludf.DUMMYFUNCTION("""COMPUTED_VALUE"""),"Sniper")</f>
        <v>Sniper</v>
      </c>
      <c r="C1265" s="103">
        <f>IFERROR(__xludf.DUMMYFUNCTION("""COMPUTED_VALUE"""),69.0)</f>
        <v>69</v>
      </c>
      <c r="D1265" s="102" t="str">
        <f>IFERROR(__xludf.DUMMYFUNCTION("""COMPUTED_VALUE"""),"Barrel Accessory")</f>
        <v>Barrel Accessory</v>
      </c>
      <c r="E1265" s="102" t="str">
        <f>IFERROR(__xludf.DUMMYFUNCTION("""COMPUTED_VALUE"""),"BOR_SR.part_barrel_01_d")</f>
        <v>BOR_SR.part_barrel_01_d</v>
      </c>
      <c r="F1265" s="102"/>
      <c r="G1265" s="102" t="str">
        <f>IFERROR(__xludf.DUMMYFUNCTION("""COMPUTED_VALUE"""),"No Stat Changes")</f>
        <v>No Stat Changes</v>
      </c>
      <c r="H1265" s="102"/>
      <c r="I1265" s="102"/>
      <c r="J1265" s="102"/>
      <c r="K1265" s="102"/>
      <c r="L1265" s="102"/>
    </row>
    <row r="1266">
      <c r="A1266" s="102" t="str">
        <f>IFERROR(__xludf.DUMMYFUNCTION("""COMPUTED_VALUE"""),"Ripper")</f>
        <v>Ripper</v>
      </c>
      <c r="B1266" s="102" t="str">
        <f>IFERROR(__xludf.DUMMYFUNCTION("""COMPUTED_VALUE"""),"Sniper")</f>
        <v>Sniper</v>
      </c>
      <c r="C1266" s="103">
        <f>IFERROR(__xludf.DUMMYFUNCTION("""COMPUTED_VALUE"""),70.0)</f>
        <v>70</v>
      </c>
      <c r="D1266" s="102" t="str">
        <f>IFERROR(__xludf.DUMMYFUNCTION("""COMPUTED_VALUE"""),"Barrel Accessory")</f>
        <v>Barrel Accessory</v>
      </c>
      <c r="E1266" s="102" t="str">
        <f>IFERROR(__xludf.DUMMYFUNCTION("""COMPUTED_VALUE"""),"BOR_SR.part_barrel_02_a")</f>
        <v>BOR_SR.part_barrel_02_a</v>
      </c>
      <c r="F1266" s="102"/>
      <c r="G1266" s="102" t="str">
        <f>IFERROR(__xludf.DUMMYFUNCTION("""COMPUTED_VALUE"""),"+Damage")</f>
        <v>+Damage</v>
      </c>
      <c r="H1266" s="102"/>
      <c r="I1266" s="102"/>
      <c r="J1266" s="102"/>
      <c r="K1266" s="102"/>
      <c r="L1266" s="102"/>
    </row>
    <row r="1267">
      <c r="A1267" s="102" t="str">
        <f>IFERROR(__xludf.DUMMYFUNCTION("""COMPUTED_VALUE"""),"Ripper")</f>
        <v>Ripper</v>
      </c>
      <c r="B1267" s="102" t="str">
        <f>IFERROR(__xludf.DUMMYFUNCTION("""COMPUTED_VALUE"""),"Sniper")</f>
        <v>Sniper</v>
      </c>
      <c r="C1267" s="103">
        <f>IFERROR(__xludf.DUMMYFUNCTION("""COMPUTED_VALUE"""),71.0)</f>
        <v>71</v>
      </c>
      <c r="D1267" s="102" t="str">
        <f>IFERROR(__xludf.DUMMYFUNCTION("""COMPUTED_VALUE"""),"Barrel Accessory")</f>
        <v>Barrel Accessory</v>
      </c>
      <c r="E1267" s="102" t="str">
        <f>IFERROR(__xludf.DUMMYFUNCTION("""COMPUTED_VALUE"""),"BOR_SR.part_barrel_02_b")</f>
        <v>BOR_SR.part_barrel_02_b</v>
      </c>
      <c r="F1267" s="102"/>
      <c r="G1267" s="102" t="str">
        <f>IFERROR(__xludf.DUMMYFUNCTION("""COMPUTED_VALUE"""),"+Accuracy")</f>
        <v>+Accuracy</v>
      </c>
      <c r="H1267" s="102"/>
      <c r="I1267" s="102"/>
      <c r="J1267" s="102"/>
      <c r="K1267" s="102"/>
      <c r="L1267" s="102"/>
    </row>
    <row r="1268">
      <c r="A1268" s="102" t="str">
        <f>IFERROR(__xludf.DUMMYFUNCTION("""COMPUTED_VALUE"""),"Ripper")</f>
        <v>Ripper</v>
      </c>
      <c r="B1268" s="102" t="str">
        <f>IFERROR(__xludf.DUMMYFUNCTION("""COMPUTED_VALUE"""),"Sniper")</f>
        <v>Sniper</v>
      </c>
      <c r="C1268" s="103">
        <f>IFERROR(__xludf.DUMMYFUNCTION("""COMPUTED_VALUE"""),72.0)</f>
        <v>72</v>
      </c>
      <c r="D1268" s="102" t="str">
        <f>IFERROR(__xludf.DUMMYFUNCTION("""COMPUTED_VALUE"""),"Barrel Accessory")</f>
        <v>Barrel Accessory</v>
      </c>
      <c r="E1268" s="102" t="str">
        <f>IFERROR(__xludf.DUMMYFUNCTION("""COMPUTED_VALUE"""),"BOR_SR.part_barrel_02_c")</f>
        <v>BOR_SR.part_barrel_02_c</v>
      </c>
      <c r="F1268" s="102"/>
      <c r="G1268" s="102" t="str">
        <f>IFERROR(__xludf.DUMMYFUNCTION("""COMPUTED_VALUE"""),"+Fire Rate")</f>
        <v>+Fire Rate</v>
      </c>
      <c r="H1268" s="102"/>
      <c r="I1268" s="102"/>
      <c r="J1268" s="102"/>
      <c r="K1268" s="102"/>
      <c r="L1268" s="102"/>
    </row>
    <row r="1269">
      <c r="A1269" s="102" t="str">
        <f>IFERROR(__xludf.DUMMYFUNCTION("""COMPUTED_VALUE"""),"Ripper")</f>
        <v>Ripper</v>
      </c>
      <c r="B1269" s="102" t="str">
        <f>IFERROR(__xludf.DUMMYFUNCTION("""COMPUTED_VALUE"""),"Sniper")</f>
        <v>Sniper</v>
      </c>
      <c r="C1269" s="103">
        <f>IFERROR(__xludf.DUMMYFUNCTION("""COMPUTED_VALUE"""),73.0)</f>
        <v>73</v>
      </c>
      <c r="D1269" s="102" t="str">
        <f>IFERROR(__xludf.DUMMYFUNCTION("""COMPUTED_VALUE"""),"Barrel Accessory")</f>
        <v>Barrel Accessory</v>
      </c>
      <c r="E1269" s="102" t="str">
        <f>IFERROR(__xludf.DUMMYFUNCTION("""COMPUTED_VALUE"""),"BOR_SR.part_barrel_02_d")</f>
        <v>BOR_SR.part_barrel_02_d</v>
      </c>
      <c r="F1269" s="102"/>
      <c r="G1269" s="102" t="str">
        <f>IFERROR(__xludf.DUMMYFUNCTION("""COMPUTED_VALUE"""),"+Fire Rate")</f>
        <v>+Fire Rate</v>
      </c>
      <c r="H1269" s="102"/>
      <c r="I1269" s="102"/>
      <c r="J1269" s="102"/>
      <c r="K1269" s="102"/>
      <c r="L1269" s="102"/>
    </row>
    <row r="1270">
      <c r="A1270" s="102" t="str">
        <f>IFERROR(__xludf.DUMMYFUNCTION("""COMPUTED_VALUE"""),"Ripper")</f>
        <v>Ripper</v>
      </c>
      <c r="B1270" s="102" t="str">
        <f>IFERROR(__xludf.DUMMYFUNCTION("""COMPUTED_VALUE"""),"Sniper")</f>
        <v>Sniper</v>
      </c>
      <c r="C1270" s="103">
        <f>IFERROR(__xludf.DUMMYFUNCTION("""COMPUTED_VALUE"""),74.0)</f>
        <v>74</v>
      </c>
      <c r="D1270" s="102" t="str">
        <f>IFERROR(__xludf.DUMMYFUNCTION("""COMPUTED_VALUE"""),"Manufacturer Part")</f>
        <v>Manufacturer Part</v>
      </c>
      <c r="E1270" s="102" t="str">
        <f>IFERROR(__xludf.DUMMYFUNCTION("""COMPUTED_VALUE"""),"BOR_SR.part_barrel_licensed_jak")</f>
        <v>BOR_SR.part_barrel_licensed_jak</v>
      </c>
      <c r="F1270" s="102"/>
      <c r="G1270" s="102" t="str">
        <f>IFERROR(__xludf.DUMMYFUNCTION("""COMPUTED_VALUE"""),"Jakobs Ricochet")</f>
        <v>Jakobs Ricochet</v>
      </c>
      <c r="H1270" s="102"/>
      <c r="I1270" s="102"/>
      <c r="J1270" s="102"/>
      <c r="K1270" s="102"/>
      <c r="L1270" s="102"/>
    </row>
    <row r="1271">
      <c r="A1271" s="102" t="str">
        <f>IFERROR(__xludf.DUMMYFUNCTION("""COMPUTED_VALUE"""),"Ripper")</f>
        <v>Ripper</v>
      </c>
      <c r="B1271" s="102" t="str">
        <f>IFERROR(__xludf.DUMMYFUNCTION("""COMPUTED_VALUE"""),"Sniper")</f>
        <v>Sniper</v>
      </c>
      <c r="C1271" s="103">
        <f>IFERROR(__xludf.DUMMYFUNCTION("""COMPUTED_VALUE"""),75.0)</f>
        <v>75</v>
      </c>
      <c r="D1271" s="102" t="str">
        <f>IFERROR(__xludf.DUMMYFUNCTION("""COMPUTED_VALUE"""),"Manufacturer Part")</f>
        <v>Manufacturer Part</v>
      </c>
      <c r="E1271" s="102" t="str">
        <f>IFERROR(__xludf.DUMMYFUNCTION("""COMPUTED_VALUE"""),"BOR_SR.part_barrel_licensed_ted")</f>
        <v>BOR_SR.part_barrel_licensed_ted</v>
      </c>
      <c r="F1271" s="102"/>
      <c r="G1271" s="102" t="str">
        <f>IFERROR(__xludf.DUMMYFUNCTION("""COMPUTED_VALUE"""),"Tediore Reload, no stat changes")</f>
        <v>Tediore Reload, no stat changes</v>
      </c>
      <c r="H1271" s="102"/>
      <c r="I1271" s="102"/>
      <c r="J1271" s="102"/>
      <c r="K1271" s="102"/>
      <c r="L1271" s="102"/>
    </row>
    <row r="1272">
      <c r="A1272" s="102" t="str">
        <f>IFERROR(__xludf.DUMMYFUNCTION("""COMPUTED_VALUE"""),"Ripper")</f>
        <v>Ripper</v>
      </c>
      <c r="B1272" s="102" t="str">
        <f>IFERROR(__xludf.DUMMYFUNCTION("""COMPUTED_VALUE"""),"Sniper")</f>
        <v>Sniper</v>
      </c>
      <c r="C1272" s="103">
        <f>IFERROR(__xludf.DUMMYFUNCTION("""COMPUTED_VALUE"""),76.0)</f>
        <v>76</v>
      </c>
      <c r="D1272" s="102" t="str">
        <f>IFERROR(__xludf.DUMMYFUNCTION("""COMPUTED_VALUE"""),"Manufacturer Part")</f>
        <v>Manufacturer Part</v>
      </c>
      <c r="E1272" s="102" t="str">
        <f>IFERROR(__xludf.DUMMYFUNCTION("""COMPUTED_VALUE"""),"BOR_SR.part_barrel_licensed_ted_shooting")</f>
        <v>BOR_SR.part_barrel_licensed_ted_shooting</v>
      </c>
      <c r="F1272" s="102"/>
      <c r="G1272" s="102" t="str">
        <f>IFERROR(__xludf.DUMMYFUNCTION("""COMPUTED_VALUE"""),"Tediore Shooting, no stat changes")</f>
        <v>Tediore Shooting, no stat changes</v>
      </c>
      <c r="H1272" s="102"/>
      <c r="I1272" s="102"/>
      <c r="J1272" s="102"/>
      <c r="K1272" s="102"/>
      <c r="L1272" s="102"/>
    </row>
    <row r="1273">
      <c r="A1273" s="102" t="str">
        <f>IFERROR(__xludf.DUMMYFUNCTION("""COMPUTED_VALUE"""),"Ripper")</f>
        <v>Ripper</v>
      </c>
      <c r="B1273" s="102" t="str">
        <f>IFERROR(__xludf.DUMMYFUNCTION("""COMPUTED_VALUE"""),"Sniper")</f>
        <v>Sniper</v>
      </c>
      <c r="C1273" s="103">
        <f>IFERROR(__xludf.DUMMYFUNCTION("""COMPUTED_VALUE"""),77.0)</f>
        <v>77</v>
      </c>
      <c r="D1273" s="102" t="str">
        <f>IFERROR(__xludf.DUMMYFUNCTION("""COMPUTED_VALUE"""),"Manufacturer Part")</f>
        <v>Manufacturer Part</v>
      </c>
      <c r="E1273" s="102" t="str">
        <f>IFERROR(__xludf.DUMMYFUNCTION("""COMPUTED_VALUE"""),"BOR_SR.part_barrel_licensed_ted_mirv")</f>
        <v>BOR_SR.part_barrel_licensed_ted_mirv</v>
      </c>
      <c r="F1273" s="102"/>
      <c r="G1273" s="102" t="str">
        <f>IFERROR(__xludf.DUMMYFUNCTION("""COMPUTED_VALUE"""),"Tediore MIRV, no stat changes")</f>
        <v>Tediore MIRV, no stat changes</v>
      </c>
      <c r="H1273" s="102"/>
      <c r="I1273" s="102"/>
      <c r="J1273" s="102"/>
      <c r="K1273" s="102"/>
      <c r="L1273" s="102"/>
    </row>
    <row r="1274">
      <c r="A1274" s="102" t="str">
        <f>IFERROR(__xludf.DUMMYFUNCTION("""COMPUTED_VALUE"""),"Ripper")</f>
        <v>Ripper</v>
      </c>
      <c r="B1274" s="102" t="str">
        <f>IFERROR(__xludf.DUMMYFUNCTION("""COMPUTED_VALUE"""),"Sniper")</f>
        <v>Sniper</v>
      </c>
      <c r="C1274" s="103">
        <f>IFERROR(__xludf.DUMMYFUNCTION("""COMPUTED_VALUE"""),78.0)</f>
        <v>78</v>
      </c>
      <c r="D1274" s="102" t="str">
        <f>IFERROR(__xludf.DUMMYFUNCTION("""COMPUTED_VALUE"""),"Manufacturer Part")</f>
        <v>Manufacturer Part</v>
      </c>
      <c r="E1274" s="102" t="str">
        <f>IFERROR(__xludf.DUMMYFUNCTION("""COMPUTED_VALUE"""),"BOR_SR.part_barrel_licensed_ted_combo")</f>
        <v>BOR_SR.part_barrel_licensed_ted_combo</v>
      </c>
      <c r="F1274" s="102"/>
      <c r="G1274" s="102" t="str">
        <f>IFERROR(__xludf.DUMMYFUNCTION("""COMPUTED_VALUE"""),"Tediore Combo, no stat changes")</f>
        <v>Tediore Combo, no stat changes</v>
      </c>
      <c r="H1274" s="102"/>
      <c r="I1274" s="102"/>
      <c r="J1274" s="102"/>
      <c r="K1274" s="102"/>
      <c r="L1274" s="102"/>
    </row>
    <row r="1275">
      <c r="A1275" s="102" t="str">
        <f>IFERROR(__xludf.DUMMYFUNCTION("""COMPUTED_VALUE"""),"Ripper")</f>
        <v>Ripper</v>
      </c>
      <c r="B1275" s="102" t="str">
        <f>IFERROR(__xludf.DUMMYFUNCTION("""COMPUTED_VALUE"""),"Sniper")</f>
        <v>Sniper</v>
      </c>
      <c r="C1275" s="103">
        <f>IFERROR(__xludf.DUMMYFUNCTION("""COMPUTED_VALUE"""),79.0)</f>
        <v>79</v>
      </c>
      <c r="D1275" s="102" t="str">
        <f>IFERROR(__xludf.DUMMYFUNCTION("""COMPUTED_VALUE"""),"Manufacturer Part")</f>
        <v>Manufacturer Part</v>
      </c>
      <c r="E1275" s="102" t="str">
        <f>IFERROR(__xludf.DUMMYFUNCTION("""COMPUTED_VALUE"""),"BOR_SR.part_barrel_licensed_hyp")</f>
        <v>BOR_SR.part_barrel_licensed_hyp</v>
      </c>
      <c r="F1275" s="102"/>
      <c r="G1275" s="102" t="str">
        <f>IFERROR(__xludf.DUMMYFUNCTION("""COMPUTED_VALUE"""),"Hyperion Shield")</f>
        <v>Hyperion Shield</v>
      </c>
      <c r="H1275" s="102"/>
      <c r="I1275" s="102"/>
      <c r="J1275" s="102"/>
      <c r="K1275" s="102"/>
      <c r="L1275" s="102"/>
    </row>
    <row r="1276">
      <c r="A1276" s="102" t="str">
        <f>IFERROR(__xludf.DUMMYFUNCTION("""COMPUTED_VALUE"""),"Ripper")</f>
        <v>Ripper</v>
      </c>
      <c r="B1276" s="102" t="str">
        <f>IFERROR(__xludf.DUMMYFUNCTION("""COMPUTED_VALUE"""),"Sniper")</f>
        <v>Sniper</v>
      </c>
      <c r="C1276" s="103">
        <f>IFERROR(__xludf.DUMMYFUNCTION("""COMPUTED_VALUE"""),80.0)</f>
        <v>80</v>
      </c>
      <c r="D1276" s="102" t="str">
        <f>IFERROR(__xludf.DUMMYFUNCTION("""COMPUTED_VALUE"""),"Stat Modifier")</f>
        <v>Stat Modifier</v>
      </c>
      <c r="E1276" s="102" t="str">
        <f>IFERROR(__xludf.DUMMYFUNCTION("""COMPUTED_VALUE"""),"BOR_SR.part_mag_ted_thrown_04_cov")</f>
        <v>BOR_SR.part_mag_ted_thrown_04_cov</v>
      </c>
      <c r="F1276" s="102"/>
      <c r="G1276" s="102" t="str">
        <f>IFERROR(__xludf.DUMMYFUNCTION("""COMPUTED_VALUE"""),"3.0s Reload")</f>
        <v>3.0s Reload</v>
      </c>
      <c r="H1276" s="102"/>
      <c r="I1276" s="102"/>
      <c r="J1276" s="102"/>
      <c r="K1276" s="102"/>
      <c r="L1276" s="102"/>
    </row>
    <row r="1277">
      <c r="A1277" s="102" t="str">
        <f>IFERROR(__xludf.DUMMYFUNCTION("""COMPUTED_VALUE"""),"Ripper")</f>
        <v>Ripper</v>
      </c>
      <c r="B1277" s="102" t="str">
        <f>IFERROR(__xludf.DUMMYFUNCTION("""COMPUTED_VALUE"""),"Sniper")</f>
        <v>Sniper</v>
      </c>
      <c r="C1277" s="103">
        <f>IFERROR(__xludf.DUMMYFUNCTION("""COMPUTED_VALUE"""),81.0)</f>
        <v>81</v>
      </c>
      <c r="D1277" s="102" t="str">
        <f>IFERROR(__xludf.DUMMYFUNCTION("""COMPUTED_VALUE"""),"Magazine")</f>
        <v>Magazine</v>
      </c>
      <c r="E1277" s="102" t="str">
        <f>IFERROR(__xludf.DUMMYFUNCTION("""COMPUTED_VALUE"""),"BOR_SR.part_mag_03_tor")</f>
        <v>BOR_SR.part_mag_03_tor</v>
      </c>
      <c r="F1277" s="102"/>
      <c r="G1277" s="102" t="str">
        <f>IFERROR(__xludf.DUMMYFUNCTION("""COMPUTED_VALUE"""),"2.3s Reload, +Damage, -Fire Rate, 8 Shots")</f>
        <v>2.3s Reload, +Damage, -Fire Rate, 8 Shots</v>
      </c>
      <c r="H1277" s="102"/>
      <c r="I1277" s="102"/>
      <c r="J1277" s="102"/>
      <c r="K1277" s="102"/>
      <c r="L1277" s="102"/>
    </row>
    <row r="1278">
      <c r="A1278" s="102" t="str">
        <f>IFERROR(__xludf.DUMMYFUNCTION("""COMPUTED_VALUE"""),"Tediore")</f>
        <v>Tediore</v>
      </c>
      <c r="B1278" s="102" t="str">
        <f>IFERROR(__xludf.DUMMYFUNCTION("""COMPUTED_VALUE"""),"Assault Rifle")</f>
        <v>Assault Rifle</v>
      </c>
      <c r="C1278" s="103">
        <f>IFERROR(__xludf.DUMMYFUNCTION("""COMPUTED_VALUE"""),1.0)</f>
        <v>1</v>
      </c>
      <c r="D1278" s="102" t="str">
        <f>IFERROR(__xludf.DUMMYFUNCTION("""COMPUTED_VALUE"""),"Magazine")</f>
        <v>Magazine</v>
      </c>
      <c r="E1278" s="102" t="str">
        <f>IFERROR(__xludf.DUMMYFUNCTION("""COMPUTED_VALUE"""),"TED_AR.part_mag_01_Chuck")</f>
        <v>TED_AR.part_mag_01_Chuck</v>
      </c>
      <c r="F1278" s="102"/>
      <c r="G1278" s="102" t="str">
        <f>IFERROR(__xludf.DUMMYFUNCTION("""COMPUTED_VALUE"""),"0.7s Reload, +Fire Rate, 10 Shots")</f>
        <v>0.7s Reload, +Fire Rate, 10 Shots</v>
      </c>
      <c r="H1278" s="102" t="str">
        <f>IFERROR(__xludf.DUMMYFUNCTION("""COMPUTED_VALUE"""),"Chuck Mag")</f>
        <v>Chuck Mag</v>
      </c>
      <c r="I1278" s="102"/>
      <c r="J1278" s="102"/>
      <c r="K1278" s="102"/>
      <c r="L1278" s="102"/>
    </row>
    <row r="1279">
      <c r="A1279" s="102" t="str">
        <f>IFERROR(__xludf.DUMMYFUNCTION("""COMPUTED_VALUE"""),"Tediore")</f>
        <v>Tediore</v>
      </c>
      <c r="B1279" s="102" t="str">
        <f>IFERROR(__xludf.DUMMYFUNCTION("""COMPUTED_VALUE"""),"Assault Rifle")</f>
        <v>Assault Rifle</v>
      </c>
      <c r="C1279" s="103">
        <f>IFERROR(__xludf.DUMMYFUNCTION("""COMPUTED_VALUE"""),2.0)</f>
        <v>2</v>
      </c>
      <c r="D1279" s="102" t="str">
        <f>IFERROR(__xludf.DUMMYFUNCTION("""COMPUTED_VALUE"""),"Body")</f>
        <v>Body</v>
      </c>
      <c r="E1279" s="102" t="str">
        <f>IFERROR(__xludf.DUMMYFUNCTION("""COMPUTED_VALUE"""),"TED_AR.part_body")</f>
        <v>TED_AR.part_body</v>
      </c>
      <c r="F1279" s="102"/>
      <c r="G1279" s="102" t="str">
        <f>IFERROR(__xludf.DUMMYFUNCTION("""COMPUTED_VALUE"""),"No Stat Changes, always present")</f>
        <v>No Stat Changes, always present</v>
      </c>
      <c r="H1279" s="102"/>
      <c r="I1279" s="102"/>
      <c r="J1279" s="102"/>
      <c r="K1279" s="102"/>
      <c r="L1279" s="102"/>
    </row>
    <row r="1280">
      <c r="A1280" s="102" t="str">
        <f>IFERROR(__xludf.DUMMYFUNCTION("""COMPUTED_VALUE"""),"Tediore")</f>
        <v>Tediore</v>
      </c>
      <c r="B1280" s="102" t="str">
        <f>IFERROR(__xludf.DUMMYFUNCTION("""COMPUTED_VALUE"""),"Assault Rifle")</f>
        <v>Assault Rifle</v>
      </c>
      <c r="C1280" s="103">
        <f>IFERROR(__xludf.DUMMYFUNCTION("""COMPUTED_VALUE"""),3.0)</f>
        <v>3</v>
      </c>
      <c r="D1280" s="102" t="str">
        <f>IFERROR(__xludf.DUMMYFUNCTION("""COMPUTED_VALUE"""),"Body Accessory")</f>
        <v>Body Accessory</v>
      </c>
      <c r="E1280" s="102" t="str">
        <f>IFERROR(__xludf.DUMMYFUNCTION("""COMPUTED_VALUE"""),"TED_AR.part_body_a")</f>
        <v>TED_AR.part_body_a</v>
      </c>
      <c r="F1280" s="102"/>
      <c r="G1280" s="102" t="str">
        <f>IFERROR(__xludf.DUMMYFUNCTION("""COMPUTED_VALUE"""),"No Stat Changes")</f>
        <v>No Stat Changes</v>
      </c>
      <c r="H1280" s="102"/>
      <c r="I1280" s="102"/>
      <c r="J1280" s="102"/>
      <c r="K1280" s="102"/>
      <c r="L1280" s="102"/>
    </row>
    <row r="1281">
      <c r="A1281" s="102" t="str">
        <f>IFERROR(__xludf.DUMMYFUNCTION("""COMPUTED_VALUE"""),"Tediore")</f>
        <v>Tediore</v>
      </c>
      <c r="B1281" s="102" t="str">
        <f>IFERROR(__xludf.DUMMYFUNCTION("""COMPUTED_VALUE"""),"Assault Rifle")</f>
        <v>Assault Rifle</v>
      </c>
      <c r="C1281" s="103">
        <f>IFERROR(__xludf.DUMMYFUNCTION("""COMPUTED_VALUE"""),4.0)</f>
        <v>4</v>
      </c>
      <c r="D1281" s="102" t="str">
        <f>IFERROR(__xludf.DUMMYFUNCTION("""COMPUTED_VALUE"""),"Body Accessory")</f>
        <v>Body Accessory</v>
      </c>
      <c r="E1281" s="102" t="str">
        <f>IFERROR(__xludf.DUMMYFUNCTION("""COMPUTED_VALUE"""),"TED_AR.part_body_b")</f>
        <v>TED_AR.part_body_b</v>
      </c>
      <c r="F1281" s="102"/>
      <c r="G1281" s="102" t="str">
        <f>IFERROR(__xludf.DUMMYFUNCTION("""COMPUTED_VALUE"""),"+Ammo")</f>
        <v>+Ammo</v>
      </c>
      <c r="H1281" s="102"/>
      <c r="I1281" s="102"/>
      <c r="J1281" s="102"/>
      <c r="K1281" s="102"/>
      <c r="L1281" s="102"/>
    </row>
    <row r="1282">
      <c r="A1282" s="102" t="str">
        <f>IFERROR(__xludf.DUMMYFUNCTION("""COMPUTED_VALUE"""),"Tediore")</f>
        <v>Tediore</v>
      </c>
      <c r="B1282" s="102" t="str">
        <f>IFERROR(__xludf.DUMMYFUNCTION("""COMPUTED_VALUE"""),"Assault Rifle")</f>
        <v>Assault Rifle</v>
      </c>
      <c r="C1282" s="103">
        <f>IFERROR(__xludf.DUMMYFUNCTION("""COMPUTED_VALUE"""),5.0)</f>
        <v>5</v>
      </c>
      <c r="D1282" s="102" t="str">
        <f>IFERROR(__xludf.DUMMYFUNCTION("""COMPUTED_VALUE"""),"Body Accessory")</f>
        <v>Body Accessory</v>
      </c>
      <c r="E1282" s="102" t="str">
        <f>IFERROR(__xludf.DUMMYFUNCTION("""COMPUTED_VALUE"""),"TED_AR.part_body_c")</f>
        <v>TED_AR.part_body_c</v>
      </c>
      <c r="F1282" s="102"/>
      <c r="G1282" s="104" t="str">
        <f>IFERROR(__xludf.DUMMYFUNCTION("""COMPUTED_VALUE"""),"+Accuracy")</f>
        <v>+Accuracy</v>
      </c>
      <c r="H1282" s="102"/>
      <c r="I1282" s="102"/>
      <c r="J1282" s="102"/>
      <c r="K1282" s="102"/>
      <c r="L1282" s="102"/>
    </row>
    <row r="1283">
      <c r="A1283" s="102" t="str">
        <f>IFERROR(__xludf.DUMMYFUNCTION("""COMPUTED_VALUE"""),"Tediore")</f>
        <v>Tediore</v>
      </c>
      <c r="B1283" s="102" t="str">
        <f>IFERROR(__xludf.DUMMYFUNCTION("""COMPUTED_VALUE"""),"Assault Rifle")</f>
        <v>Assault Rifle</v>
      </c>
      <c r="C1283" s="103">
        <f>IFERROR(__xludf.DUMMYFUNCTION("""COMPUTED_VALUE"""),6.0)</f>
        <v>6</v>
      </c>
      <c r="D1283" s="102" t="str">
        <f>IFERROR(__xludf.DUMMYFUNCTION("""COMPUTED_VALUE"""),"Body Accessory")</f>
        <v>Body Accessory</v>
      </c>
      <c r="E1283" s="102" t="str">
        <f>IFERROR(__xludf.DUMMYFUNCTION("""COMPUTED_VALUE"""),"TED_AR.part_body_d")</f>
        <v>TED_AR.part_body_d</v>
      </c>
      <c r="F1283" s="102"/>
      <c r="G1283" s="104" t="str">
        <f>IFERROR(__xludf.DUMMYFUNCTION("""COMPUTED_VALUE"""),"No Stat Changes")</f>
        <v>No Stat Changes</v>
      </c>
      <c r="H1283" s="102"/>
      <c r="I1283" s="102"/>
      <c r="J1283" s="102"/>
      <c r="K1283" s="102"/>
      <c r="L1283" s="102"/>
    </row>
    <row r="1284">
      <c r="A1284" s="102" t="str">
        <f>IFERROR(__xludf.DUMMYFUNCTION("""COMPUTED_VALUE"""),"Tediore")</f>
        <v>Tediore</v>
      </c>
      <c r="B1284" s="102" t="str">
        <f>IFERROR(__xludf.DUMMYFUNCTION("""COMPUTED_VALUE"""),"Assault Rifle")</f>
        <v>Assault Rifle</v>
      </c>
      <c r="C1284" s="103">
        <f>IFERROR(__xludf.DUMMYFUNCTION("""COMPUTED_VALUE"""),7.0)</f>
        <v>7</v>
      </c>
      <c r="D1284" s="102" t="str">
        <f>IFERROR(__xludf.DUMMYFUNCTION("""COMPUTED_VALUE"""),"Barrel")</f>
        <v>Barrel</v>
      </c>
      <c r="E1284" s="102" t="str">
        <f>IFERROR(__xludf.DUMMYFUNCTION("""COMPUTED_VALUE"""),"TED_AR.part_barrel_01")</f>
        <v>TED_AR.part_barrel_01</v>
      </c>
      <c r="F1284" s="102"/>
      <c r="G1284" s="102" t="str">
        <f>IFERROR(__xludf.DUMMYFUNCTION("""COMPUTED_VALUE"""),"Assaultomatic, 982 Damage, 71% Acc, 4.5/s FR")</f>
        <v>Assaultomatic, 982 Damage, 71% Acc, 4.5/s FR</v>
      </c>
      <c r="H1284" s="102"/>
      <c r="I1284" s="102"/>
      <c r="J1284" s="102"/>
      <c r="K1284" s="102"/>
      <c r="L1284" s="102"/>
    </row>
    <row r="1285">
      <c r="A1285" s="102" t="str">
        <f>IFERROR(__xludf.DUMMYFUNCTION("""COMPUTED_VALUE"""),"Tediore")</f>
        <v>Tediore</v>
      </c>
      <c r="B1285" s="102" t="str">
        <f>IFERROR(__xludf.DUMMYFUNCTION("""COMPUTED_VALUE"""),"Assault Rifle")</f>
        <v>Assault Rifle</v>
      </c>
      <c r="C1285" s="103">
        <f>IFERROR(__xludf.DUMMYFUNCTION("""COMPUTED_VALUE"""),8.0)</f>
        <v>8</v>
      </c>
      <c r="D1285" s="102" t="str">
        <f>IFERROR(__xludf.DUMMYFUNCTION("""COMPUTED_VALUE"""),"Barrel")</f>
        <v>Barrel</v>
      </c>
      <c r="E1285" s="102" t="str">
        <f>IFERROR(__xludf.DUMMYFUNCTION("""COMPUTED_VALUE"""),"TED_AR.part_barrel_02")</f>
        <v>TED_AR.part_barrel_02</v>
      </c>
      <c r="F1285" s="102"/>
      <c r="G1285" s="102" t="str">
        <f>IFERROR(__xludf.DUMMYFUNCTION("""COMPUTED_VALUE"""),"Perforator, 1153 Damage, 78% Acc, 3.7/s FR")</f>
        <v>Perforator, 1153 Damage, 78% Acc, 3.7/s FR</v>
      </c>
      <c r="H1285" s="102"/>
      <c r="I1285" s="102"/>
      <c r="J1285" s="102"/>
      <c r="K1285" s="102"/>
      <c r="L1285" s="102"/>
    </row>
    <row r="1286">
      <c r="A1286" s="102" t="str">
        <f>IFERROR(__xludf.DUMMYFUNCTION("""COMPUTED_VALUE"""),"Tediore")</f>
        <v>Tediore</v>
      </c>
      <c r="B1286" s="102" t="str">
        <f>IFERROR(__xludf.DUMMYFUNCTION("""COMPUTED_VALUE"""),"Assault Rifle")</f>
        <v>Assault Rifle</v>
      </c>
      <c r="C1286" s="103">
        <f>IFERROR(__xludf.DUMMYFUNCTION("""COMPUTED_VALUE"""),9.0)</f>
        <v>9</v>
      </c>
      <c r="D1286" s="102" t="str">
        <f>IFERROR(__xludf.DUMMYFUNCTION("""COMPUTED_VALUE"""),"Manufacturer Part")</f>
        <v>Manufacturer Part</v>
      </c>
      <c r="E1286" s="102" t="str">
        <f>IFERROR(__xludf.DUMMYFUNCTION("""COMPUTED_VALUE"""),"TED_AR.part_barrel_licensed_ted_shooting")</f>
        <v>TED_AR.part_barrel_licensed_ted_shooting</v>
      </c>
      <c r="F1286" s="102"/>
      <c r="G1286" s="102" t="str">
        <f>IFERROR(__xludf.DUMMYFUNCTION("""COMPUTED_VALUE"""),"Tediore Shooting, no stat changes")</f>
        <v>Tediore Shooting, no stat changes</v>
      </c>
      <c r="H1286" s="102"/>
      <c r="I1286" s="102"/>
      <c r="J1286" s="102"/>
      <c r="K1286" s="102"/>
      <c r="L1286" s="102"/>
    </row>
    <row r="1287">
      <c r="A1287" s="102" t="str">
        <f>IFERROR(__xludf.DUMMYFUNCTION("""COMPUTED_VALUE"""),"Tediore")</f>
        <v>Tediore</v>
      </c>
      <c r="B1287" s="102" t="str">
        <f>IFERROR(__xludf.DUMMYFUNCTION("""COMPUTED_VALUE"""),"Assault Rifle")</f>
        <v>Assault Rifle</v>
      </c>
      <c r="C1287" s="103">
        <f>IFERROR(__xludf.DUMMYFUNCTION("""COMPUTED_VALUE"""),10.0)</f>
        <v>10</v>
      </c>
      <c r="D1287" s="102" t="str">
        <f>IFERROR(__xludf.DUMMYFUNCTION("""COMPUTED_VALUE"""),"Manufacturer Part")</f>
        <v>Manufacturer Part</v>
      </c>
      <c r="E1287" s="102" t="str">
        <f>IFERROR(__xludf.DUMMYFUNCTION("""COMPUTED_VALUE"""),"TED_AR.part_barrel_licensed_ted_mirv")</f>
        <v>TED_AR.part_barrel_licensed_ted_mirv</v>
      </c>
      <c r="F1287" s="102"/>
      <c r="G1287" s="102" t="str">
        <f>IFERROR(__xludf.DUMMYFUNCTION("""COMPUTED_VALUE"""),"Tediore MIRV, no stat changes")</f>
        <v>Tediore MIRV, no stat changes</v>
      </c>
      <c r="H1287" s="102"/>
      <c r="I1287" s="102"/>
      <c r="J1287" s="102"/>
      <c r="K1287" s="102"/>
      <c r="L1287" s="102"/>
    </row>
    <row r="1288">
      <c r="A1288" s="102" t="str">
        <f>IFERROR(__xludf.DUMMYFUNCTION("""COMPUTED_VALUE"""),"Tediore")</f>
        <v>Tediore</v>
      </c>
      <c r="B1288" s="102" t="str">
        <f>IFERROR(__xludf.DUMMYFUNCTION("""COMPUTED_VALUE"""),"Assault Rifle")</f>
        <v>Assault Rifle</v>
      </c>
      <c r="C1288" s="103">
        <f>IFERROR(__xludf.DUMMYFUNCTION("""COMPUTED_VALUE"""),11.0)</f>
        <v>11</v>
      </c>
      <c r="D1288" s="102" t="str">
        <f>IFERROR(__xludf.DUMMYFUNCTION("""COMPUTED_VALUE"""),"Manufacturer Part")</f>
        <v>Manufacturer Part</v>
      </c>
      <c r="E1288" s="102" t="str">
        <f>IFERROR(__xludf.DUMMYFUNCTION("""COMPUTED_VALUE"""),"TED_AR.part_barrel_licensed_ted_combo")</f>
        <v>TED_AR.part_barrel_licensed_ted_combo</v>
      </c>
      <c r="F1288" s="102"/>
      <c r="G1288" s="102" t="str">
        <f>IFERROR(__xludf.DUMMYFUNCTION("""COMPUTED_VALUE"""),"Tediore Combo, no stat changes")</f>
        <v>Tediore Combo, no stat changes</v>
      </c>
      <c r="H1288" s="102"/>
      <c r="I1288" s="102"/>
      <c r="J1288" s="102"/>
      <c r="K1288" s="102"/>
      <c r="L1288" s="102"/>
    </row>
    <row r="1289">
      <c r="A1289" s="102" t="str">
        <f>IFERROR(__xludf.DUMMYFUNCTION("""COMPUTED_VALUE"""),"Tediore")</f>
        <v>Tediore</v>
      </c>
      <c r="B1289" s="102" t="str">
        <f>IFERROR(__xludf.DUMMYFUNCTION("""COMPUTED_VALUE"""),"Assault Rifle")</f>
        <v>Assault Rifle</v>
      </c>
      <c r="C1289" s="103">
        <f>IFERROR(__xludf.DUMMYFUNCTION("""COMPUTED_VALUE"""),12.0)</f>
        <v>12</v>
      </c>
      <c r="D1289" s="102" t="str">
        <f>IFERROR(__xludf.DUMMYFUNCTION("""COMPUTED_VALUE"""),"Manufacturer Part")</f>
        <v>Manufacturer Part</v>
      </c>
      <c r="E1289" s="102" t="str">
        <f>IFERROR(__xludf.DUMMYFUNCTION("""COMPUTED_VALUE"""),"TED_AR.part_barrel_licensed_ted_replicator")</f>
        <v>TED_AR.part_barrel_licensed_ted_replicator</v>
      </c>
      <c r="F1289" s="102"/>
      <c r="G1289" s="102" t="str">
        <f>IFERROR(__xludf.DUMMYFUNCTION("""COMPUTED_VALUE"""),"Tediore Replicator, no stat changes")</f>
        <v>Tediore Replicator, no stat changes</v>
      </c>
      <c r="H1289" s="102"/>
      <c r="I1289" s="102"/>
      <c r="J1289" s="102"/>
      <c r="K1289" s="102"/>
      <c r="L1289" s="102"/>
    </row>
    <row r="1290">
      <c r="A1290" s="102" t="str">
        <f>IFERROR(__xludf.DUMMYFUNCTION("""COMPUTED_VALUE"""),"Tediore")</f>
        <v>Tediore</v>
      </c>
      <c r="B1290" s="102" t="str">
        <f>IFERROR(__xludf.DUMMYFUNCTION("""COMPUTED_VALUE"""),"Assault Rifle")</f>
        <v>Assault Rifle</v>
      </c>
      <c r="C1290" s="103">
        <f>IFERROR(__xludf.DUMMYFUNCTION("""COMPUTED_VALUE"""),13.0)</f>
        <v>13</v>
      </c>
      <c r="D1290" s="102" t="str">
        <f>IFERROR(__xludf.DUMMYFUNCTION("""COMPUTED_VALUE"""),"Manufacturer Part")</f>
        <v>Manufacturer Part</v>
      </c>
      <c r="E1290" s="102" t="str">
        <f>IFERROR(__xludf.DUMMYFUNCTION("""COMPUTED_VALUE"""),"TED_AR.part_multi_ted_shooting")</f>
        <v>TED_AR.part_multi_ted_shooting</v>
      </c>
      <c r="F1290" s="102"/>
      <c r="G1290" s="102" t="str">
        <f>IFERROR(__xludf.DUMMYFUNCTION("""COMPUTED_VALUE"""),"No Stat Changes")</f>
        <v>No Stat Changes</v>
      </c>
      <c r="H1290" s="102"/>
      <c r="I1290" s="102"/>
      <c r="J1290" s="102"/>
      <c r="K1290" s="102"/>
      <c r="L1290" s="102"/>
    </row>
    <row r="1291">
      <c r="A1291" s="102" t="str">
        <f>IFERROR(__xludf.DUMMYFUNCTION("""COMPUTED_VALUE"""),"Tediore")</f>
        <v>Tediore</v>
      </c>
      <c r="B1291" s="102" t="str">
        <f>IFERROR(__xludf.DUMMYFUNCTION("""COMPUTED_VALUE"""),"Assault Rifle")</f>
        <v>Assault Rifle</v>
      </c>
      <c r="C1291" s="103">
        <f>IFERROR(__xludf.DUMMYFUNCTION("""COMPUTED_VALUE"""),14.0)</f>
        <v>14</v>
      </c>
      <c r="D1291" s="102" t="str">
        <f>IFERROR(__xludf.DUMMYFUNCTION("""COMPUTED_VALUE"""),"Manufacturer Part")</f>
        <v>Manufacturer Part</v>
      </c>
      <c r="E1291" s="102" t="str">
        <f>IFERROR(__xludf.DUMMYFUNCTION("""COMPUTED_VALUE"""),"TED_AR.part_multi_ted_mirv")</f>
        <v>TED_AR.part_multi_ted_mirv</v>
      </c>
      <c r="F1291" s="102"/>
      <c r="G1291" s="102" t="str">
        <f>IFERROR(__xludf.DUMMYFUNCTION("""COMPUTED_VALUE"""),"No Stat Changes")</f>
        <v>No Stat Changes</v>
      </c>
      <c r="H1291" s="102"/>
      <c r="I1291" s="102"/>
      <c r="J1291" s="102"/>
      <c r="K1291" s="102"/>
      <c r="L1291" s="102"/>
    </row>
    <row r="1292">
      <c r="A1292" s="102" t="str">
        <f>IFERROR(__xludf.DUMMYFUNCTION("""COMPUTED_VALUE"""),"Tediore")</f>
        <v>Tediore</v>
      </c>
      <c r="B1292" s="102" t="str">
        <f>IFERROR(__xludf.DUMMYFUNCTION("""COMPUTED_VALUE"""),"Assault Rifle")</f>
        <v>Assault Rifle</v>
      </c>
      <c r="C1292" s="103">
        <f>IFERROR(__xludf.DUMMYFUNCTION("""COMPUTED_VALUE"""),15.0)</f>
        <v>15</v>
      </c>
      <c r="D1292" s="102" t="str">
        <f>IFERROR(__xludf.DUMMYFUNCTION("""COMPUTED_VALUE"""),"Manufacturer Part")</f>
        <v>Manufacturer Part</v>
      </c>
      <c r="E1292" s="102" t="str">
        <f>IFERROR(__xludf.DUMMYFUNCTION("""COMPUTED_VALUE"""),"TED_AR.part_multi_ted_combo")</f>
        <v>TED_AR.part_multi_ted_combo</v>
      </c>
      <c r="F1292" s="102"/>
      <c r="G1292" s="102" t="str">
        <f>IFERROR(__xludf.DUMMYFUNCTION("""COMPUTED_VALUE"""),"No Stat Changes")</f>
        <v>No Stat Changes</v>
      </c>
      <c r="H1292" s="102"/>
      <c r="I1292" s="102"/>
      <c r="J1292" s="102"/>
      <c r="K1292" s="102"/>
      <c r="L1292" s="102"/>
    </row>
    <row r="1293">
      <c r="A1293" s="102" t="str">
        <f>IFERROR(__xludf.DUMMYFUNCTION("""COMPUTED_VALUE"""),"Tediore")</f>
        <v>Tediore</v>
      </c>
      <c r="B1293" s="102" t="str">
        <f>IFERROR(__xludf.DUMMYFUNCTION("""COMPUTED_VALUE"""),"Assault Rifle")</f>
        <v>Assault Rifle</v>
      </c>
      <c r="C1293" s="103">
        <f>IFERROR(__xludf.DUMMYFUNCTION("""COMPUTED_VALUE"""),16.0)</f>
        <v>16</v>
      </c>
      <c r="D1293" s="102" t="str">
        <f>IFERROR(__xludf.DUMMYFUNCTION("""COMPUTED_VALUE"""),"Manufacturer Part")</f>
        <v>Manufacturer Part</v>
      </c>
      <c r="E1293" s="102" t="str">
        <f>IFERROR(__xludf.DUMMYFUNCTION("""COMPUTED_VALUE"""),"TED_AR.part_multi_ted_replicator")</f>
        <v>TED_AR.part_multi_ted_replicator</v>
      </c>
      <c r="F1293" s="102"/>
      <c r="G1293" s="102" t="str">
        <f>IFERROR(__xludf.DUMMYFUNCTION("""COMPUTED_VALUE"""),"No Stat Changes")</f>
        <v>No Stat Changes</v>
      </c>
      <c r="H1293" s="102"/>
      <c r="I1293" s="102"/>
      <c r="J1293" s="102"/>
      <c r="K1293" s="102"/>
      <c r="L1293" s="102"/>
    </row>
    <row r="1294">
      <c r="A1294" s="102" t="str">
        <f>IFERROR(__xludf.DUMMYFUNCTION("""COMPUTED_VALUE"""),"Tediore")</f>
        <v>Tediore</v>
      </c>
      <c r="B1294" s="102" t="str">
        <f>IFERROR(__xludf.DUMMYFUNCTION("""COMPUTED_VALUE"""),"Assault Rifle")</f>
        <v>Assault Rifle</v>
      </c>
      <c r="C1294" s="103">
        <f>IFERROR(__xludf.DUMMYFUNCTION("""COMPUTED_VALUE"""),17.0)</f>
        <v>17</v>
      </c>
      <c r="D1294" s="102" t="str">
        <f>IFERROR(__xludf.DUMMYFUNCTION("""COMPUTED_VALUE"""),"Manufacturer Part")</f>
        <v>Manufacturer Part</v>
      </c>
      <c r="E1294" s="102" t="str">
        <f>IFERROR(__xludf.DUMMYFUNCTION("""COMPUTED_VALUE"""),"TED_AR.part_shield_default")</f>
        <v>TED_AR.part_shield_default</v>
      </c>
      <c r="F1294" s="102"/>
      <c r="G1294" s="102" t="str">
        <f>IFERROR(__xludf.DUMMYFUNCTION("""COMPUTED_VALUE"""),"Hyperion Shield")</f>
        <v>Hyperion Shield</v>
      </c>
      <c r="H1294" s="102"/>
      <c r="I1294" s="102"/>
      <c r="J1294" s="102"/>
      <c r="K1294" s="102"/>
      <c r="L1294" s="102"/>
    </row>
    <row r="1295">
      <c r="A1295" s="102" t="str">
        <f>IFERROR(__xludf.DUMMYFUNCTION("""COMPUTED_VALUE"""),"Tediore")</f>
        <v>Tediore</v>
      </c>
      <c r="B1295" s="102" t="str">
        <f>IFERROR(__xludf.DUMMYFUNCTION("""COMPUTED_VALUE"""),"Assault Rifle")</f>
        <v>Assault Rifle</v>
      </c>
      <c r="C1295" s="103">
        <f>IFERROR(__xludf.DUMMYFUNCTION("""COMPUTED_VALUE"""),18.0)</f>
        <v>18</v>
      </c>
      <c r="D1295" s="102" t="str">
        <f>IFERROR(__xludf.DUMMYFUNCTION("""COMPUTED_VALUE"""),"Manufacturer Part")</f>
        <v>Manufacturer Part</v>
      </c>
      <c r="E1295" s="102" t="str">
        <f>IFERROR(__xludf.DUMMYFUNCTION("""COMPUTED_VALUE"""),"TED_AR.part_shield_ricochet")</f>
        <v>TED_AR.part_shield_ricochet</v>
      </c>
      <c r="F1295" s="102"/>
      <c r="G1295" s="102" t="str">
        <f>IFERROR(__xludf.DUMMYFUNCTION("""COMPUTED_VALUE"""),"Hyperion Ricochet Shield")</f>
        <v>Hyperion Ricochet Shield</v>
      </c>
      <c r="H1295" s="102"/>
      <c r="I1295" s="102"/>
      <c r="J1295" s="102"/>
      <c r="K1295" s="102"/>
      <c r="L1295" s="102"/>
    </row>
    <row r="1296">
      <c r="A1296" s="102" t="str">
        <f>IFERROR(__xludf.DUMMYFUNCTION("""COMPUTED_VALUE"""),"Tediore")</f>
        <v>Tediore</v>
      </c>
      <c r="B1296" s="102" t="str">
        <f>IFERROR(__xludf.DUMMYFUNCTION("""COMPUTED_VALUE"""),"Assault Rifle")</f>
        <v>Assault Rifle</v>
      </c>
      <c r="C1296" s="103">
        <f>IFERROR(__xludf.DUMMYFUNCTION("""COMPUTED_VALUE"""),19.0)</f>
        <v>19</v>
      </c>
      <c r="D1296" s="102" t="str">
        <f>IFERROR(__xludf.DUMMYFUNCTION("""COMPUTED_VALUE"""),"Manufacturer Part")</f>
        <v>Manufacturer Part</v>
      </c>
      <c r="E1296" s="102" t="str">
        <f>IFERROR(__xludf.DUMMYFUNCTION("""COMPUTED_VALUE"""),"TED_AR.part_shield_ammo")</f>
        <v>TED_AR.part_shield_ammo</v>
      </c>
      <c r="F1296" s="102"/>
      <c r="G1296" s="102" t="str">
        <f>IFERROR(__xludf.DUMMYFUNCTION("""COMPUTED_VALUE"""),"Hyperion Absorb Shield")</f>
        <v>Hyperion Absorb Shield</v>
      </c>
      <c r="H1296" s="102"/>
      <c r="I1296" s="102"/>
      <c r="J1296" s="102"/>
      <c r="K1296" s="102"/>
      <c r="L1296" s="102"/>
    </row>
    <row r="1297">
      <c r="A1297" s="102" t="str">
        <f>IFERROR(__xludf.DUMMYFUNCTION("""COMPUTED_VALUE"""),"Tediore")</f>
        <v>Tediore</v>
      </c>
      <c r="B1297" s="102" t="str">
        <f>IFERROR(__xludf.DUMMYFUNCTION("""COMPUTED_VALUE"""),"Assault Rifle")</f>
        <v>Assault Rifle</v>
      </c>
      <c r="C1297" s="103">
        <f>IFERROR(__xludf.DUMMYFUNCTION("""COMPUTED_VALUE"""),20.0)</f>
        <v>20</v>
      </c>
      <c r="D1297" s="102" t="str">
        <f>IFERROR(__xludf.DUMMYFUNCTION("""COMPUTED_VALUE"""),"Manufacturer Part")</f>
        <v>Manufacturer Part</v>
      </c>
      <c r="E1297" s="102" t="str">
        <f>IFERROR(__xludf.DUMMYFUNCTION("""COMPUTED_VALUE"""),"TED_AR.part_shield_amp")</f>
        <v>TED_AR.part_shield_amp</v>
      </c>
      <c r="F1297" s="102"/>
      <c r="G1297" s="102" t="str">
        <f>IFERROR(__xludf.DUMMYFUNCTION("""COMPUTED_VALUE"""),"Hyperion Amp Shield")</f>
        <v>Hyperion Amp Shield</v>
      </c>
      <c r="H1297" s="102"/>
      <c r="I1297" s="102"/>
      <c r="J1297" s="102"/>
      <c r="K1297" s="102"/>
      <c r="L1297" s="102"/>
    </row>
    <row r="1298">
      <c r="A1298" s="102" t="str">
        <f>IFERROR(__xludf.DUMMYFUNCTION("""COMPUTED_VALUE"""),"Tediore")</f>
        <v>Tediore</v>
      </c>
      <c r="B1298" s="102" t="str">
        <f>IFERROR(__xludf.DUMMYFUNCTION("""COMPUTED_VALUE"""),"Assault Rifle")</f>
        <v>Assault Rifle</v>
      </c>
      <c r="C1298" s="103">
        <f>IFERROR(__xludf.DUMMYFUNCTION("""COMPUTED_VALUE"""),21.0)</f>
        <v>21</v>
      </c>
      <c r="D1298" s="102" t="str">
        <f>IFERROR(__xludf.DUMMYFUNCTION("""COMPUTED_VALUE"""),"Scope")</f>
        <v>Scope</v>
      </c>
      <c r="E1298" s="102" t="str">
        <f>IFERROR(__xludf.DUMMYFUNCTION("""COMPUTED_VALUE"""),"TED_AR.part_scope_02_lens_02")</f>
        <v>TED_AR.part_scope_02_lens_02</v>
      </c>
      <c r="F1298" s="102"/>
      <c r="G1298" s="102" t="str">
        <f>IFERROR(__xludf.DUMMYFUNCTION("""COMPUTED_VALUE"""),"ADS +++Zoom")</f>
        <v>ADS +++Zoom</v>
      </c>
      <c r="H1298" s="102" t="str">
        <f>IFERROR(__xludf.DUMMYFUNCTION("""COMPUTED_VALUE"""),"ADS +++Zoom")</f>
        <v>ADS +++Zoom</v>
      </c>
      <c r="I1298" s="102"/>
      <c r="J1298" s="102"/>
      <c r="K1298" s="102"/>
      <c r="L1298" s="102"/>
    </row>
    <row r="1299">
      <c r="A1299" s="102" t="str">
        <f>IFERROR(__xludf.DUMMYFUNCTION("""COMPUTED_VALUE"""),"Tediore")</f>
        <v>Tediore</v>
      </c>
      <c r="B1299" s="102" t="str">
        <f>IFERROR(__xludf.DUMMYFUNCTION("""COMPUTED_VALUE"""),"Assault Rifle")</f>
        <v>Assault Rifle</v>
      </c>
      <c r="C1299" s="103">
        <f>IFERROR(__xludf.DUMMYFUNCTION("""COMPUTED_VALUE"""),22.0)</f>
        <v>22</v>
      </c>
      <c r="D1299" s="102" t="str">
        <f>IFERROR(__xludf.DUMMYFUNCTION("""COMPUTED_VALUE"""),"Scope")</f>
        <v>Scope</v>
      </c>
      <c r="E1299" s="102" t="str">
        <f>IFERROR(__xludf.DUMMYFUNCTION("""COMPUTED_VALUE"""),"TED_AR.part_scope_02_lens_01")</f>
        <v>TED_AR.part_scope_02_lens_01</v>
      </c>
      <c r="F1299" s="102"/>
      <c r="G1299" s="102" t="str">
        <f>IFERROR(__xludf.DUMMYFUNCTION("""COMPUTED_VALUE"""),"ADS ++Zoom")</f>
        <v>ADS ++Zoom</v>
      </c>
      <c r="H1299" s="102" t="str">
        <f>IFERROR(__xludf.DUMMYFUNCTION("""COMPUTED_VALUE"""),"ADS ++Zoom")</f>
        <v>ADS ++Zoom</v>
      </c>
      <c r="I1299" s="102"/>
      <c r="J1299" s="102"/>
      <c r="K1299" s="102"/>
      <c r="L1299" s="102"/>
    </row>
    <row r="1300">
      <c r="A1300" s="102" t="str">
        <f>IFERROR(__xludf.DUMMYFUNCTION("""COMPUTED_VALUE"""),"Tediore")</f>
        <v>Tediore</v>
      </c>
      <c r="B1300" s="102" t="str">
        <f>IFERROR(__xludf.DUMMYFUNCTION("""COMPUTED_VALUE"""),"Assault Rifle")</f>
        <v>Assault Rifle</v>
      </c>
      <c r="C1300" s="103">
        <f>IFERROR(__xludf.DUMMYFUNCTION("""COMPUTED_VALUE"""),23.0)</f>
        <v>23</v>
      </c>
      <c r="D1300" s="102" t="str">
        <f>IFERROR(__xludf.DUMMYFUNCTION("""COMPUTED_VALUE"""),"Scope")</f>
        <v>Scope</v>
      </c>
      <c r="E1300" s="102" t="str">
        <f>IFERROR(__xludf.DUMMYFUNCTION("""COMPUTED_VALUE"""),"TED_AR.part_scope_01_lens_02")</f>
        <v>TED_AR.part_scope_01_lens_02</v>
      </c>
      <c r="F1300" s="102"/>
      <c r="G1300" s="102" t="str">
        <f>IFERROR(__xludf.DUMMYFUNCTION("""COMPUTED_VALUE"""),"ADS")</f>
        <v>ADS</v>
      </c>
      <c r="H1300" s="102" t="str">
        <f>IFERROR(__xludf.DUMMYFUNCTION("""COMPUTED_VALUE"""),"ADS")</f>
        <v>ADS</v>
      </c>
      <c r="I1300" s="102"/>
      <c r="J1300" s="102"/>
      <c r="K1300" s="102"/>
      <c r="L1300" s="102"/>
    </row>
    <row r="1301">
      <c r="A1301" s="102" t="str">
        <f>IFERROR(__xludf.DUMMYFUNCTION("""COMPUTED_VALUE"""),"Tediore")</f>
        <v>Tediore</v>
      </c>
      <c r="B1301" s="102" t="str">
        <f>IFERROR(__xludf.DUMMYFUNCTION("""COMPUTED_VALUE"""),"Assault Rifle")</f>
        <v>Assault Rifle</v>
      </c>
      <c r="C1301" s="103">
        <f>IFERROR(__xludf.DUMMYFUNCTION("""COMPUTED_VALUE"""),24.0)</f>
        <v>24</v>
      </c>
      <c r="D1301" s="102" t="str">
        <f>IFERROR(__xludf.DUMMYFUNCTION("""COMPUTED_VALUE"""),"Scope")</f>
        <v>Scope</v>
      </c>
      <c r="E1301" s="102" t="str">
        <f>IFERROR(__xludf.DUMMYFUNCTION("""COMPUTED_VALUE"""),"TED_AR.part_scope_01_lens_01")</f>
        <v>TED_AR.part_scope_01_lens_01</v>
      </c>
      <c r="F1301" s="102"/>
      <c r="G1301" s="102" t="str">
        <f>IFERROR(__xludf.DUMMYFUNCTION("""COMPUTED_VALUE"""),"ADS +Zoom")</f>
        <v>ADS +Zoom</v>
      </c>
      <c r="H1301" s="102" t="str">
        <f>IFERROR(__xludf.DUMMYFUNCTION("""COMPUTED_VALUE"""),"ADS +Zoom")</f>
        <v>ADS +Zoom</v>
      </c>
      <c r="I1301" s="102"/>
      <c r="J1301" s="102"/>
      <c r="K1301" s="102"/>
      <c r="L1301" s="102"/>
    </row>
    <row r="1302">
      <c r="A1302" s="102" t="str">
        <f>IFERROR(__xludf.DUMMYFUNCTION("""COMPUTED_VALUE"""),"Tediore")</f>
        <v>Tediore</v>
      </c>
      <c r="B1302" s="102" t="str">
        <f>IFERROR(__xludf.DUMMYFUNCTION("""COMPUTED_VALUE"""),"Assault Rifle")</f>
        <v>Assault Rifle</v>
      </c>
      <c r="C1302" s="103">
        <f>IFERROR(__xludf.DUMMYFUNCTION("""COMPUTED_VALUE"""),25.0)</f>
        <v>25</v>
      </c>
      <c r="D1302" s="102" t="str">
        <f>IFERROR(__xludf.DUMMYFUNCTION("""COMPUTED_VALUE"""),"Scope")</f>
        <v>Scope</v>
      </c>
      <c r="E1302" s="102" t="str">
        <f>IFERROR(__xludf.DUMMYFUNCTION("""COMPUTED_VALUE"""),"TED_AR.part_scope_ironsight")</f>
        <v>TED_AR.part_scope_ironsight</v>
      </c>
      <c r="F1302" s="102"/>
      <c r="G1302" s="102" t="str">
        <f>IFERROR(__xludf.DUMMYFUNCTION("""COMPUTED_VALUE"""),"ADS")</f>
        <v>ADS</v>
      </c>
      <c r="H1302" s="102" t="str">
        <f>IFERROR(__xludf.DUMMYFUNCTION("""COMPUTED_VALUE"""),"ADS")</f>
        <v>ADS</v>
      </c>
      <c r="I1302" s="102"/>
      <c r="J1302" s="102"/>
      <c r="K1302" s="102"/>
      <c r="L1302" s="102"/>
    </row>
    <row r="1303">
      <c r="A1303" s="102" t="str">
        <f>IFERROR(__xludf.DUMMYFUNCTION("""COMPUTED_VALUE"""),"Tediore")</f>
        <v>Tediore</v>
      </c>
      <c r="B1303" s="102" t="str">
        <f>IFERROR(__xludf.DUMMYFUNCTION("""COMPUTED_VALUE"""),"Assault Rifle")</f>
        <v>Assault Rifle</v>
      </c>
      <c r="C1303" s="103">
        <f>IFERROR(__xludf.DUMMYFUNCTION("""COMPUTED_VALUE"""),26.0)</f>
        <v>26</v>
      </c>
      <c r="D1303" s="102" t="str">
        <f>IFERROR(__xludf.DUMMYFUNCTION("""COMPUTED_VALUE"""),"Scope Accessory")</f>
        <v>Scope Accessory</v>
      </c>
      <c r="E1303" s="102" t="str">
        <f>IFERROR(__xludf.DUMMYFUNCTION("""COMPUTED_VALUE"""),"TED_AR.part_scope_acc_S01_L01_a")</f>
        <v>TED_AR.part_scope_acc_S01_L01_a</v>
      </c>
      <c r="F1303" s="102"/>
      <c r="G1303" s="102" t="str">
        <f>IFERROR(__xludf.DUMMYFUNCTION("""COMPUTED_VALUE"""),"+Damage")</f>
        <v>+Damage</v>
      </c>
      <c r="H1303" s="102" t="str">
        <f>IFERROR(__xludf.DUMMYFUNCTION("""COMPUTED_VALUE"""),"Scope Hood")</f>
        <v>Scope Hood</v>
      </c>
      <c r="I1303" s="102"/>
      <c r="J1303" s="102"/>
      <c r="K1303" s="102"/>
      <c r="L1303" s="102"/>
    </row>
    <row r="1304">
      <c r="A1304" s="102" t="str">
        <f>IFERROR(__xludf.DUMMYFUNCTION("""COMPUTED_VALUE"""),"Tediore")</f>
        <v>Tediore</v>
      </c>
      <c r="B1304" s="102" t="str">
        <f>IFERROR(__xludf.DUMMYFUNCTION("""COMPUTED_VALUE"""),"Assault Rifle")</f>
        <v>Assault Rifle</v>
      </c>
      <c r="C1304" s="103">
        <f>IFERROR(__xludf.DUMMYFUNCTION("""COMPUTED_VALUE"""),27.0)</f>
        <v>27</v>
      </c>
      <c r="D1304" s="102" t="str">
        <f>IFERROR(__xludf.DUMMYFUNCTION("""COMPUTED_VALUE"""),"Scope Accessory")</f>
        <v>Scope Accessory</v>
      </c>
      <c r="E1304" s="102" t="str">
        <f>IFERROR(__xludf.DUMMYFUNCTION("""COMPUTED_VALUE"""),"TED_AR.part_scope_acc_S01_L01_b")</f>
        <v>TED_AR.part_scope_acc_S01_L01_b</v>
      </c>
      <c r="F1304" s="102"/>
      <c r="G1304" s="102" t="str">
        <f>IFERROR(__xludf.DUMMYFUNCTION("""COMPUTED_VALUE"""),"-Reload Speed")</f>
        <v>-Reload Speed</v>
      </c>
      <c r="H1304" s="102" t="str">
        <f>IFERROR(__xludf.DUMMYFUNCTION("""COMPUTED_VALUE"""),"Mag Counter, Damage Type")</f>
        <v>Mag Counter, Damage Type</v>
      </c>
      <c r="I1304" s="102"/>
      <c r="J1304" s="102"/>
      <c r="K1304" s="102"/>
      <c r="L1304" s="102"/>
    </row>
    <row r="1305">
      <c r="A1305" s="102" t="str">
        <f>IFERROR(__xludf.DUMMYFUNCTION("""COMPUTED_VALUE"""),"Tediore")</f>
        <v>Tediore</v>
      </c>
      <c r="B1305" s="102" t="str">
        <f>IFERROR(__xludf.DUMMYFUNCTION("""COMPUTED_VALUE"""),"Assault Rifle")</f>
        <v>Assault Rifle</v>
      </c>
      <c r="C1305" s="103">
        <f>IFERROR(__xludf.DUMMYFUNCTION("""COMPUTED_VALUE"""),28.0)</f>
        <v>28</v>
      </c>
      <c r="D1305" s="102" t="str">
        <f>IFERROR(__xludf.DUMMYFUNCTION("""COMPUTED_VALUE"""),"Scope Accessory")</f>
        <v>Scope Accessory</v>
      </c>
      <c r="E1305" s="102" t="str">
        <f>IFERROR(__xludf.DUMMYFUNCTION("""COMPUTED_VALUE"""),"TED_AR.part_scope_acc_S02_L01_a")</f>
        <v>TED_AR.part_scope_acc_S02_L01_a</v>
      </c>
      <c r="F1305" s="102"/>
      <c r="G1305" s="102" t="str">
        <f>IFERROR(__xludf.DUMMYFUNCTION("""COMPUTED_VALUE"""),"No Stat Changes")</f>
        <v>No Stat Changes</v>
      </c>
      <c r="H1305" s="102" t="str">
        <f>IFERROR(__xludf.DUMMYFUNCTION("""COMPUTED_VALUE"""),"HUD Elements")</f>
        <v>HUD Elements</v>
      </c>
      <c r="I1305" s="102"/>
      <c r="J1305" s="102"/>
      <c r="K1305" s="102"/>
      <c r="L1305" s="102"/>
    </row>
    <row r="1306">
      <c r="A1306" s="102" t="str">
        <f>IFERROR(__xludf.DUMMYFUNCTION("""COMPUTED_VALUE"""),"Tediore")</f>
        <v>Tediore</v>
      </c>
      <c r="B1306" s="102" t="str">
        <f>IFERROR(__xludf.DUMMYFUNCTION("""COMPUTED_VALUE"""),"Assault Rifle")</f>
        <v>Assault Rifle</v>
      </c>
      <c r="C1306" s="103">
        <f>IFERROR(__xludf.DUMMYFUNCTION("""COMPUTED_VALUE"""),29.0)</f>
        <v>29</v>
      </c>
      <c r="D1306" s="102" t="str">
        <f>IFERROR(__xludf.DUMMYFUNCTION("""COMPUTED_VALUE"""),"Scope Accessory")</f>
        <v>Scope Accessory</v>
      </c>
      <c r="E1306" s="102" t="str">
        <f>IFERROR(__xludf.DUMMYFUNCTION("""COMPUTED_VALUE"""),"TED_AR.part_scope_acc_S02_L01_b")</f>
        <v>TED_AR.part_scope_acc_S02_L01_b</v>
      </c>
      <c r="F1306" s="102"/>
      <c r="G1306" s="102" t="str">
        <f>IFERROR(__xludf.DUMMYFUNCTION("""COMPUTED_VALUE"""),"+Crit Damage")</f>
        <v>+Crit Damage</v>
      </c>
      <c r="H1306" s="102" t="str">
        <f>IFERROR(__xludf.DUMMYFUNCTION("""COMPUTED_VALUE"""),"Damage Type")</f>
        <v>Damage Type</v>
      </c>
      <c r="I1306" s="102"/>
      <c r="J1306" s="102"/>
      <c r="K1306" s="102"/>
      <c r="L1306" s="102"/>
    </row>
    <row r="1307">
      <c r="A1307" s="102" t="str">
        <f>IFERROR(__xludf.DUMMYFUNCTION("""COMPUTED_VALUE"""),"Tediore")</f>
        <v>Tediore</v>
      </c>
      <c r="B1307" s="102" t="str">
        <f>IFERROR(__xludf.DUMMYFUNCTION("""COMPUTED_VALUE"""),"Assault Rifle")</f>
        <v>Assault Rifle</v>
      </c>
      <c r="C1307" s="103">
        <f>IFERROR(__xludf.DUMMYFUNCTION("""COMPUTED_VALUE"""),30.0)</f>
        <v>30</v>
      </c>
      <c r="D1307" s="102" t="str">
        <f>IFERROR(__xludf.DUMMYFUNCTION("""COMPUTED_VALUE"""),"Scope Accessory")</f>
        <v>Scope Accessory</v>
      </c>
      <c r="E1307" s="102" t="str">
        <f>IFERROR(__xludf.DUMMYFUNCTION("""COMPUTED_VALUE"""),"TED_AR.part_scope_acc_S01_L02_a")</f>
        <v>TED_AR.part_scope_acc_S01_L02_a</v>
      </c>
      <c r="F1307" s="102"/>
      <c r="G1307" s="102" t="str">
        <f>IFERROR(__xludf.DUMMYFUNCTION("""COMPUTED_VALUE"""),"+Damage")</f>
        <v>+Damage</v>
      </c>
      <c r="H1307" s="102" t="str">
        <f>IFERROR(__xludf.DUMMYFUNCTION("""COMPUTED_VALUE"""),"Distance, Scope Hood")</f>
        <v>Distance, Scope Hood</v>
      </c>
      <c r="I1307" s="102"/>
      <c r="J1307" s="102"/>
      <c r="K1307" s="102"/>
      <c r="L1307" s="102"/>
    </row>
    <row r="1308">
      <c r="A1308" s="102" t="str">
        <f>IFERROR(__xludf.DUMMYFUNCTION("""COMPUTED_VALUE"""),"Tediore")</f>
        <v>Tediore</v>
      </c>
      <c r="B1308" s="102" t="str">
        <f>IFERROR(__xludf.DUMMYFUNCTION("""COMPUTED_VALUE"""),"Assault Rifle")</f>
        <v>Assault Rifle</v>
      </c>
      <c r="C1308" s="103">
        <f>IFERROR(__xludf.DUMMYFUNCTION("""COMPUTED_VALUE"""),31.0)</f>
        <v>31</v>
      </c>
      <c r="D1308" s="102" t="str">
        <f>IFERROR(__xludf.DUMMYFUNCTION("""COMPUTED_VALUE"""),"Scope Accessory")</f>
        <v>Scope Accessory</v>
      </c>
      <c r="E1308" s="102" t="str">
        <f>IFERROR(__xludf.DUMMYFUNCTION("""COMPUTED_VALUE"""),"TED_AR.part_scope_acc_S01_L02_b")</f>
        <v>TED_AR.part_scope_acc_S01_L02_b</v>
      </c>
      <c r="F1308" s="102"/>
      <c r="G1308" s="102" t="str">
        <f>IFERROR(__xludf.DUMMYFUNCTION("""COMPUTED_VALUE"""),"-Reload Speed")</f>
        <v>-Reload Speed</v>
      </c>
      <c r="H1308" s="102" t="str">
        <f>IFERROR(__xludf.DUMMYFUNCTION("""COMPUTED_VALUE"""),"Mag Counter, Damage Type")</f>
        <v>Mag Counter, Damage Type</v>
      </c>
      <c r="I1308" s="102"/>
      <c r="J1308" s="102"/>
      <c r="K1308" s="102"/>
      <c r="L1308" s="102"/>
    </row>
    <row r="1309">
      <c r="A1309" s="102" t="str">
        <f>IFERROR(__xludf.DUMMYFUNCTION("""COMPUTED_VALUE"""),"Tediore")</f>
        <v>Tediore</v>
      </c>
      <c r="B1309" s="102" t="str">
        <f>IFERROR(__xludf.DUMMYFUNCTION("""COMPUTED_VALUE"""),"Assault Rifle")</f>
        <v>Assault Rifle</v>
      </c>
      <c r="C1309" s="103">
        <f>IFERROR(__xludf.DUMMYFUNCTION("""COMPUTED_VALUE"""),32.0)</f>
        <v>32</v>
      </c>
      <c r="D1309" s="102" t="str">
        <f>IFERROR(__xludf.DUMMYFUNCTION("""COMPUTED_VALUE"""),"Scope Accessory")</f>
        <v>Scope Accessory</v>
      </c>
      <c r="E1309" s="102" t="str">
        <f>IFERROR(__xludf.DUMMYFUNCTION("""COMPUTED_VALUE"""),"TED_AR.part_scope_acc_S02_L02_a")</f>
        <v>TED_AR.part_scope_acc_S02_L02_a</v>
      </c>
      <c r="F1309" s="102"/>
      <c r="G1309" s="104" t="str">
        <f>IFERROR(__xludf.DUMMYFUNCTION("""COMPUTED_VALUE"""),"No Stat Changes")</f>
        <v>No Stat Changes</v>
      </c>
      <c r="H1309" s="102" t="str">
        <f>IFERROR(__xludf.DUMMYFUNCTION("""COMPUTED_VALUE"""),"Damage Type")</f>
        <v>Damage Type</v>
      </c>
      <c r="I1309" s="102"/>
      <c r="J1309" s="102"/>
      <c r="K1309" s="102"/>
      <c r="L1309" s="102"/>
    </row>
    <row r="1310">
      <c r="A1310" s="102" t="str">
        <f>IFERROR(__xludf.DUMMYFUNCTION("""COMPUTED_VALUE"""),"Tediore")</f>
        <v>Tediore</v>
      </c>
      <c r="B1310" s="102" t="str">
        <f>IFERROR(__xludf.DUMMYFUNCTION("""COMPUTED_VALUE"""),"Assault Rifle")</f>
        <v>Assault Rifle</v>
      </c>
      <c r="C1310" s="103">
        <f>IFERROR(__xludf.DUMMYFUNCTION("""COMPUTED_VALUE"""),33.0)</f>
        <v>33</v>
      </c>
      <c r="D1310" s="102" t="str">
        <f>IFERROR(__xludf.DUMMYFUNCTION("""COMPUTED_VALUE"""),"Scope Accessory")</f>
        <v>Scope Accessory</v>
      </c>
      <c r="E1310" s="102" t="str">
        <f>IFERROR(__xludf.DUMMYFUNCTION("""COMPUTED_VALUE"""),"TED_AR.part_scope_acc_S02_L02_b")</f>
        <v>TED_AR.part_scope_acc_S02_L02_b</v>
      </c>
      <c r="F1310" s="102"/>
      <c r="G1310" s="104" t="str">
        <f>IFERROR(__xludf.DUMMYFUNCTION("""COMPUTED_VALUE"""),"+Crit Damage")</f>
        <v>+Crit Damage</v>
      </c>
      <c r="H1310" s="102" t="str">
        <f>IFERROR(__xludf.DUMMYFUNCTION("""COMPUTED_VALUE"""),"Scope Hood")</f>
        <v>Scope Hood</v>
      </c>
      <c r="I1310" s="102"/>
      <c r="J1310" s="102"/>
      <c r="K1310" s="102"/>
      <c r="L1310" s="102"/>
    </row>
    <row r="1311">
      <c r="A1311" s="102" t="str">
        <f>IFERROR(__xludf.DUMMYFUNCTION("""COMPUTED_VALUE"""),"Tediore")</f>
        <v>Tediore</v>
      </c>
      <c r="B1311" s="102" t="str">
        <f>IFERROR(__xludf.DUMMYFUNCTION("""COMPUTED_VALUE"""),"Assault Rifle")</f>
        <v>Assault Rifle</v>
      </c>
      <c r="C1311" s="103">
        <f>IFERROR(__xludf.DUMMYFUNCTION("""COMPUTED_VALUE"""),34.0)</f>
        <v>34</v>
      </c>
      <c r="D1311" s="102" t="str">
        <f>IFERROR(__xludf.DUMMYFUNCTION("""COMPUTED_VALUE"""),"Barrel")</f>
        <v>Barrel</v>
      </c>
      <c r="E1311" s="102" t="str">
        <f>IFERROR(__xludf.DUMMYFUNCTION("""COMPUTED_VALUE"""),"TED_AR.part_barrel_02_Chuck")</f>
        <v>TED_AR.part_barrel_02_Chuck</v>
      </c>
      <c r="F1311" s="102"/>
      <c r="G1311" s="102" t="str">
        <f>IFERROR(__xludf.DUMMYFUNCTION("""COMPUTED_VALUE"""),"Chuck, 982 Damage, 77% Acc, 3.4/s Reload")</f>
        <v>Chuck, 982 Damage, 77% Acc, 3.4/s Reload</v>
      </c>
      <c r="H1311" s="102"/>
      <c r="I1311" s="102"/>
      <c r="J1311" s="102"/>
      <c r="K1311" s="102"/>
      <c r="L1311" s="102"/>
    </row>
    <row r="1312">
      <c r="A1312" s="102" t="str">
        <f>IFERROR(__xludf.DUMMYFUNCTION("""COMPUTED_VALUE"""),"Tediore")</f>
        <v>Tediore</v>
      </c>
      <c r="B1312" s="102" t="str">
        <f>IFERROR(__xludf.DUMMYFUNCTION("""COMPUTED_VALUE"""),"Assault Rifle")</f>
        <v>Assault Rifle</v>
      </c>
      <c r="C1312" s="103">
        <f>IFERROR(__xludf.DUMMYFUNCTION("""COMPUTED_VALUE"""),39.0)</f>
        <v>39</v>
      </c>
      <c r="D1312" s="102" t="str">
        <f>IFERROR(__xludf.DUMMYFUNCTION("""COMPUTED_VALUE"""),"Barrel")</f>
        <v>Barrel</v>
      </c>
      <c r="E1312" s="102" t="str">
        <f>IFERROR(__xludf.DUMMYFUNCTION("""COMPUTED_VALUE"""),"TED_AR.part_barrel_01_DividedFocus")</f>
        <v>TED_AR.part_barrel_01_DividedFocus</v>
      </c>
      <c r="F1312" s="102"/>
      <c r="G1312" s="102" t="str">
        <f>IFERROR(__xludf.DUMMYFUNCTION("""COMPUTED_VALUE"""),"Divided Focus, 1227 Damage, 72% Acc, 4.0/s FR")</f>
        <v>Divided Focus, 1227 Damage, 72% Acc, 4.0/s FR</v>
      </c>
      <c r="H1312" s="102" t="str">
        <f>IFERROR(__xludf.DUMMYFUNCTION("""COMPUTED_VALUE"""),"Conquerer - Fire bouncing Projectiles that pierce enemies")</f>
        <v>Conquerer - Fire bouncing Projectiles that pierce enemies</v>
      </c>
      <c r="I1312" s="102"/>
      <c r="J1312" s="102"/>
      <c r="K1312" s="102"/>
      <c r="L1312" s="102"/>
    </row>
    <row r="1313">
      <c r="A1313" s="102" t="str">
        <f>IFERROR(__xludf.DUMMYFUNCTION("""COMPUTED_VALUE"""),"Tediore")</f>
        <v>Tediore</v>
      </c>
      <c r="B1313" s="102" t="str">
        <f>IFERROR(__xludf.DUMMYFUNCTION("""COMPUTED_VALUE"""),"Assault Rifle")</f>
        <v>Assault Rifle</v>
      </c>
      <c r="C1313" s="103">
        <f>IFERROR(__xludf.DUMMYFUNCTION("""COMPUTED_VALUE"""),40.0)</f>
        <v>40</v>
      </c>
      <c r="D1313" s="102" t="str">
        <f>IFERROR(__xludf.DUMMYFUNCTION("""COMPUTED_VALUE"""),"Manufacturer Part")</f>
        <v>Manufacturer Part</v>
      </c>
      <c r="E1313" s="102" t="str">
        <f>IFERROR(__xludf.DUMMYFUNCTION("""COMPUTED_VALUE"""),"TED_AR.part_barrel_licensed_ted_replicator_multi")</f>
        <v>TED_AR.part_barrel_licensed_ted_replicator_multi</v>
      </c>
      <c r="F1313" s="102"/>
      <c r="G1313" s="102" t="str">
        <f>IFERROR(__xludf.DUMMYFUNCTION("""COMPUTED_VALUE"""),"Tediore Replicator, no stat changes")</f>
        <v>Tediore Replicator, no stat changes</v>
      </c>
      <c r="H1313" s="102"/>
      <c r="I1313" s="102"/>
      <c r="J1313" s="102"/>
      <c r="K1313" s="102"/>
      <c r="L1313" s="102"/>
    </row>
    <row r="1314">
      <c r="A1314" s="102" t="str">
        <f>IFERROR(__xludf.DUMMYFUNCTION("""COMPUTED_VALUE"""),"Tediore")</f>
        <v>Tediore</v>
      </c>
      <c r="B1314" s="102" t="str">
        <f>IFERROR(__xludf.DUMMYFUNCTION("""COMPUTED_VALUE"""),"Assault Rifle")</f>
        <v>Assault Rifle</v>
      </c>
      <c r="C1314" s="103">
        <f>IFERROR(__xludf.DUMMYFUNCTION("""COMPUTED_VALUE"""),41.0)</f>
        <v>41</v>
      </c>
      <c r="D1314" s="102" t="str">
        <f>IFERROR(__xludf.DUMMYFUNCTION("""COMPUTED_VALUE"""),"Grip")</f>
        <v>Grip</v>
      </c>
      <c r="E1314" s="102" t="str">
        <f>IFERROR(__xludf.DUMMYFUNCTION("""COMPUTED_VALUE"""),"TED_AR.part_grip_05a_ted_legs")</f>
        <v>TED_AR.part_grip_05a_ted_legs</v>
      </c>
      <c r="F1314" s="102"/>
      <c r="G1314" s="102" t="str">
        <f>IFERROR(__xludf.DUMMYFUNCTION("""COMPUTED_VALUE"""),"Tediore reload modifier: Legs, no stat changes")</f>
        <v>Tediore reload modifier: Legs, no stat changes</v>
      </c>
      <c r="H1314" s="102"/>
      <c r="I1314" s="102"/>
      <c r="J1314" s="102"/>
      <c r="K1314" s="102"/>
      <c r="L1314" s="102"/>
    </row>
    <row r="1315">
      <c r="A1315" s="102" t="str">
        <f>IFERROR(__xludf.DUMMYFUNCTION("""COMPUTED_VALUE"""),"Tediore")</f>
        <v>Tediore</v>
      </c>
      <c r="B1315" s="102" t="str">
        <f>IFERROR(__xludf.DUMMYFUNCTION("""COMPUTED_VALUE"""),"Assault Rifle")</f>
        <v>Assault Rifle</v>
      </c>
      <c r="C1315" s="103">
        <f>IFERROR(__xludf.DUMMYFUNCTION("""COMPUTED_VALUE"""),42.0)</f>
        <v>42</v>
      </c>
      <c r="D1315" s="102" t="str">
        <f>IFERROR(__xludf.DUMMYFUNCTION("""COMPUTED_VALUE"""),"Grip")</f>
        <v>Grip</v>
      </c>
      <c r="E1315" s="102" t="str">
        <f>IFERROR(__xludf.DUMMYFUNCTION("""COMPUTED_VALUE"""),"TED_AR.part_grip_05b_ted_jav")</f>
        <v>TED_AR.part_grip_05b_ted_jav</v>
      </c>
      <c r="F1315" s="102"/>
      <c r="G1315" s="102" t="str">
        <f>IFERROR(__xludf.DUMMYFUNCTION("""COMPUTED_VALUE"""),"Tediore reload modifier: Javelin, no stat changes")</f>
        <v>Tediore reload modifier: Javelin, no stat changes</v>
      </c>
      <c r="H1315" s="102"/>
      <c r="I1315" s="102"/>
      <c r="J1315" s="102"/>
      <c r="K1315" s="102"/>
      <c r="L1315" s="102"/>
    </row>
    <row r="1316">
      <c r="A1316" s="102" t="str">
        <f>IFERROR(__xludf.DUMMYFUNCTION("""COMPUTED_VALUE"""),"Tediore")</f>
        <v>Tediore</v>
      </c>
      <c r="B1316" s="102" t="str">
        <f>IFERROR(__xludf.DUMMYFUNCTION("""COMPUTED_VALUE"""),"Assault Rifle")</f>
        <v>Assault Rifle</v>
      </c>
      <c r="C1316" s="103">
        <f>IFERROR(__xludf.DUMMYFUNCTION("""COMPUTED_VALUE"""),43.0)</f>
        <v>43</v>
      </c>
      <c r="D1316" s="102" t="str">
        <f>IFERROR(__xludf.DUMMYFUNCTION("""COMPUTED_VALUE"""),"Grip")</f>
        <v>Grip</v>
      </c>
      <c r="E1316" s="102" t="str">
        <f>IFERROR(__xludf.DUMMYFUNCTION("""COMPUTED_VALUE"""),"TED_AR.part_grip_05c_ted_homing")</f>
        <v>TED_AR.part_grip_05c_ted_homing</v>
      </c>
      <c r="F1316" s="102"/>
      <c r="G1316" s="102" t="str">
        <f>IFERROR(__xludf.DUMMYFUNCTION("""COMPUTED_VALUE"""),"Tediore reload modifier: Homing, no stat changes")</f>
        <v>Tediore reload modifier: Homing, no stat changes</v>
      </c>
      <c r="H1316" s="102"/>
      <c r="I1316" s="102"/>
      <c r="J1316" s="102"/>
      <c r="K1316" s="102"/>
      <c r="L1316" s="102"/>
    </row>
    <row r="1317">
      <c r="A1317" s="102" t="str">
        <f>IFERROR(__xludf.DUMMYFUNCTION("""COMPUTED_VALUE"""),"Tediore")</f>
        <v>Tediore</v>
      </c>
      <c r="B1317" s="102" t="str">
        <f>IFERROR(__xludf.DUMMYFUNCTION("""COMPUTED_VALUE"""),"Assault Rifle")</f>
        <v>Assault Rifle</v>
      </c>
      <c r="C1317" s="103">
        <f>IFERROR(__xludf.DUMMYFUNCTION("""COMPUTED_VALUE"""),44.0)</f>
        <v>44</v>
      </c>
      <c r="D1317" s="102" t="str">
        <f>IFERROR(__xludf.DUMMYFUNCTION("""COMPUTED_VALUE"""),"Grip")</f>
        <v>Grip</v>
      </c>
      <c r="E1317" s="102" t="str">
        <f>IFERROR(__xludf.DUMMYFUNCTION("""COMPUTED_VALUE"""),"TED_AR.part_grip_04_hyp")</f>
        <v>TED_AR.part_grip_04_hyp</v>
      </c>
      <c r="F1317" s="102"/>
      <c r="G1317" s="102" t="str">
        <f>IFERROR(__xludf.DUMMYFUNCTION("""COMPUTED_VALUE"""),"Hyperion Grip, -Acc, Acc increases with continuous fire")</f>
        <v>Hyperion Grip, -Acc, Acc increases with continuous fire</v>
      </c>
      <c r="H1317" s="102"/>
      <c r="I1317" s="102"/>
      <c r="J1317" s="102"/>
      <c r="K1317" s="102"/>
      <c r="L1317" s="102"/>
    </row>
    <row r="1318">
      <c r="A1318" s="102" t="str">
        <f>IFERROR(__xludf.DUMMYFUNCTION("""COMPUTED_VALUE"""),"Tediore")</f>
        <v>Tediore</v>
      </c>
      <c r="B1318" s="102" t="str">
        <f>IFERROR(__xludf.DUMMYFUNCTION("""COMPUTED_VALUE"""),"Assault Rifle")</f>
        <v>Assault Rifle</v>
      </c>
      <c r="C1318" s="103">
        <f>IFERROR(__xludf.DUMMYFUNCTION("""COMPUTED_VALUE"""),45.0)</f>
        <v>45</v>
      </c>
      <c r="D1318" s="102" t="str">
        <f>IFERROR(__xludf.DUMMYFUNCTION("""COMPUTED_VALUE"""),"Grip")</f>
        <v>Grip</v>
      </c>
      <c r="E1318" s="102" t="str">
        <f>IFERROR(__xludf.DUMMYFUNCTION("""COMPUTED_VALUE"""),"TED_AR.part_grip_01")</f>
        <v>TED_AR.part_grip_01</v>
      </c>
      <c r="F1318" s="102"/>
      <c r="G1318" s="102" t="str">
        <f>IFERROR(__xludf.DUMMYFUNCTION("""COMPUTED_VALUE"""),"+Damage")</f>
        <v>+Damage</v>
      </c>
      <c r="H1318" s="102"/>
      <c r="I1318" s="102"/>
      <c r="J1318" s="102"/>
      <c r="K1318" s="102"/>
      <c r="L1318" s="102"/>
    </row>
    <row r="1319">
      <c r="A1319" s="102" t="str">
        <f>IFERROR(__xludf.DUMMYFUNCTION("""COMPUTED_VALUE"""),"Tediore")</f>
        <v>Tediore</v>
      </c>
      <c r="B1319" s="102" t="str">
        <f>IFERROR(__xludf.DUMMYFUNCTION("""COMPUTED_VALUE"""),"Assault Rifle")</f>
        <v>Assault Rifle</v>
      </c>
      <c r="C1319" s="103">
        <f>IFERROR(__xludf.DUMMYFUNCTION("""COMPUTED_VALUE"""),46.0)</f>
        <v>46</v>
      </c>
      <c r="D1319" s="102" t="str">
        <f>IFERROR(__xludf.DUMMYFUNCTION("""COMPUTED_VALUE"""),"Grip")</f>
        <v>Grip</v>
      </c>
      <c r="E1319" s="102" t="str">
        <f>IFERROR(__xludf.DUMMYFUNCTION("""COMPUTED_VALUE"""),"TED_AR.part_grip_02")</f>
        <v>TED_AR.part_grip_02</v>
      </c>
      <c r="F1319" s="102"/>
      <c r="G1319" s="102" t="str">
        <f>IFERROR(__xludf.DUMMYFUNCTION("""COMPUTED_VALUE"""),"+Fire Rate")</f>
        <v>+Fire Rate</v>
      </c>
      <c r="H1319" s="102"/>
      <c r="I1319" s="102"/>
      <c r="J1319" s="102"/>
      <c r="K1319" s="102"/>
      <c r="L1319" s="102"/>
    </row>
    <row r="1320">
      <c r="A1320" s="102" t="str">
        <f>IFERROR(__xludf.DUMMYFUNCTION("""COMPUTED_VALUE"""),"Tediore")</f>
        <v>Tediore</v>
      </c>
      <c r="B1320" s="102" t="str">
        <f>IFERROR(__xludf.DUMMYFUNCTION("""COMPUTED_VALUE"""),"Assault Rifle")</f>
        <v>Assault Rifle</v>
      </c>
      <c r="C1320" s="103">
        <f>IFERROR(__xludf.DUMMYFUNCTION("""COMPUTED_VALUE"""),47.0)</f>
        <v>47</v>
      </c>
      <c r="D1320" s="102" t="str">
        <f>IFERROR(__xludf.DUMMYFUNCTION("""COMPUTED_VALUE"""),"Grip")</f>
        <v>Grip</v>
      </c>
      <c r="E1320" s="102" t="str">
        <f>IFERROR(__xludf.DUMMYFUNCTION("""COMPUTED_VALUE"""),"TED_AR.part_grip_03")</f>
        <v>TED_AR.part_grip_03</v>
      </c>
      <c r="F1320" s="102"/>
      <c r="G1320" s="102" t="str">
        <f>IFERROR(__xludf.DUMMYFUNCTION("""COMPUTED_VALUE"""),"+Ammo")</f>
        <v>+Ammo</v>
      </c>
      <c r="H1320" s="102"/>
      <c r="I1320" s="102"/>
      <c r="J1320" s="102"/>
      <c r="K1320" s="102"/>
      <c r="L1320" s="102"/>
    </row>
    <row r="1321">
      <c r="A1321" s="102" t="str">
        <f>IFERROR(__xludf.DUMMYFUNCTION("""COMPUTED_VALUE"""),"Tediore")</f>
        <v>Tediore</v>
      </c>
      <c r="B1321" s="102" t="str">
        <f>IFERROR(__xludf.DUMMYFUNCTION("""COMPUTED_VALUE"""),"Assault Rifle")</f>
        <v>Assault Rifle</v>
      </c>
      <c r="C1321" s="103">
        <f>IFERROR(__xludf.DUMMYFUNCTION("""COMPUTED_VALUE"""),48.0)</f>
        <v>48</v>
      </c>
      <c r="D1321" s="102" t="str">
        <f>IFERROR(__xludf.DUMMYFUNCTION("""COMPUTED_VALUE"""),"Grip")</f>
        <v>Grip</v>
      </c>
      <c r="E1321" s="102" t="str">
        <f>IFERROR(__xludf.DUMMYFUNCTION("""COMPUTED_VALUE"""),"TED_AR.part_grip_05a_ted_legs_mirv")</f>
        <v>TED_AR.part_grip_05a_ted_legs_mirv</v>
      </c>
      <c r="F1321" s="102"/>
      <c r="G1321" s="102" t="str">
        <f>IFERROR(__xludf.DUMMYFUNCTION("""COMPUTED_VALUE"""),"Tediore reload modifier: Legs, no stat changes")</f>
        <v>Tediore reload modifier: Legs, no stat changes</v>
      </c>
      <c r="H1321" s="102"/>
      <c r="I1321" s="102"/>
      <c r="J1321" s="102"/>
      <c r="K1321" s="102"/>
      <c r="L1321" s="102"/>
    </row>
    <row r="1322">
      <c r="A1322" s="102" t="str">
        <f>IFERROR(__xludf.DUMMYFUNCTION("""COMPUTED_VALUE"""),"Tediore")</f>
        <v>Tediore</v>
      </c>
      <c r="B1322" s="102" t="str">
        <f>IFERROR(__xludf.DUMMYFUNCTION("""COMPUTED_VALUE"""),"Assault Rifle")</f>
        <v>Assault Rifle</v>
      </c>
      <c r="C1322" s="103">
        <f>IFERROR(__xludf.DUMMYFUNCTION("""COMPUTED_VALUE"""),49.0)</f>
        <v>49</v>
      </c>
      <c r="D1322" s="102" t="str">
        <f>IFERROR(__xludf.DUMMYFUNCTION("""COMPUTED_VALUE"""),"Manufacturer Part")</f>
        <v>Manufacturer Part</v>
      </c>
      <c r="E1322" s="102" t="str">
        <f>IFERROR(__xludf.DUMMYFUNCTION("""COMPUTED_VALUE"""),"TED_AR.part_mag_torgue_sticky_murder")</f>
        <v>TED_AR.part_mag_torgue_sticky_murder</v>
      </c>
      <c r="F1322" s="102"/>
      <c r="G1322" s="102" t="str">
        <f>IFERROR(__xludf.DUMMYFUNCTION("""COMPUTED_VALUE"""),"Torgue Sticky Gyrojets - Murmur")</f>
        <v>Torgue Sticky Gyrojets - Murmur</v>
      </c>
      <c r="H1322" s="102"/>
      <c r="I1322" s="102"/>
      <c r="J1322" s="102"/>
      <c r="K1322" s="102"/>
      <c r="L1322" s="102"/>
    </row>
    <row r="1323">
      <c r="A1323" s="102" t="str">
        <f>IFERROR(__xludf.DUMMYFUNCTION("""COMPUTED_VALUE"""),"Tediore")</f>
        <v>Tediore</v>
      </c>
      <c r="B1323" s="102" t="str">
        <f>IFERROR(__xludf.DUMMYFUNCTION("""COMPUTED_VALUE"""),"Assault Rifle")</f>
        <v>Assault Rifle</v>
      </c>
      <c r="C1323" s="103">
        <f>IFERROR(__xludf.DUMMYFUNCTION("""COMPUTED_VALUE"""),50.0)</f>
        <v>50</v>
      </c>
      <c r="D1323" s="102" t="str">
        <f>IFERROR(__xludf.DUMMYFUNCTION("""COMPUTED_VALUE"""),"Manufacturer Part")</f>
        <v>Manufacturer Part</v>
      </c>
      <c r="E1323" s="102" t="str">
        <f>IFERROR(__xludf.DUMMYFUNCTION("""COMPUTED_VALUE"""),"TED_AR.part_mag_torgue_normal_murder")</f>
        <v>TED_AR.part_mag_torgue_normal_murder</v>
      </c>
      <c r="F1323" s="102"/>
      <c r="G1323" s="102" t="str">
        <f>IFERROR(__xludf.DUMMYFUNCTION("""COMPUTED_VALUE"""),"Torgue Impact Gyrojets - Murmur")</f>
        <v>Torgue Impact Gyrojets - Murmur</v>
      </c>
      <c r="H1323" s="102"/>
      <c r="I1323" s="102"/>
      <c r="J1323" s="102"/>
      <c r="K1323" s="102"/>
      <c r="L1323" s="102"/>
    </row>
    <row r="1324">
      <c r="A1324" s="102" t="str">
        <f>IFERROR(__xludf.DUMMYFUNCTION("""COMPUTED_VALUE"""),"Tediore")</f>
        <v>Tediore</v>
      </c>
      <c r="B1324" s="102" t="str">
        <f>IFERROR(__xludf.DUMMYFUNCTION("""COMPUTED_VALUE"""),"Assault Rifle")</f>
        <v>Assault Rifle</v>
      </c>
      <c r="C1324" s="103">
        <f>IFERROR(__xludf.DUMMYFUNCTION("""COMPUTED_VALUE"""),51.0)</f>
        <v>51</v>
      </c>
      <c r="D1324" s="102" t="str">
        <f>IFERROR(__xludf.DUMMYFUNCTION("""COMPUTED_VALUE"""),"Barrel Accessory")</f>
        <v>Barrel Accessory</v>
      </c>
      <c r="E1324" s="102" t="str">
        <f>IFERROR(__xludf.DUMMYFUNCTION("""COMPUTED_VALUE"""),"TED_AR.part_barrel_01_a")</f>
        <v>TED_AR.part_barrel_01_a</v>
      </c>
      <c r="F1324" s="102"/>
      <c r="G1324" s="102" t="str">
        <f>IFERROR(__xludf.DUMMYFUNCTION("""COMPUTED_VALUE"""),"+Damage")</f>
        <v>+Damage</v>
      </c>
      <c r="H1324" s="102"/>
      <c r="I1324" s="102"/>
      <c r="J1324" s="102"/>
      <c r="K1324" s="102"/>
      <c r="L1324" s="102"/>
    </row>
    <row r="1325">
      <c r="A1325" s="102" t="str">
        <f>IFERROR(__xludf.DUMMYFUNCTION("""COMPUTED_VALUE"""),"Tediore")</f>
        <v>Tediore</v>
      </c>
      <c r="B1325" s="102" t="str">
        <f>IFERROR(__xludf.DUMMYFUNCTION("""COMPUTED_VALUE"""),"Assault Rifle")</f>
        <v>Assault Rifle</v>
      </c>
      <c r="C1325" s="103">
        <f>IFERROR(__xludf.DUMMYFUNCTION("""COMPUTED_VALUE"""),52.0)</f>
        <v>52</v>
      </c>
      <c r="D1325" s="102" t="str">
        <f>IFERROR(__xludf.DUMMYFUNCTION("""COMPUTED_VALUE"""),"Barrel Accessory")</f>
        <v>Barrel Accessory</v>
      </c>
      <c r="E1325" s="102" t="str">
        <f>IFERROR(__xludf.DUMMYFUNCTION("""COMPUTED_VALUE"""),"TED_AR.part_barrel_01_b")</f>
        <v>TED_AR.part_barrel_01_b</v>
      </c>
      <c r="F1325" s="102"/>
      <c r="G1325" s="102" t="str">
        <f>IFERROR(__xludf.DUMMYFUNCTION("""COMPUTED_VALUE"""),"+Ammo")</f>
        <v>+Ammo</v>
      </c>
      <c r="H1325" s="102"/>
      <c r="I1325" s="102"/>
      <c r="J1325" s="102"/>
      <c r="K1325" s="102"/>
      <c r="L1325" s="102"/>
    </row>
    <row r="1326">
      <c r="A1326" s="102" t="str">
        <f>IFERROR(__xludf.DUMMYFUNCTION("""COMPUTED_VALUE"""),"Tediore")</f>
        <v>Tediore</v>
      </c>
      <c r="B1326" s="102" t="str">
        <f>IFERROR(__xludf.DUMMYFUNCTION("""COMPUTED_VALUE"""),"Assault Rifle")</f>
        <v>Assault Rifle</v>
      </c>
      <c r="C1326" s="103">
        <f>IFERROR(__xludf.DUMMYFUNCTION("""COMPUTED_VALUE"""),53.0)</f>
        <v>53</v>
      </c>
      <c r="D1326" s="102" t="str">
        <f>IFERROR(__xludf.DUMMYFUNCTION("""COMPUTED_VALUE"""),"Barrel Accessory")</f>
        <v>Barrel Accessory</v>
      </c>
      <c r="E1326" s="102" t="str">
        <f>IFERROR(__xludf.DUMMYFUNCTION("""COMPUTED_VALUE"""),"TED_AR.part_barrel_01_c")</f>
        <v>TED_AR.part_barrel_01_c</v>
      </c>
      <c r="F1326" s="102"/>
      <c r="G1326" s="102" t="str">
        <f>IFERROR(__xludf.DUMMYFUNCTION("""COMPUTED_VALUE"""),"+Ammo")</f>
        <v>+Ammo</v>
      </c>
      <c r="H1326" s="102"/>
      <c r="I1326" s="102"/>
      <c r="J1326" s="102"/>
      <c r="K1326" s="102"/>
      <c r="L1326" s="102"/>
    </row>
    <row r="1327">
      <c r="A1327" s="102" t="str">
        <f>IFERROR(__xludf.DUMMYFUNCTION("""COMPUTED_VALUE"""),"Tediore")</f>
        <v>Tediore</v>
      </c>
      <c r="B1327" s="102" t="str">
        <f>IFERROR(__xludf.DUMMYFUNCTION("""COMPUTED_VALUE"""),"Assault Rifle")</f>
        <v>Assault Rifle</v>
      </c>
      <c r="C1327" s="103">
        <f>IFERROR(__xludf.DUMMYFUNCTION("""COMPUTED_VALUE"""),54.0)</f>
        <v>54</v>
      </c>
      <c r="D1327" s="102" t="str">
        <f>IFERROR(__xludf.DUMMYFUNCTION("""COMPUTED_VALUE"""),"Barrel Accessory")</f>
        <v>Barrel Accessory</v>
      </c>
      <c r="E1327" s="102" t="str">
        <f>IFERROR(__xludf.DUMMYFUNCTION("""COMPUTED_VALUE"""),"TED_AR.part_barrel_01_d")</f>
        <v>TED_AR.part_barrel_01_d</v>
      </c>
      <c r="F1327" s="102"/>
      <c r="G1327" s="102" t="str">
        <f>IFERROR(__xludf.DUMMYFUNCTION("""COMPUTED_VALUE"""),"+Accuracy")</f>
        <v>+Accuracy</v>
      </c>
      <c r="H1327" s="102"/>
      <c r="I1327" s="102"/>
      <c r="J1327" s="102"/>
      <c r="K1327" s="102"/>
      <c r="L1327" s="102"/>
    </row>
    <row r="1328">
      <c r="A1328" s="102" t="str">
        <f>IFERROR(__xludf.DUMMYFUNCTION("""COMPUTED_VALUE"""),"Tediore")</f>
        <v>Tediore</v>
      </c>
      <c r="B1328" s="102" t="str">
        <f>IFERROR(__xludf.DUMMYFUNCTION("""COMPUTED_VALUE"""),"Assault Rifle")</f>
        <v>Assault Rifle</v>
      </c>
      <c r="C1328" s="103">
        <f>IFERROR(__xludf.DUMMYFUNCTION("""COMPUTED_VALUE"""),55.0)</f>
        <v>55</v>
      </c>
      <c r="D1328" s="102" t="str">
        <f>IFERROR(__xludf.DUMMYFUNCTION("""COMPUTED_VALUE"""),"Barrel Accessory")</f>
        <v>Barrel Accessory</v>
      </c>
      <c r="E1328" s="102" t="str">
        <f>IFERROR(__xludf.DUMMYFUNCTION("""COMPUTED_VALUE"""),"TED_AR.part_barrel_02_a")</f>
        <v>TED_AR.part_barrel_02_a</v>
      </c>
      <c r="F1328" s="102"/>
      <c r="G1328" s="102" t="str">
        <f>IFERROR(__xludf.DUMMYFUNCTION("""COMPUTED_VALUE"""),"+Damage")</f>
        <v>+Damage</v>
      </c>
      <c r="H1328" s="102"/>
      <c r="I1328" s="102"/>
      <c r="J1328" s="102"/>
      <c r="K1328" s="102"/>
      <c r="L1328" s="102"/>
    </row>
    <row r="1329">
      <c r="A1329" s="102" t="str">
        <f>IFERROR(__xludf.DUMMYFUNCTION("""COMPUTED_VALUE"""),"Tediore")</f>
        <v>Tediore</v>
      </c>
      <c r="B1329" s="102" t="str">
        <f>IFERROR(__xludf.DUMMYFUNCTION("""COMPUTED_VALUE"""),"Assault Rifle")</f>
        <v>Assault Rifle</v>
      </c>
      <c r="C1329" s="103">
        <f>IFERROR(__xludf.DUMMYFUNCTION("""COMPUTED_VALUE"""),56.0)</f>
        <v>56</v>
      </c>
      <c r="D1329" s="102" t="str">
        <f>IFERROR(__xludf.DUMMYFUNCTION("""COMPUTED_VALUE"""),"Barrel Accessory")</f>
        <v>Barrel Accessory</v>
      </c>
      <c r="E1329" s="102" t="str">
        <f>IFERROR(__xludf.DUMMYFUNCTION("""COMPUTED_VALUE"""),"TED_AR.part_barrel_02_b")</f>
        <v>TED_AR.part_barrel_02_b</v>
      </c>
      <c r="F1329" s="102"/>
      <c r="G1329" s="102" t="str">
        <f>IFERROR(__xludf.DUMMYFUNCTION("""COMPUTED_VALUE"""),"+Accuracy")</f>
        <v>+Accuracy</v>
      </c>
      <c r="H1329" s="102"/>
      <c r="I1329" s="102"/>
      <c r="J1329" s="102"/>
      <c r="K1329" s="102"/>
      <c r="L1329" s="102"/>
    </row>
    <row r="1330">
      <c r="A1330" s="102" t="str">
        <f>IFERROR(__xludf.DUMMYFUNCTION("""COMPUTED_VALUE"""),"Tediore")</f>
        <v>Tediore</v>
      </c>
      <c r="B1330" s="102" t="str">
        <f>IFERROR(__xludf.DUMMYFUNCTION("""COMPUTED_VALUE"""),"Assault Rifle")</f>
        <v>Assault Rifle</v>
      </c>
      <c r="C1330" s="103">
        <f>IFERROR(__xludf.DUMMYFUNCTION("""COMPUTED_VALUE"""),57.0)</f>
        <v>57</v>
      </c>
      <c r="D1330" s="102" t="str">
        <f>IFERROR(__xludf.DUMMYFUNCTION("""COMPUTED_VALUE"""),"Barrel Accessory")</f>
        <v>Barrel Accessory</v>
      </c>
      <c r="E1330" s="102" t="str">
        <f>IFERROR(__xludf.DUMMYFUNCTION("""COMPUTED_VALUE"""),"TED_AR.part_barrel_02_c")</f>
        <v>TED_AR.part_barrel_02_c</v>
      </c>
      <c r="F1330" s="102"/>
      <c r="G1330" s="102" t="str">
        <f>IFERROR(__xludf.DUMMYFUNCTION("""COMPUTED_VALUE"""),"+Fire Rate")</f>
        <v>+Fire Rate</v>
      </c>
      <c r="H1330" s="102"/>
      <c r="I1330" s="102"/>
      <c r="J1330" s="102"/>
      <c r="K1330" s="102"/>
      <c r="L1330" s="102"/>
    </row>
    <row r="1331">
      <c r="A1331" s="102" t="str">
        <f>IFERROR(__xludf.DUMMYFUNCTION("""COMPUTED_VALUE"""),"Tediore")</f>
        <v>Tediore</v>
      </c>
      <c r="B1331" s="102" t="str">
        <f>IFERROR(__xludf.DUMMYFUNCTION("""COMPUTED_VALUE"""),"Assault Rifle")</f>
        <v>Assault Rifle</v>
      </c>
      <c r="C1331" s="103">
        <f>IFERROR(__xludf.DUMMYFUNCTION("""COMPUTED_VALUE"""),58.0)</f>
        <v>58</v>
      </c>
      <c r="D1331" s="102" t="str">
        <f>IFERROR(__xludf.DUMMYFUNCTION("""COMPUTED_VALUE"""),"Barrel Accessory")</f>
        <v>Barrel Accessory</v>
      </c>
      <c r="E1331" s="102" t="str">
        <f>IFERROR(__xludf.DUMMYFUNCTION("""COMPUTED_VALUE"""),"TED_AR.part_barrel_02_d")</f>
        <v>TED_AR.part_barrel_02_d</v>
      </c>
      <c r="F1331" s="102"/>
      <c r="G1331" s="102" t="str">
        <f>IFERROR(__xludf.DUMMYFUNCTION("""COMPUTED_VALUE"""),"+Fire Rate")</f>
        <v>+Fire Rate</v>
      </c>
      <c r="H1331" s="102"/>
      <c r="I1331" s="102"/>
      <c r="J1331" s="102"/>
      <c r="K1331" s="102"/>
      <c r="L1331" s="102"/>
    </row>
    <row r="1332">
      <c r="A1332" s="102" t="str">
        <f>IFERROR(__xludf.DUMMYFUNCTION("""COMPUTED_VALUE"""),"Tediore")</f>
        <v>Tediore</v>
      </c>
      <c r="B1332" s="102" t="str">
        <f>IFERROR(__xludf.DUMMYFUNCTION("""COMPUTED_VALUE"""),"Assault Rifle")</f>
        <v>Assault Rifle</v>
      </c>
      <c r="C1332" s="103">
        <f>IFERROR(__xludf.DUMMYFUNCTION("""COMPUTED_VALUE"""),59.0)</f>
        <v>59</v>
      </c>
      <c r="D1332" s="102" t="str">
        <f>IFERROR(__xludf.DUMMYFUNCTION("""COMPUTED_VALUE"""),"Manufacturer Part")</f>
        <v>Manufacturer Part</v>
      </c>
      <c r="E1332" s="102" t="str">
        <f>IFERROR(__xludf.DUMMYFUNCTION("""COMPUTED_VALUE"""),"TED_AR.part_barrel_licensed_jak")</f>
        <v>TED_AR.part_barrel_licensed_jak</v>
      </c>
      <c r="F1332" s="102"/>
      <c r="G1332" s="102" t="str">
        <f>IFERROR(__xludf.DUMMYFUNCTION("""COMPUTED_VALUE"""),"Jakobs Ricochet")</f>
        <v>Jakobs Ricochet</v>
      </c>
      <c r="H1332" s="102"/>
      <c r="I1332" s="102"/>
      <c r="J1332" s="102"/>
      <c r="K1332" s="102"/>
      <c r="L1332" s="102"/>
    </row>
    <row r="1333">
      <c r="A1333" s="102" t="str">
        <f>IFERROR(__xludf.DUMMYFUNCTION("""COMPUTED_VALUE"""),"Tediore")</f>
        <v>Tediore</v>
      </c>
      <c r="B1333" s="102" t="str">
        <f>IFERROR(__xludf.DUMMYFUNCTION("""COMPUTED_VALUE"""),"Assault Rifle")</f>
        <v>Assault Rifle</v>
      </c>
      <c r="C1333" s="103">
        <f>IFERROR(__xludf.DUMMYFUNCTION("""COMPUTED_VALUE"""),60.0)</f>
        <v>60</v>
      </c>
      <c r="D1333" s="102" t="str">
        <f>IFERROR(__xludf.DUMMYFUNCTION("""COMPUTED_VALUE"""),"Manufacturer Part")</f>
        <v>Manufacturer Part</v>
      </c>
      <c r="E1333" s="102" t="str">
        <f>IFERROR(__xludf.DUMMYFUNCTION("""COMPUTED_VALUE"""),"TED_AR.part_barrel_licensed_hyp")</f>
        <v>TED_AR.part_barrel_licensed_hyp</v>
      </c>
      <c r="F1333" s="102"/>
      <c r="G1333" s="102" t="str">
        <f>IFERROR(__xludf.DUMMYFUNCTION("""COMPUTED_VALUE"""),"Hyperion Shield visual accessory, no stat changes")</f>
        <v>Hyperion Shield visual accessory, no stat changes</v>
      </c>
      <c r="H1333" s="102"/>
      <c r="I1333" s="102"/>
      <c r="J1333" s="102"/>
      <c r="K1333" s="102"/>
      <c r="L1333" s="102"/>
    </row>
    <row r="1334">
      <c r="A1334" s="102" t="str">
        <f>IFERROR(__xludf.DUMMYFUNCTION("""COMPUTED_VALUE"""),"Tediore")</f>
        <v>Tediore</v>
      </c>
      <c r="B1334" s="102" t="str">
        <f>IFERROR(__xludf.DUMMYFUNCTION("""COMPUTED_VALUE"""),"Assault Rifle")</f>
        <v>Assault Rifle</v>
      </c>
      <c r="C1334" s="103">
        <f>IFERROR(__xludf.DUMMYFUNCTION("""COMPUTED_VALUE"""),61.0)</f>
        <v>61</v>
      </c>
      <c r="D1334" s="102" t="str">
        <f>IFERROR(__xludf.DUMMYFUNCTION("""COMPUTED_VALUE"""),"Manufacturer Part")</f>
        <v>Manufacturer Part</v>
      </c>
      <c r="E1334" s="102" t="str">
        <f>IFERROR(__xludf.DUMMYFUNCTION("""COMPUTED_VALUE"""),"TED_AR.part_barrel_licensed_multi")</f>
        <v>TED_AR.part_barrel_licensed_multi</v>
      </c>
      <c r="F1334" s="102"/>
      <c r="G1334" s="102" t="str">
        <f>IFERROR(__xludf.DUMMYFUNCTION("""COMPUTED_VALUE"""),"No Stat Changes")</f>
        <v>No Stat Changes</v>
      </c>
      <c r="H1334" s="102"/>
      <c r="I1334" s="102"/>
      <c r="J1334" s="102"/>
      <c r="K1334" s="102"/>
      <c r="L1334" s="102"/>
    </row>
    <row r="1335">
      <c r="A1335" s="102" t="str">
        <f>IFERROR(__xludf.DUMMYFUNCTION("""COMPUTED_VALUE"""),"Tediore")</f>
        <v>Tediore</v>
      </c>
      <c r="B1335" s="102" t="str">
        <f>IFERROR(__xludf.DUMMYFUNCTION("""COMPUTED_VALUE"""),"Assault Rifle")</f>
        <v>Assault Rifle</v>
      </c>
      <c r="C1335" s="103">
        <f>IFERROR(__xludf.DUMMYFUNCTION("""COMPUTED_VALUE"""),62.0)</f>
        <v>62</v>
      </c>
      <c r="D1335" s="102" t="str">
        <f>IFERROR(__xludf.DUMMYFUNCTION("""COMPUTED_VALUE"""),"Underbarrel")</f>
        <v>Underbarrel</v>
      </c>
      <c r="E1335" s="102" t="str">
        <f>IFERROR(__xludf.DUMMYFUNCTION("""COMPUTED_VALUE"""),"TED_AR.part_underbarrel_04_atlas_ball")</f>
        <v>TED_AR.part_underbarrel_04_atlas_ball</v>
      </c>
      <c r="F1335" s="102"/>
      <c r="G1335" s="102" t="str">
        <f>IFERROR(__xludf.DUMMYFUNCTION("""COMPUTED_VALUE"""),"Atlas Tracker Grenades")</f>
        <v>Atlas Tracker Grenades</v>
      </c>
      <c r="H1335" s="102"/>
      <c r="I1335" s="102"/>
      <c r="J1335" s="102"/>
      <c r="K1335" s="102"/>
      <c r="L1335" s="102"/>
    </row>
    <row r="1336">
      <c r="A1336" s="102" t="str">
        <f>IFERROR(__xludf.DUMMYFUNCTION("""COMPUTED_VALUE"""),"Tediore")</f>
        <v>Tediore</v>
      </c>
      <c r="B1336" s="102" t="str">
        <f>IFERROR(__xludf.DUMMYFUNCTION("""COMPUTED_VALUE"""),"Assault Rifle")</f>
        <v>Assault Rifle</v>
      </c>
      <c r="C1336" s="103">
        <f>IFERROR(__xludf.DUMMYFUNCTION("""COMPUTED_VALUE"""),63.0)</f>
        <v>63</v>
      </c>
      <c r="D1336" s="102" t="str">
        <f>IFERROR(__xludf.DUMMYFUNCTION("""COMPUTED_VALUE"""),"Underbarrel")</f>
        <v>Underbarrel</v>
      </c>
      <c r="E1336" s="102" t="str">
        <f>IFERROR(__xludf.DUMMYFUNCTION("""COMPUTED_VALUE"""),"TED_AR.part_underbarrel_04_atlas")</f>
        <v>TED_AR.part_underbarrel_04_atlas</v>
      </c>
      <c r="F1336" s="102"/>
      <c r="G1336" s="102" t="str">
        <f>IFERROR(__xludf.DUMMYFUNCTION("""COMPUTED_VALUE"""),"Atlas Tracker Darts")</f>
        <v>Atlas Tracker Darts</v>
      </c>
      <c r="H1336" s="102"/>
      <c r="I1336" s="102"/>
      <c r="J1336" s="102"/>
      <c r="K1336" s="102"/>
      <c r="L1336" s="102"/>
    </row>
    <row r="1337">
      <c r="A1337" s="102" t="str">
        <f>IFERROR(__xludf.DUMMYFUNCTION("""COMPUTED_VALUE"""),"Tediore")</f>
        <v>Tediore</v>
      </c>
      <c r="B1337" s="102" t="str">
        <f>IFERROR(__xludf.DUMMYFUNCTION("""COMPUTED_VALUE"""),"Assault Rifle")</f>
        <v>Assault Rifle</v>
      </c>
      <c r="C1337" s="103">
        <f>IFERROR(__xludf.DUMMYFUNCTION("""COMPUTED_VALUE"""),64.0)</f>
        <v>64</v>
      </c>
      <c r="D1337" s="102" t="str">
        <f>IFERROR(__xludf.DUMMYFUNCTION("""COMPUTED_VALUE"""),"Underbarrel")</f>
        <v>Underbarrel</v>
      </c>
      <c r="E1337" s="102" t="str">
        <f>IFERROR(__xludf.DUMMYFUNCTION("""COMPUTED_VALUE"""),"TED_AR.part_underbarrel_02_comboorb")</f>
        <v>TED_AR.part_underbarrel_02_comboorb</v>
      </c>
      <c r="F1337" s="102"/>
      <c r="G1337" s="102" t="str">
        <f>IFERROR(__xludf.DUMMYFUNCTION("""COMPUTED_VALUE"""),"Alt Fire - COMBO")</f>
        <v>Alt Fire - COMBO</v>
      </c>
      <c r="H1337" s="102" t="str">
        <f>IFERROR(__xludf.DUMMYFUNCTION("""COMPUTED_VALUE"""),"Fires an Orb that can be shot to deal xxx Damage to nearby enemies")</f>
        <v>Fires an Orb that can be shot to deal xxx Damage to nearby enemies</v>
      </c>
      <c r="I1337" s="102"/>
      <c r="J1337" s="102"/>
      <c r="K1337" s="102"/>
      <c r="L1337" s="102"/>
    </row>
    <row r="1338">
      <c r="A1338" s="102" t="str">
        <f>IFERROR(__xludf.DUMMYFUNCTION("""COMPUTED_VALUE"""),"Tediore")</f>
        <v>Tediore</v>
      </c>
      <c r="B1338" s="102" t="str">
        <f>IFERROR(__xludf.DUMMYFUNCTION("""COMPUTED_VALUE"""),"Assault Rifle")</f>
        <v>Assault Rifle</v>
      </c>
      <c r="C1338" s="103">
        <f>IFERROR(__xludf.DUMMYFUNCTION("""COMPUTED_VALUE"""),65.0)</f>
        <v>65</v>
      </c>
      <c r="D1338" s="102" t="str">
        <f>IFERROR(__xludf.DUMMYFUNCTION("""COMPUTED_VALUE"""),"Underbarrel")</f>
        <v>Underbarrel</v>
      </c>
      <c r="E1338" s="102" t="str">
        <f>IFERROR(__xludf.DUMMYFUNCTION("""COMPUTED_VALUE"""),"TED_AR.part_underbarrel_03_shotgun")</f>
        <v>TED_AR.part_underbarrel_03_shotgun</v>
      </c>
      <c r="F1338" s="102"/>
      <c r="G1338" s="102" t="str">
        <f>IFERROR(__xludf.DUMMYFUNCTION("""COMPUTED_VALUE"""),"Alt Fire - Shotgun")</f>
        <v>Alt Fire - Shotgun</v>
      </c>
      <c r="H1338" s="102"/>
      <c r="I1338" s="102"/>
      <c r="J1338" s="102"/>
      <c r="K1338" s="102"/>
      <c r="L1338" s="102"/>
    </row>
    <row r="1339">
      <c r="A1339" s="102" t="str">
        <f>IFERROR(__xludf.DUMMYFUNCTION("""COMPUTED_VALUE"""),"Tediore")</f>
        <v>Tediore</v>
      </c>
      <c r="B1339" s="102" t="str">
        <f>IFERROR(__xludf.DUMMYFUNCTION("""COMPUTED_VALUE"""),"Assault Rifle")</f>
        <v>Assault Rifle</v>
      </c>
      <c r="C1339" s="103">
        <f>IFERROR(__xludf.DUMMYFUNCTION("""COMPUTED_VALUE"""),66.0)</f>
        <v>66</v>
      </c>
      <c r="D1339" s="102" t="str">
        <f>IFERROR(__xludf.DUMMYFUNCTION("""COMPUTED_VALUE"""),"Foregrip")</f>
        <v>Foregrip</v>
      </c>
      <c r="E1339" s="102" t="str">
        <f>IFERROR(__xludf.DUMMYFUNCTION("""COMPUTED_VALUE"""),"TED_AR.part_foregrip_01")</f>
        <v>TED_AR.part_foregrip_01</v>
      </c>
      <c r="F1339" s="102"/>
      <c r="G1339" s="102" t="str">
        <f>IFERROR(__xludf.DUMMYFUNCTION("""COMPUTED_VALUE"""),"+Damage")</f>
        <v>+Damage</v>
      </c>
      <c r="H1339" s="102"/>
      <c r="I1339" s="102"/>
      <c r="J1339" s="102"/>
      <c r="K1339" s="102"/>
      <c r="L1339" s="102"/>
    </row>
    <row r="1340">
      <c r="A1340" s="102" t="str">
        <f>IFERROR(__xludf.DUMMYFUNCTION("""COMPUTED_VALUE"""),"Tediore")</f>
        <v>Tediore</v>
      </c>
      <c r="B1340" s="102" t="str">
        <f>IFERROR(__xludf.DUMMYFUNCTION("""COMPUTED_VALUE"""),"Assault Rifle")</f>
        <v>Assault Rifle</v>
      </c>
      <c r="C1340" s="103">
        <f>IFERROR(__xludf.DUMMYFUNCTION("""COMPUTED_VALUE"""),67.0)</f>
        <v>67</v>
      </c>
      <c r="D1340" s="102" t="str">
        <f>IFERROR(__xludf.DUMMYFUNCTION("""COMPUTED_VALUE"""),"Foregrip")</f>
        <v>Foregrip</v>
      </c>
      <c r="E1340" s="102" t="str">
        <f>IFERROR(__xludf.DUMMYFUNCTION("""COMPUTED_VALUE"""),"TED_AR.part_foregrip_03")</f>
        <v>TED_AR.part_foregrip_03</v>
      </c>
      <c r="F1340" s="102"/>
      <c r="G1340" s="102" t="str">
        <f>IFERROR(__xludf.DUMMYFUNCTION("""COMPUTED_VALUE"""),"+Accuracy")</f>
        <v>+Accuracy</v>
      </c>
      <c r="H1340" s="102"/>
      <c r="I1340" s="102"/>
      <c r="J1340" s="102"/>
      <c r="K1340" s="102"/>
      <c r="L1340" s="102"/>
    </row>
    <row r="1341">
      <c r="A1341" s="102" t="str">
        <f>IFERROR(__xludf.DUMMYFUNCTION("""COMPUTED_VALUE"""),"Tediore")</f>
        <v>Tediore</v>
      </c>
      <c r="B1341" s="102" t="str">
        <f>IFERROR(__xludf.DUMMYFUNCTION("""COMPUTED_VALUE"""),"Assault Rifle")</f>
        <v>Assault Rifle</v>
      </c>
      <c r="C1341" s="103">
        <f>IFERROR(__xludf.DUMMYFUNCTION("""COMPUTED_VALUE"""),68.0)</f>
        <v>68</v>
      </c>
      <c r="D1341" s="102" t="str">
        <f>IFERROR(__xludf.DUMMYFUNCTION("""COMPUTED_VALUE"""),"Underbarrel")</f>
        <v>Underbarrel</v>
      </c>
      <c r="E1341" s="102" t="str">
        <f>IFERROR(__xludf.DUMMYFUNCTION("""COMPUTED_VALUE"""),"TED_AR.part_underbarrel_01_buffdrone")</f>
        <v>TED_AR.part_underbarrel_01_buffdrone</v>
      </c>
      <c r="F1341" s="102"/>
      <c r="G1341" s="102" t="str">
        <f>IFERROR(__xludf.DUMMYFUNCTION("""COMPUTED_VALUE"""),"Alt Fire - Support Drone")</f>
        <v>Alt Fire - Support Drone</v>
      </c>
      <c r="H1341" s="102"/>
      <c r="I1341" s="102"/>
      <c r="J1341" s="102"/>
      <c r="K1341" s="102"/>
      <c r="L1341" s="102"/>
    </row>
    <row r="1342">
      <c r="A1342" s="102" t="str">
        <f>IFERROR(__xludf.DUMMYFUNCTION("""COMPUTED_VALUE"""),"Tediore")</f>
        <v>Tediore</v>
      </c>
      <c r="B1342" s="102" t="str">
        <f>IFERROR(__xludf.DUMMYFUNCTION("""COMPUTED_VALUE"""),"Assault Rifle")</f>
        <v>Assault Rifle</v>
      </c>
      <c r="C1342" s="103">
        <f>IFERROR(__xludf.DUMMYFUNCTION("""COMPUTED_VALUE"""),69.0)</f>
        <v>69</v>
      </c>
      <c r="D1342" s="102" t="str">
        <f>IFERROR(__xludf.DUMMYFUNCTION("""COMPUTED_VALUE"""),"Underbarrel")</f>
        <v>Underbarrel</v>
      </c>
      <c r="E1342" s="102" t="str">
        <f>IFERROR(__xludf.DUMMYFUNCTION("""COMPUTED_VALUE"""),"TED_AR.part_underbarrel_06_malswitch")</f>
        <v>TED_AR.part_underbarrel_06_malswitch</v>
      </c>
      <c r="F1342" s="102"/>
      <c r="G1342" s="102" t="str">
        <f>IFERROR(__xludf.DUMMYFUNCTION("""COMPUTED_VALUE"""),"Maliwan Element Switch")</f>
        <v>Maliwan Element Switch</v>
      </c>
      <c r="H1342" s="102" t="str">
        <f>IFERROR(__xludf.DUMMYFUNCTION("""COMPUTED_VALUE"""),"Used for Maliwan elemental switch")</f>
        <v>Used for Maliwan elemental switch</v>
      </c>
      <c r="I1342" s="102"/>
      <c r="J1342" s="102"/>
      <c r="K1342" s="102"/>
      <c r="L1342" s="102"/>
    </row>
    <row r="1343">
      <c r="A1343" s="102" t="str">
        <f>IFERROR(__xludf.DUMMYFUNCTION("""COMPUTED_VALUE"""),"Tediore")</f>
        <v>Tediore</v>
      </c>
      <c r="B1343" s="102" t="str">
        <f>IFERROR(__xludf.DUMMYFUNCTION("""COMPUTED_VALUE"""),"Assault Rifle")</f>
        <v>Assault Rifle</v>
      </c>
      <c r="C1343" s="103">
        <f>IFERROR(__xludf.DUMMYFUNCTION("""COMPUTED_VALUE"""),70.0)</f>
        <v>70</v>
      </c>
      <c r="D1343" s="102" t="str">
        <f>IFERROR(__xludf.DUMMYFUNCTION("""COMPUTED_VALUE"""),"Underbarrel")</f>
        <v>Underbarrel</v>
      </c>
      <c r="E1343" s="102" t="str">
        <f>IFERROR(__xludf.DUMMYFUNCTION("""COMPUTED_VALUE"""),"TED_AR.part_underbarrel_05_ammoswitcher")</f>
        <v>TED_AR.part_underbarrel_05_ammoswitcher</v>
      </c>
      <c r="F1343" s="102"/>
      <c r="G1343" s="102" t="str">
        <f>IFERROR(__xludf.DUMMYFUNCTION("""COMPUTED_VALUE"""),"Daedalus Ammo Switch")</f>
        <v>Daedalus Ammo Switch</v>
      </c>
      <c r="H1343" s="102" t="str">
        <f>IFERROR(__xludf.DUMMYFUNCTION("""COMPUTED_VALUE"""),"Used for Daedalus Ammo switch")</f>
        <v>Used for Daedalus Ammo switch</v>
      </c>
      <c r="I1343" s="102"/>
      <c r="J1343" s="102"/>
      <c r="K1343" s="102"/>
      <c r="L1343" s="102"/>
    </row>
    <row r="1344">
      <c r="A1344" s="102" t="str">
        <f>IFERROR(__xludf.DUMMYFUNCTION("""COMPUTED_VALUE"""),"Tediore")</f>
        <v>Tediore</v>
      </c>
      <c r="B1344" s="102" t="str">
        <f>IFERROR(__xludf.DUMMYFUNCTION("""COMPUTED_VALUE"""),"Assault Rifle")</f>
        <v>Assault Rifle</v>
      </c>
      <c r="C1344" s="103">
        <f>IFERROR(__xludf.DUMMYFUNCTION("""COMPUTED_VALUE"""),71.0)</f>
        <v>71</v>
      </c>
      <c r="D1344" s="102" t="str">
        <f>IFERROR(__xludf.DUMMYFUNCTION("""COMPUTED_VALUE"""),"Foregrip")</f>
        <v>Foregrip</v>
      </c>
      <c r="E1344" s="102" t="str">
        <f>IFERROR(__xludf.DUMMYFUNCTION("""COMPUTED_VALUE"""),"TED_AR.part_foregrip_02")</f>
        <v>TED_AR.part_foregrip_02</v>
      </c>
      <c r="F1344" s="102"/>
      <c r="G1344" s="102" t="str">
        <f>IFERROR(__xludf.DUMMYFUNCTION("""COMPUTED_VALUE"""),"+Fire Rate")</f>
        <v>+Fire Rate</v>
      </c>
      <c r="H1344" s="102"/>
      <c r="I1344" s="102"/>
      <c r="J1344" s="102"/>
      <c r="K1344" s="102"/>
      <c r="L1344" s="102"/>
    </row>
    <row r="1345">
      <c r="A1345" s="102" t="str">
        <f>IFERROR(__xludf.DUMMYFUNCTION("""COMPUTED_VALUE"""),"Tediore")</f>
        <v>Tediore</v>
      </c>
      <c r="B1345" s="102" t="str">
        <f>IFERROR(__xludf.DUMMYFUNCTION("""COMPUTED_VALUE"""),"Assault Rifle")</f>
        <v>Assault Rifle</v>
      </c>
      <c r="C1345" s="103">
        <f>IFERROR(__xludf.DUMMYFUNCTION("""COMPUTED_VALUE"""),72.0)</f>
        <v>72</v>
      </c>
      <c r="D1345" s="102" t="str">
        <f>IFERROR(__xludf.DUMMYFUNCTION("""COMPUTED_VALUE"""),"Manufacturer Part")</f>
        <v>Manufacturer Part</v>
      </c>
      <c r="E1345" s="102" t="str">
        <f>IFERROR(__xludf.DUMMYFUNCTION("""COMPUTED_VALUE"""),"TED_AR.part_secondary_ammo_sm")</f>
        <v>TED_AR.part_secondary_ammo_sm</v>
      </c>
      <c r="F1345" s="102"/>
      <c r="G1345" s="102" t="str">
        <f>IFERROR(__xludf.DUMMYFUNCTION("""COMPUTED_VALUE"""),"Daedalus SMG Ammo")</f>
        <v>Daedalus SMG Ammo</v>
      </c>
      <c r="H1345" s="102"/>
      <c r="I1345" s="102"/>
      <c r="J1345" s="102"/>
      <c r="K1345" s="102"/>
      <c r="L1345" s="102"/>
    </row>
    <row r="1346">
      <c r="A1346" s="102" t="str">
        <f>IFERROR(__xludf.DUMMYFUNCTION("""COMPUTED_VALUE"""),"Tediore")</f>
        <v>Tediore</v>
      </c>
      <c r="B1346" s="102" t="str">
        <f>IFERROR(__xludf.DUMMYFUNCTION("""COMPUTED_VALUE"""),"Assault Rifle")</f>
        <v>Assault Rifle</v>
      </c>
      <c r="C1346" s="103">
        <f>IFERROR(__xludf.DUMMYFUNCTION("""COMPUTED_VALUE"""),73.0)</f>
        <v>73</v>
      </c>
      <c r="D1346" s="102" t="str">
        <f>IFERROR(__xludf.DUMMYFUNCTION("""COMPUTED_VALUE"""),"Manufacturer Part")</f>
        <v>Manufacturer Part</v>
      </c>
      <c r="E1346" s="102" t="str">
        <f>IFERROR(__xludf.DUMMYFUNCTION("""COMPUTED_VALUE"""),"TED_AR.part_secondary_ammo_sg")</f>
        <v>TED_AR.part_secondary_ammo_sg</v>
      </c>
      <c r="F1346" s="102"/>
      <c r="G1346" s="102" t="str">
        <f>IFERROR(__xludf.DUMMYFUNCTION("""COMPUTED_VALUE"""),"Daedalus Shotgun Ammo")</f>
        <v>Daedalus Shotgun Ammo</v>
      </c>
      <c r="H1346" s="102"/>
      <c r="I1346" s="102"/>
      <c r="J1346" s="102"/>
      <c r="K1346" s="102"/>
      <c r="L1346" s="102"/>
    </row>
    <row r="1347">
      <c r="A1347" s="102" t="str">
        <f>IFERROR(__xludf.DUMMYFUNCTION("""COMPUTED_VALUE"""),"Tediore")</f>
        <v>Tediore</v>
      </c>
      <c r="B1347" s="102" t="str">
        <f>IFERROR(__xludf.DUMMYFUNCTION("""COMPUTED_VALUE"""),"Assault Rifle")</f>
        <v>Assault Rifle</v>
      </c>
      <c r="C1347" s="103">
        <f>IFERROR(__xludf.DUMMYFUNCTION("""COMPUTED_VALUE"""),74.0)</f>
        <v>74</v>
      </c>
      <c r="D1347" s="102" t="str">
        <f>IFERROR(__xludf.DUMMYFUNCTION("""COMPUTED_VALUE"""),"Manufacturer Part")</f>
        <v>Manufacturer Part</v>
      </c>
      <c r="E1347" s="102" t="str">
        <f>IFERROR(__xludf.DUMMYFUNCTION("""COMPUTED_VALUE"""),"TED_AR.part_secondary_ammo_ps")</f>
        <v>TED_AR.part_secondary_ammo_ps</v>
      </c>
      <c r="F1347" s="102"/>
      <c r="G1347" s="104" t="str">
        <f>IFERROR(__xludf.DUMMYFUNCTION("""COMPUTED_VALUE"""),"Daedalus Pistol Ammo")</f>
        <v>Daedalus Pistol Ammo</v>
      </c>
      <c r="H1347" s="102"/>
      <c r="I1347" s="102"/>
      <c r="J1347" s="102"/>
      <c r="K1347" s="102"/>
      <c r="L1347" s="102"/>
    </row>
    <row r="1348">
      <c r="A1348" s="102" t="str">
        <f>IFERROR(__xludf.DUMMYFUNCTION("""COMPUTED_VALUE"""),"Tediore")</f>
        <v>Tediore</v>
      </c>
      <c r="B1348" s="102" t="str">
        <f>IFERROR(__xludf.DUMMYFUNCTION("""COMPUTED_VALUE"""),"Assault Rifle")</f>
        <v>Assault Rifle</v>
      </c>
      <c r="C1348" s="103">
        <f>IFERROR(__xludf.DUMMYFUNCTION("""COMPUTED_VALUE"""),75.0)</f>
        <v>75</v>
      </c>
      <c r="D1348" s="102" t="str">
        <f>IFERROR(__xludf.DUMMYFUNCTION("""COMPUTED_VALUE"""),"Manufacturer Part")</f>
        <v>Manufacturer Part</v>
      </c>
      <c r="E1348" s="102" t="str">
        <f>IFERROR(__xludf.DUMMYFUNCTION("""COMPUTED_VALUE"""),"TED_AR.part_secondary_ammo_sr")</f>
        <v>TED_AR.part_secondary_ammo_sr</v>
      </c>
      <c r="F1348" s="102"/>
      <c r="G1348" s="102" t="str">
        <f>IFERROR(__xludf.DUMMYFUNCTION("""COMPUTED_VALUE"""),"Daedalus SR Ammo")</f>
        <v>Daedalus SR Ammo</v>
      </c>
      <c r="H1348" s="102"/>
      <c r="I1348" s="102"/>
      <c r="J1348" s="102"/>
      <c r="K1348" s="102"/>
      <c r="L1348" s="102"/>
    </row>
    <row r="1349">
      <c r="A1349" s="102" t="str">
        <f>IFERROR(__xludf.DUMMYFUNCTION("""COMPUTED_VALUE"""),"Tediore")</f>
        <v>Tediore</v>
      </c>
      <c r="B1349" s="102" t="str">
        <f>IFERROR(__xludf.DUMMYFUNCTION("""COMPUTED_VALUE"""),"Assault Rifle")</f>
        <v>Assault Rifle</v>
      </c>
      <c r="C1349" s="103">
        <f>IFERROR(__xludf.DUMMYFUNCTION("""COMPUTED_VALUE"""),76.0)</f>
        <v>76</v>
      </c>
      <c r="D1349" s="102" t="str">
        <f>IFERROR(__xludf.DUMMYFUNCTION("""COMPUTED_VALUE"""),"Barrel")</f>
        <v>Barrel</v>
      </c>
      <c r="E1349" s="102" t="str">
        <f>IFERROR(__xludf.DUMMYFUNCTION("""COMPUTED_VALUE"""),"TED_AR.part_barrel_01_murder")</f>
        <v>TED_AR.part_barrel_01_murder</v>
      </c>
      <c r="F1349" s="102"/>
      <c r="G1349" s="102" t="str">
        <f>IFERROR(__xludf.DUMMYFUNCTION("""COMPUTED_VALUE"""),"Murmur, 1338 Damage, 72% Acc, 3.0/s FR")</f>
        <v>Murmur, 1338 Damage, 72% Acc, 3.0/s FR</v>
      </c>
      <c r="H1349" s="102" t="str">
        <f>IFERROR(__xludf.DUMMYFUNCTION("""COMPUTED_VALUE"""),"Executor - Deals Critical Damage to enemies under 35% health")</f>
        <v>Executor - Deals Critical Damage to enemies under 35% health</v>
      </c>
      <c r="I1349" s="102"/>
      <c r="J1349" s="102"/>
      <c r="K1349" s="102"/>
      <c r="L1349" s="102"/>
    </row>
    <row r="1350">
      <c r="A1350" s="102" t="str">
        <f>IFERROR(__xludf.DUMMYFUNCTION("""COMPUTED_VALUE"""),"Tediore")</f>
        <v>Tediore</v>
      </c>
      <c r="B1350" s="102" t="str">
        <f>IFERROR(__xludf.DUMMYFUNCTION("""COMPUTED_VALUE"""),"Assault Rifle")</f>
        <v>Assault Rifle</v>
      </c>
      <c r="C1350" s="103">
        <f>IFERROR(__xludf.DUMMYFUNCTION("""COMPUTED_VALUE"""),82.0)</f>
        <v>82</v>
      </c>
      <c r="D1350" s="102" t="str">
        <f>IFERROR(__xludf.DUMMYFUNCTION("""COMPUTED_VALUE"""),"Magazine")</f>
        <v>Magazine</v>
      </c>
      <c r="E1350" s="102" t="str">
        <f>IFERROR(__xludf.DUMMYFUNCTION("""COMPUTED_VALUE"""),"TED_AR.part_mag_01")</f>
        <v>TED_AR.part_mag_01</v>
      </c>
      <c r="F1350" s="102"/>
      <c r="G1350" s="102" t="str">
        <f>IFERROR(__xludf.DUMMYFUNCTION("""COMPUTED_VALUE"""),"2.2 Reload, 22 Shots")</f>
        <v>2.2 Reload, 22 Shots</v>
      </c>
      <c r="H1350" s="102"/>
      <c r="I1350" s="102"/>
      <c r="J1350" s="102"/>
      <c r="K1350" s="102"/>
      <c r="L1350" s="102"/>
    </row>
    <row r="1351">
      <c r="A1351" s="102" t="str">
        <f>IFERROR(__xludf.DUMMYFUNCTION("""COMPUTED_VALUE"""),"Tediore")</f>
        <v>Tediore</v>
      </c>
      <c r="B1351" s="102" t="str">
        <f>IFERROR(__xludf.DUMMYFUNCTION("""COMPUTED_VALUE"""),"Assault Rifle")</f>
        <v>Assault Rifle</v>
      </c>
      <c r="C1351" s="103">
        <f>IFERROR(__xludf.DUMMYFUNCTION("""COMPUTED_VALUE"""),83.0)</f>
        <v>83</v>
      </c>
      <c r="D1351" s="102" t="str">
        <f>IFERROR(__xludf.DUMMYFUNCTION("""COMPUTED_VALUE"""),"Magazine")</f>
        <v>Magazine</v>
      </c>
      <c r="E1351" s="102" t="str">
        <f>IFERROR(__xludf.DUMMYFUNCTION("""COMPUTED_VALUE"""),"TED_AR.part_mag_02")</f>
        <v>TED_AR.part_mag_02</v>
      </c>
      <c r="F1351" s="102"/>
      <c r="G1351" s="102" t="str">
        <f>IFERROR(__xludf.DUMMYFUNCTION("""COMPUTED_VALUE"""),"2.6s Reload, 26 Shots")</f>
        <v>2.6s Reload, 26 Shots</v>
      </c>
      <c r="H1351" s="102"/>
      <c r="I1351" s="102"/>
      <c r="J1351" s="102"/>
      <c r="K1351" s="102"/>
      <c r="L1351" s="102"/>
    </row>
    <row r="1352">
      <c r="A1352" s="102" t="str">
        <f>IFERROR(__xludf.DUMMYFUNCTION("""COMPUTED_VALUE"""),"Tediore")</f>
        <v>Tediore</v>
      </c>
      <c r="B1352" s="102" t="str">
        <f>IFERROR(__xludf.DUMMYFUNCTION("""COMPUTED_VALUE"""),"Assault Rifle")</f>
        <v>Assault Rifle</v>
      </c>
      <c r="C1352" s="103">
        <f>IFERROR(__xludf.DUMMYFUNCTION("""COMPUTED_VALUE"""),84.0)</f>
        <v>84</v>
      </c>
      <c r="D1352" s="102" t="str">
        <f>IFERROR(__xludf.DUMMYFUNCTION("""COMPUTED_VALUE"""),"Magazine")</f>
        <v>Magazine</v>
      </c>
      <c r="E1352" s="102" t="str">
        <f>IFERROR(__xludf.DUMMYFUNCTION("""COMPUTED_VALUE"""),"TED_AR.part_mag_03_tor")</f>
        <v>TED_AR.part_mag_03_tor</v>
      </c>
      <c r="F1352" s="102"/>
      <c r="G1352" s="102" t="str">
        <f>IFERROR(__xludf.DUMMYFUNCTION("""COMPUTED_VALUE"""),"2.8s Reload, +Damage, -Fire Rate, 18 Shots, Torgue")</f>
        <v>2.8s Reload, +Damage, -Fire Rate, 18 Shots, Torgue</v>
      </c>
      <c r="H1352" s="102"/>
      <c r="I1352" s="102"/>
      <c r="J1352" s="102"/>
      <c r="K1352" s="102"/>
      <c r="L1352" s="102"/>
    </row>
    <row r="1353">
      <c r="A1353" s="102" t="str">
        <f>IFERROR(__xludf.DUMMYFUNCTION("""COMPUTED_VALUE"""),"Tediore")</f>
        <v>Tediore</v>
      </c>
      <c r="B1353" s="102" t="str">
        <f>IFERROR(__xludf.DUMMYFUNCTION("""COMPUTED_VALUE"""),"Assault Rifle")</f>
        <v>Assault Rifle</v>
      </c>
      <c r="C1353" s="103">
        <f>IFERROR(__xludf.DUMMYFUNCTION("""COMPUTED_VALUE"""),85.0)</f>
        <v>85</v>
      </c>
      <c r="D1353" s="102" t="str">
        <f>IFERROR(__xludf.DUMMYFUNCTION("""COMPUTED_VALUE"""),"Magazine")</f>
        <v>Magazine</v>
      </c>
      <c r="E1353" s="102" t="str">
        <f>IFERROR(__xludf.DUMMYFUNCTION("""COMPUTED_VALUE"""),"TED_AR.part_mag_04_cov")</f>
        <v>TED_AR.part_mag_04_cov</v>
      </c>
      <c r="F1353" s="102"/>
      <c r="G1353" s="102" t="str">
        <f>IFERROR(__xludf.DUMMYFUNCTION("""COMPUTED_VALUE"""),"3.6s Reload, +Damage, -Acc, 31 Shots, CoV Mag")</f>
        <v>3.6s Reload, +Damage, -Acc, 31 Shots, CoV Mag</v>
      </c>
      <c r="H1353" s="102"/>
      <c r="I1353" s="102"/>
      <c r="J1353" s="102"/>
      <c r="K1353" s="102"/>
      <c r="L1353" s="102"/>
    </row>
    <row r="1354">
      <c r="A1354" s="102" t="str">
        <f>IFERROR(__xludf.DUMMYFUNCTION("""COMPUTED_VALUE"""),"Tediore")</f>
        <v>Tediore</v>
      </c>
      <c r="B1354" s="102" t="str">
        <f>IFERROR(__xludf.DUMMYFUNCTION("""COMPUTED_VALUE"""),"Assault Rifle")</f>
        <v>Assault Rifle</v>
      </c>
      <c r="C1354" s="103">
        <f>IFERROR(__xludf.DUMMYFUNCTION("""COMPUTED_VALUE"""),86.0)</f>
        <v>86</v>
      </c>
      <c r="D1354" s="102" t="str">
        <f>IFERROR(__xludf.DUMMYFUNCTION("""COMPUTED_VALUE"""),"Magazine")</f>
        <v>Magazine</v>
      </c>
      <c r="E1354" s="102" t="str">
        <f>IFERROR(__xludf.DUMMYFUNCTION("""COMPUTED_VALUE"""),"TED_AR.part_mag_05_borg")</f>
        <v>TED_AR.part_mag_05_borg</v>
      </c>
      <c r="F1354" s="102"/>
      <c r="G1354" s="102" t="str">
        <f>IFERROR(__xludf.DUMMYFUNCTION("""COMPUTED_VALUE"""),"2.8s Reload, +Damage, +Fire Rate, 32 Shots, Ripper Mag")</f>
        <v>2.8s Reload, +Damage, +Fire Rate, 32 Shots, Ripper Mag</v>
      </c>
      <c r="H1354" s="102"/>
      <c r="I1354" s="102"/>
      <c r="J1354" s="102"/>
      <c r="K1354" s="102"/>
      <c r="L1354" s="102"/>
    </row>
    <row r="1355">
      <c r="A1355" s="102" t="str">
        <f>IFERROR(__xludf.DUMMYFUNCTION("""COMPUTED_VALUE"""),"Tediore")</f>
        <v>Tediore</v>
      </c>
      <c r="B1355" s="102" t="str">
        <f>IFERROR(__xludf.DUMMYFUNCTION("""COMPUTED_VALUE"""),"Assault Rifle")</f>
        <v>Assault Rifle</v>
      </c>
      <c r="C1355" s="103">
        <f>IFERROR(__xludf.DUMMYFUNCTION("""COMPUTED_VALUE"""),87.0)</f>
        <v>87</v>
      </c>
      <c r="D1355" s="102" t="str">
        <f>IFERROR(__xludf.DUMMYFUNCTION("""COMPUTED_VALUE"""),"Manufacturer Part")</f>
        <v>Manufacturer Part</v>
      </c>
      <c r="E1355" s="102" t="str">
        <f>IFERROR(__xludf.DUMMYFUNCTION("""COMPUTED_VALUE"""),"TED_AR.part_mag_torgue_normal")</f>
        <v>TED_AR.part_mag_torgue_normal</v>
      </c>
      <c r="F1355" s="102"/>
      <c r="G1355" s="102" t="str">
        <f>IFERROR(__xludf.DUMMYFUNCTION("""COMPUTED_VALUE"""),"Torgue Impact Gyrojets")</f>
        <v>Torgue Impact Gyrojets</v>
      </c>
      <c r="H1355" s="102"/>
      <c r="I1355" s="102"/>
      <c r="J1355" s="102"/>
      <c r="K1355" s="102"/>
      <c r="L1355" s="102"/>
    </row>
    <row r="1356">
      <c r="A1356" s="102" t="str">
        <f>IFERROR(__xludf.DUMMYFUNCTION("""COMPUTED_VALUE"""),"Tediore")</f>
        <v>Tediore</v>
      </c>
      <c r="B1356" s="102" t="str">
        <f>IFERROR(__xludf.DUMMYFUNCTION("""COMPUTED_VALUE"""),"Assault Rifle")</f>
        <v>Assault Rifle</v>
      </c>
      <c r="C1356" s="103">
        <f>IFERROR(__xludf.DUMMYFUNCTION("""COMPUTED_VALUE"""),88.0)</f>
        <v>88</v>
      </c>
      <c r="D1356" s="102" t="str">
        <f>IFERROR(__xludf.DUMMYFUNCTION("""COMPUTED_VALUE"""),"Manufacturer Part")</f>
        <v>Manufacturer Part</v>
      </c>
      <c r="E1356" s="102" t="str">
        <f>IFERROR(__xludf.DUMMYFUNCTION("""COMPUTED_VALUE"""),"TED_AR.part_mag_torgue_sticky")</f>
        <v>TED_AR.part_mag_torgue_sticky</v>
      </c>
      <c r="F1356" s="102"/>
      <c r="G1356" s="102" t="str">
        <f>IFERROR(__xludf.DUMMYFUNCTION("""COMPUTED_VALUE"""),"Torgue Sticky Gyrojets")</f>
        <v>Torgue Sticky Gyrojets</v>
      </c>
      <c r="H1356" s="102"/>
      <c r="I1356" s="102"/>
      <c r="J1356" s="102"/>
      <c r="K1356" s="102"/>
      <c r="L1356" s="102"/>
    </row>
    <row r="1357">
      <c r="A1357" s="102" t="str">
        <f>IFERROR(__xludf.DUMMYFUNCTION("""COMPUTED_VALUE"""),"Tediore")</f>
        <v>Tediore</v>
      </c>
      <c r="B1357" s="102" t="str">
        <f>IFERROR(__xludf.DUMMYFUNCTION("""COMPUTED_VALUE"""),"Pistol")</f>
        <v>Pistol</v>
      </c>
      <c r="C1357" s="103">
        <f>IFERROR(__xludf.DUMMYFUNCTION("""COMPUTED_VALUE"""),2.0)</f>
        <v>2</v>
      </c>
      <c r="D1357" s="102" t="str">
        <f>IFERROR(__xludf.DUMMYFUNCTION("""COMPUTED_VALUE"""),"Body")</f>
        <v>Body</v>
      </c>
      <c r="E1357" s="102" t="str">
        <f>IFERROR(__xludf.DUMMYFUNCTION("""COMPUTED_VALUE"""),"TED_PS.part_body")</f>
        <v>TED_PS.part_body</v>
      </c>
      <c r="F1357" s="102"/>
      <c r="G1357" s="102" t="str">
        <f>IFERROR(__xludf.DUMMYFUNCTION("""COMPUTED_VALUE"""),"No Stat Changes, always present")</f>
        <v>No Stat Changes, always present</v>
      </c>
      <c r="H1357" s="102"/>
      <c r="I1357" s="102"/>
      <c r="J1357" s="102"/>
      <c r="K1357" s="102"/>
      <c r="L1357" s="102"/>
    </row>
    <row r="1358">
      <c r="A1358" s="102" t="str">
        <f>IFERROR(__xludf.DUMMYFUNCTION("""COMPUTED_VALUE"""),"Tediore")</f>
        <v>Tediore</v>
      </c>
      <c r="B1358" s="102" t="str">
        <f>IFERROR(__xludf.DUMMYFUNCTION("""COMPUTED_VALUE"""),"Pistol")</f>
        <v>Pistol</v>
      </c>
      <c r="C1358" s="103">
        <f>IFERROR(__xludf.DUMMYFUNCTION("""COMPUTED_VALUE"""),3.0)</f>
        <v>3</v>
      </c>
      <c r="D1358" s="102" t="str">
        <f>IFERROR(__xludf.DUMMYFUNCTION("""COMPUTED_VALUE"""),"Body Accessory")</f>
        <v>Body Accessory</v>
      </c>
      <c r="E1358" s="102" t="str">
        <f>IFERROR(__xludf.DUMMYFUNCTION("""COMPUTED_VALUE"""),"TED_PS.part_body_a")</f>
        <v>TED_PS.part_body_a</v>
      </c>
      <c r="F1358" s="102"/>
      <c r="G1358" s="102" t="str">
        <f>IFERROR(__xludf.DUMMYFUNCTION("""COMPUTED_VALUE"""),"No Stat Changes")</f>
        <v>No Stat Changes</v>
      </c>
      <c r="H1358" s="102"/>
      <c r="I1358" s="102"/>
      <c r="J1358" s="102"/>
      <c r="K1358" s="102"/>
      <c r="L1358" s="102"/>
    </row>
    <row r="1359">
      <c r="A1359" s="102" t="str">
        <f>IFERROR(__xludf.DUMMYFUNCTION("""COMPUTED_VALUE"""),"Tediore")</f>
        <v>Tediore</v>
      </c>
      <c r="B1359" s="102" t="str">
        <f>IFERROR(__xludf.DUMMYFUNCTION("""COMPUTED_VALUE"""),"Pistol")</f>
        <v>Pistol</v>
      </c>
      <c r="C1359" s="103">
        <f>IFERROR(__xludf.DUMMYFUNCTION("""COMPUTED_VALUE"""),4.0)</f>
        <v>4</v>
      </c>
      <c r="D1359" s="102" t="str">
        <f>IFERROR(__xludf.DUMMYFUNCTION("""COMPUTED_VALUE"""),"Body Accessory")</f>
        <v>Body Accessory</v>
      </c>
      <c r="E1359" s="102" t="str">
        <f>IFERROR(__xludf.DUMMYFUNCTION("""COMPUTED_VALUE"""),"TED_PS.part_body_b")</f>
        <v>TED_PS.part_body_b</v>
      </c>
      <c r="F1359" s="102"/>
      <c r="G1359" s="102" t="str">
        <f>IFERROR(__xludf.DUMMYFUNCTION("""COMPUTED_VALUE"""),"+Ammo")</f>
        <v>+Ammo</v>
      </c>
      <c r="H1359" s="102"/>
      <c r="I1359" s="102"/>
      <c r="J1359" s="102"/>
      <c r="K1359" s="102"/>
      <c r="L1359" s="102"/>
    </row>
    <row r="1360">
      <c r="A1360" s="102" t="str">
        <f>IFERROR(__xludf.DUMMYFUNCTION("""COMPUTED_VALUE"""),"Tediore")</f>
        <v>Tediore</v>
      </c>
      <c r="B1360" s="102" t="str">
        <f>IFERROR(__xludf.DUMMYFUNCTION("""COMPUTED_VALUE"""),"Pistol")</f>
        <v>Pistol</v>
      </c>
      <c r="C1360" s="103">
        <f>IFERROR(__xludf.DUMMYFUNCTION("""COMPUTED_VALUE"""),5.0)</f>
        <v>5</v>
      </c>
      <c r="D1360" s="102" t="str">
        <f>IFERROR(__xludf.DUMMYFUNCTION("""COMPUTED_VALUE"""),"Body Accessory")</f>
        <v>Body Accessory</v>
      </c>
      <c r="E1360" s="102" t="str">
        <f>IFERROR(__xludf.DUMMYFUNCTION("""COMPUTED_VALUE"""),"TED_PS.part_body_c")</f>
        <v>TED_PS.part_body_c</v>
      </c>
      <c r="F1360" s="102"/>
      <c r="G1360" s="102" t="str">
        <f>IFERROR(__xludf.DUMMYFUNCTION("""COMPUTED_VALUE"""),"+Accuracy")</f>
        <v>+Accuracy</v>
      </c>
      <c r="H1360" s="102"/>
      <c r="I1360" s="102"/>
      <c r="J1360" s="102"/>
      <c r="K1360" s="102"/>
      <c r="L1360" s="102"/>
    </row>
    <row r="1361">
      <c r="A1361" s="102" t="str">
        <f>IFERROR(__xludf.DUMMYFUNCTION("""COMPUTED_VALUE"""),"Tediore")</f>
        <v>Tediore</v>
      </c>
      <c r="B1361" s="102" t="str">
        <f>IFERROR(__xludf.DUMMYFUNCTION("""COMPUTED_VALUE"""),"Pistol")</f>
        <v>Pistol</v>
      </c>
      <c r="C1361" s="103">
        <f>IFERROR(__xludf.DUMMYFUNCTION("""COMPUTED_VALUE"""),6.0)</f>
        <v>6</v>
      </c>
      <c r="D1361" s="102" t="str">
        <f>IFERROR(__xludf.DUMMYFUNCTION("""COMPUTED_VALUE"""),"Body Accessory")</f>
        <v>Body Accessory</v>
      </c>
      <c r="E1361" s="102" t="str">
        <f>IFERROR(__xludf.DUMMYFUNCTION("""COMPUTED_VALUE"""),"TED_PS.part_body_d")</f>
        <v>TED_PS.part_body_d</v>
      </c>
      <c r="F1361" s="102"/>
      <c r="G1361" s="102" t="str">
        <f>IFERROR(__xludf.DUMMYFUNCTION("""COMPUTED_VALUE"""),"No Stat Changes")</f>
        <v>No Stat Changes</v>
      </c>
      <c r="H1361" s="102"/>
      <c r="I1361" s="102"/>
      <c r="J1361" s="102"/>
      <c r="K1361" s="102"/>
      <c r="L1361" s="102"/>
    </row>
    <row r="1362">
      <c r="A1362" s="102" t="str">
        <f>IFERROR(__xludf.DUMMYFUNCTION("""COMPUTED_VALUE"""),"Tediore")</f>
        <v>Tediore</v>
      </c>
      <c r="B1362" s="102" t="str">
        <f>IFERROR(__xludf.DUMMYFUNCTION("""COMPUTED_VALUE"""),"Pistol")</f>
        <v>Pistol</v>
      </c>
      <c r="C1362" s="103">
        <f>IFERROR(__xludf.DUMMYFUNCTION("""COMPUTED_VALUE"""),7.0)</f>
        <v>7</v>
      </c>
      <c r="D1362" s="102" t="str">
        <f>IFERROR(__xludf.DUMMYFUNCTION("""COMPUTED_VALUE"""),"Barrel")</f>
        <v>Barrel</v>
      </c>
      <c r="E1362" s="102" t="str">
        <f>IFERROR(__xludf.DUMMYFUNCTION("""COMPUTED_VALUE"""),"TED_PS.part_barrel_01")</f>
        <v>TED_PS.part_barrel_01</v>
      </c>
      <c r="F1362" s="102"/>
      <c r="G1362" s="102" t="str">
        <f>IFERROR(__xludf.DUMMYFUNCTION("""COMPUTED_VALUE"""),"Pocketshot, 758 Damage, 52% Acc, 6.0/s FR")</f>
        <v>Pocketshot, 758 Damage, 52% Acc, 6.0/s FR</v>
      </c>
      <c r="H1362" s="102"/>
      <c r="I1362" s="102"/>
      <c r="J1362" s="102"/>
      <c r="K1362" s="102"/>
      <c r="L1362" s="102"/>
    </row>
    <row r="1363">
      <c r="A1363" s="102" t="str">
        <f>IFERROR(__xludf.DUMMYFUNCTION("""COMPUTED_VALUE"""),"Tediore")</f>
        <v>Tediore</v>
      </c>
      <c r="B1363" s="102" t="str">
        <f>IFERROR(__xludf.DUMMYFUNCTION("""COMPUTED_VALUE"""),"Pistol")</f>
        <v>Pistol</v>
      </c>
      <c r="C1363" s="103">
        <f>IFERROR(__xludf.DUMMYFUNCTION("""COMPUTED_VALUE"""),8.0)</f>
        <v>8</v>
      </c>
      <c r="D1363" s="102" t="str">
        <f>IFERROR(__xludf.DUMMYFUNCTION("""COMPUTED_VALUE"""),"Barrel")</f>
        <v>Barrel</v>
      </c>
      <c r="E1363" s="102" t="str">
        <f>IFERROR(__xludf.DUMMYFUNCTION("""COMPUTED_VALUE"""),"TED_PS.part_barrel_02")</f>
        <v>TED_PS.part_barrel_02</v>
      </c>
      <c r="F1363" s="102"/>
      <c r="G1363" s="102" t="str">
        <f>IFERROR(__xludf.DUMMYFUNCTION("""COMPUTED_VALUE"""),"Widget, 892 Damage, 67% Acc, 4.8/s FR")</f>
        <v>Widget, 892 Damage, 67% Acc, 4.8/s FR</v>
      </c>
      <c r="H1363" s="102"/>
      <c r="I1363" s="102"/>
      <c r="J1363" s="102"/>
      <c r="K1363" s="102"/>
      <c r="L1363" s="102"/>
    </row>
    <row r="1364">
      <c r="A1364" s="102" t="str">
        <f>IFERROR(__xludf.DUMMYFUNCTION("""COMPUTED_VALUE"""),"Tediore")</f>
        <v>Tediore</v>
      </c>
      <c r="B1364" s="102" t="str">
        <f>IFERROR(__xludf.DUMMYFUNCTION("""COMPUTED_VALUE"""),"Pistol")</f>
        <v>Pistol</v>
      </c>
      <c r="C1364" s="103">
        <f>IFERROR(__xludf.DUMMYFUNCTION("""COMPUTED_VALUE"""),9.0)</f>
        <v>9</v>
      </c>
      <c r="D1364" s="102" t="str">
        <f>IFERROR(__xludf.DUMMYFUNCTION("""COMPUTED_VALUE"""),"Manufacturer Part")</f>
        <v>Manufacturer Part</v>
      </c>
      <c r="E1364" s="102" t="str">
        <f>IFERROR(__xludf.DUMMYFUNCTION("""COMPUTED_VALUE"""),"TED_PS.part_barrel_licensed_ted_shooting")</f>
        <v>TED_PS.part_barrel_licensed_ted_shooting</v>
      </c>
      <c r="F1364" s="102"/>
      <c r="G1364" s="102" t="str">
        <f>IFERROR(__xludf.DUMMYFUNCTION("""COMPUTED_VALUE"""),"Tediore Shooting, no stat changes")</f>
        <v>Tediore Shooting, no stat changes</v>
      </c>
      <c r="H1364" s="102"/>
      <c r="I1364" s="102"/>
      <c r="J1364" s="102"/>
      <c r="K1364" s="102"/>
      <c r="L1364" s="102"/>
    </row>
    <row r="1365">
      <c r="A1365" s="102" t="str">
        <f>IFERROR(__xludf.DUMMYFUNCTION("""COMPUTED_VALUE"""),"Tediore")</f>
        <v>Tediore</v>
      </c>
      <c r="B1365" s="102" t="str">
        <f>IFERROR(__xludf.DUMMYFUNCTION("""COMPUTED_VALUE"""),"Pistol")</f>
        <v>Pistol</v>
      </c>
      <c r="C1365" s="103">
        <f>IFERROR(__xludf.DUMMYFUNCTION("""COMPUTED_VALUE"""),10.0)</f>
        <v>10</v>
      </c>
      <c r="D1365" s="102" t="str">
        <f>IFERROR(__xludf.DUMMYFUNCTION("""COMPUTED_VALUE"""),"Manufacturer Part")</f>
        <v>Manufacturer Part</v>
      </c>
      <c r="E1365" s="102" t="str">
        <f>IFERROR(__xludf.DUMMYFUNCTION("""COMPUTED_VALUE"""),"TED_PS.part_barrel_licensed_ted_mirv")</f>
        <v>TED_PS.part_barrel_licensed_ted_mirv</v>
      </c>
      <c r="F1365" s="102"/>
      <c r="G1365" s="102" t="str">
        <f>IFERROR(__xludf.DUMMYFUNCTION("""COMPUTED_VALUE"""),"Tediore MIRV, no stat changes")</f>
        <v>Tediore MIRV, no stat changes</v>
      </c>
      <c r="H1365" s="102"/>
      <c r="I1365" s="102"/>
      <c r="J1365" s="102"/>
      <c r="K1365" s="102"/>
      <c r="L1365" s="102"/>
    </row>
    <row r="1366">
      <c r="A1366" s="102" t="str">
        <f>IFERROR(__xludf.DUMMYFUNCTION("""COMPUTED_VALUE"""),"Tediore")</f>
        <v>Tediore</v>
      </c>
      <c r="B1366" s="102" t="str">
        <f>IFERROR(__xludf.DUMMYFUNCTION("""COMPUTED_VALUE"""),"Pistol")</f>
        <v>Pistol</v>
      </c>
      <c r="C1366" s="103">
        <f>IFERROR(__xludf.DUMMYFUNCTION("""COMPUTED_VALUE"""),11.0)</f>
        <v>11</v>
      </c>
      <c r="D1366" s="102" t="str">
        <f>IFERROR(__xludf.DUMMYFUNCTION("""COMPUTED_VALUE"""),"Manufacturer Part")</f>
        <v>Manufacturer Part</v>
      </c>
      <c r="E1366" s="102" t="str">
        <f>IFERROR(__xludf.DUMMYFUNCTION("""COMPUTED_VALUE"""),"TED_PS.part_barrel_licensed_ted_combo")</f>
        <v>TED_PS.part_barrel_licensed_ted_combo</v>
      </c>
      <c r="F1366" s="102"/>
      <c r="G1366" s="102" t="str">
        <f>IFERROR(__xludf.DUMMYFUNCTION("""COMPUTED_VALUE"""),"Tediore Combo, no stat changes")</f>
        <v>Tediore Combo, no stat changes</v>
      </c>
      <c r="H1366" s="102"/>
      <c r="I1366" s="102"/>
      <c r="J1366" s="102"/>
      <c r="K1366" s="102"/>
      <c r="L1366" s="102"/>
    </row>
    <row r="1367">
      <c r="A1367" s="102" t="str">
        <f>IFERROR(__xludf.DUMMYFUNCTION("""COMPUTED_VALUE"""),"Tediore")</f>
        <v>Tediore</v>
      </c>
      <c r="B1367" s="102" t="str">
        <f>IFERROR(__xludf.DUMMYFUNCTION("""COMPUTED_VALUE"""),"Pistol")</f>
        <v>Pistol</v>
      </c>
      <c r="C1367" s="103">
        <f>IFERROR(__xludf.DUMMYFUNCTION("""COMPUTED_VALUE"""),12.0)</f>
        <v>12</v>
      </c>
      <c r="D1367" s="102" t="str">
        <f>IFERROR(__xludf.DUMMYFUNCTION("""COMPUTED_VALUE"""),"Manufacturer Part")</f>
        <v>Manufacturer Part</v>
      </c>
      <c r="E1367" s="102" t="str">
        <f>IFERROR(__xludf.DUMMYFUNCTION("""COMPUTED_VALUE"""),"TED_PS.part_barrel_licensed_ted_replicator")</f>
        <v>TED_PS.part_barrel_licensed_ted_replicator</v>
      </c>
      <c r="F1367" s="102"/>
      <c r="G1367" s="102" t="str">
        <f>IFERROR(__xludf.DUMMYFUNCTION("""COMPUTED_VALUE"""),"Tediore Replicator, no stat changes")</f>
        <v>Tediore Replicator, no stat changes</v>
      </c>
      <c r="H1367" s="102"/>
      <c r="I1367" s="102"/>
      <c r="J1367" s="102"/>
      <c r="K1367" s="102"/>
      <c r="L1367" s="102"/>
    </row>
    <row r="1368">
      <c r="A1368" s="102" t="str">
        <f>IFERROR(__xludf.DUMMYFUNCTION("""COMPUTED_VALUE"""),"Tediore")</f>
        <v>Tediore</v>
      </c>
      <c r="B1368" s="102" t="str">
        <f>IFERROR(__xludf.DUMMYFUNCTION("""COMPUTED_VALUE"""),"Pistol")</f>
        <v>Pistol</v>
      </c>
      <c r="C1368" s="103">
        <f>IFERROR(__xludf.DUMMYFUNCTION("""COMPUTED_VALUE"""),14.0)</f>
        <v>14</v>
      </c>
      <c r="D1368" s="102" t="str">
        <f>IFERROR(__xludf.DUMMYFUNCTION("""COMPUTED_VALUE"""),"Manufacturer Part")</f>
        <v>Manufacturer Part</v>
      </c>
      <c r="E1368" s="102" t="str">
        <f>IFERROR(__xludf.DUMMYFUNCTION("""COMPUTED_VALUE"""),"TED_PS.part_multi_ted_shooting")</f>
        <v>TED_PS.part_multi_ted_shooting</v>
      </c>
      <c r="F1368" s="102"/>
      <c r="G1368" s="102" t="str">
        <f>IFERROR(__xludf.DUMMYFUNCTION("""COMPUTED_VALUE"""),"No Stat Changes")</f>
        <v>No Stat Changes</v>
      </c>
      <c r="H1368" s="102"/>
      <c r="I1368" s="102"/>
      <c r="J1368" s="102"/>
      <c r="K1368" s="102"/>
      <c r="L1368" s="102"/>
    </row>
    <row r="1369">
      <c r="A1369" s="102" t="str">
        <f>IFERROR(__xludf.DUMMYFUNCTION("""COMPUTED_VALUE"""),"Tediore")</f>
        <v>Tediore</v>
      </c>
      <c r="B1369" s="102" t="str">
        <f>IFERROR(__xludf.DUMMYFUNCTION("""COMPUTED_VALUE"""),"Pistol")</f>
        <v>Pistol</v>
      </c>
      <c r="C1369" s="103">
        <f>IFERROR(__xludf.DUMMYFUNCTION("""COMPUTED_VALUE"""),15.0)</f>
        <v>15</v>
      </c>
      <c r="D1369" s="102" t="str">
        <f>IFERROR(__xludf.DUMMYFUNCTION("""COMPUTED_VALUE"""),"Manufacturer Part")</f>
        <v>Manufacturer Part</v>
      </c>
      <c r="E1369" s="102" t="str">
        <f>IFERROR(__xludf.DUMMYFUNCTION("""COMPUTED_VALUE"""),"TED_PS.part_multi_ted_mirv")</f>
        <v>TED_PS.part_multi_ted_mirv</v>
      </c>
      <c r="F1369" s="102"/>
      <c r="G1369" s="102" t="str">
        <f>IFERROR(__xludf.DUMMYFUNCTION("""COMPUTED_VALUE"""),"No Stat Changes")</f>
        <v>No Stat Changes</v>
      </c>
      <c r="H1369" s="102"/>
      <c r="I1369" s="102"/>
      <c r="J1369" s="102"/>
      <c r="K1369" s="102"/>
      <c r="L1369" s="102"/>
    </row>
    <row r="1370">
      <c r="A1370" s="102" t="str">
        <f>IFERROR(__xludf.DUMMYFUNCTION("""COMPUTED_VALUE"""),"Tediore")</f>
        <v>Tediore</v>
      </c>
      <c r="B1370" s="102" t="str">
        <f>IFERROR(__xludf.DUMMYFUNCTION("""COMPUTED_VALUE"""),"Pistol")</f>
        <v>Pistol</v>
      </c>
      <c r="C1370" s="103">
        <f>IFERROR(__xludf.DUMMYFUNCTION("""COMPUTED_VALUE"""),16.0)</f>
        <v>16</v>
      </c>
      <c r="D1370" s="102" t="str">
        <f>IFERROR(__xludf.DUMMYFUNCTION("""COMPUTED_VALUE"""),"Manufacturer Part")</f>
        <v>Manufacturer Part</v>
      </c>
      <c r="E1370" s="102" t="str">
        <f>IFERROR(__xludf.DUMMYFUNCTION("""COMPUTED_VALUE"""),"TED_PS.part_multi_ted_combo")</f>
        <v>TED_PS.part_multi_ted_combo</v>
      </c>
      <c r="F1370" s="102"/>
      <c r="G1370" s="102" t="str">
        <f>IFERROR(__xludf.DUMMYFUNCTION("""COMPUTED_VALUE"""),"No Stat Changes")</f>
        <v>No Stat Changes</v>
      </c>
      <c r="H1370" s="102"/>
      <c r="I1370" s="102"/>
      <c r="J1370" s="102"/>
      <c r="K1370" s="102"/>
      <c r="L1370" s="102"/>
    </row>
    <row r="1371">
      <c r="A1371" s="102" t="str">
        <f>IFERROR(__xludf.DUMMYFUNCTION("""COMPUTED_VALUE"""),"Tediore")</f>
        <v>Tediore</v>
      </c>
      <c r="B1371" s="102" t="str">
        <f>IFERROR(__xludf.DUMMYFUNCTION("""COMPUTED_VALUE"""),"Pistol")</f>
        <v>Pistol</v>
      </c>
      <c r="C1371" s="103">
        <f>IFERROR(__xludf.DUMMYFUNCTION("""COMPUTED_VALUE"""),17.0)</f>
        <v>17</v>
      </c>
      <c r="D1371" s="102" t="str">
        <f>IFERROR(__xludf.DUMMYFUNCTION("""COMPUTED_VALUE"""),"Manufacturer Part")</f>
        <v>Manufacturer Part</v>
      </c>
      <c r="E1371" s="102" t="str">
        <f>IFERROR(__xludf.DUMMYFUNCTION("""COMPUTED_VALUE"""),"TED_PS.part_multi_ted_replicator")</f>
        <v>TED_PS.part_multi_ted_replicator</v>
      </c>
      <c r="F1371" s="102"/>
      <c r="G1371" s="102" t="str">
        <f>IFERROR(__xludf.DUMMYFUNCTION("""COMPUTED_VALUE"""),"No Stat Changes")</f>
        <v>No Stat Changes</v>
      </c>
      <c r="H1371" s="102"/>
      <c r="I1371" s="102"/>
      <c r="J1371" s="102"/>
      <c r="K1371" s="102"/>
      <c r="L1371" s="102"/>
    </row>
    <row r="1372">
      <c r="A1372" s="102" t="str">
        <f>IFERROR(__xludf.DUMMYFUNCTION("""COMPUTED_VALUE"""),"Tediore")</f>
        <v>Tediore</v>
      </c>
      <c r="B1372" s="102" t="str">
        <f>IFERROR(__xludf.DUMMYFUNCTION("""COMPUTED_VALUE"""),"Pistol")</f>
        <v>Pistol</v>
      </c>
      <c r="C1372" s="103">
        <f>IFERROR(__xludf.DUMMYFUNCTION("""COMPUTED_VALUE"""),18.0)</f>
        <v>18</v>
      </c>
      <c r="D1372" s="102" t="str">
        <f>IFERROR(__xludf.DUMMYFUNCTION("""COMPUTED_VALUE"""),"Manufacturer Part")</f>
        <v>Manufacturer Part</v>
      </c>
      <c r="E1372" s="102" t="str">
        <f>IFERROR(__xludf.DUMMYFUNCTION("""COMPUTED_VALUE"""),"TED_PS.part_shield_default")</f>
        <v>TED_PS.part_shield_default</v>
      </c>
      <c r="F1372" s="102"/>
      <c r="G1372" s="102" t="str">
        <f>IFERROR(__xludf.DUMMYFUNCTION("""COMPUTED_VALUE"""),"Hyperion Shield")</f>
        <v>Hyperion Shield</v>
      </c>
      <c r="H1372" s="102"/>
      <c r="I1372" s="102"/>
      <c r="J1372" s="102"/>
      <c r="K1372" s="102"/>
      <c r="L1372" s="102"/>
    </row>
    <row r="1373">
      <c r="A1373" s="102" t="str">
        <f>IFERROR(__xludf.DUMMYFUNCTION("""COMPUTED_VALUE"""),"Tediore")</f>
        <v>Tediore</v>
      </c>
      <c r="B1373" s="102" t="str">
        <f>IFERROR(__xludf.DUMMYFUNCTION("""COMPUTED_VALUE"""),"Pistol")</f>
        <v>Pistol</v>
      </c>
      <c r="C1373" s="103">
        <f>IFERROR(__xludf.DUMMYFUNCTION("""COMPUTED_VALUE"""),19.0)</f>
        <v>19</v>
      </c>
      <c r="D1373" s="102" t="str">
        <f>IFERROR(__xludf.DUMMYFUNCTION("""COMPUTED_VALUE"""),"Manufacturer Part")</f>
        <v>Manufacturer Part</v>
      </c>
      <c r="E1373" s="102" t="str">
        <f>IFERROR(__xludf.DUMMYFUNCTION("""COMPUTED_VALUE"""),"TED_PS.part_shield_ricochet")</f>
        <v>TED_PS.part_shield_ricochet</v>
      </c>
      <c r="F1373" s="102"/>
      <c r="G1373" s="102" t="str">
        <f>IFERROR(__xludf.DUMMYFUNCTION("""COMPUTED_VALUE"""),"Hyperion Ricochet Shield")</f>
        <v>Hyperion Ricochet Shield</v>
      </c>
      <c r="H1373" s="102"/>
      <c r="I1373" s="102"/>
      <c r="J1373" s="102"/>
      <c r="K1373" s="102"/>
      <c r="L1373" s="102"/>
    </row>
    <row r="1374">
      <c r="A1374" s="102" t="str">
        <f>IFERROR(__xludf.DUMMYFUNCTION("""COMPUTED_VALUE"""),"Tediore")</f>
        <v>Tediore</v>
      </c>
      <c r="B1374" s="102" t="str">
        <f>IFERROR(__xludf.DUMMYFUNCTION("""COMPUTED_VALUE"""),"Pistol")</f>
        <v>Pistol</v>
      </c>
      <c r="C1374" s="103">
        <f>IFERROR(__xludf.DUMMYFUNCTION("""COMPUTED_VALUE"""),20.0)</f>
        <v>20</v>
      </c>
      <c r="D1374" s="102" t="str">
        <f>IFERROR(__xludf.DUMMYFUNCTION("""COMPUTED_VALUE"""),"Manufacturer Part")</f>
        <v>Manufacturer Part</v>
      </c>
      <c r="E1374" s="102" t="str">
        <f>IFERROR(__xludf.DUMMYFUNCTION("""COMPUTED_VALUE"""),"TED_PS.part_shield_ammo")</f>
        <v>TED_PS.part_shield_ammo</v>
      </c>
      <c r="F1374" s="102"/>
      <c r="G1374" s="102" t="str">
        <f>IFERROR(__xludf.DUMMYFUNCTION("""COMPUTED_VALUE"""),"Hyperion Absorb Shield")</f>
        <v>Hyperion Absorb Shield</v>
      </c>
      <c r="H1374" s="102"/>
      <c r="I1374" s="102"/>
      <c r="J1374" s="102"/>
      <c r="K1374" s="102"/>
      <c r="L1374" s="102"/>
    </row>
    <row r="1375">
      <c r="A1375" s="102" t="str">
        <f>IFERROR(__xludf.DUMMYFUNCTION("""COMPUTED_VALUE"""),"Tediore")</f>
        <v>Tediore</v>
      </c>
      <c r="B1375" s="102" t="str">
        <f>IFERROR(__xludf.DUMMYFUNCTION("""COMPUTED_VALUE"""),"Pistol")</f>
        <v>Pistol</v>
      </c>
      <c r="C1375" s="103">
        <f>IFERROR(__xludf.DUMMYFUNCTION("""COMPUTED_VALUE"""),21.0)</f>
        <v>21</v>
      </c>
      <c r="D1375" s="102" t="str">
        <f>IFERROR(__xludf.DUMMYFUNCTION("""COMPUTED_VALUE"""),"Manufacturer Part")</f>
        <v>Manufacturer Part</v>
      </c>
      <c r="E1375" s="102" t="str">
        <f>IFERROR(__xludf.DUMMYFUNCTION("""COMPUTED_VALUE"""),"TED_PS.part_shield_amp")</f>
        <v>TED_PS.part_shield_amp</v>
      </c>
      <c r="F1375" s="102"/>
      <c r="G1375" s="102" t="str">
        <f>IFERROR(__xludf.DUMMYFUNCTION("""COMPUTED_VALUE"""),"Hyperion Amp Shield")</f>
        <v>Hyperion Amp Shield</v>
      </c>
      <c r="H1375" s="102"/>
      <c r="I1375" s="102"/>
      <c r="J1375" s="102"/>
      <c r="K1375" s="102"/>
      <c r="L1375" s="102"/>
    </row>
    <row r="1376">
      <c r="A1376" s="102" t="str">
        <f>IFERROR(__xludf.DUMMYFUNCTION("""COMPUTED_VALUE"""),"Tediore")</f>
        <v>Tediore</v>
      </c>
      <c r="B1376" s="102" t="str">
        <f>IFERROR(__xludf.DUMMYFUNCTION("""COMPUTED_VALUE"""),"Pistol")</f>
        <v>Pistol</v>
      </c>
      <c r="C1376" s="103">
        <f>IFERROR(__xludf.DUMMYFUNCTION("""COMPUTED_VALUE"""),22.0)</f>
        <v>22</v>
      </c>
      <c r="D1376" s="102" t="str">
        <f>IFERROR(__xludf.DUMMYFUNCTION("""COMPUTED_VALUE"""),"Magazine")</f>
        <v>Magazine</v>
      </c>
      <c r="E1376" s="102" t="str">
        <f>IFERROR(__xludf.DUMMYFUNCTION("""COMPUTED_VALUE"""),"TED_PS.part_mag_01")</f>
        <v>TED_PS.part_mag_01</v>
      </c>
      <c r="F1376" s="102"/>
      <c r="G1376" s="102" t="str">
        <f>IFERROR(__xludf.DUMMYFUNCTION("""COMPUTED_VALUE"""),"1.4s Reload, 15 Shots")</f>
        <v>1.4s Reload, 15 Shots</v>
      </c>
      <c r="H1376" s="102"/>
      <c r="I1376" s="102"/>
      <c r="J1376" s="102"/>
      <c r="K1376" s="102"/>
      <c r="L1376" s="102"/>
    </row>
    <row r="1377">
      <c r="A1377" s="102" t="str">
        <f>IFERROR(__xludf.DUMMYFUNCTION("""COMPUTED_VALUE"""),"Tediore")</f>
        <v>Tediore</v>
      </c>
      <c r="B1377" s="102" t="str">
        <f>IFERROR(__xludf.DUMMYFUNCTION("""COMPUTED_VALUE"""),"Pistol")</f>
        <v>Pistol</v>
      </c>
      <c r="C1377" s="103">
        <f>IFERROR(__xludf.DUMMYFUNCTION("""COMPUTED_VALUE"""),23.0)</f>
        <v>23</v>
      </c>
      <c r="D1377" s="102" t="str">
        <f>IFERROR(__xludf.DUMMYFUNCTION("""COMPUTED_VALUE"""),"Magazine")</f>
        <v>Magazine</v>
      </c>
      <c r="E1377" s="102" t="str">
        <f>IFERROR(__xludf.DUMMYFUNCTION("""COMPUTED_VALUE"""),"TED_PS.part_mag_02")</f>
        <v>TED_PS.part_mag_02</v>
      </c>
      <c r="F1377" s="102"/>
      <c r="G1377" s="102" t="str">
        <f>IFERROR(__xludf.DUMMYFUNCTION("""COMPUTED_VALUE"""),"1.8s Reload, 20 Shots")</f>
        <v>1.8s Reload, 20 Shots</v>
      </c>
      <c r="H1377" s="102"/>
      <c r="I1377" s="102"/>
      <c r="J1377" s="102"/>
      <c r="K1377" s="102"/>
      <c r="L1377" s="102"/>
    </row>
    <row r="1378">
      <c r="A1378" s="102" t="str">
        <f>IFERROR(__xludf.DUMMYFUNCTION("""COMPUTED_VALUE"""),"Tediore")</f>
        <v>Tediore</v>
      </c>
      <c r="B1378" s="102" t="str">
        <f>IFERROR(__xludf.DUMMYFUNCTION("""COMPUTED_VALUE"""),"Pistol")</f>
        <v>Pistol</v>
      </c>
      <c r="C1378" s="103">
        <f>IFERROR(__xludf.DUMMYFUNCTION("""COMPUTED_VALUE"""),24.0)</f>
        <v>24</v>
      </c>
      <c r="D1378" s="102" t="str">
        <f>IFERROR(__xludf.DUMMYFUNCTION("""COMPUTED_VALUE"""),"Magazine")</f>
        <v>Magazine</v>
      </c>
      <c r="E1378" s="102" t="str">
        <f>IFERROR(__xludf.DUMMYFUNCTION("""COMPUTED_VALUE"""),"TED_PS.part_mag_03_tor")</f>
        <v>TED_PS.part_mag_03_tor</v>
      </c>
      <c r="F1378" s="102"/>
      <c r="G1378" s="102" t="str">
        <f>IFERROR(__xludf.DUMMYFUNCTION("""COMPUTED_VALUE"""),"1.6s Reload, +Damage, +Acc, -Fire Rate, 13 Shots, Torgue")</f>
        <v>1.6s Reload, +Damage, +Acc, -Fire Rate, 13 Shots, Torgue</v>
      </c>
      <c r="H1378" s="102"/>
      <c r="I1378" s="102"/>
      <c r="J1378" s="102"/>
      <c r="K1378" s="102"/>
      <c r="L1378" s="102"/>
    </row>
    <row r="1379">
      <c r="A1379" s="102" t="str">
        <f>IFERROR(__xludf.DUMMYFUNCTION("""COMPUTED_VALUE"""),"Tediore")</f>
        <v>Tediore</v>
      </c>
      <c r="B1379" s="102" t="str">
        <f>IFERROR(__xludf.DUMMYFUNCTION("""COMPUTED_VALUE"""),"Pistol")</f>
        <v>Pistol</v>
      </c>
      <c r="C1379" s="103">
        <f>IFERROR(__xludf.DUMMYFUNCTION("""COMPUTED_VALUE"""),25.0)</f>
        <v>25</v>
      </c>
      <c r="D1379" s="102" t="str">
        <f>IFERROR(__xludf.DUMMYFUNCTION("""COMPUTED_VALUE"""),"Magazine")</f>
        <v>Magazine</v>
      </c>
      <c r="E1379" s="102" t="str">
        <f>IFERROR(__xludf.DUMMYFUNCTION("""COMPUTED_VALUE"""),"TED_PS.part_mag_04_cov")</f>
        <v>TED_PS.part_mag_04_cov</v>
      </c>
      <c r="F1379" s="102"/>
      <c r="G1379" s="102" t="str">
        <f>IFERROR(__xludf.DUMMYFUNCTION("""COMPUTED_VALUE"""),"3.0s Reload, +Damage, -Acc, 27 Shots, CoV Mag")</f>
        <v>3.0s Reload, +Damage, -Acc, 27 Shots, CoV Mag</v>
      </c>
      <c r="H1379" s="102"/>
      <c r="I1379" s="102"/>
      <c r="J1379" s="102"/>
      <c r="K1379" s="102"/>
      <c r="L1379" s="102"/>
    </row>
    <row r="1380">
      <c r="A1380" s="102" t="str">
        <f>IFERROR(__xludf.DUMMYFUNCTION("""COMPUTED_VALUE"""),"Tediore")</f>
        <v>Tediore</v>
      </c>
      <c r="B1380" s="102" t="str">
        <f>IFERROR(__xludf.DUMMYFUNCTION("""COMPUTED_VALUE"""),"Pistol")</f>
        <v>Pistol</v>
      </c>
      <c r="C1380" s="103">
        <f>IFERROR(__xludf.DUMMYFUNCTION("""COMPUTED_VALUE"""),26.0)</f>
        <v>26</v>
      </c>
      <c r="D1380" s="102" t="str">
        <f>IFERROR(__xludf.DUMMYFUNCTION("""COMPUTED_VALUE"""),"Magazine")</f>
        <v>Magazine</v>
      </c>
      <c r="E1380" s="102" t="str">
        <f>IFERROR(__xludf.DUMMYFUNCTION("""COMPUTED_VALUE"""),"TED_PS.part_mag_05_borg")</f>
        <v>TED_PS.part_mag_05_borg</v>
      </c>
      <c r="F1380" s="102"/>
      <c r="G1380" s="102" t="str">
        <f>IFERROR(__xludf.DUMMYFUNCTION("""COMPUTED_VALUE"""),"2.5s Reload, +Damage, +Fire Rate, 26 Shots, Ripper Mag")</f>
        <v>2.5s Reload, +Damage, +Fire Rate, 26 Shots, Ripper Mag</v>
      </c>
      <c r="H1380" s="102"/>
      <c r="I1380" s="102"/>
      <c r="J1380" s="102"/>
      <c r="K1380" s="102"/>
      <c r="L1380" s="102"/>
    </row>
    <row r="1381">
      <c r="A1381" s="102" t="str">
        <f>IFERROR(__xludf.DUMMYFUNCTION("""COMPUTED_VALUE"""),"Tediore")</f>
        <v>Tediore</v>
      </c>
      <c r="B1381" s="102" t="str">
        <f>IFERROR(__xludf.DUMMYFUNCTION("""COMPUTED_VALUE"""),"Pistol")</f>
        <v>Pistol</v>
      </c>
      <c r="C1381" s="103">
        <f>IFERROR(__xludf.DUMMYFUNCTION("""COMPUTED_VALUE"""),27.0)</f>
        <v>27</v>
      </c>
      <c r="D1381" s="102" t="str">
        <f>IFERROR(__xludf.DUMMYFUNCTION("""COMPUTED_VALUE"""),"Manufacturer Part")</f>
        <v>Manufacturer Part</v>
      </c>
      <c r="E1381" s="102" t="str">
        <f>IFERROR(__xludf.DUMMYFUNCTION("""COMPUTED_VALUE"""),"TED_PS.part_mag_torgue_normal")</f>
        <v>TED_PS.part_mag_torgue_normal</v>
      </c>
      <c r="F1381" s="102"/>
      <c r="G1381" s="102" t="str">
        <f>IFERROR(__xludf.DUMMYFUNCTION("""COMPUTED_VALUE"""),"Torgue Impact Gyrojets")</f>
        <v>Torgue Impact Gyrojets</v>
      </c>
      <c r="H1381" s="102"/>
      <c r="I1381" s="102"/>
      <c r="J1381" s="102"/>
      <c r="K1381" s="102"/>
      <c r="L1381" s="102"/>
    </row>
    <row r="1382">
      <c r="A1382" s="102" t="str">
        <f>IFERROR(__xludf.DUMMYFUNCTION("""COMPUTED_VALUE"""),"Tediore")</f>
        <v>Tediore</v>
      </c>
      <c r="B1382" s="102" t="str">
        <f>IFERROR(__xludf.DUMMYFUNCTION("""COMPUTED_VALUE"""),"Pistol")</f>
        <v>Pistol</v>
      </c>
      <c r="C1382" s="103">
        <f>IFERROR(__xludf.DUMMYFUNCTION("""COMPUTED_VALUE"""),28.0)</f>
        <v>28</v>
      </c>
      <c r="D1382" s="102" t="str">
        <f>IFERROR(__xludf.DUMMYFUNCTION("""COMPUTED_VALUE"""),"Manufacturer Part")</f>
        <v>Manufacturer Part</v>
      </c>
      <c r="E1382" s="102" t="str">
        <f>IFERROR(__xludf.DUMMYFUNCTION("""COMPUTED_VALUE"""),"TED_PS.part_mag_torgue_sticky")</f>
        <v>TED_PS.part_mag_torgue_sticky</v>
      </c>
      <c r="F1382" s="102"/>
      <c r="G1382" s="102" t="str">
        <f>IFERROR(__xludf.DUMMYFUNCTION("""COMPUTED_VALUE"""),"Torgue Sticky Gyrojets")</f>
        <v>Torgue Sticky Gyrojets</v>
      </c>
      <c r="H1382" s="102"/>
      <c r="I1382" s="102"/>
      <c r="J1382" s="102"/>
      <c r="K1382" s="102"/>
      <c r="L1382" s="102"/>
    </row>
    <row r="1383">
      <c r="A1383" s="102" t="str">
        <f>IFERROR(__xludf.DUMMYFUNCTION("""COMPUTED_VALUE"""),"Tediore")</f>
        <v>Tediore</v>
      </c>
      <c r="B1383" s="102" t="str">
        <f>IFERROR(__xludf.DUMMYFUNCTION("""COMPUTED_VALUE"""),"Pistol")</f>
        <v>Pistol</v>
      </c>
      <c r="C1383" s="103">
        <f>IFERROR(__xludf.DUMMYFUNCTION("""COMPUTED_VALUE"""),29.0)</f>
        <v>29</v>
      </c>
      <c r="D1383" s="102" t="str">
        <f>IFERROR(__xludf.DUMMYFUNCTION("""COMPUTED_VALUE"""),"Scope")</f>
        <v>Scope</v>
      </c>
      <c r="E1383" s="102" t="str">
        <f>IFERROR(__xludf.DUMMYFUNCTION("""COMPUTED_VALUE"""),"TED_PS.part_scope_ironsight")</f>
        <v>TED_PS.part_scope_ironsight</v>
      </c>
      <c r="F1383" s="102"/>
      <c r="G1383" s="102" t="str">
        <f>IFERROR(__xludf.DUMMYFUNCTION("""COMPUTED_VALUE"""),"ADS")</f>
        <v>ADS</v>
      </c>
      <c r="H1383" s="102"/>
      <c r="I1383" s="102"/>
      <c r="J1383" s="102"/>
      <c r="K1383" s="102"/>
      <c r="L1383" s="102"/>
    </row>
    <row r="1384">
      <c r="A1384" s="102" t="str">
        <f>IFERROR(__xludf.DUMMYFUNCTION("""COMPUTED_VALUE"""),"Tediore")</f>
        <v>Tediore</v>
      </c>
      <c r="B1384" s="102" t="str">
        <f>IFERROR(__xludf.DUMMYFUNCTION("""COMPUTED_VALUE"""),"Pistol")</f>
        <v>Pistol</v>
      </c>
      <c r="C1384" s="103">
        <f>IFERROR(__xludf.DUMMYFUNCTION("""COMPUTED_VALUE"""),30.0)</f>
        <v>30</v>
      </c>
      <c r="D1384" s="102" t="str">
        <f>IFERROR(__xludf.DUMMYFUNCTION("""COMPUTED_VALUE"""),"Scope")</f>
        <v>Scope</v>
      </c>
      <c r="E1384" s="102" t="str">
        <f>IFERROR(__xludf.DUMMYFUNCTION("""COMPUTED_VALUE"""),"TED_PS.part_scope_01_lens_01")</f>
        <v>TED_PS.part_scope_01_lens_01</v>
      </c>
      <c r="F1384" s="102"/>
      <c r="G1384" s="102" t="str">
        <f>IFERROR(__xludf.DUMMYFUNCTION("""COMPUTED_VALUE"""),"ADS ++Zoom")</f>
        <v>ADS ++Zoom</v>
      </c>
      <c r="H1384" s="102"/>
      <c r="I1384" s="102"/>
      <c r="J1384" s="102"/>
      <c r="K1384" s="102"/>
      <c r="L1384" s="102"/>
    </row>
    <row r="1385">
      <c r="A1385" s="102" t="str">
        <f>IFERROR(__xludf.DUMMYFUNCTION("""COMPUTED_VALUE"""),"Tediore")</f>
        <v>Tediore</v>
      </c>
      <c r="B1385" s="102" t="str">
        <f>IFERROR(__xludf.DUMMYFUNCTION("""COMPUTED_VALUE"""),"Pistol")</f>
        <v>Pistol</v>
      </c>
      <c r="C1385" s="103">
        <f>IFERROR(__xludf.DUMMYFUNCTION("""COMPUTED_VALUE"""),31.0)</f>
        <v>31</v>
      </c>
      <c r="D1385" s="102" t="str">
        <f>IFERROR(__xludf.DUMMYFUNCTION("""COMPUTED_VALUE"""),"Scope")</f>
        <v>Scope</v>
      </c>
      <c r="E1385" s="102" t="str">
        <f>IFERROR(__xludf.DUMMYFUNCTION("""COMPUTED_VALUE"""),"TED_PS.part_scope_01_lens_02")</f>
        <v>TED_PS.part_scope_01_lens_02</v>
      </c>
      <c r="F1385" s="102"/>
      <c r="G1385" s="102" t="str">
        <f>IFERROR(__xludf.DUMMYFUNCTION("""COMPUTED_VALUE"""),"ADS +++Zoom")</f>
        <v>ADS +++Zoom</v>
      </c>
      <c r="H1385" s="102"/>
      <c r="I1385" s="102"/>
      <c r="J1385" s="102"/>
      <c r="K1385" s="102"/>
      <c r="L1385" s="102"/>
    </row>
    <row r="1386">
      <c r="A1386" s="102" t="str">
        <f>IFERROR(__xludf.DUMMYFUNCTION("""COMPUTED_VALUE"""),"Tediore")</f>
        <v>Tediore</v>
      </c>
      <c r="B1386" s="102" t="str">
        <f>IFERROR(__xludf.DUMMYFUNCTION("""COMPUTED_VALUE"""),"Pistol")</f>
        <v>Pistol</v>
      </c>
      <c r="C1386" s="103">
        <f>IFERROR(__xludf.DUMMYFUNCTION("""COMPUTED_VALUE"""),32.0)</f>
        <v>32</v>
      </c>
      <c r="D1386" s="102" t="str">
        <f>IFERROR(__xludf.DUMMYFUNCTION("""COMPUTED_VALUE"""),"Scope")</f>
        <v>Scope</v>
      </c>
      <c r="E1386" s="102" t="str">
        <f>IFERROR(__xludf.DUMMYFUNCTION("""COMPUTED_VALUE"""),"TED_PS.part_scope_02_lens_01")</f>
        <v>TED_PS.part_scope_02_lens_01</v>
      </c>
      <c r="F1386" s="102"/>
      <c r="G1386" s="102" t="str">
        <f>IFERROR(__xludf.DUMMYFUNCTION("""COMPUTED_VALUE"""),"ADS +Zoom")</f>
        <v>ADS +Zoom</v>
      </c>
      <c r="H1386" s="102"/>
      <c r="I1386" s="102"/>
      <c r="J1386" s="102"/>
      <c r="K1386" s="102"/>
      <c r="L1386" s="102"/>
    </row>
    <row r="1387">
      <c r="A1387" s="102" t="str">
        <f>IFERROR(__xludf.DUMMYFUNCTION("""COMPUTED_VALUE"""),"Tediore")</f>
        <v>Tediore</v>
      </c>
      <c r="B1387" s="102" t="str">
        <f>IFERROR(__xludf.DUMMYFUNCTION("""COMPUTED_VALUE"""),"Pistol")</f>
        <v>Pistol</v>
      </c>
      <c r="C1387" s="103">
        <f>IFERROR(__xludf.DUMMYFUNCTION("""COMPUTED_VALUE"""),33.0)</f>
        <v>33</v>
      </c>
      <c r="D1387" s="102" t="str">
        <f>IFERROR(__xludf.DUMMYFUNCTION("""COMPUTED_VALUE"""),"Scope")</f>
        <v>Scope</v>
      </c>
      <c r="E1387" s="102" t="str">
        <f>IFERROR(__xludf.DUMMYFUNCTION("""COMPUTED_VALUE"""),"TED_PS.part_scope_02_lens_02")</f>
        <v>TED_PS.part_scope_02_lens_02</v>
      </c>
      <c r="F1387" s="102"/>
      <c r="G1387" s="102" t="str">
        <f>IFERROR(__xludf.DUMMYFUNCTION("""COMPUTED_VALUE"""),"ADS +Zoom")</f>
        <v>ADS +Zoom</v>
      </c>
      <c r="H1387" s="102"/>
      <c r="I1387" s="102"/>
      <c r="J1387" s="102"/>
      <c r="K1387" s="102"/>
      <c r="L1387" s="102"/>
    </row>
    <row r="1388">
      <c r="A1388" s="102" t="str">
        <f>IFERROR(__xludf.DUMMYFUNCTION("""COMPUTED_VALUE"""),"Tediore")</f>
        <v>Tediore</v>
      </c>
      <c r="B1388" s="102" t="str">
        <f>IFERROR(__xludf.DUMMYFUNCTION("""COMPUTED_VALUE"""),"Pistol")</f>
        <v>Pistol</v>
      </c>
      <c r="C1388" s="103">
        <f>IFERROR(__xludf.DUMMYFUNCTION("""COMPUTED_VALUE"""),34.0)</f>
        <v>34</v>
      </c>
      <c r="D1388" s="102" t="str">
        <f>IFERROR(__xludf.DUMMYFUNCTION("""COMPUTED_VALUE"""),"Scope Accessory")</f>
        <v>Scope Accessory</v>
      </c>
      <c r="E1388" s="102" t="str">
        <f>IFERROR(__xludf.DUMMYFUNCTION("""COMPUTED_VALUE"""),"TED_PS.part_scope_acc_s01_l01_a")</f>
        <v>TED_PS.part_scope_acc_s01_l01_a</v>
      </c>
      <c r="F1388" s="102"/>
      <c r="G1388" s="102" t="str">
        <f>IFERROR(__xludf.DUMMYFUNCTION("""COMPUTED_VALUE"""),"+Damage")</f>
        <v>+Damage</v>
      </c>
      <c r="H1388" s="102" t="str">
        <f>IFERROR(__xludf.DUMMYFUNCTION("""COMPUTED_VALUE"""),"Mag Counter")</f>
        <v>Mag Counter</v>
      </c>
      <c r="I1388" s="102"/>
      <c r="J1388" s="102"/>
      <c r="K1388" s="102"/>
      <c r="L1388" s="102"/>
    </row>
    <row r="1389">
      <c r="A1389" s="102" t="str">
        <f>IFERROR(__xludf.DUMMYFUNCTION("""COMPUTED_VALUE"""),"Tediore")</f>
        <v>Tediore</v>
      </c>
      <c r="B1389" s="102" t="str">
        <f>IFERROR(__xludf.DUMMYFUNCTION("""COMPUTED_VALUE"""),"Pistol")</f>
        <v>Pistol</v>
      </c>
      <c r="C1389" s="103">
        <f>IFERROR(__xludf.DUMMYFUNCTION("""COMPUTED_VALUE"""),35.0)</f>
        <v>35</v>
      </c>
      <c r="D1389" s="102" t="str">
        <f>IFERROR(__xludf.DUMMYFUNCTION("""COMPUTED_VALUE"""),"Scope Accessory")</f>
        <v>Scope Accessory</v>
      </c>
      <c r="E1389" s="102" t="str">
        <f>IFERROR(__xludf.DUMMYFUNCTION("""COMPUTED_VALUE"""),"TED_PS.part_scope_acc_s01_l01_b")</f>
        <v>TED_PS.part_scope_acc_s01_l01_b</v>
      </c>
      <c r="F1389" s="102"/>
      <c r="G1389" s="102" t="str">
        <f>IFERROR(__xludf.DUMMYFUNCTION("""COMPUTED_VALUE"""),"-Reload Speed")</f>
        <v>-Reload Speed</v>
      </c>
      <c r="H1389" s="102" t="str">
        <f>IFERROR(__xludf.DUMMYFUNCTION("""COMPUTED_VALUE"""),"HUD Elements, Scope Hood")</f>
        <v>HUD Elements, Scope Hood</v>
      </c>
      <c r="I1389" s="102"/>
      <c r="J1389" s="102"/>
      <c r="K1389" s="102"/>
      <c r="L1389" s="102"/>
    </row>
    <row r="1390">
      <c r="A1390" s="102" t="str">
        <f>IFERROR(__xludf.DUMMYFUNCTION("""COMPUTED_VALUE"""),"Tediore")</f>
        <v>Tediore</v>
      </c>
      <c r="B1390" s="102" t="str">
        <f>IFERROR(__xludf.DUMMYFUNCTION("""COMPUTED_VALUE"""),"Pistol")</f>
        <v>Pistol</v>
      </c>
      <c r="C1390" s="103">
        <f>IFERROR(__xludf.DUMMYFUNCTION("""COMPUTED_VALUE"""),36.0)</f>
        <v>36</v>
      </c>
      <c r="D1390" s="102" t="str">
        <f>IFERROR(__xludf.DUMMYFUNCTION("""COMPUTED_VALUE"""),"Scope Accessory")</f>
        <v>Scope Accessory</v>
      </c>
      <c r="E1390" s="102" t="str">
        <f>IFERROR(__xludf.DUMMYFUNCTION("""COMPUTED_VALUE"""),"TED_PS.part_scope_acc_s02_l01_a")</f>
        <v>TED_PS.part_scope_acc_s02_l01_a</v>
      </c>
      <c r="F1390" s="102"/>
      <c r="G1390" s="102" t="str">
        <f>IFERROR(__xludf.DUMMYFUNCTION("""COMPUTED_VALUE"""),"No Stat Changes")</f>
        <v>No Stat Changes</v>
      </c>
      <c r="H1390" s="102" t="str">
        <f>IFERROR(__xludf.DUMMYFUNCTION("""COMPUTED_VALUE"""),"Mag Counter")</f>
        <v>Mag Counter</v>
      </c>
      <c r="I1390" s="102"/>
      <c r="J1390" s="102"/>
      <c r="K1390" s="102"/>
      <c r="L1390" s="102"/>
    </row>
    <row r="1391">
      <c r="A1391" s="102" t="str">
        <f>IFERROR(__xludf.DUMMYFUNCTION("""COMPUTED_VALUE"""),"Tediore")</f>
        <v>Tediore</v>
      </c>
      <c r="B1391" s="102" t="str">
        <f>IFERROR(__xludf.DUMMYFUNCTION("""COMPUTED_VALUE"""),"Pistol")</f>
        <v>Pistol</v>
      </c>
      <c r="C1391" s="103">
        <f>IFERROR(__xludf.DUMMYFUNCTION("""COMPUTED_VALUE"""),37.0)</f>
        <v>37</v>
      </c>
      <c r="D1391" s="102" t="str">
        <f>IFERROR(__xludf.DUMMYFUNCTION("""COMPUTED_VALUE"""),"Scope Accessory")</f>
        <v>Scope Accessory</v>
      </c>
      <c r="E1391" s="102" t="str">
        <f>IFERROR(__xludf.DUMMYFUNCTION("""COMPUTED_VALUE"""),"TED_PS.part_scope_acc_s02_l01_b")</f>
        <v>TED_PS.part_scope_acc_s02_l01_b</v>
      </c>
      <c r="F1391" s="102"/>
      <c r="G1391" s="102" t="str">
        <f>IFERROR(__xludf.DUMMYFUNCTION("""COMPUTED_VALUE"""),"+Crit Damage")</f>
        <v>+Crit Damage</v>
      </c>
      <c r="H1391" s="102" t="str">
        <f>IFERROR(__xludf.DUMMYFUNCTION("""COMPUTED_VALUE"""),"+20% CD, HUD Elements, Scope Hood")</f>
        <v>+20% CD, HUD Elements, Scope Hood</v>
      </c>
      <c r="I1391" s="102"/>
      <c r="J1391" s="102"/>
      <c r="K1391" s="102"/>
      <c r="L1391" s="102"/>
    </row>
    <row r="1392">
      <c r="A1392" s="102" t="str">
        <f>IFERROR(__xludf.DUMMYFUNCTION("""COMPUTED_VALUE"""),"Tediore")</f>
        <v>Tediore</v>
      </c>
      <c r="B1392" s="102" t="str">
        <f>IFERROR(__xludf.DUMMYFUNCTION("""COMPUTED_VALUE"""),"Pistol")</f>
        <v>Pistol</v>
      </c>
      <c r="C1392" s="103">
        <f>IFERROR(__xludf.DUMMYFUNCTION("""COMPUTED_VALUE"""),38.0)</f>
        <v>38</v>
      </c>
      <c r="D1392" s="102" t="str">
        <f>IFERROR(__xludf.DUMMYFUNCTION("""COMPUTED_VALUE"""),"Scope Accessory")</f>
        <v>Scope Accessory</v>
      </c>
      <c r="E1392" s="102" t="str">
        <f>IFERROR(__xludf.DUMMYFUNCTION("""COMPUTED_VALUE"""),"TED_PS.part_scope_acc_s01_l02_a")</f>
        <v>TED_PS.part_scope_acc_s01_l02_a</v>
      </c>
      <c r="F1392" s="102"/>
      <c r="G1392" s="102" t="str">
        <f>IFERROR(__xludf.DUMMYFUNCTION("""COMPUTED_VALUE"""),"+Damage")</f>
        <v>+Damage</v>
      </c>
      <c r="H1392" s="102" t="str">
        <f>IFERROR(__xludf.DUMMYFUNCTION("""COMPUTED_VALUE"""),"Mag Counter")</f>
        <v>Mag Counter</v>
      </c>
      <c r="I1392" s="102"/>
      <c r="J1392" s="102"/>
      <c r="K1392" s="102"/>
      <c r="L1392" s="102"/>
    </row>
    <row r="1393">
      <c r="A1393" s="102" t="str">
        <f>IFERROR(__xludf.DUMMYFUNCTION("""COMPUTED_VALUE"""),"Tediore")</f>
        <v>Tediore</v>
      </c>
      <c r="B1393" s="102" t="str">
        <f>IFERROR(__xludf.DUMMYFUNCTION("""COMPUTED_VALUE"""),"Pistol")</f>
        <v>Pistol</v>
      </c>
      <c r="C1393" s="103">
        <f>IFERROR(__xludf.DUMMYFUNCTION("""COMPUTED_VALUE"""),39.0)</f>
        <v>39</v>
      </c>
      <c r="D1393" s="102" t="str">
        <f>IFERROR(__xludf.DUMMYFUNCTION("""COMPUTED_VALUE"""),"Scope Accessory")</f>
        <v>Scope Accessory</v>
      </c>
      <c r="E1393" s="102" t="str">
        <f>IFERROR(__xludf.DUMMYFUNCTION("""COMPUTED_VALUE"""),"TED_PS.part_scope_acc_s01_l02_b")</f>
        <v>TED_PS.part_scope_acc_s01_l02_b</v>
      </c>
      <c r="F1393" s="102"/>
      <c r="G1393" s="102" t="str">
        <f>IFERROR(__xludf.DUMMYFUNCTION("""COMPUTED_VALUE"""),"-Reload Speed")</f>
        <v>-Reload Speed</v>
      </c>
      <c r="H1393" s="102" t="str">
        <f>IFERROR(__xludf.DUMMYFUNCTION("""COMPUTED_VALUE"""),"Hud Elements")</f>
        <v>Hud Elements</v>
      </c>
      <c r="I1393" s="102"/>
      <c r="J1393" s="102"/>
      <c r="K1393" s="102"/>
      <c r="L1393" s="102"/>
    </row>
    <row r="1394">
      <c r="A1394" s="102" t="str">
        <f>IFERROR(__xludf.DUMMYFUNCTION("""COMPUTED_VALUE"""),"Tediore")</f>
        <v>Tediore</v>
      </c>
      <c r="B1394" s="102" t="str">
        <f>IFERROR(__xludf.DUMMYFUNCTION("""COMPUTED_VALUE"""),"Pistol")</f>
        <v>Pistol</v>
      </c>
      <c r="C1394" s="103">
        <f>IFERROR(__xludf.DUMMYFUNCTION("""COMPUTED_VALUE"""),40.0)</f>
        <v>40</v>
      </c>
      <c r="D1394" s="102" t="str">
        <f>IFERROR(__xludf.DUMMYFUNCTION("""COMPUTED_VALUE"""),"Scope Accessory")</f>
        <v>Scope Accessory</v>
      </c>
      <c r="E1394" s="102" t="str">
        <f>IFERROR(__xludf.DUMMYFUNCTION("""COMPUTED_VALUE"""),"TED_PS.part_scope_acc_s02_l02_a")</f>
        <v>TED_PS.part_scope_acc_s02_l02_a</v>
      </c>
      <c r="F1394" s="102"/>
      <c r="G1394" s="102" t="str">
        <f>IFERROR(__xludf.DUMMYFUNCTION("""COMPUTED_VALUE"""),"No Stat Changes")</f>
        <v>No Stat Changes</v>
      </c>
      <c r="H1394" s="102" t="str">
        <f>IFERROR(__xludf.DUMMYFUNCTION("""COMPUTED_VALUE"""),"Damage Type")</f>
        <v>Damage Type</v>
      </c>
      <c r="I1394" s="102"/>
      <c r="J1394" s="102"/>
      <c r="K1394" s="102"/>
      <c r="L1394" s="102"/>
    </row>
    <row r="1395">
      <c r="A1395" s="102" t="str">
        <f>IFERROR(__xludf.DUMMYFUNCTION("""COMPUTED_VALUE"""),"Tediore")</f>
        <v>Tediore</v>
      </c>
      <c r="B1395" s="102" t="str">
        <f>IFERROR(__xludf.DUMMYFUNCTION("""COMPUTED_VALUE"""),"Pistol")</f>
        <v>Pistol</v>
      </c>
      <c r="C1395" s="103">
        <f>IFERROR(__xludf.DUMMYFUNCTION("""COMPUTED_VALUE"""),41.0)</f>
        <v>41</v>
      </c>
      <c r="D1395" s="102" t="str">
        <f>IFERROR(__xludf.DUMMYFUNCTION("""COMPUTED_VALUE"""),"Scope Accessory")</f>
        <v>Scope Accessory</v>
      </c>
      <c r="E1395" s="102" t="str">
        <f>IFERROR(__xludf.DUMMYFUNCTION("""COMPUTED_VALUE"""),"TED_PS.part_scope_acc_s02_l02_b")</f>
        <v>TED_PS.part_scope_acc_s02_l02_b</v>
      </c>
      <c r="F1395" s="102"/>
      <c r="G1395" s="102" t="str">
        <f>IFERROR(__xludf.DUMMYFUNCTION("""COMPUTED_VALUE"""),"+Crit Damage")</f>
        <v>+Crit Damage</v>
      </c>
      <c r="H1395" s="102" t="str">
        <f>IFERROR(__xludf.DUMMYFUNCTION("""COMPUTED_VALUE"""),"Scope Hood")</f>
        <v>Scope Hood</v>
      </c>
      <c r="I1395" s="102"/>
      <c r="J1395" s="102"/>
      <c r="K1395" s="102"/>
      <c r="L1395" s="102"/>
    </row>
    <row r="1396">
      <c r="A1396" s="102" t="str">
        <f>IFERROR(__xludf.DUMMYFUNCTION("""COMPUTED_VALUE"""),"Tediore")</f>
        <v>Tediore</v>
      </c>
      <c r="B1396" s="102" t="str">
        <f>IFERROR(__xludf.DUMMYFUNCTION("""COMPUTED_VALUE"""),"Pistol")</f>
        <v>Pistol</v>
      </c>
      <c r="C1396" s="103">
        <f>IFERROR(__xludf.DUMMYFUNCTION("""COMPUTED_VALUE"""),42.0)</f>
        <v>42</v>
      </c>
      <c r="D1396" s="102" t="str">
        <f>IFERROR(__xludf.DUMMYFUNCTION("""COMPUTED_VALUE"""),"Grip")</f>
        <v>Grip</v>
      </c>
      <c r="E1396" s="102" t="str">
        <f>IFERROR(__xludf.DUMMYFUNCTION("""COMPUTED_VALUE"""),"TED_PS.part_grip_05c_ted_jav")</f>
        <v>TED_PS.part_grip_05c_ted_jav</v>
      </c>
      <c r="F1396" s="102"/>
      <c r="G1396" s="102" t="str">
        <f>IFERROR(__xludf.DUMMYFUNCTION("""COMPUTED_VALUE"""),"Tediore reload modifier: Javelin, no stat changes")</f>
        <v>Tediore reload modifier: Javelin, no stat changes</v>
      </c>
      <c r="H1396" s="102"/>
      <c r="I1396" s="102"/>
      <c r="J1396" s="102"/>
      <c r="K1396" s="102"/>
      <c r="L1396" s="102"/>
    </row>
    <row r="1397">
      <c r="A1397" s="102" t="str">
        <f>IFERROR(__xludf.DUMMYFUNCTION("""COMPUTED_VALUE"""),"Tediore")</f>
        <v>Tediore</v>
      </c>
      <c r="B1397" s="102" t="str">
        <f>IFERROR(__xludf.DUMMYFUNCTION("""COMPUTED_VALUE"""),"Pistol")</f>
        <v>Pistol</v>
      </c>
      <c r="C1397" s="103">
        <f>IFERROR(__xludf.DUMMYFUNCTION("""COMPUTED_VALUE"""),43.0)</f>
        <v>43</v>
      </c>
      <c r="D1397" s="102" t="str">
        <f>IFERROR(__xludf.DUMMYFUNCTION("""COMPUTED_VALUE"""),"Grip")</f>
        <v>Grip</v>
      </c>
      <c r="E1397" s="102" t="str">
        <f>IFERROR(__xludf.DUMMYFUNCTION("""COMPUTED_VALUE"""),"TED_PS.part_grip_05b_ted_homing")</f>
        <v>TED_PS.part_grip_05b_ted_homing</v>
      </c>
      <c r="F1397" s="102"/>
      <c r="G1397" s="102" t="str">
        <f>IFERROR(__xludf.DUMMYFUNCTION("""COMPUTED_VALUE"""),"Tediore reload modifier: Homing, no stat changes")</f>
        <v>Tediore reload modifier: Homing, no stat changes</v>
      </c>
      <c r="H1397" s="102"/>
      <c r="I1397" s="102"/>
      <c r="J1397" s="102"/>
      <c r="K1397" s="102"/>
      <c r="L1397" s="102"/>
    </row>
    <row r="1398">
      <c r="A1398" s="102" t="str">
        <f>IFERROR(__xludf.DUMMYFUNCTION("""COMPUTED_VALUE"""),"Tediore")</f>
        <v>Tediore</v>
      </c>
      <c r="B1398" s="102" t="str">
        <f>IFERROR(__xludf.DUMMYFUNCTION("""COMPUTED_VALUE"""),"Pistol")</f>
        <v>Pistol</v>
      </c>
      <c r="C1398" s="103">
        <f>IFERROR(__xludf.DUMMYFUNCTION("""COMPUTED_VALUE"""),44.0)</f>
        <v>44</v>
      </c>
      <c r="D1398" s="102" t="str">
        <f>IFERROR(__xludf.DUMMYFUNCTION("""COMPUTED_VALUE"""),"Grip")</f>
        <v>Grip</v>
      </c>
      <c r="E1398" s="102" t="str">
        <f>IFERROR(__xludf.DUMMYFUNCTION("""COMPUTED_VALUE"""),"TED_PS.part_grip_05a_ted_legs")</f>
        <v>TED_PS.part_grip_05a_ted_legs</v>
      </c>
      <c r="F1398" s="102"/>
      <c r="G1398" s="102" t="str">
        <f>IFERROR(__xludf.DUMMYFUNCTION("""COMPUTED_VALUE"""),"Tediore reload modifier: Legs, no stat changes")</f>
        <v>Tediore reload modifier: Legs, no stat changes</v>
      </c>
      <c r="H1398" s="102"/>
      <c r="I1398" s="102"/>
      <c r="J1398" s="102"/>
      <c r="K1398" s="102"/>
      <c r="L1398" s="102"/>
    </row>
    <row r="1399">
      <c r="A1399" s="102" t="str">
        <f>IFERROR(__xludf.DUMMYFUNCTION("""COMPUTED_VALUE"""),"Tediore")</f>
        <v>Tediore</v>
      </c>
      <c r="B1399" s="102" t="str">
        <f>IFERROR(__xludf.DUMMYFUNCTION("""COMPUTED_VALUE"""),"Pistol")</f>
        <v>Pistol</v>
      </c>
      <c r="C1399" s="103">
        <f>IFERROR(__xludf.DUMMYFUNCTION("""COMPUTED_VALUE"""),45.0)</f>
        <v>45</v>
      </c>
      <c r="D1399" s="102" t="str">
        <f>IFERROR(__xludf.DUMMYFUNCTION("""COMPUTED_VALUE"""),"Grip")</f>
        <v>Grip</v>
      </c>
      <c r="E1399" s="102" t="str">
        <f>IFERROR(__xludf.DUMMYFUNCTION("""COMPUTED_VALUE"""),"TED_PS.part_grip_04_hyp")</f>
        <v>TED_PS.part_grip_04_hyp</v>
      </c>
      <c r="F1399" s="102"/>
      <c r="G1399" s="102" t="str">
        <f>IFERROR(__xludf.DUMMYFUNCTION("""COMPUTED_VALUE"""),"Hyperion Grip, -Acc, Acc increases with continuous fire")</f>
        <v>Hyperion Grip, -Acc, Acc increases with continuous fire</v>
      </c>
      <c r="H1399" s="102"/>
      <c r="I1399" s="102"/>
      <c r="J1399" s="102"/>
      <c r="K1399" s="102"/>
      <c r="L1399" s="102"/>
    </row>
    <row r="1400">
      <c r="A1400" s="102" t="str">
        <f>IFERROR(__xludf.DUMMYFUNCTION("""COMPUTED_VALUE"""),"Tediore")</f>
        <v>Tediore</v>
      </c>
      <c r="B1400" s="102" t="str">
        <f>IFERROR(__xludf.DUMMYFUNCTION("""COMPUTED_VALUE"""),"Pistol")</f>
        <v>Pistol</v>
      </c>
      <c r="C1400" s="103">
        <f>IFERROR(__xludf.DUMMYFUNCTION("""COMPUTED_VALUE"""),46.0)</f>
        <v>46</v>
      </c>
      <c r="D1400" s="102" t="str">
        <f>IFERROR(__xludf.DUMMYFUNCTION("""COMPUTED_VALUE"""),"Grip")</f>
        <v>Grip</v>
      </c>
      <c r="E1400" s="102" t="str">
        <f>IFERROR(__xludf.DUMMYFUNCTION("""COMPUTED_VALUE"""),"TED_PS.part_grip_01")</f>
        <v>TED_PS.part_grip_01</v>
      </c>
      <c r="F1400" s="102"/>
      <c r="G1400" s="102" t="str">
        <f>IFERROR(__xludf.DUMMYFUNCTION("""COMPUTED_VALUE"""),"+Damage")</f>
        <v>+Damage</v>
      </c>
      <c r="H1400" s="102"/>
      <c r="I1400" s="102"/>
      <c r="J1400" s="102"/>
      <c r="K1400" s="102"/>
      <c r="L1400" s="102"/>
    </row>
    <row r="1401">
      <c r="A1401" s="102" t="str">
        <f>IFERROR(__xludf.DUMMYFUNCTION("""COMPUTED_VALUE"""),"Tediore")</f>
        <v>Tediore</v>
      </c>
      <c r="B1401" s="102" t="str">
        <f>IFERROR(__xludf.DUMMYFUNCTION("""COMPUTED_VALUE"""),"Pistol")</f>
        <v>Pistol</v>
      </c>
      <c r="C1401" s="103">
        <f>IFERROR(__xludf.DUMMYFUNCTION("""COMPUTED_VALUE"""),47.0)</f>
        <v>47</v>
      </c>
      <c r="D1401" s="102" t="str">
        <f>IFERROR(__xludf.DUMMYFUNCTION("""COMPUTED_VALUE"""),"Grip")</f>
        <v>Grip</v>
      </c>
      <c r="E1401" s="102" t="str">
        <f>IFERROR(__xludf.DUMMYFUNCTION("""COMPUTED_VALUE"""),"TED_PS.part_grip_02")</f>
        <v>TED_PS.part_grip_02</v>
      </c>
      <c r="F1401" s="102"/>
      <c r="G1401" s="102" t="str">
        <f>IFERROR(__xludf.DUMMYFUNCTION("""COMPUTED_VALUE"""),"+Fire Rate")</f>
        <v>+Fire Rate</v>
      </c>
      <c r="H1401" s="102"/>
      <c r="I1401" s="102"/>
      <c r="J1401" s="102"/>
      <c r="K1401" s="102"/>
      <c r="L1401" s="102"/>
    </row>
    <row r="1402">
      <c r="A1402" s="102" t="str">
        <f>IFERROR(__xludf.DUMMYFUNCTION("""COMPUTED_VALUE"""),"Tediore")</f>
        <v>Tediore</v>
      </c>
      <c r="B1402" s="102" t="str">
        <f>IFERROR(__xludf.DUMMYFUNCTION("""COMPUTED_VALUE"""),"Pistol")</f>
        <v>Pistol</v>
      </c>
      <c r="C1402" s="103">
        <f>IFERROR(__xludf.DUMMYFUNCTION("""COMPUTED_VALUE"""),48.0)</f>
        <v>48</v>
      </c>
      <c r="D1402" s="102" t="str">
        <f>IFERROR(__xludf.DUMMYFUNCTION("""COMPUTED_VALUE"""),"Grip")</f>
        <v>Grip</v>
      </c>
      <c r="E1402" s="102" t="str">
        <f>IFERROR(__xludf.DUMMYFUNCTION("""COMPUTED_VALUE"""),"TED_PS.part_grip_03")</f>
        <v>TED_PS.part_grip_03</v>
      </c>
      <c r="F1402" s="102"/>
      <c r="G1402" s="102" t="str">
        <f>IFERROR(__xludf.DUMMYFUNCTION("""COMPUTED_VALUE"""),"+Ammo")</f>
        <v>+Ammo</v>
      </c>
      <c r="H1402" s="102"/>
      <c r="I1402" s="102"/>
      <c r="J1402" s="102"/>
      <c r="K1402" s="102"/>
      <c r="L1402" s="102"/>
    </row>
    <row r="1403">
      <c r="A1403" s="102" t="str">
        <f>IFERROR(__xludf.DUMMYFUNCTION("""COMPUTED_VALUE"""),"Tediore")</f>
        <v>Tediore</v>
      </c>
      <c r="B1403" s="102" t="str">
        <f>IFERROR(__xludf.DUMMYFUNCTION("""COMPUTED_VALUE"""),"Pistol")</f>
        <v>Pistol</v>
      </c>
      <c r="C1403" s="103">
        <f>IFERROR(__xludf.DUMMYFUNCTION("""COMPUTED_VALUE"""),49.0)</f>
        <v>49</v>
      </c>
      <c r="D1403" s="102" t="str">
        <f>IFERROR(__xludf.DUMMYFUNCTION("""COMPUTED_VALUE"""),"Underbarrel")</f>
        <v>Underbarrel</v>
      </c>
      <c r="E1403" s="102" t="str">
        <f>IFERROR(__xludf.DUMMYFUNCTION("""COMPUTED_VALUE"""),"TED_PS.part_underbarrel_05_ammoswitcher")</f>
        <v>TED_PS.part_underbarrel_05_ammoswitcher</v>
      </c>
      <c r="F1403" s="102"/>
      <c r="G1403" s="102" t="str">
        <f>IFERROR(__xludf.DUMMYFUNCTION("""COMPUTED_VALUE"""),"Daedalus Ammo Switch")</f>
        <v>Daedalus Ammo Switch</v>
      </c>
      <c r="H1403" s="102" t="str">
        <f>IFERROR(__xludf.DUMMYFUNCTION("""COMPUTED_VALUE"""),"Used for Daedalus Ammo switch")</f>
        <v>Used for Daedalus Ammo switch</v>
      </c>
      <c r="I1403" s="102"/>
      <c r="J1403" s="102"/>
      <c r="K1403" s="102"/>
      <c r="L1403" s="102"/>
    </row>
    <row r="1404">
      <c r="A1404" s="102" t="str">
        <f>IFERROR(__xludf.DUMMYFUNCTION("""COMPUTED_VALUE"""),"Tediore")</f>
        <v>Tediore</v>
      </c>
      <c r="B1404" s="102" t="str">
        <f>IFERROR(__xludf.DUMMYFUNCTION("""COMPUTED_VALUE"""),"Pistol")</f>
        <v>Pistol</v>
      </c>
      <c r="C1404" s="103">
        <f>IFERROR(__xludf.DUMMYFUNCTION("""COMPUTED_VALUE"""),50.0)</f>
        <v>50</v>
      </c>
      <c r="D1404" s="102" t="str">
        <f>IFERROR(__xludf.DUMMYFUNCTION("""COMPUTED_VALUE"""),"Underbarrel")</f>
        <v>Underbarrel</v>
      </c>
      <c r="E1404" s="102" t="str">
        <f>IFERROR(__xludf.DUMMYFUNCTION("""COMPUTED_VALUE"""),"TED_PS.part_underbarrel_03_shotgun")</f>
        <v>TED_PS.part_underbarrel_03_shotgun</v>
      </c>
      <c r="F1404" s="102"/>
      <c r="G1404" s="102" t="str">
        <f>IFERROR(__xludf.DUMMYFUNCTION("""COMPUTED_VALUE"""),"Alt Fire - Micro Shotgun")</f>
        <v>Alt Fire - Micro Shotgun</v>
      </c>
      <c r="H1404" s="102"/>
      <c r="I1404" s="102"/>
      <c r="J1404" s="102"/>
      <c r="K1404" s="102"/>
      <c r="L1404" s="102"/>
    </row>
    <row r="1405">
      <c r="A1405" s="102" t="str">
        <f>IFERROR(__xludf.DUMMYFUNCTION("""COMPUTED_VALUE"""),"Tediore")</f>
        <v>Tediore</v>
      </c>
      <c r="B1405" s="102" t="str">
        <f>IFERROR(__xludf.DUMMYFUNCTION("""COMPUTED_VALUE"""),"Pistol")</f>
        <v>Pistol</v>
      </c>
      <c r="C1405" s="103">
        <f>IFERROR(__xludf.DUMMYFUNCTION("""COMPUTED_VALUE"""),51.0)</f>
        <v>51</v>
      </c>
      <c r="D1405" s="102" t="str">
        <f>IFERROR(__xludf.DUMMYFUNCTION("""COMPUTED_VALUE"""),"Underbarrel")</f>
        <v>Underbarrel</v>
      </c>
      <c r="E1405" s="102" t="str">
        <f>IFERROR(__xludf.DUMMYFUNCTION("""COMPUTED_VALUE"""),"TED_PS.part_underbarrel_06_malswitch")</f>
        <v>TED_PS.part_underbarrel_06_malswitch</v>
      </c>
      <c r="F1405" s="102"/>
      <c r="G1405" s="102" t="str">
        <f>IFERROR(__xludf.DUMMYFUNCTION("""COMPUTED_VALUE"""),"Maliwan Element Switch")</f>
        <v>Maliwan Element Switch</v>
      </c>
      <c r="H1405" s="102" t="str">
        <f>IFERROR(__xludf.DUMMYFUNCTION("""COMPUTED_VALUE"""),"Used for Maliwan elemental switch")</f>
        <v>Used for Maliwan elemental switch</v>
      </c>
      <c r="I1405" s="102"/>
      <c r="J1405" s="102"/>
      <c r="K1405" s="102"/>
      <c r="L1405" s="102"/>
    </row>
    <row r="1406">
      <c r="A1406" s="102" t="str">
        <f>IFERROR(__xludf.DUMMYFUNCTION("""COMPUTED_VALUE"""),"Tediore")</f>
        <v>Tediore</v>
      </c>
      <c r="B1406" s="102" t="str">
        <f>IFERROR(__xludf.DUMMYFUNCTION("""COMPUTED_VALUE"""),"Pistol")</f>
        <v>Pistol</v>
      </c>
      <c r="C1406" s="103">
        <f>IFERROR(__xludf.DUMMYFUNCTION("""COMPUTED_VALUE"""),52.0)</f>
        <v>52</v>
      </c>
      <c r="D1406" s="102" t="str">
        <f>IFERROR(__xludf.DUMMYFUNCTION("""COMPUTED_VALUE"""),"Underbarrel")</f>
        <v>Underbarrel</v>
      </c>
      <c r="E1406" s="102" t="str">
        <f>IFERROR(__xludf.DUMMYFUNCTION("""COMPUTED_VALUE"""),"TED_PS.part_underbarrel_04_atlas_ball")</f>
        <v>TED_PS.part_underbarrel_04_atlas_ball</v>
      </c>
      <c r="F1406" s="102"/>
      <c r="G1406" s="102" t="str">
        <f>IFERROR(__xludf.DUMMYFUNCTION("""COMPUTED_VALUE"""),"Atlas Tracker Grenades")</f>
        <v>Atlas Tracker Grenades</v>
      </c>
      <c r="H1406" s="102"/>
      <c r="I1406" s="102"/>
      <c r="J1406" s="102"/>
      <c r="K1406" s="102"/>
      <c r="L1406" s="102"/>
    </row>
    <row r="1407">
      <c r="A1407" s="102" t="str">
        <f>IFERROR(__xludf.DUMMYFUNCTION("""COMPUTED_VALUE"""),"Tediore")</f>
        <v>Tediore</v>
      </c>
      <c r="B1407" s="102" t="str">
        <f>IFERROR(__xludf.DUMMYFUNCTION("""COMPUTED_VALUE"""),"Pistol")</f>
        <v>Pistol</v>
      </c>
      <c r="C1407" s="103">
        <f>IFERROR(__xludf.DUMMYFUNCTION("""COMPUTED_VALUE"""),53.0)</f>
        <v>53</v>
      </c>
      <c r="D1407" s="102" t="str">
        <f>IFERROR(__xludf.DUMMYFUNCTION("""COMPUTED_VALUE"""),"Foregrip")</f>
        <v>Foregrip</v>
      </c>
      <c r="E1407" s="102" t="str">
        <f>IFERROR(__xludf.DUMMYFUNCTION("""COMPUTED_VALUE"""),"TED_PS.part_foregrip_01")</f>
        <v>TED_PS.part_foregrip_01</v>
      </c>
      <c r="F1407" s="102"/>
      <c r="G1407" s="102" t="str">
        <f>IFERROR(__xludf.DUMMYFUNCTION("""COMPUTED_VALUE"""),"+Damage")</f>
        <v>+Damage</v>
      </c>
      <c r="H1407" s="102"/>
      <c r="I1407" s="102"/>
      <c r="J1407" s="102"/>
      <c r="K1407" s="102"/>
      <c r="L1407" s="102"/>
    </row>
    <row r="1408">
      <c r="A1408" s="102" t="str">
        <f>IFERROR(__xludf.DUMMYFUNCTION("""COMPUTED_VALUE"""),"Tediore")</f>
        <v>Tediore</v>
      </c>
      <c r="B1408" s="102" t="str">
        <f>IFERROR(__xludf.DUMMYFUNCTION("""COMPUTED_VALUE"""),"Pistol")</f>
        <v>Pistol</v>
      </c>
      <c r="C1408" s="103">
        <f>IFERROR(__xludf.DUMMYFUNCTION("""COMPUTED_VALUE"""),54.0)</f>
        <v>54</v>
      </c>
      <c r="D1408" s="102" t="str">
        <f>IFERROR(__xludf.DUMMYFUNCTION("""COMPUTED_VALUE"""),"Foregrip")</f>
        <v>Foregrip</v>
      </c>
      <c r="E1408" s="102" t="str">
        <f>IFERROR(__xludf.DUMMYFUNCTION("""COMPUTED_VALUE"""),"TED_PS.part_foregrip_03")</f>
        <v>TED_PS.part_foregrip_03</v>
      </c>
      <c r="F1408" s="102"/>
      <c r="G1408" s="102" t="str">
        <f>IFERROR(__xludf.DUMMYFUNCTION("""COMPUTED_VALUE"""),"+Accuracy")</f>
        <v>+Accuracy</v>
      </c>
      <c r="H1408" s="102"/>
      <c r="I1408" s="102"/>
      <c r="J1408" s="102"/>
      <c r="K1408" s="102"/>
      <c r="L1408" s="102"/>
    </row>
    <row r="1409">
      <c r="A1409" s="102" t="str">
        <f>IFERROR(__xludf.DUMMYFUNCTION("""COMPUTED_VALUE"""),"Tediore")</f>
        <v>Tediore</v>
      </c>
      <c r="B1409" s="102" t="str">
        <f>IFERROR(__xludf.DUMMYFUNCTION("""COMPUTED_VALUE"""),"Pistol")</f>
        <v>Pistol</v>
      </c>
      <c r="C1409" s="103">
        <f>IFERROR(__xludf.DUMMYFUNCTION("""COMPUTED_VALUE"""),55.0)</f>
        <v>55</v>
      </c>
      <c r="D1409" s="102" t="str">
        <f>IFERROR(__xludf.DUMMYFUNCTION("""COMPUTED_VALUE"""),"Manufacturer Part")</f>
        <v>Manufacturer Part</v>
      </c>
      <c r="E1409" s="102" t="str">
        <f>IFERROR(__xludf.DUMMYFUNCTION("""COMPUTED_VALUE"""),"TED_PS.part_barrel_licensed_ted_replicator_multi")</f>
        <v>TED_PS.part_barrel_licensed_ted_replicator_multi</v>
      </c>
      <c r="F1409" s="102"/>
      <c r="G1409" s="102" t="str">
        <f>IFERROR(__xludf.DUMMYFUNCTION("""COMPUTED_VALUE"""),"Tediore Replicator, no stat changes")</f>
        <v>Tediore Replicator, no stat changes</v>
      </c>
      <c r="H1409" s="102"/>
      <c r="I1409" s="102"/>
      <c r="J1409" s="102"/>
      <c r="K1409" s="102"/>
      <c r="L1409" s="102"/>
    </row>
    <row r="1410">
      <c r="A1410" s="102" t="str">
        <f>IFERROR(__xludf.DUMMYFUNCTION("""COMPUTED_VALUE"""),"Tediore")</f>
        <v>Tediore</v>
      </c>
      <c r="B1410" s="102" t="str">
        <f>IFERROR(__xludf.DUMMYFUNCTION("""COMPUTED_VALUE"""),"Pistol")</f>
        <v>Pistol</v>
      </c>
      <c r="C1410" s="103">
        <f>IFERROR(__xludf.DUMMYFUNCTION("""COMPUTED_VALUE"""),56.0)</f>
        <v>56</v>
      </c>
      <c r="D1410" s="102" t="str">
        <f>IFERROR(__xludf.DUMMYFUNCTION("""COMPUTED_VALUE"""),"Grip")</f>
        <v>Grip</v>
      </c>
      <c r="E1410" s="102" t="str">
        <f>IFERROR(__xludf.DUMMYFUNCTION("""COMPUTED_VALUE"""),"TED_PS.part_grip_05c_ted_jav_atlien")</f>
        <v>TED_PS.part_grip_05c_ted_jav_atlien</v>
      </c>
      <c r="F1410" s="102"/>
      <c r="G1410" s="102" t="str">
        <f>IFERROR(__xludf.DUMMYFUNCTION("""COMPUTED_VALUE"""),"Budget Deity")</f>
        <v>Budget Deity</v>
      </c>
      <c r="H1410" s="102"/>
      <c r="I1410" s="102"/>
      <c r="J1410" s="102"/>
      <c r="K1410" s="102"/>
      <c r="L1410" s="102"/>
    </row>
    <row r="1411">
      <c r="A1411" s="102" t="str">
        <f>IFERROR(__xludf.DUMMYFUNCTION("""COMPUTED_VALUE"""),"Tediore")</f>
        <v>Tediore</v>
      </c>
      <c r="B1411" s="102" t="str">
        <f>IFERROR(__xludf.DUMMYFUNCTION("""COMPUTED_VALUE"""),"Pistol")</f>
        <v>Pistol</v>
      </c>
      <c r="C1411" s="103">
        <f>IFERROR(__xludf.DUMMYFUNCTION("""COMPUTED_VALUE"""),57.0)</f>
        <v>57</v>
      </c>
      <c r="D1411" s="102" t="str">
        <f>IFERROR(__xludf.DUMMYFUNCTION("""COMPUTED_VALUE"""),"Grip")</f>
        <v>Grip</v>
      </c>
      <c r="E1411" s="102" t="str">
        <f>IFERROR(__xludf.DUMMYFUNCTION("""COMPUTED_VALUE"""),"TED_PS.part_grip_05b_ted_homing_atlien")</f>
        <v>TED_PS.part_grip_05b_ted_homing_atlien</v>
      </c>
      <c r="F1411" s="102"/>
      <c r="G1411" s="102" t="str">
        <f>IFERROR(__xludf.DUMMYFUNCTION("""COMPUTED_VALUE"""),"Budget Deity")</f>
        <v>Budget Deity</v>
      </c>
      <c r="H1411" s="102"/>
      <c r="I1411" s="102"/>
      <c r="J1411" s="102"/>
      <c r="K1411" s="102"/>
      <c r="L1411" s="102"/>
    </row>
    <row r="1412">
      <c r="A1412" s="102" t="str">
        <f>IFERROR(__xludf.DUMMYFUNCTION("""COMPUTED_VALUE"""),"Tediore")</f>
        <v>Tediore</v>
      </c>
      <c r="B1412" s="102" t="str">
        <f>IFERROR(__xludf.DUMMYFUNCTION("""COMPUTED_VALUE"""),"Pistol")</f>
        <v>Pistol</v>
      </c>
      <c r="C1412" s="103">
        <f>IFERROR(__xludf.DUMMYFUNCTION("""COMPUTED_VALUE"""),58.0)</f>
        <v>58</v>
      </c>
      <c r="D1412" s="102" t="str">
        <f>IFERROR(__xludf.DUMMYFUNCTION("""COMPUTED_VALUE"""),"Manufacturer Part")</f>
        <v>Manufacturer Part</v>
      </c>
      <c r="E1412" s="102" t="str">
        <f>IFERROR(__xludf.DUMMYFUNCTION("""COMPUTED_VALUE"""),"TED_PS.part_multi_ted_combo_atlien")</f>
        <v>TED_PS.part_multi_ted_combo_atlien</v>
      </c>
      <c r="F1412" s="102"/>
      <c r="G1412" s="102" t="str">
        <f>IFERROR(__xludf.DUMMYFUNCTION("""COMPUTED_VALUE"""),"Budget Deity")</f>
        <v>Budget Deity</v>
      </c>
      <c r="H1412" s="102" t="str">
        <f>IFERROR(__xludf.DUMMYFUNCTION("""COMPUTED_VALUE"""),"On all Budget Deity's???")</f>
        <v>On all Budget Deity's???</v>
      </c>
      <c r="I1412" s="102"/>
      <c r="J1412" s="102"/>
      <c r="K1412" s="102"/>
      <c r="L1412" s="102"/>
    </row>
    <row r="1413">
      <c r="A1413" s="102" t="str">
        <f>IFERROR(__xludf.DUMMYFUNCTION("""COMPUTED_VALUE"""),"Tediore")</f>
        <v>Tediore</v>
      </c>
      <c r="B1413" s="102" t="str">
        <f>IFERROR(__xludf.DUMMYFUNCTION("""COMPUTED_VALUE"""),"Pistol")</f>
        <v>Pistol</v>
      </c>
      <c r="C1413" s="103">
        <f>IFERROR(__xludf.DUMMYFUNCTION("""COMPUTED_VALUE"""),59.0)</f>
        <v>59</v>
      </c>
      <c r="D1413" s="102" t="str">
        <f>IFERROR(__xludf.DUMMYFUNCTION("""COMPUTED_VALUE"""),"Barrel")</f>
        <v>Barrel</v>
      </c>
      <c r="E1413" s="102" t="str">
        <f>IFERROR(__xludf.DUMMYFUNCTION("""COMPUTED_VALUE"""),"TED_PS.part_barrel_02_atlien")</f>
        <v>TED_PS.part_barrel_02_atlien</v>
      </c>
      <c r="F1413" s="102"/>
      <c r="G1413" s="102" t="str">
        <f>IFERROR(__xludf.DUMMYFUNCTION("""COMPUTED_VALUE"""),"Budget Deity, 892 Damage, 67% Acc, 4.8/s FR")</f>
        <v>Budget Deity, 892 Damage, 67% Acc, 4.8/s FR</v>
      </c>
      <c r="H1413" s="102" t="str">
        <f>IFERROR(__xludf.DUMMYFUNCTION("""COMPUTED_VALUE"""),"D.O.P.E Buoys - Throws 2 Combo Orbs, which place the Atlas Target Lock on enemies damaged by the Combo Orbs")</f>
        <v>D.O.P.E Buoys - Throws 2 Combo Orbs, which place the Atlas Target Lock on enemies damaged by the Combo Orbs</v>
      </c>
      <c r="I1413" s="102"/>
      <c r="J1413" s="102"/>
      <c r="K1413" s="102"/>
      <c r="L1413" s="102"/>
    </row>
    <row r="1414">
      <c r="A1414" s="102" t="str">
        <f>IFERROR(__xludf.DUMMYFUNCTION("""COMPUTED_VALUE"""),"Tediore")</f>
        <v>Tediore</v>
      </c>
      <c r="B1414" s="102" t="str">
        <f>IFERROR(__xludf.DUMMYFUNCTION("""COMPUTED_VALUE"""),"Pistol")</f>
        <v>Pistol</v>
      </c>
      <c r="C1414" s="103">
        <f>IFERROR(__xludf.DUMMYFUNCTION("""COMPUTED_VALUE"""),61.0)</f>
        <v>61</v>
      </c>
      <c r="D1414" s="102" t="str">
        <f>IFERROR(__xludf.DUMMYFUNCTION("""COMPUTED_VALUE"""),"Manufacturer Part")</f>
        <v>Manufacturer Part</v>
      </c>
      <c r="E1414" s="102" t="str">
        <f>IFERROR(__xludf.DUMMYFUNCTION("""COMPUTED_VALUE"""),"TED_PS.part_secondary_ammo_sm")</f>
        <v>TED_PS.part_secondary_ammo_sm</v>
      </c>
      <c r="F1414" s="102"/>
      <c r="G1414" s="102" t="str">
        <f>IFERROR(__xludf.DUMMYFUNCTION("""COMPUTED_VALUE"""),"Daedalus SMG Ammo")</f>
        <v>Daedalus SMG Ammo</v>
      </c>
      <c r="H1414" s="102"/>
      <c r="I1414" s="102"/>
      <c r="J1414" s="102"/>
      <c r="K1414" s="102"/>
      <c r="L1414" s="102"/>
    </row>
    <row r="1415">
      <c r="A1415" s="102" t="str">
        <f>IFERROR(__xludf.DUMMYFUNCTION("""COMPUTED_VALUE"""),"Tediore")</f>
        <v>Tediore</v>
      </c>
      <c r="B1415" s="102" t="str">
        <f>IFERROR(__xludf.DUMMYFUNCTION("""COMPUTED_VALUE"""),"Pistol")</f>
        <v>Pistol</v>
      </c>
      <c r="C1415" s="103">
        <f>IFERROR(__xludf.DUMMYFUNCTION("""COMPUTED_VALUE"""),62.0)</f>
        <v>62</v>
      </c>
      <c r="D1415" s="102" t="str">
        <f>IFERROR(__xludf.DUMMYFUNCTION("""COMPUTED_VALUE"""),"Manufacturer Part")</f>
        <v>Manufacturer Part</v>
      </c>
      <c r="E1415" s="102" t="str">
        <f>IFERROR(__xludf.DUMMYFUNCTION("""COMPUTED_VALUE"""),"TED_PS.part_secondary_ammo_sg")</f>
        <v>TED_PS.part_secondary_ammo_sg</v>
      </c>
      <c r="F1415" s="102"/>
      <c r="G1415" s="102" t="str">
        <f>IFERROR(__xludf.DUMMYFUNCTION("""COMPUTED_VALUE"""),"Daedalus Shotgun Ammo")</f>
        <v>Daedalus Shotgun Ammo</v>
      </c>
      <c r="H1415" s="102"/>
      <c r="I1415" s="102"/>
      <c r="J1415" s="102"/>
      <c r="K1415" s="102"/>
      <c r="L1415" s="102"/>
    </row>
    <row r="1416">
      <c r="A1416" s="102" t="str">
        <f>IFERROR(__xludf.DUMMYFUNCTION("""COMPUTED_VALUE"""),"Tediore")</f>
        <v>Tediore</v>
      </c>
      <c r="B1416" s="102" t="str">
        <f>IFERROR(__xludf.DUMMYFUNCTION("""COMPUTED_VALUE"""),"Pistol")</f>
        <v>Pistol</v>
      </c>
      <c r="C1416" s="103">
        <f>IFERROR(__xludf.DUMMYFUNCTION("""COMPUTED_VALUE"""),63.0)</f>
        <v>63</v>
      </c>
      <c r="D1416" s="102" t="str">
        <f>IFERROR(__xludf.DUMMYFUNCTION("""COMPUTED_VALUE"""),"Manufacturer Part")</f>
        <v>Manufacturer Part</v>
      </c>
      <c r="E1416" s="102" t="str">
        <f>IFERROR(__xludf.DUMMYFUNCTION("""COMPUTED_VALUE"""),"TED_PS.part_secondary_ammo_ar")</f>
        <v>TED_PS.part_secondary_ammo_ar</v>
      </c>
      <c r="F1416" s="102"/>
      <c r="G1416" s="102" t="str">
        <f>IFERROR(__xludf.DUMMYFUNCTION("""COMPUTED_VALUE"""),"Daedalus AR Ammo")</f>
        <v>Daedalus AR Ammo</v>
      </c>
      <c r="H1416" s="102"/>
      <c r="I1416" s="102"/>
      <c r="J1416" s="102"/>
      <c r="K1416" s="102"/>
      <c r="L1416" s="102"/>
    </row>
    <row r="1417">
      <c r="A1417" s="102" t="str">
        <f>IFERROR(__xludf.DUMMYFUNCTION("""COMPUTED_VALUE"""),"Tediore")</f>
        <v>Tediore</v>
      </c>
      <c r="B1417" s="102" t="str">
        <f>IFERROR(__xludf.DUMMYFUNCTION("""COMPUTED_VALUE"""),"Pistol")</f>
        <v>Pistol</v>
      </c>
      <c r="C1417" s="103">
        <f>IFERROR(__xludf.DUMMYFUNCTION("""COMPUTED_VALUE"""),64.0)</f>
        <v>64</v>
      </c>
      <c r="D1417" s="102" t="str">
        <f>IFERROR(__xludf.DUMMYFUNCTION("""COMPUTED_VALUE"""),"Manufacturer Part")</f>
        <v>Manufacturer Part</v>
      </c>
      <c r="E1417" s="102" t="str">
        <f>IFERROR(__xludf.DUMMYFUNCTION("""COMPUTED_VALUE"""),"TED_PS.part_secondary_ammo_sr")</f>
        <v>TED_PS.part_secondary_ammo_sr</v>
      </c>
      <c r="F1417" s="102"/>
      <c r="G1417" s="102" t="str">
        <f>IFERROR(__xludf.DUMMYFUNCTION("""COMPUTED_VALUE"""),"Daedalus SR Ammo")</f>
        <v>Daedalus SR Ammo</v>
      </c>
      <c r="H1417" s="102"/>
      <c r="I1417" s="102"/>
      <c r="J1417" s="102"/>
      <c r="K1417" s="102"/>
      <c r="L1417" s="102"/>
    </row>
    <row r="1418">
      <c r="A1418" s="102" t="str">
        <f>IFERROR(__xludf.DUMMYFUNCTION("""COMPUTED_VALUE"""),"Tediore")</f>
        <v>Tediore</v>
      </c>
      <c r="B1418" s="102" t="str">
        <f>IFERROR(__xludf.DUMMYFUNCTION("""COMPUTED_VALUE"""),"Pistol")</f>
        <v>Pistol</v>
      </c>
      <c r="C1418" s="103">
        <f>IFERROR(__xludf.DUMMYFUNCTION("""COMPUTED_VALUE"""),65.0)</f>
        <v>65</v>
      </c>
      <c r="D1418" s="102" t="str">
        <f>IFERROR(__xludf.DUMMYFUNCTION("""COMPUTED_VALUE"""),"Barrel")</f>
        <v>Barrel</v>
      </c>
      <c r="E1418" s="102" t="str">
        <f>IFERROR(__xludf.DUMMYFUNCTION("""COMPUTED_VALUE"""),"TED_PS.part_barrel_02_rubysgrasp")</f>
        <v>TED_PS.part_barrel_02_rubysgrasp</v>
      </c>
      <c r="F1418" s="102"/>
      <c r="G1418" s="102" t="str">
        <f>IFERROR(__xludf.DUMMYFUNCTION("""COMPUTED_VALUE"""),"Ruby's Grasp, 736 Damage, 73% Acc, 7.2/s FR")</f>
        <v>Ruby's Grasp, 736 Damage, 73% Acc, 7.2/s FR</v>
      </c>
      <c r="H1418" s="102" t="str">
        <f>IFERROR(__xludf.DUMMYFUNCTION("""COMPUTED_VALUE"""),"Grasp - Reloading the Gun fires Homing copies")</f>
        <v>Grasp - Reloading the Gun fires Homing copies</v>
      </c>
      <c r="I1418" s="102"/>
      <c r="J1418" s="102"/>
      <c r="K1418" s="102"/>
      <c r="L1418" s="102"/>
    </row>
    <row r="1419">
      <c r="A1419" s="102" t="str">
        <f>IFERROR(__xludf.DUMMYFUNCTION("""COMPUTED_VALUE"""),"Tediore")</f>
        <v>Tediore</v>
      </c>
      <c r="B1419" s="102" t="str">
        <f>IFERROR(__xludf.DUMMYFUNCTION("""COMPUTED_VALUE"""),"Pistol")</f>
        <v>Pistol</v>
      </c>
      <c r="C1419" s="103">
        <f>IFERROR(__xludf.DUMMYFUNCTION("""COMPUTED_VALUE"""),67.0)</f>
        <v>67</v>
      </c>
      <c r="D1419" s="102" t="str">
        <f>IFERROR(__xludf.DUMMYFUNCTION("""COMPUTED_VALUE"""),"Barrel")</f>
        <v>Barrel</v>
      </c>
      <c r="E1419" s="102" t="str">
        <f>IFERROR(__xludf.DUMMYFUNCTION("""COMPUTED_VALUE"""),"TED_PS.part_barrel_01_sideshow")</f>
        <v>TED_PS.part_barrel_01_sideshow</v>
      </c>
      <c r="F1419" s="102"/>
      <c r="G1419" s="102" t="str">
        <f>IFERROR(__xludf.DUMMYFUNCTION("""COMPUTED_VALUE"""),"Sideshow, 758 Damage, 88% Acc, 3.0/s FR")</f>
        <v>Sideshow, 758 Damage, 88% Acc, 3.0/s FR</v>
      </c>
      <c r="H1419" s="102" t="str">
        <f>IFERROR(__xludf.DUMMYFUNCTION("""COMPUTED_VALUE"""),"Juggler - Shoot as many targets as possible before they hit the ground, and refill up to 2 Ammo per target hit")</f>
        <v>Juggler - Shoot as many targets as possible before they hit the ground, and refill up to 2 Ammo per target hit</v>
      </c>
      <c r="I1419" s="102"/>
      <c r="J1419" s="102"/>
      <c r="K1419" s="102"/>
      <c r="L1419" s="102"/>
    </row>
    <row r="1420">
      <c r="A1420" s="102" t="str">
        <f>IFERROR(__xludf.DUMMYFUNCTION("""COMPUTED_VALUE"""),"Tediore")</f>
        <v>Tediore</v>
      </c>
      <c r="B1420" s="102" t="str">
        <f>IFERROR(__xludf.DUMMYFUNCTION("""COMPUTED_VALUE"""),"Pistol")</f>
        <v>Pistol</v>
      </c>
      <c r="C1420" s="103">
        <f>IFERROR(__xludf.DUMMYFUNCTION("""COMPUTED_VALUE"""),68.0)</f>
        <v>68</v>
      </c>
      <c r="D1420" s="102" t="str">
        <f>IFERROR(__xludf.DUMMYFUNCTION("""COMPUTED_VALUE"""),"Barrel Accessory")</f>
        <v>Barrel Accessory</v>
      </c>
      <c r="E1420" s="102" t="str">
        <f>IFERROR(__xludf.DUMMYFUNCTION("""COMPUTED_VALUE"""),"TED_PS.part_barrel_01_a")</f>
        <v>TED_PS.part_barrel_01_a</v>
      </c>
      <c r="F1420" s="102"/>
      <c r="G1420" s="102" t="str">
        <f>IFERROR(__xludf.DUMMYFUNCTION("""COMPUTED_VALUE"""),"+Damage")</f>
        <v>+Damage</v>
      </c>
      <c r="H1420" s="102"/>
      <c r="I1420" s="102"/>
      <c r="J1420" s="102"/>
      <c r="K1420" s="102"/>
      <c r="L1420" s="102"/>
    </row>
    <row r="1421">
      <c r="A1421" s="102" t="str">
        <f>IFERROR(__xludf.DUMMYFUNCTION("""COMPUTED_VALUE"""),"Tediore")</f>
        <v>Tediore</v>
      </c>
      <c r="B1421" s="102" t="str">
        <f>IFERROR(__xludf.DUMMYFUNCTION("""COMPUTED_VALUE"""),"Pistol")</f>
        <v>Pistol</v>
      </c>
      <c r="C1421" s="103">
        <f>IFERROR(__xludf.DUMMYFUNCTION("""COMPUTED_VALUE"""),69.0)</f>
        <v>69</v>
      </c>
      <c r="D1421" s="102" t="str">
        <f>IFERROR(__xludf.DUMMYFUNCTION("""COMPUTED_VALUE"""),"Barrel Accessory")</f>
        <v>Barrel Accessory</v>
      </c>
      <c r="E1421" s="102" t="str">
        <f>IFERROR(__xludf.DUMMYFUNCTION("""COMPUTED_VALUE"""),"TED_PS.part_barrel_01_b")</f>
        <v>TED_PS.part_barrel_01_b</v>
      </c>
      <c r="F1421" s="102"/>
      <c r="G1421" s="102" t="str">
        <f>IFERROR(__xludf.DUMMYFUNCTION("""COMPUTED_VALUE"""),"+Ammo")</f>
        <v>+Ammo</v>
      </c>
      <c r="H1421" s="102"/>
      <c r="I1421" s="102"/>
      <c r="J1421" s="102"/>
      <c r="K1421" s="102"/>
      <c r="L1421" s="102"/>
    </row>
    <row r="1422">
      <c r="A1422" s="102" t="str">
        <f>IFERROR(__xludf.DUMMYFUNCTION("""COMPUTED_VALUE"""),"Tediore")</f>
        <v>Tediore</v>
      </c>
      <c r="B1422" s="102" t="str">
        <f>IFERROR(__xludf.DUMMYFUNCTION("""COMPUTED_VALUE"""),"Pistol")</f>
        <v>Pistol</v>
      </c>
      <c r="C1422" s="103">
        <f>IFERROR(__xludf.DUMMYFUNCTION("""COMPUTED_VALUE"""),70.0)</f>
        <v>70</v>
      </c>
      <c r="D1422" s="102" t="str">
        <f>IFERROR(__xludf.DUMMYFUNCTION("""COMPUTED_VALUE"""),"Barrel Accessory")</f>
        <v>Barrel Accessory</v>
      </c>
      <c r="E1422" s="102" t="str">
        <f>IFERROR(__xludf.DUMMYFUNCTION("""COMPUTED_VALUE"""),"TED_PS.part_barrel_01_c")</f>
        <v>TED_PS.part_barrel_01_c</v>
      </c>
      <c r="F1422" s="102"/>
      <c r="G1422" s="102" t="str">
        <f>IFERROR(__xludf.DUMMYFUNCTION("""COMPUTED_VALUE"""),"+Ammo")</f>
        <v>+Ammo</v>
      </c>
      <c r="H1422" s="102"/>
      <c r="I1422" s="102"/>
      <c r="J1422" s="102"/>
      <c r="K1422" s="102"/>
      <c r="L1422" s="102"/>
    </row>
    <row r="1423">
      <c r="A1423" s="102" t="str">
        <f>IFERROR(__xludf.DUMMYFUNCTION("""COMPUTED_VALUE"""),"Tediore")</f>
        <v>Tediore</v>
      </c>
      <c r="B1423" s="102" t="str">
        <f>IFERROR(__xludf.DUMMYFUNCTION("""COMPUTED_VALUE"""),"Pistol")</f>
        <v>Pistol</v>
      </c>
      <c r="C1423" s="103">
        <f>IFERROR(__xludf.DUMMYFUNCTION("""COMPUTED_VALUE"""),71.0)</f>
        <v>71</v>
      </c>
      <c r="D1423" s="102" t="str">
        <f>IFERROR(__xludf.DUMMYFUNCTION("""COMPUTED_VALUE"""),"Barrel Accessory")</f>
        <v>Barrel Accessory</v>
      </c>
      <c r="E1423" s="102" t="str">
        <f>IFERROR(__xludf.DUMMYFUNCTION("""COMPUTED_VALUE"""),"TED_PS.part_barrel_01_d")</f>
        <v>TED_PS.part_barrel_01_d</v>
      </c>
      <c r="F1423" s="102"/>
      <c r="G1423" s="102" t="str">
        <f>IFERROR(__xludf.DUMMYFUNCTION("""COMPUTED_VALUE"""),"+Accuracy")</f>
        <v>+Accuracy</v>
      </c>
      <c r="H1423" s="102"/>
      <c r="I1423" s="102"/>
      <c r="J1423" s="102"/>
      <c r="K1423" s="102"/>
      <c r="L1423" s="102"/>
    </row>
    <row r="1424">
      <c r="A1424" s="102" t="str">
        <f>IFERROR(__xludf.DUMMYFUNCTION("""COMPUTED_VALUE"""),"Tediore")</f>
        <v>Tediore</v>
      </c>
      <c r="B1424" s="102" t="str">
        <f>IFERROR(__xludf.DUMMYFUNCTION("""COMPUTED_VALUE"""),"Pistol")</f>
        <v>Pistol</v>
      </c>
      <c r="C1424" s="103">
        <f>IFERROR(__xludf.DUMMYFUNCTION("""COMPUTED_VALUE"""),72.0)</f>
        <v>72</v>
      </c>
      <c r="D1424" s="102" t="str">
        <f>IFERROR(__xludf.DUMMYFUNCTION("""COMPUTED_VALUE"""),"Barrel Accessory")</f>
        <v>Barrel Accessory</v>
      </c>
      <c r="E1424" s="102" t="str">
        <f>IFERROR(__xludf.DUMMYFUNCTION("""COMPUTED_VALUE"""),"TED_PS.part_barrel_02_a")</f>
        <v>TED_PS.part_barrel_02_a</v>
      </c>
      <c r="F1424" s="102"/>
      <c r="G1424" s="102" t="str">
        <f>IFERROR(__xludf.DUMMYFUNCTION("""COMPUTED_VALUE"""),"+Damage")</f>
        <v>+Damage</v>
      </c>
      <c r="H1424" s="102"/>
      <c r="I1424" s="102"/>
      <c r="J1424" s="102"/>
      <c r="K1424" s="102"/>
      <c r="L1424" s="102"/>
    </row>
    <row r="1425">
      <c r="A1425" s="102" t="str">
        <f>IFERROR(__xludf.DUMMYFUNCTION("""COMPUTED_VALUE"""),"Tediore")</f>
        <v>Tediore</v>
      </c>
      <c r="B1425" s="102" t="str">
        <f>IFERROR(__xludf.DUMMYFUNCTION("""COMPUTED_VALUE"""),"Pistol")</f>
        <v>Pistol</v>
      </c>
      <c r="C1425" s="103">
        <f>IFERROR(__xludf.DUMMYFUNCTION("""COMPUTED_VALUE"""),73.0)</f>
        <v>73</v>
      </c>
      <c r="D1425" s="102" t="str">
        <f>IFERROR(__xludf.DUMMYFUNCTION("""COMPUTED_VALUE"""),"Barrel Accessory")</f>
        <v>Barrel Accessory</v>
      </c>
      <c r="E1425" s="102" t="str">
        <f>IFERROR(__xludf.DUMMYFUNCTION("""COMPUTED_VALUE"""),"TED_PS.part_barrel_02_b")</f>
        <v>TED_PS.part_barrel_02_b</v>
      </c>
      <c r="F1425" s="102"/>
      <c r="G1425" s="102" t="str">
        <f>IFERROR(__xludf.DUMMYFUNCTION("""COMPUTED_VALUE"""),"+Accuracy")</f>
        <v>+Accuracy</v>
      </c>
      <c r="H1425" s="102"/>
      <c r="I1425" s="102"/>
      <c r="J1425" s="102"/>
      <c r="K1425" s="102"/>
      <c r="L1425" s="102"/>
    </row>
    <row r="1426">
      <c r="A1426" s="102" t="str">
        <f>IFERROR(__xludf.DUMMYFUNCTION("""COMPUTED_VALUE"""),"Tediore")</f>
        <v>Tediore</v>
      </c>
      <c r="B1426" s="102" t="str">
        <f>IFERROR(__xludf.DUMMYFUNCTION("""COMPUTED_VALUE"""),"Pistol")</f>
        <v>Pistol</v>
      </c>
      <c r="C1426" s="103">
        <f>IFERROR(__xludf.DUMMYFUNCTION("""COMPUTED_VALUE"""),74.0)</f>
        <v>74</v>
      </c>
      <c r="D1426" s="102" t="str">
        <f>IFERROR(__xludf.DUMMYFUNCTION("""COMPUTED_VALUE"""),"Barrel Accessory")</f>
        <v>Barrel Accessory</v>
      </c>
      <c r="E1426" s="102" t="str">
        <f>IFERROR(__xludf.DUMMYFUNCTION("""COMPUTED_VALUE"""),"TED_PS.part_barrel_02_c")</f>
        <v>TED_PS.part_barrel_02_c</v>
      </c>
      <c r="F1426" s="102"/>
      <c r="G1426" s="102" t="str">
        <f>IFERROR(__xludf.DUMMYFUNCTION("""COMPUTED_VALUE"""),"+Fire Rate")</f>
        <v>+Fire Rate</v>
      </c>
      <c r="H1426" s="102"/>
      <c r="I1426" s="102"/>
      <c r="J1426" s="102"/>
      <c r="K1426" s="102"/>
      <c r="L1426" s="102"/>
    </row>
    <row r="1427">
      <c r="A1427" s="102" t="str">
        <f>IFERROR(__xludf.DUMMYFUNCTION("""COMPUTED_VALUE"""),"Tediore")</f>
        <v>Tediore</v>
      </c>
      <c r="B1427" s="102" t="str">
        <f>IFERROR(__xludf.DUMMYFUNCTION("""COMPUTED_VALUE"""),"Pistol")</f>
        <v>Pistol</v>
      </c>
      <c r="C1427" s="103">
        <f>IFERROR(__xludf.DUMMYFUNCTION("""COMPUTED_VALUE"""),75.0)</f>
        <v>75</v>
      </c>
      <c r="D1427" s="102" t="str">
        <f>IFERROR(__xludf.DUMMYFUNCTION("""COMPUTED_VALUE"""),"Barrel Accessory")</f>
        <v>Barrel Accessory</v>
      </c>
      <c r="E1427" s="102" t="str">
        <f>IFERROR(__xludf.DUMMYFUNCTION("""COMPUTED_VALUE"""),"TED_PS.part_barrel_02_d")</f>
        <v>TED_PS.part_barrel_02_d</v>
      </c>
      <c r="F1427" s="102"/>
      <c r="G1427" s="102" t="str">
        <f>IFERROR(__xludf.DUMMYFUNCTION("""COMPUTED_VALUE"""),"+Fire Rate")</f>
        <v>+Fire Rate</v>
      </c>
      <c r="H1427" s="102"/>
      <c r="I1427" s="102"/>
      <c r="J1427" s="102"/>
      <c r="K1427" s="102"/>
      <c r="L1427" s="102"/>
    </row>
    <row r="1428">
      <c r="A1428" s="102" t="str">
        <f>IFERROR(__xludf.DUMMYFUNCTION("""COMPUTED_VALUE"""),"Tediore")</f>
        <v>Tediore</v>
      </c>
      <c r="B1428" s="102" t="str">
        <f>IFERROR(__xludf.DUMMYFUNCTION("""COMPUTED_VALUE"""),"Pistol")</f>
        <v>Pistol</v>
      </c>
      <c r="C1428" s="103">
        <f>IFERROR(__xludf.DUMMYFUNCTION("""COMPUTED_VALUE"""),76.0)</f>
        <v>76</v>
      </c>
      <c r="D1428" s="102" t="str">
        <f>IFERROR(__xludf.DUMMYFUNCTION("""COMPUTED_VALUE"""),"Manufacturer Part")</f>
        <v>Manufacturer Part</v>
      </c>
      <c r="E1428" s="102" t="str">
        <f>IFERROR(__xludf.DUMMYFUNCTION("""COMPUTED_VALUE"""),"TED_PS.part_barrel_licensed_jak")</f>
        <v>TED_PS.part_barrel_licensed_jak</v>
      </c>
      <c r="F1428" s="102"/>
      <c r="G1428" s="102" t="str">
        <f>IFERROR(__xludf.DUMMYFUNCTION("""COMPUTED_VALUE"""),"Jakobs Ricochet")</f>
        <v>Jakobs Ricochet</v>
      </c>
      <c r="H1428" s="102"/>
      <c r="I1428" s="102"/>
      <c r="J1428" s="102"/>
      <c r="K1428" s="102"/>
      <c r="L1428" s="102"/>
    </row>
    <row r="1429">
      <c r="A1429" s="102" t="str">
        <f>IFERROR(__xludf.DUMMYFUNCTION("""COMPUTED_VALUE"""),"Tediore")</f>
        <v>Tediore</v>
      </c>
      <c r="B1429" s="102" t="str">
        <f>IFERROR(__xludf.DUMMYFUNCTION("""COMPUTED_VALUE"""),"Pistol")</f>
        <v>Pistol</v>
      </c>
      <c r="C1429" s="103">
        <f>IFERROR(__xludf.DUMMYFUNCTION("""COMPUTED_VALUE"""),77.0)</f>
        <v>77</v>
      </c>
      <c r="D1429" s="102" t="str">
        <f>IFERROR(__xludf.DUMMYFUNCTION("""COMPUTED_VALUE"""),"Manufacturer Part")</f>
        <v>Manufacturer Part</v>
      </c>
      <c r="E1429" s="102" t="str">
        <f>IFERROR(__xludf.DUMMYFUNCTION("""COMPUTED_VALUE"""),"TED_PS.part_barrel_licensed_hyp")</f>
        <v>TED_PS.part_barrel_licensed_hyp</v>
      </c>
      <c r="F1429" s="102"/>
      <c r="G1429" s="102" t="str">
        <f>IFERROR(__xludf.DUMMYFUNCTION("""COMPUTED_VALUE"""),"Hyperion Shield visual accessory, no stat changes")</f>
        <v>Hyperion Shield visual accessory, no stat changes</v>
      </c>
      <c r="H1429" s="102"/>
      <c r="I1429" s="102"/>
      <c r="J1429" s="102"/>
      <c r="K1429" s="102"/>
      <c r="L1429" s="102"/>
    </row>
    <row r="1430">
      <c r="A1430" s="102" t="str">
        <f>IFERROR(__xludf.DUMMYFUNCTION("""COMPUTED_VALUE"""),"Tediore")</f>
        <v>Tediore</v>
      </c>
      <c r="B1430" s="102" t="str">
        <f>IFERROR(__xludf.DUMMYFUNCTION("""COMPUTED_VALUE"""),"Pistol")</f>
        <v>Pistol</v>
      </c>
      <c r="C1430" s="103">
        <f>IFERROR(__xludf.DUMMYFUNCTION("""COMPUTED_VALUE"""),78.0)</f>
        <v>78</v>
      </c>
      <c r="D1430" s="102" t="str">
        <f>IFERROR(__xludf.DUMMYFUNCTION("""COMPUTED_VALUE"""),"Manufacturer Part")</f>
        <v>Manufacturer Part</v>
      </c>
      <c r="E1430" s="102" t="str">
        <f>IFERROR(__xludf.DUMMYFUNCTION("""COMPUTED_VALUE"""),"TED_PS.part_barrel_licensed_multi")</f>
        <v>TED_PS.part_barrel_licensed_multi</v>
      </c>
      <c r="F1430" s="102"/>
      <c r="G1430" s="102" t="str">
        <f>IFERROR(__xludf.DUMMYFUNCTION("""COMPUTED_VALUE"""),"No Stat Changes")</f>
        <v>No Stat Changes</v>
      </c>
      <c r="H1430" s="102" t="str">
        <f>IFERROR(__xludf.DUMMYFUNCTION("""COMPUTED_VALUE"""),"On all Budget Deity's???")</f>
        <v>On all Budget Deity's???</v>
      </c>
      <c r="I1430" s="102"/>
      <c r="J1430" s="102"/>
      <c r="K1430" s="102"/>
      <c r="L1430" s="102"/>
    </row>
    <row r="1431">
      <c r="A1431" s="102" t="str">
        <f>IFERROR(__xludf.DUMMYFUNCTION("""COMPUTED_VALUE"""),"Tediore")</f>
        <v>Tediore</v>
      </c>
      <c r="B1431" s="102" t="str">
        <f>IFERROR(__xludf.DUMMYFUNCTION("""COMPUTED_VALUE"""),"Pistol")</f>
        <v>Pistol</v>
      </c>
      <c r="C1431" s="103">
        <f>IFERROR(__xludf.DUMMYFUNCTION("""COMPUTED_VALUE"""),79.0)</f>
        <v>79</v>
      </c>
      <c r="D1431" s="102" t="str">
        <f>IFERROR(__xludf.DUMMYFUNCTION("""COMPUTED_VALUE"""),"Underbarrel")</f>
        <v>Underbarrel</v>
      </c>
      <c r="E1431" s="102" t="str">
        <f>IFERROR(__xludf.DUMMYFUNCTION("""COMPUTED_VALUE"""),"TED_PS.part_underbarrel_02_rockets")</f>
        <v>TED_PS.part_underbarrel_02_rockets</v>
      </c>
      <c r="F1431" s="102"/>
      <c r="G1431" s="102" t="str">
        <f>IFERROR(__xludf.DUMMYFUNCTION("""COMPUTED_VALUE"""),"Alt Fire - Zip Rockets")</f>
        <v>Alt Fire - Zip Rockets</v>
      </c>
      <c r="H1431" s="102"/>
      <c r="I1431" s="102"/>
      <c r="J1431" s="102"/>
      <c r="K1431" s="102"/>
      <c r="L1431" s="102"/>
    </row>
    <row r="1432">
      <c r="A1432" s="102" t="str">
        <f>IFERROR(__xludf.DUMMYFUNCTION("""COMPUTED_VALUE"""),"Tediore")</f>
        <v>Tediore</v>
      </c>
      <c r="B1432" s="102" t="str">
        <f>IFERROR(__xludf.DUMMYFUNCTION("""COMPUTED_VALUE"""),"Pistol")</f>
        <v>Pistol</v>
      </c>
      <c r="C1432" s="103">
        <f>IFERROR(__xludf.DUMMYFUNCTION("""COMPUTED_VALUE"""),80.0)</f>
        <v>80</v>
      </c>
      <c r="D1432" s="102" t="str">
        <f>IFERROR(__xludf.DUMMYFUNCTION("""COMPUTED_VALUE"""),"Underbarrel")</f>
        <v>Underbarrel</v>
      </c>
      <c r="E1432" s="102" t="str">
        <f>IFERROR(__xludf.DUMMYFUNCTION("""COMPUTED_VALUE"""),"TED_PS.part_underbarrel_01_drone")</f>
        <v>TED_PS.part_underbarrel_01_drone</v>
      </c>
      <c r="F1432" s="102"/>
      <c r="G1432" s="102" t="str">
        <f>IFERROR(__xludf.DUMMYFUNCTION("""COMPUTED_VALUE"""),"Alt Fire - Attack Drone")</f>
        <v>Alt Fire - Attack Drone</v>
      </c>
      <c r="H1432" s="102"/>
      <c r="I1432" s="102"/>
      <c r="J1432" s="102"/>
      <c r="K1432" s="102"/>
      <c r="L1432" s="102"/>
    </row>
    <row r="1433">
      <c r="A1433" s="102" t="str">
        <f>IFERROR(__xludf.DUMMYFUNCTION("""COMPUTED_VALUE"""),"Tediore")</f>
        <v>Tediore</v>
      </c>
      <c r="B1433" s="102" t="str">
        <f>IFERROR(__xludf.DUMMYFUNCTION("""COMPUTED_VALUE"""),"Pistol")</f>
        <v>Pistol</v>
      </c>
      <c r="C1433" s="103">
        <f>IFERROR(__xludf.DUMMYFUNCTION("""COMPUTED_VALUE"""),81.0)</f>
        <v>81</v>
      </c>
      <c r="D1433" s="102" t="str">
        <f>IFERROR(__xludf.DUMMYFUNCTION("""COMPUTED_VALUE"""),"Underbarrel")</f>
        <v>Underbarrel</v>
      </c>
      <c r="E1433" s="102" t="str">
        <f>IFERROR(__xludf.DUMMYFUNCTION("""COMPUTED_VALUE"""),"TED_PS.part_underbarrel_04_atlas")</f>
        <v>TED_PS.part_underbarrel_04_atlas</v>
      </c>
      <c r="F1433" s="102"/>
      <c r="G1433" s="102" t="str">
        <f>IFERROR(__xludf.DUMMYFUNCTION("""COMPUTED_VALUE"""),"Atlas Tracker Darts")</f>
        <v>Atlas Tracker Darts</v>
      </c>
      <c r="H1433" s="102"/>
      <c r="I1433" s="102"/>
      <c r="J1433" s="102"/>
      <c r="K1433" s="102"/>
      <c r="L1433" s="102"/>
    </row>
    <row r="1434">
      <c r="A1434" s="102" t="str">
        <f>IFERROR(__xludf.DUMMYFUNCTION("""COMPUTED_VALUE"""),"Tediore")</f>
        <v>Tediore</v>
      </c>
      <c r="B1434" s="102" t="str">
        <f>IFERROR(__xludf.DUMMYFUNCTION("""COMPUTED_VALUE"""),"Pistol")</f>
        <v>Pistol</v>
      </c>
      <c r="C1434" s="103">
        <f>IFERROR(__xludf.DUMMYFUNCTION("""COMPUTED_VALUE"""),82.0)</f>
        <v>82</v>
      </c>
      <c r="D1434" s="102" t="str">
        <f>IFERROR(__xludf.DUMMYFUNCTION("""COMPUTED_VALUE"""),"Foregrip")</f>
        <v>Foregrip</v>
      </c>
      <c r="E1434" s="102" t="str">
        <f>IFERROR(__xludf.DUMMYFUNCTION("""COMPUTED_VALUE"""),"TED_PS.part_foregrip_02")</f>
        <v>TED_PS.part_foregrip_02</v>
      </c>
      <c r="F1434" s="102"/>
      <c r="G1434" s="102" t="str">
        <f>IFERROR(__xludf.DUMMYFUNCTION("""COMPUTED_VALUE"""),"+Fire Rate")</f>
        <v>+Fire Rate</v>
      </c>
      <c r="H1434" s="102"/>
      <c r="I1434" s="102"/>
      <c r="J1434" s="102"/>
      <c r="K1434" s="102"/>
      <c r="L1434" s="102"/>
    </row>
    <row r="1435">
      <c r="A1435" s="102" t="str">
        <f>IFERROR(__xludf.DUMMYFUNCTION("""COMPUTED_VALUE"""),"Tediore")</f>
        <v>Tediore</v>
      </c>
      <c r="B1435" s="102" t="str">
        <f>IFERROR(__xludf.DUMMYFUNCTION("""COMPUTED_VALUE"""),"Pistol")</f>
        <v>Pistol</v>
      </c>
      <c r="C1435" s="103">
        <f>IFERROR(__xludf.DUMMYFUNCTION("""COMPUTED_VALUE"""),83.0)</f>
        <v>83</v>
      </c>
      <c r="D1435" s="102" t="str">
        <f>IFERROR(__xludf.DUMMYFUNCTION("""COMPUTED_VALUE"""),"Grip")</f>
        <v>Grip</v>
      </c>
      <c r="E1435" s="102" t="str">
        <f>IFERROR(__xludf.DUMMYFUNCTION("""COMPUTED_VALUE"""),"TED_PS.part_grip_05a_ted_legs_mirv")</f>
        <v>TED_PS.part_grip_05a_ted_legs_mirv</v>
      </c>
      <c r="F1435" s="102"/>
      <c r="G1435" s="102" t="str">
        <f>IFERROR(__xludf.DUMMYFUNCTION("""COMPUTED_VALUE"""),"Tediore reload modifier: Legs, no stat changes")</f>
        <v>Tediore reload modifier: Legs, no stat changes</v>
      </c>
      <c r="H1435" s="102"/>
      <c r="I1435" s="102"/>
      <c r="J1435" s="102"/>
      <c r="K1435" s="102"/>
      <c r="L1435" s="102"/>
    </row>
    <row r="1436">
      <c r="A1436" s="102" t="str">
        <f>IFERROR(__xludf.DUMMYFUNCTION("""COMPUTED_VALUE"""),"Tediore")</f>
        <v>Tediore</v>
      </c>
      <c r="B1436" s="102" t="str">
        <f>IFERROR(__xludf.DUMMYFUNCTION("""COMPUTED_VALUE"""),"Pistol")</f>
        <v>Pistol</v>
      </c>
      <c r="C1436" s="103">
        <f>IFERROR(__xludf.DUMMYFUNCTION("""COMPUTED_VALUE"""),85.0)</f>
        <v>85</v>
      </c>
      <c r="D1436" s="102" t="str">
        <f>IFERROR(__xludf.DUMMYFUNCTION("""COMPUTED_VALUE"""),"Barrel")</f>
        <v>Barrel</v>
      </c>
      <c r="E1436" s="102" t="str">
        <f>IFERROR(__xludf.DUMMYFUNCTION("""COMPUTED_VALUE"""),"TED_PS.part_barrel_02_Inscriber")</f>
        <v>TED_PS.part_barrel_02_Inscriber</v>
      </c>
      <c r="F1436" s="102"/>
      <c r="G1436" s="102" t="str">
        <f>IFERROR(__xludf.DUMMYFUNCTION("""COMPUTED_VALUE"""),"Inscriber, 2342 Damage, 75% Acc, 2.5/s FR")</f>
        <v>Inscriber, 2342 Damage, 75% Acc, 2.5/s FR</v>
      </c>
      <c r="H1436" s="102" t="str">
        <f>IFERROR(__xludf.DUMMYFUNCTION("""COMPUTED_VALUE"""),"Effigy - Hitting enemies spawns 4 projectiles behind them")</f>
        <v>Effigy - Hitting enemies spawns 4 projectiles behind them</v>
      </c>
      <c r="I1436" s="102"/>
      <c r="J1436" s="102"/>
      <c r="K1436" s="102"/>
      <c r="L1436" s="102"/>
    </row>
    <row r="1437">
      <c r="A1437" s="102" t="str">
        <f>IFERROR(__xludf.DUMMYFUNCTION("""COMPUTED_VALUE"""),"Tediore")</f>
        <v>Tediore</v>
      </c>
      <c r="B1437" s="102" t="str">
        <f>IFERROR(__xludf.DUMMYFUNCTION("""COMPUTED_VALUE"""),"Shotgun")</f>
        <v>Shotgun</v>
      </c>
      <c r="C1437" s="103">
        <f>IFERROR(__xludf.DUMMYFUNCTION("""COMPUTED_VALUE"""),2.0)</f>
        <v>2</v>
      </c>
      <c r="D1437" s="102" t="str">
        <f>IFERROR(__xludf.DUMMYFUNCTION("""COMPUTED_VALUE"""),"Body")</f>
        <v>Body</v>
      </c>
      <c r="E1437" s="102" t="str">
        <f>IFERROR(__xludf.DUMMYFUNCTION("""COMPUTED_VALUE"""),"TED_SG.part_body")</f>
        <v>TED_SG.part_body</v>
      </c>
      <c r="F1437" s="102"/>
      <c r="G1437" s="102" t="str">
        <f>IFERROR(__xludf.DUMMYFUNCTION("""COMPUTED_VALUE"""),"No Stat Changes, always present")</f>
        <v>No Stat Changes, always present</v>
      </c>
      <c r="H1437" s="102"/>
      <c r="I1437" s="102"/>
      <c r="J1437" s="102"/>
      <c r="K1437" s="102"/>
      <c r="L1437" s="102"/>
    </row>
    <row r="1438">
      <c r="A1438" s="102" t="str">
        <f>IFERROR(__xludf.DUMMYFUNCTION("""COMPUTED_VALUE"""),"Tediore")</f>
        <v>Tediore</v>
      </c>
      <c r="B1438" s="102" t="str">
        <f>IFERROR(__xludf.DUMMYFUNCTION("""COMPUTED_VALUE"""),"Shotgun")</f>
        <v>Shotgun</v>
      </c>
      <c r="C1438" s="103">
        <f>IFERROR(__xludf.DUMMYFUNCTION("""COMPUTED_VALUE"""),3.0)</f>
        <v>3</v>
      </c>
      <c r="D1438" s="102" t="str">
        <f>IFERROR(__xludf.DUMMYFUNCTION("""COMPUTED_VALUE"""),"Body Accessory")</f>
        <v>Body Accessory</v>
      </c>
      <c r="E1438" s="102" t="str">
        <f>IFERROR(__xludf.DUMMYFUNCTION("""COMPUTED_VALUE"""),"TED_SG.part_body_a")</f>
        <v>TED_SG.part_body_a</v>
      </c>
      <c r="F1438" s="102"/>
      <c r="G1438" s="102" t="str">
        <f>IFERROR(__xludf.DUMMYFUNCTION("""COMPUTED_VALUE"""),"No Stat Changes")</f>
        <v>No Stat Changes</v>
      </c>
      <c r="H1438" s="102"/>
      <c r="I1438" s="102"/>
      <c r="J1438" s="102"/>
      <c r="K1438" s="102"/>
      <c r="L1438" s="102"/>
    </row>
    <row r="1439">
      <c r="A1439" s="102" t="str">
        <f>IFERROR(__xludf.DUMMYFUNCTION("""COMPUTED_VALUE"""),"Tediore")</f>
        <v>Tediore</v>
      </c>
      <c r="B1439" s="102" t="str">
        <f>IFERROR(__xludf.DUMMYFUNCTION("""COMPUTED_VALUE"""),"Shotgun")</f>
        <v>Shotgun</v>
      </c>
      <c r="C1439" s="103">
        <f>IFERROR(__xludf.DUMMYFUNCTION("""COMPUTED_VALUE"""),4.0)</f>
        <v>4</v>
      </c>
      <c r="D1439" s="102" t="str">
        <f>IFERROR(__xludf.DUMMYFUNCTION("""COMPUTED_VALUE"""),"Body Accessory")</f>
        <v>Body Accessory</v>
      </c>
      <c r="E1439" s="102" t="str">
        <f>IFERROR(__xludf.DUMMYFUNCTION("""COMPUTED_VALUE"""),"TED_SG.part_body_b")</f>
        <v>TED_SG.part_body_b</v>
      </c>
      <c r="F1439" s="102"/>
      <c r="G1439" s="102" t="str">
        <f>IFERROR(__xludf.DUMMYFUNCTION("""COMPUTED_VALUE"""),"+Ammo")</f>
        <v>+Ammo</v>
      </c>
      <c r="H1439" s="102"/>
      <c r="I1439" s="102"/>
      <c r="J1439" s="102"/>
      <c r="K1439" s="102"/>
      <c r="L1439" s="102"/>
    </row>
    <row r="1440">
      <c r="A1440" s="102" t="str">
        <f>IFERROR(__xludf.DUMMYFUNCTION("""COMPUTED_VALUE"""),"Tediore")</f>
        <v>Tediore</v>
      </c>
      <c r="B1440" s="102" t="str">
        <f>IFERROR(__xludf.DUMMYFUNCTION("""COMPUTED_VALUE"""),"Shotgun")</f>
        <v>Shotgun</v>
      </c>
      <c r="C1440" s="103">
        <f>IFERROR(__xludf.DUMMYFUNCTION("""COMPUTED_VALUE"""),5.0)</f>
        <v>5</v>
      </c>
      <c r="D1440" s="102" t="str">
        <f>IFERROR(__xludf.DUMMYFUNCTION("""COMPUTED_VALUE"""),"Body Accessory")</f>
        <v>Body Accessory</v>
      </c>
      <c r="E1440" s="102" t="str">
        <f>IFERROR(__xludf.DUMMYFUNCTION("""COMPUTED_VALUE"""),"TED_SG.part_body_c")</f>
        <v>TED_SG.part_body_c</v>
      </c>
      <c r="F1440" s="102"/>
      <c r="G1440" s="102" t="str">
        <f>IFERROR(__xludf.DUMMYFUNCTION("""COMPUTED_VALUE"""),"+Accuracy")</f>
        <v>+Accuracy</v>
      </c>
      <c r="H1440" s="102"/>
      <c r="I1440" s="102"/>
      <c r="J1440" s="102"/>
      <c r="K1440" s="102"/>
      <c r="L1440" s="102"/>
    </row>
    <row r="1441">
      <c r="A1441" s="102" t="str">
        <f>IFERROR(__xludf.DUMMYFUNCTION("""COMPUTED_VALUE"""),"Tediore")</f>
        <v>Tediore</v>
      </c>
      <c r="B1441" s="102" t="str">
        <f>IFERROR(__xludf.DUMMYFUNCTION("""COMPUTED_VALUE"""),"Shotgun")</f>
        <v>Shotgun</v>
      </c>
      <c r="C1441" s="103">
        <f>IFERROR(__xludf.DUMMYFUNCTION("""COMPUTED_VALUE"""),6.0)</f>
        <v>6</v>
      </c>
      <c r="D1441" s="102" t="str">
        <f>IFERROR(__xludf.DUMMYFUNCTION("""COMPUTED_VALUE"""),"Body Accessory")</f>
        <v>Body Accessory</v>
      </c>
      <c r="E1441" s="102" t="str">
        <f>IFERROR(__xludf.DUMMYFUNCTION("""COMPUTED_VALUE"""),"TED_SG.part_body_d")</f>
        <v>TED_SG.part_body_d</v>
      </c>
      <c r="F1441" s="102"/>
      <c r="G1441" s="102" t="str">
        <f>IFERROR(__xludf.DUMMYFUNCTION("""COMPUTED_VALUE"""),"No Stat Changes")</f>
        <v>No Stat Changes</v>
      </c>
      <c r="H1441" s="102"/>
      <c r="I1441" s="102"/>
      <c r="J1441" s="102"/>
      <c r="K1441" s="102"/>
      <c r="L1441" s="102"/>
    </row>
    <row r="1442">
      <c r="A1442" s="102" t="str">
        <f>IFERROR(__xludf.DUMMYFUNCTION("""COMPUTED_VALUE"""),"Tediore")</f>
        <v>Tediore</v>
      </c>
      <c r="B1442" s="102" t="str">
        <f>IFERROR(__xludf.DUMMYFUNCTION("""COMPUTED_VALUE"""),"Shotgun")</f>
        <v>Shotgun</v>
      </c>
      <c r="C1442" s="103">
        <f>IFERROR(__xludf.DUMMYFUNCTION("""COMPUTED_VALUE"""),7.0)</f>
        <v>7</v>
      </c>
      <c r="D1442" s="102" t="str">
        <f>IFERROR(__xludf.DUMMYFUNCTION("""COMPUTED_VALUE"""),"Barrel")</f>
        <v>Barrel</v>
      </c>
      <c r="E1442" s="102" t="str">
        <f>IFERROR(__xludf.DUMMYFUNCTION("""COMPUTED_VALUE"""),"TED_SG.part_barrel_01")</f>
        <v>TED_SG.part_barrel_01</v>
      </c>
      <c r="F1442" s="102"/>
      <c r="G1442" s="102" t="str">
        <f>IFERROR(__xludf.DUMMYFUNCTION("""COMPUTED_VALUE"""),"EZ-Blast, 460 x 8 Damage, 61% Acc, 1.3/s FR")</f>
        <v>EZ-Blast, 460 x 8 Damage, 61% Acc, 1.3/s FR</v>
      </c>
      <c r="H1442" s="102"/>
      <c r="I1442" s="102"/>
      <c r="J1442" s="102"/>
      <c r="K1442" s="102"/>
      <c r="L1442" s="102"/>
    </row>
    <row r="1443">
      <c r="A1443" s="102" t="str">
        <f>IFERROR(__xludf.DUMMYFUNCTION("""COMPUTED_VALUE"""),"Tediore")</f>
        <v>Tediore</v>
      </c>
      <c r="B1443" s="102" t="str">
        <f>IFERROR(__xludf.DUMMYFUNCTION("""COMPUTED_VALUE"""),"Shotgun")</f>
        <v>Shotgun</v>
      </c>
      <c r="C1443" s="103">
        <f>IFERROR(__xludf.DUMMYFUNCTION("""COMPUTED_VALUE"""),8.0)</f>
        <v>8</v>
      </c>
      <c r="D1443" s="102" t="str">
        <f>IFERROR(__xludf.DUMMYFUNCTION("""COMPUTED_VALUE"""),"Barrel")</f>
        <v>Barrel</v>
      </c>
      <c r="E1443" s="102" t="str">
        <f>IFERROR(__xludf.DUMMYFUNCTION("""COMPUTED_VALUE"""),"TED_SG.part_barrel_02")</f>
        <v>TED_SG.part_barrel_02</v>
      </c>
      <c r="F1443" s="102"/>
      <c r="G1443" s="102" t="str">
        <f>IFERROR(__xludf.DUMMYFUNCTION("""COMPUTED_VALUE"""),"Omnibore, 322 x 10 Damage, 56% Acc, 1.5/s FR")</f>
        <v>Omnibore, 322 x 10 Damage, 56% Acc, 1.5/s FR</v>
      </c>
      <c r="H1443" s="102"/>
      <c r="I1443" s="102"/>
      <c r="J1443" s="102"/>
      <c r="K1443" s="102"/>
      <c r="L1443" s="102"/>
    </row>
    <row r="1444">
      <c r="A1444" s="102" t="str">
        <f>IFERROR(__xludf.DUMMYFUNCTION("""COMPUTED_VALUE"""),"Tediore")</f>
        <v>Tediore</v>
      </c>
      <c r="B1444" s="102" t="str">
        <f>IFERROR(__xludf.DUMMYFUNCTION("""COMPUTED_VALUE"""),"Shotgun")</f>
        <v>Shotgun</v>
      </c>
      <c r="C1444" s="103">
        <f>IFERROR(__xludf.DUMMYFUNCTION("""COMPUTED_VALUE"""),9.0)</f>
        <v>9</v>
      </c>
      <c r="D1444" s="102" t="str">
        <f>IFERROR(__xludf.DUMMYFUNCTION("""COMPUTED_VALUE"""),"Manufacturer Part")</f>
        <v>Manufacturer Part</v>
      </c>
      <c r="E1444" s="102" t="str">
        <f>IFERROR(__xludf.DUMMYFUNCTION("""COMPUTED_VALUE"""),"TED_SG.part_barrel_licensed_ted_shooting")</f>
        <v>TED_SG.part_barrel_licensed_ted_shooting</v>
      </c>
      <c r="F1444" s="102"/>
      <c r="G1444" s="102" t="str">
        <f>IFERROR(__xludf.DUMMYFUNCTION("""COMPUTED_VALUE"""),"Tediore Shooting, no stat changes")</f>
        <v>Tediore Shooting, no stat changes</v>
      </c>
      <c r="H1444" s="102"/>
      <c r="I1444" s="102"/>
      <c r="J1444" s="102"/>
      <c r="K1444" s="102"/>
      <c r="L1444" s="102"/>
    </row>
    <row r="1445">
      <c r="A1445" s="102" t="str">
        <f>IFERROR(__xludf.DUMMYFUNCTION("""COMPUTED_VALUE"""),"Tediore")</f>
        <v>Tediore</v>
      </c>
      <c r="B1445" s="102" t="str">
        <f>IFERROR(__xludf.DUMMYFUNCTION("""COMPUTED_VALUE"""),"Shotgun")</f>
        <v>Shotgun</v>
      </c>
      <c r="C1445" s="103">
        <f>IFERROR(__xludf.DUMMYFUNCTION("""COMPUTED_VALUE"""),10.0)</f>
        <v>10</v>
      </c>
      <c r="D1445" s="102" t="str">
        <f>IFERROR(__xludf.DUMMYFUNCTION("""COMPUTED_VALUE"""),"Manufacturer Part")</f>
        <v>Manufacturer Part</v>
      </c>
      <c r="E1445" s="102" t="str">
        <f>IFERROR(__xludf.DUMMYFUNCTION("""COMPUTED_VALUE"""),"TED_SG.part_barrel_licensed_ted_mirv")</f>
        <v>TED_SG.part_barrel_licensed_ted_mirv</v>
      </c>
      <c r="F1445" s="102"/>
      <c r="G1445" s="102" t="str">
        <f>IFERROR(__xludf.DUMMYFUNCTION("""COMPUTED_VALUE"""),"Tediore MIRV, no stat changes")</f>
        <v>Tediore MIRV, no stat changes</v>
      </c>
      <c r="H1445" s="102"/>
      <c r="I1445" s="102"/>
      <c r="J1445" s="102"/>
      <c r="K1445" s="102"/>
      <c r="L1445" s="102"/>
    </row>
    <row r="1446">
      <c r="A1446" s="102" t="str">
        <f>IFERROR(__xludf.DUMMYFUNCTION("""COMPUTED_VALUE"""),"Tediore")</f>
        <v>Tediore</v>
      </c>
      <c r="B1446" s="102" t="str">
        <f>IFERROR(__xludf.DUMMYFUNCTION("""COMPUTED_VALUE"""),"Shotgun")</f>
        <v>Shotgun</v>
      </c>
      <c r="C1446" s="103">
        <f>IFERROR(__xludf.DUMMYFUNCTION("""COMPUTED_VALUE"""),11.0)</f>
        <v>11</v>
      </c>
      <c r="D1446" s="102" t="str">
        <f>IFERROR(__xludf.DUMMYFUNCTION("""COMPUTED_VALUE"""),"Manufacturer Part")</f>
        <v>Manufacturer Part</v>
      </c>
      <c r="E1446" s="102" t="str">
        <f>IFERROR(__xludf.DUMMYFUNCTION("""COMPUTED_VALUE"""),"TED_SG.part_barrel_licensed_ted_combo")</f>
        <v>TED_SG.part_barrel_licensed_ted_combo</v>
      </c>
      <c r="F1446" s="102"/>
      <c r="G1446" s="102" t="str">
        <f>IFERROR(__xludf.DUMMYFUNCTION("""COMPUTED_VALUE"""),"Tediore Combo, no stat changes")</f>
        <v>Tediore Combo, no stat changes</v>
      </c>
      <c r="H1446" s="102"/>
      <c r="I1446" s="102"/>
      <c r="J1446" s="102"/>
      <c r="K1446" s="102"/>
      <c r="L1446" s="102"/>
    </row>
    <row r="1447">
      <c r="A1447" s="102" t="str">
        <f>IFERROR(__xludf.DUMMYFUNCTION("""COMPUTED_VALUE"""),"Tediore")</f>
        <v>Tediore</v>
      </c>
      <c r="B1447" s="102" t="str">
        <f>IFERROR(__xludf.DUMMYFUNCTION("""COMPUTED_VALUE"""),"Shotgun")</f>
        <v>Shotgun</v>
      </c>
      <c r="C1447" s="103">
        <f>IFERROR(__xludf.DUMMYFUNCTION("""COMPUTED_VALUE"""),12.0)</f>
        <v>12</v>
      </c>
      <c r="D1447" s="102" t="str">
        <f>IFERROR(__xludf.DUMMYFUNCTION("""COMPUTED_VALUE"""),"Manufacturer Part")</f>
        <v>Manufacturer Part</v>
      </c>
      <c r="E1447" s="102" t="str">
        <f>IFERROR(__xludf.DUMMYFUNCTION("""COMPUTED_VALUE"""),"TED_SG.part_barrel_licensed_ted_replicator")</f>
        <v>TED_SG.part_barrel_licensed_ted_replicator</v>
      </c>
      <c r="F1447" s="102"/>
      <c r="G1447" s="102" t="str">
        <f>IFERROR(__xludf.DUMMYFUNCTION("""COMPUTED_VALUE"""),"Tediore Replicator, no stat changes")</f>
        <v>Tediore Replicator, no stat changes</v>
      </c>
      <c r="H1447" s="102" t="str">
        <f>IFERROR(__xludf.DUMMYFUNCTION("""COMPUTED_VALUE"""),"Throws an additional Gun on Reload")</f>
        <v>Throws an additional Gun on Reload</v>
      </c>
      <c r="I1447" s="102"/>
      <c r="J1447" s="102"/>
      <c r="K1447" s="102"/>
      <c r="L1447" s="102"/>
    </row>
    <row r="1448">
      <c r="A1448" s="102" t="str">
        <f>IFERROR(__xludf.DUMMYFUNCTION("""COMPUTED_VALUE"""),"Tediore")</f>
        <v>Tediore</v>
      </c>
      <c r="B1448" s="102" t="str">
        <f>IFERROR(__xludf.DUMMYFUNCTION("""COMPUTED_VALUE"""),"Shotgun")</f>
        <v>Shotgun</v>
      </c>
      <c r="C1448" s="103">
        <f>IFERROR(__xludf.DUMMYFUNCTION("""COMPUTED_VALUE"""),13.0)</f>
        <v>13</v>
      </c>
      <c r="D1448" s="102" t="str">
        <f>IFERROR(__xludf.DUMMYFUNCTION("""COMPUTED_VALUE"""),"Manufacturer Part")</f>
        <v>Manufacturer Part</v>
      </c>
      <c r="E1448" s="102" t="str">
        <f>IFERROR(__xludf.DUMMYFUNCTION("""COMPUTED_VALUE"""),"TED_SG.part_multi_ted_shooting")</f>
        <v>TED_SG.part_multi_ted_shooting</v>
      </c>
      <c r="F1448" s="102"/>
      <c r="G1448" s="102" t="str">
        <f>IFERROR(__xludf.DUMMYFUNCTION("""COMPUTED_VALUE"""),"No Stat Changes")</f>
        <v>No Stat Changes</v>
      </c>
      <c r="H1448" s="102"/>
      <c r="I1448" s="102"/>
      <c r="J1448" s="102"/>
      <c r="K1448" s="102"/>
      <c r="L1448" s="102"/>
    </row>
    <row r="1449">
      <c r="A1449" s="102" t="str">
        <f>IFERROR(__xludf.DUMMYFUNCTION("""COMPUTED_VALUE"""),"Tediore")</f>
        <v>Tediore</v>
      </c>
      <c r="B1449" s="102" t="str">
        <f>IFERROR(__xludf.DUMMYFUNCTION("""COMPUTED_VALUE"""),"Shotgun")</f>
        <v>Shotgun</v>
      </c>
      <c r="C1449" s="103">
        <f>IFERROR(__xludf.DUMMYFUNCTION("""COMPUTED_VALUE"""),14.0)</f>
        <v>14</v>
      </c>
      <c r="D1449" s="102" t="str">
        <f>IFERROR(__xludf.DUMMYFUNCTION("""COMPUTED_VALUE"""),"Manufacturer Part")</f>
        <v>Manufacturer Part</v>
      </c>
      <c r="E1449" s="102" t="str">
        <f>IFERROR(__xludf.DUMMYFUNCTION("""COMPUTED_VALUE"""),"TED_SG.part_multi_ted_mirv")</f>
        <v>TED_SG.part_multi_ted_mirv</v>
      </c>
      <c r="F1449" s="102"/>
      <c r="G1449" s="102" t="str">
        <f>IFERROR(__xludf.DUMMYFUNCTION("""COMPUTED_VALUE"""),"No Stat Changes")</f>
        <v>No Stat Changes</v>
      </c>
      <c r="H1449" s="102"/>
      <c r="I1449" s="102"/>
      <c r="J1449" s="102"/>
      <c r="K1449" s="102"/>
      <c r="L1449" s="102"/>
    </row>
    <row r="1450">
      <c r="A1450" s="102" t="str">
        <f>IFERROR(__xludf.DUMMYFUNCTION("""COMPUTED_VALUE"""),"Tediore")</f>
        <v>Tediore</v>
      </c>
      <c r="B1450" s="102" t="str">
        <f>IFERROR(__xludf.DUMMYFUNCTION("""COMPUTED_VALUE"""),"Shotgun")</f>
        <v>Shotgun</v>
      </c>
      <c r="C1450" s="103">
        <f>IFERROR(__xludf.DUMMYFUNCTION("""COMPUTED_VALUE"""),15.0)</f>
        <v>15</v>
      </c>
      <c r="D1450" s="102" t="str">
        <f>IFERROR(__xludf.DUMMYFUNCTION("""COMPUTED_VALUE"""),"Manufacturer Part")</f>
        <v>Manufacturer Part</v>
      </c>
      <c r="E1450" s="102" t="str">
        <f>IFERROR(__xludf.DUMMYFUNCTION("""COMPUTED_VALUE"""),"TED_SG.part_multi_ted_combo")</f>
        <v>TED_SG.part_multi_ted_combo</v>
      </c>
      <c r="F1450" s="102"/>
      <c r="G1450" s="102" t="str">
        <f>IFERROR(__xludf.DUMMYFUNCTION("""COMPUTED_VALUE"""),"No Stat Changes")</f>
        <v>No Stat Changes</v>
      </c>
      <c r="H1450" s="102"/>
      <c r="I1450" s="102"/>
      <c r="J1450" s="102"/>
      <c r="K1450" s="102"/>
      <c r="L1450" s="102"/>
    </row>
    <row r="1451">
      <c r="A1451" s="102" t="str">
        <f>IFERROR(__xludf.DUMMYFUNCTION("""COMPUTED_VALUE"""),"Tediore")</f>
        <v>Tediore</v>
      </c>
      <c r="B1451" s="102" t="str">
        <f>IFERROR(__xludf.DUMMYFUNCTION("""COMPUTED_VALUE"""),"Shotgun")</f>
        <v>Shotgun</v>
      </c>
      <c r="C1451" s="103">
        <f>IFERROR(__xludf.DUMMYFUNCTION("""COMPUTED_VALUE"""),16.0)</f>
        <v>16</v>
      </c>
      <c r="D1451" s="102" t="str">
        <f>IFERROR(__xludf.DUMMYFUNCTION("""COMPUTED_VALUE"""),"Manufacturer Part")</f>
        <v>Manufacturer Part</v>
      </c>
      <c r="E1451" s="102" t="str">
        <f>IFERROR(__xludf.DUMMYFUNCTION("""COMPUTED_VALUE"""),"TED_SG.part_multi_ted_replicator")</f>
        <v>TED_SG.part_multi_ted_replicator</v>
      </c>
      <c r="F1451" s="102"/>
      <c r="G1451" s="102" t="str">
        <f>IFERROR(__xludf.DUMMYFUNCTION("""COMPUTED_VALUE"""),"No Stat Changes")</f>
        <v>No Stat Changes</v>
      </c>
      <c r="H1451" s="102"/>
      <c r="I1451" s="102"/>
      <c r="J1451" s="102"/>
      <c r="K1451" s="102"/>
      <c r="L1451" s="102"/>
    </row>
    <row r="1452">
      <c r="A1452" s="102" t="str">
        <f>IFERROR(__xludf.DUMMYFUNCTION("""COMPUTED_VALUE"""),"Tediore")</f>
        <v>Tediore</v>
      </c>
      <c r="B1452" s="102" t="str">
        <f>IFERROR(__xludf.DUMMYFUNCTION("""COMPUTED_VALUE"""),"Shotgun")</f>
        <v>Shotgun</v>
      </c>
      <c r="C1452" s="103">
        <f>IFERROR(__xludf.DUMMYFUNCTION("""COMPUTED_VALUE"""),17.0)</f>
        <v>17</v>
      </c>
      <c r="D1452" s="102" t="str">
        <f>IFERROR(__xludf.DUMMYFUNCTION("""COMPUTED_VALUE"""),"Manufacturer Part")</f>
        <v>Manufacturer Part</v>
      </c>
      <c r="E1452" s="102" t="str">
        <f>IFERROR(__xludf.DUMMYFUNCTION("""COMPUTED_VALUE"""),"TED_SG.part_shield_default")</f>
        <v>TED_SG.part_shield_default</v>
      </c>
      <c r="F1452" s="102"/>
      <c r="G1452" s="102" t="str">
        <f>IFERROR(__xludf.DUMMYFUNCTION("""COMPUTED_VALUE"""),"Hyperion Shield")</f>
        <v>Hyperion Shield</v>
      </c>
      <c r="H1452" s="102"/>
      <c r="I1452" s="102"/>
      <c r="J1452" s="102"/>
      <c r="K1452" s="102"/>
      <c r="L1452" s="102"/>
    </row>
    <row r="1453">
      <c r="A1453" s="102" t="str">
        <f>IFERROR(__xludf.DUMMYFUNCTION("""COMPUTED_VALUE"""),"Tediore")</f>
        <v>Tediore</v>
      </c>
      <c r="B1453" s="102" t="str">
        <f>IFERROR(__xludf.DUMMYFUNCTION("""COMPUTED_VALUE"""),"Shotgun")</f>
        <v>Shotgun</v>
      </c>
      <c r="C1453" s="103">
        <f>IFERROR(__xludf.DUMMYFUNCTION("""COMPUTED_VALUE"""),18.0)</f>
        <v>18</v>
      </c>
      <c r="D1453" s="102" t="str">
        <f>IFERROR(__xludf.DUMMYFUNCTION("""COMPUTED_VALUE"""),"Manufacturer Part")</f>
        <v>Manufacturer Part</v>
      </c>
      <c r="E1453" s="102" t="str">
        <f>IFERROR(__xludf.DUMMYFUNCTION("""COMPUTED_VALUE"""),"TED_SG.part_shield_ricochet")</f>
        <v>TED_SG.part_shield_ricochet</v>
      </c>
      <c r="F1453" s="102"/>
      <c r="G1453" s="102" t="str">
        <f>IFERROR(__xludf.DUMMYFUNCTION("""COMPUTED_VALUE"""),"Hyperion Ricochet Shield")</f>
        <v>Hyperion Ricochet Shield</v>
      </c>
      <c r="H1453" s="102"/>
      <c r="I1453" s="102"/>
      <c r="J1453" s="102"/>
      <c r="K1453" s="102"/>
      <c r="L1453" s="102"/>
    </row>
    <row r="1454">
      <c r="A1454" s="102" t="str">
        <f>IFERROR(__xludf.DUMMYFUNCTION("""COMPUTED_VALUE"""),"Tediore")</f>
        <v>Tediore</v>
      </c>
      <c r="B1454" s="102" t="str">
        <f>IFERROR(__xludf.DUMMYFUNCTION("""COMPUTED_VALUE"""),"Shotgun")</f>
        <v>Shotgun</v>
      </c>
      <c r="C1454" s="103">
        <f>IFERROR(__xludf.DUMMYFUNCTION("""COMPUTED_VALUE"""),19.0)</f>
        <v>19</v>
      </c>
      <c r="D1454" s="102" t="str">
        <f>IFERROR(__xludf.DUMMYFUNCTION("""COMPUTED_VALUE"""),"Manufacturer Part")</f>
        <v>Manufacturer Part</v>
      </c>
      <c r="E1454" s="102" t="str">
        <f>IFERROR(__xludf.DUMMYFUNCTION("""COMPUTED_VALUE"""),"TED_SG.part_shield_ammo")</f>
        <v>TED_SG.part_shield_ammo</v>
      </c>
      <c r="F1454" s="102"/>
      <c r="G1454" s="102" t="str">
        <f>IFERROR(__xludf.DUMMYFUNCTION("""COMPUTED_VALUE"""),"Hyperion Absorb Shield")</f>
        <v>Hyperion Absorb Shield</v>
      </c>
      <c r="H1454" s="102"/>
      <c r="I1454" s="102"/>
      <c r="J1454" s="102"/>
      <c r="K1454" s="102"/>
      <c r="L1454" s="102"/>
    </row>
    <row r="1455">
      <c r="A1455" s="102" t="str">
        <f>IFERROR(__xludf.DUMMYFUNCTION("""COMPUTED_VALUE"""),"Tediore")</f>
        <v>Tediore</v>
      </c>
      <c r="B1455" s="102" t="str">
        <f>IFERROR(__xludf.DUMMYFUNCTION("""COMPUTED_VALUE"""),"Shotgun")</f>
        <v>Shotgun</v>
      </c>
      <c r="C1455" s="103">
        <f>IFERROR(__xludf.DUMMYFUNCTION("""COMPUTED_VALUE"""),20.0)</f>
        <v>20</v>
      </c>
      <c r="D1455" s="102" t="str">
        <f>IFERROR(__xludf.DUMMYFUNCTION("""COMPUTED_VALUE"""),"Manufacturer Part")</f>
        <v>Manufacturer Part</v>
      </c>
      <c r="E1455" s="102" t="str">
        <f>IFERROR(__xludf.DUMMYFUNCTION("""COMPUTED_VALUE"""),"TED_SG.part_shield_amp")</f>
        <v>TED_SG.part_shield_amp</v>
      </c>
      <c r="F1455" s="102"/>
      <c r="G1455" s="102" t="str">
        <f>IFERROR(__xludf.DUMMYFUNCTION("""COMPUTED_VALUE"""),"Hyperion Amp Shield")</f>
        <v>Hyperion Amp Shield</v>
      </c>
      <c r="H1455" s="102"/>
      <c r="I1455" s="102"/>
      <c r="J1455" s="102"/>
      <c r="K1455" s="102"/>
      <c r="L1455" s="102"/>
    </row>
    <row r="1456">
      <c r="A1456" s="102" t="str">
        <f>IFERROR(__xludf.DUMMYFUNCTION("""COMPUTED_VALUE"""),"Tediore")</f>
        <v>Tediore</v>
      </c>
      <c r="B1456" s="102" t="str">
        <f>IFERROR(__xludf.DUMMYFUNCTION("""COMPUTED_VALUE"""),"Shotgun")</f>
        <v>Shotgun</v>
      </c>
      <c r="C1456" s="103">
        <f>IFERROR(__xludf.DUMMYFUNCTION("""COMPUTED_VALUE"""),21.0)</f>
        <v>21</v>
      </c>
      <c r="D1456" s="102" t="str">
        <f>IFERROR(__xludf.DUMMYFUNCTION("""COMPUTED_VALUE"""),"Magazine")</f>
        <v>Magazine</v>
      </c>
      <c r="E1456" s="102" t="str">
        <f>IFERROR(__xludf.DUMMYFUNCTION("""COMPUTED_VALUE"""),"TED_SG.part_mag_05_borg")</f>
        <v>TED_SG.part_mag_05_borg</v>
      </c>
      <c r="F1456" s="102"/>
      <c r="G1456" s="102" t="str">
        <f>IFERROR(__xludf.DUMMYFUNCTION("""COMPUTED_VALUE"""),"2.6s Reload, +Fire Rate, 13 Shots, Ripper Mag")</f>
        <v>2.6s Reload, +Fire Rate, 13 Shots, Ripper Mag</v>
      </c>
      <c r="H1456" s="102"/>
      <c r="I1456" s="102"/>
      <c r="J1456" s="102"/>
      <c r="K1456" s="102"/>
      <c r="L1456" s="102"/>
    </row>
    <row r="1457">
      <c r="A1457" s="102" t="str">
        <f>IFERROR(__xludf.DUMMYFUNCTION("""COMPUTED_VALUE"""),"Tediore")</f>
        <v>Tediore</v>
      </c>
      <c r="B1457" s="102" t="str">
        <f>IFERROR(__xludf.DUMMYFUNCTION("""COMPUTED_VALUE"""),"Shotgun")</f>
        <v>Shotgun</v>
      </c>
      <c r="C1457" s="103">
        <f>IFERROR(__xludf.DUMMYFUNCTION("""COMPUTED_VALUE"""),22.0)</f>
        <v>22</v>
      </c>
      <c r="D1457" s="102" t="str">
        <f>IFERROR(__xludf.DUMMYFUNCTION("""COMPUTED_VALUE"""),"Magazine")</f>
        <v>Magazine</v>
      </c>
      <c r="E1457" s="102" t="str">
        <f>IFERROR(__xludf.DUMMYFUNCTION("""COMPUTED_VALUE"""),"TED_SG.part_mag_04_cov")</f>
        <v>TED_SG.part_mag_04_cov</v>
      </c>
      <c r="F1457" s="102"/>
      <c r="G1457" s="102" t="str">
        <f>IFERROR(__xludf.DUMMYFUNCTION("""COMPUTED_VALUE"""),"3.0s Reload, +Damage, -Acc, 9 Shots, CoV Mag")</f>
        <v>3.0s Reload, +Damage, -Acc, 9 Shots, CoV Mag</v>
      </c>
      <c r="H1457" s="102"/>
      <c r="I1457" s="102"/>
      <c r="J1457" s="102"/>
      <c r="K1457" s="102"/>
      <c r="L1457" s="102"/>
    </row>
    <row r="1458">
      <c r="A1458" s="102" t="str">
        <f>IFERROR(__xludf.DUMMYFUNCTION("""COMPUTED_VALUE"""),"Tediore")</f>
        <v>Tediore</v>
      </c>
      <c r="B1458" s="102" t="str">
        <f>IFERROR(__xludf.DUMMYFUNCTION("""COMPUTED_VALUE"""),"Shotgun")</f>
        <v>Shotgun</v>
      </c>
      <c r="C1458" s="103">
        <f>IFERROR(__xludf.DUMMYFUNCTION("""COMPUTED_VALUE"""),23.0)</f>
        <v>23</v>
      </c>
      <c r="D1458" s="102" t="str">
        <f>IFERROR(__xludf.DUMMYFUNCTION("""COMPUTED_VALUE"""),"Magazine")</f>
        <v>Magazine</v>
      </c>
      <c r="E1458" s="102" t="str">
        <f>IFERROR(__xludf.DUMMYFUNCTION("""COMPUTED_VALUE"""),"TED_SG.part_mag_01")</f>
        <v>TED_SG.part_mag_01</v>
      </c>
      <c r="F1458" s="102"/>
      <c r="G1458" s="102" t="str">
        <f>IFERROR(__xludf.DUMMYFUNCTION("""COMPUTED_VALUE"""),"2.0s Reload, +Damage, 9 Shots")</f>
        <v>2.0s Reload, +Damage, 9 Shots</v>
      </c>
      <c r="H1458" s="102"/>
      <c r="I1458" s="102"/>
      <c r="J1458" s="102"/>
      <c r="K1458" s="102"/>
      <c r="L1458" s="102"/>
    </row>
    <row r="1459">
      <c r="A1459" s="102" t="str">
        <f>IFERROR(__xludf.DUMMYFUNCTION("""COMPUTED_VALUE"""),"Tediore")</f>
        <v>Tediore</v>
      </c>
      <c r="B1459" s="102" t="str">
        <f>IFERROR(__xludf.DUMMYFUNCTION("""COMPUTED_VALUE"""),"Shotgun")</f>
        <v>Shotgun</v>
      </c>
      <c r="C1459" s="103">
        <f>IFERROR(__xludf.DUMMYFUNCTION("""COMPUTED_VALUE"""),24.0)</f>
        <v>24</v>
      </c>
      <c r="D1459" s="102" t="str">
        <f>IFERROR(__xludf.DUMMYFUNCTION("""COMPUTED_VALUE"""),"Magazine")</f>
        <v>Magazine</v>
      </c>
      <c r="E1459" s="102" t="str">
        <f>IFERROR(__xludf.DUMMYFUNCTION("""COMPUTED_VALUE"""),"TED_SG.part_mag_02")</f>
        <v>TED_SG.part_mag_02</v>
      </c>
      <c r="F1459" s="102"/>
      <c r="G1459" s="102" t="str">
        <f>IFERROR(__xludf.DUMMYFUNCTION("""COMPUTED_VALUE"""),"2.0s Reload, -Damage, 11 Shots")</f>
        <v>2.0s Reload, -Damage, 11 Shots</v>
      </c>
      <c r="H1459" s="102"/>
      <c r="I1459" s="102"/>
      <c r="J1459" s="102"/>
      <c r="K1459" s="102"/>
      <c r="L1459" s="102"/>
    </row>
    <row r="1460">
      <c r="A1460" s="102" t="str">
        <f>IFERROR(__xludf.DUMMYFUNCTION("""COMPUTED_VALUE"""),"Tediore")</f>
        <v>Tediore</v>
      </c>
      <c r="B1460" s="102" t="str">
        <f>IFERROR(__xludf.DUMMYFUNCTION("""COMPUTED_VALUE"""),"Shotgun")</f>
        <v>Shotgun</v>
      </c>
      <c r="C1460" s="103">
        <f>IFERROR(__xludf.DUMMYFUNCTION("""COMPUTED_VALUE"""),25.0)</f>
        <v>25</v>
      </c>
      <c r="D1460" s="102" t="str">
        <f>IFERROR(__xludf.DUMMYFUNCTION("""COMPUTED_VALUE"""),"Magazine")</f>
        <v>Magazine</v>
      </c>
      <c r="E1460" s="102" t="str">
        <f>IFERROR(__xludf.DUMMYFUNCTION("""COMPUTED_VALUE"""),"TED_SG.part_mag_03_tor")</f>
        <v>TED_SG.part_mag_03_tor</v>
      </c>
      <c r="F1460" s="102"/>
      <c r="G1460" s="102" t="str">
        <f>IFERROR(__xludf.DUMMYFUNCTION("""COMPUTED_VALUE"""),"2.0s Reload, +Damage, -Fire Rate, 7 Shots, Torgue")</f>
        <v>2.0s Reload, +Damage, -Fire Rate, 7 Shots, Torgue</v>
      </c>
      <c r="H1460" s="102"/>
      <c r="I1460" s="102"/>
      <c r="J1460" s="102"/>
      <c r="K1460" s="102"/>
      <c r="L1460" s="102"/>
    </row>
    <row r="1461">
      <c r="A1461" s="102" t="str">
        <f>IFERROR(__xludf.DUMMYFUNCTION("""COMPUTED_VALUE"""),"Tediore")</f>
        <v>Tediore</v>
      </c>
      <c r="B1461" s="102" t="str">
        <f>IFERROR(__xludf.DUMMYFUNCTION("""COMPUTED_VALUE"""),"Shotgun")</f>
        <v>Shotgun</v>
      </c>
      <c r="C1461" s="103">
        <f>IFERROR(__xludf.DUMMYFUNCTION("""COMPUTED_VALUE"""),26.0)</f>
        <v>26</v>
      </c>
      <c r="D1461" s="102" t="str">
        <f>IFERROR(__xludf.DUMMYFUNCTION("""COMPUTED_VALUE"""),"Manufacturer Part")</f>
        <v>Manufacturer Part</v>
      </c>
      <c r="E1461" s="102" t="str">
        <f>IFERROR(__xludf.DUMMYFUNCTION("""COMPUTED_VALUE"""),"TED_SG.part_mag_torgue_normal")</f>
        <v>TED_SG.part_mag_torgue_normal</v>
      </c>
      <c r="F1461" s="102"/>
      <c r="G1461" s="102" t="str">
        <f>IFERROR(__xludf.DUMMYFUNCTION("""COMPUTED_VALUE"""),"Torgue Impact Gyrojets")</f>
        <v>Torgue Impact Gyrojets</v>
      </c>
      <c r="H1461" s="102"/>
      <c r="I1461" s="102"/>
      <c r="J1461" s="102"/>
      <c r="K1461" s="102"/>
      <c r="L1461" s="102"/>
    </row>
    <row r="1462">
      <c r="A1462" s="102" t="str">
        <f>IFERROR(__xludf.DUMMYFUNCTION("""COMPUTED_VALUE"""),"Tediore")</f>
        <v>Tediore</v>
      </c>
      <c r="B1462" s="102" t="str">
        <f>IFERROR(__xludf.DUMMYFUNCTION("""COMPUTED_VALUE"""),"Shotgun")</f>
        <v>Shotgun</v>
      </c>
      <c r="C1462" s="103">
        <f>IFERROR(__xludf.DUMMYFUNCTION("""COMPUTED_VALUE"""),27.0)</f>
        <v>27</v>
      </c>
      <c r="D1462" s="102" t="str">
        <f>IFERROR(__xludf.DUMMYFUNCTION("""COMPUTED_VALUE"""),"Manufacturer Part")</f>
        <v>Manufacturer Part</v>
      </c>
      <c r="E1462" s="102" t="str">
        <f>IFERROR(__xludf.DUMMYFUNCTION("""COMPUTED_VALUE"""),"TED_SG.part_mag_torgue_sticky")</f>
        <v>TED_SG.part_mag_torgue_sticky</v>
      </c>
      <c r="F1462" s="102"/>
      <c r="G1462" s="102" t="str">
        <f>IFERROR(__xludf.DUMMYFUNCTION("""COMPUTED_VALUE"""),"Torgue Sticky Gyrojets")</f>
        <v>Torgue Sticky Gyrojets</v>
      </c>
      <c r="H1462" s="102"/>
      <c r="I1462" s="102"/>
      <c r="J1462" s="102"/>
      <c r="K1462" s="102"/>
      <c r="L1462" s="102"/>
    </row>
    <row r="1463">
      <c r="A1463" s="102" t="str">
        <f>IFERROR(__xludf.DUMMYFUNCTION("""COMPUTED_VALUE"""),"Tediore")</f>
        <v>Tediore</v>
      </c>
      <c r="B1463" s="102" t="str">
        <f>IFERROR(__xludf.DUMMYFUNCTION("""COMPUTED_VALUE"""),"Shotgun")</f>
        <v>Shotgun</v>
      </c>
      <c r="C1463" s="103">
        <f>IFERROR(__xludf.DUMMYFUNCTION("""COMPUTED_VALUE"""),28.0)</f>
        <v>28</v>
      </c>
      <c r="D1463" s="102" t="str">
        <f>IFERROR(__xludf.DUMMYFUNCTION("""COMPUTED_VALUE"""),"Scope")</f>
        <v>Scope</v>
      </c>
      <c r="E1463" s="102" t="str">
        <f>IFERROR(__xludf.DUMMYFUNCTION("""COMPUTED_VALUE"""),"TED_SG.part_scope_ironsight")</f>
        <v>TED_SG.part_scope_ironsight</v>
      </c>
      <c r="F1463" s="102"/>
      <c r="G1463" s="102" t="str">
        <f>IFERROR(__xludf.DUMMYFUNCTION("""COMPUTED_VALUE"""),"ADS")</f>
        <v>ADS</v>
      </c>
      <c r="H1463" s="102"/>
      <c r="I1463" s="102"/>
      <c r="J1463" s="102"/>
      <c r="K1463" s="102"/>
      <c r="L1463" s="102"/>
    </row>
    <row r="1464">
      <c r="A1464" s="102" t="str">
        <f>IFERROR(__xludf.DUMMYFUNCTION("""COMPUTED_VALUE"""),"Tediore")</f>
        <v>Tediore</v>
      </c>
      <c r="B1464" s="102" t="str">
        <f>IFERROR(__xludf.DUMMYFUNCTION("""COMPUTED_VALUE"""),"Shotgun")</f>
        <v>Shotgun</v>
      </c>
      <c r="C1464" s="103">
        <f>IFERROR(__xludf.DUMMYFUNCTION("""COMPUTED_VALUE"""),29.0)</f>
        <v>29</v>
      </c>
      <c r="D1464" s="102" t="str">
        <f>IFERROR(__xludf.DUMMYFUNCTION("""COMPUTED_VALUE"""),"Scope")</f>
        <v>Scope</v>
      </c>
      <c r="E1464" s="102" t="str">
        <f>IFERROR(__xludf.DUMMYFUNCTION("""COMPUTED_VALUE"""),"TED_SG.part_scope_01_lens_01")</f>
        <v>TED_SG.part_scope_01_lens_01</v>
      </c>
      <c r="F1464" s="102"/>
      <c r="G1464" s="102" t="str">
        <f>IFERROR(__xludf.DUMMYFUNCTION("""COMPUTED_VALUE"""),"ADS +++Zoom")</f>
        <v>ADS +++Zoom</v>
      </c>
      <c r="H1464" s="102"/>
      <c r="I1464" s="102"/>
      <c r="J1464" s="102"/>
      <c r="K1464" s="102"/>
      <c r="L1464" s="102"/>
    </row>
    <row r="1465">
      <c r="A1465" s="102" t="str">
        <f>IFERROR(__xludf.DUMMYFUNCTION("""COMPUTED_VALUE"""),"Tediore")</f>
        <v>Tediore</v>
      </c>
      <c r="B1465" s="102" t="str">
        <f>IFERROR(__xludf.DUMMYFUNCTION("""COMPUTED_VALUE"""),"Shotgun")</f>
        <v>Shotgun</v>
      </c>
      <c r="C1465" s="103">
        <f>IFERROR(__xludf.DUMMYFUNCTION("""COMPUTED_VALUE"""),30.0)</f>
        <v>30</v>
      </c>
      <c r="D1465" s="102" t="str">
        <f>IFERROR(__xludf.DUMMYFUNCTION("""COMPUTED_VALUE"""),"Scope")</f>
        <v>Scope</v>
      </c>
      <c r="E1465" s="102" t="str">
        <f>IFERROR(__xludf.DUMMYFUNCTION("""COMPUTED_VALUE"""),"TED_SG.part_scope_01_lens_02")</f>
        <v>TED_SG.part_scope_01_lens_02</v>
      </c>
      <c r="F1465" s="102"/>
      <c r="G1465" s="102" t="str">
        <f>IFERROR(__xludf.DUMMYFUNCTION("""COMPUTED_VALUE"""),"ADS ++Zoom")</f>
        <v>ADS ++Zoom</v>
      </c>
      <c r="H1465" s="102"/>
      <c r="I1465" s="102"/>
      <c r="J1465" s="102"/>
      <c r="K1465" s="102"/>
      <c r="L1465" s="102"/>
    </row>
    <row r="1466">
      <c r="A1466" s="102" t="str">
        <f>IFERROR(__xludf.DUMMYFUNCTION("""COMPUTED_VALUE"""),"Tediore")</f>
        <v>Tediore</v>
      </c>
      <c r="B1466" s="102" t="str">
        <f>IFERROR(__xludf.DUMMYFUNCTION("""COMPUTED_VALUE"""),"Shotgun")</f>
        <v>Shotgun</v>
      </c>
      <c r="C1466" s="103">
        <f>IFERROR(__xludf.DUMMYFUNCTION("""COMPUTED_VALUE"""),31.0)</f>
        <v>31</v>
      </c>
      <c r="D1466" s="102" t="str">
        <f>IFERROR(__xludf.DUMMYFUNCTION("""COMPUTED_VALUE"""),"Scope")</f>
        <v>Scope</v>
      </c>
      <c r="E1466" s="102" t="str">
        <f>IFERROR(__xludf.DUMMYFUNCTION("""COMPUTED_VALUE"""),"TED_SG.part_scope_02_lens_01")</f>
        <v>TED_SG.part_scope_02_lens_01</v>
      </c>
      <c r="F1466" s="102"/>
      <c r="G1466" s="102" t="str">
        <f>IFERROR(__xludf.DUMMYFUNCTION("""COMPUTED_VALUE"""),"ADS +Zoom")</f>
        <v>ADS +Zoom</v>
      </c>
      <c r="H1466" s="102"/>
      <c r="I1466" s="102"/>
      <c r="J1466" s="102"/>
      <c r="K1466" s="102"/>
      <c r="L1466" s="102"/>
    </row>
    <row r="1467">
      <c r="A1467" s="102" t="str">
        <f>IFERROR(__xludf.DUMMYFUNCTION("""COMPUTED_VALUE"""),"Tediore")</f>
        <v>Tediore</v>
      </c>
      <c r="B1467" s="102" t="str">
        <f>IFERROR(__xludf.DUMMYFUNCTION("""COMPUTED_VALUE"""),"Shotgun")</f>
        <v>Shotgun</v>
      </c>
      <c r="C1467" s="103">
        <f>IFERROR(__xludf.DUMMYFUNCTION("""COMPUTED_VALUE"""),32.0)</f>
        <v>32</v>
      </c>
      <c r="D1467" s="102" t="str">
        <f>IFERROR(__xludf.DUMMYFUNCTION("""COMPUTED_VALUE"""),"Scope")</f>
        <v>Scope</v>
      </c>
      <c r="E1467" s="102" t="str">
        <f>IFERROR(__xludf.DUMMYFUNCTION("""COMPUTED_VALUE"""),"TED_SG.part_scope_02_lens_02")</f>
        <v>TED_SG.part_scope_02_lens_02</v>
      </c>
      <c r="F1467" s="102"/>
      <c r="G1467" s="102" t="str">
        <f>IFERROR(__xludf.DUMMYFUNCTION("""COMPUTED_VALUE"""),"ADS ++Zoom")</f>
        <v>ADS ++Zoom</v>
      </c>
      <c r="H1467" s="102"/>
      <c r="I1467" s="102"/>
      <c r="J1467" s="102"/>
      <c r="K1467" s="102"/>
      <c r="L1467" s="102"/>
    </row>
    <row r="1468">
      <c r="A1468" s="102" t="str">
        <f>IFERROR(__xludf.DUMMYFUNCTION("""COMPUTED_VALUE"""),"Tediore")</f>
        <v>Tediore</v>
      </c>
      <c r="B1468" s="102" t="str">
        <f>IFERROR(__xludf.DUMMYFUNCTION("""COMPUTED_VALUE"""),"Shotgun")</f>
        <v>Shotgun</v>
      </c>
      <c r="C1468" s="103">
        <f>IFERROR(__xludf.DUMMYFUNCTION("""COMPUTED_VALUE"""),33.0)</f>
        <v>33</v>
      </c>
      <c r="D1468" s="102" t="str">
        <f>IFERROR(__xludf.DUMMYFUNCTION("""COMPUTED_VALUE"""),"Scope Accessory")</f>
        <v>Scope Accessory</v>
      </c>
      <c r="E1468" s="102" t="str">
        <f>IFERROR(__xludf.DUMMYFUNCTION("""COMPUTED_VALUE"""),"TED_SG.part_scope_acc_s01_l01_a")</f>
        <v>TED_SG.part_scope_acc_s01_l01_a</v>
      </c>
      <c r="F1468" s="102"/>
      <c r="G1468" s="102" t="str">
        <f>IFERROR(__xludf.DUMMYFUNCTION("""COMPUTED_VALUE"""),"+Damage")</f>
        <v>+Damage</v>
      </c>
      <c r="H1468" s="102" t="str">
        <f>IFERROR(__xludf.DUMMYFUNCTION("""COMPUTED_VALUE"""),"Mag Counter, Distance")</f>
        <v>Mag Counter, Distance</v>
      </c>
      <c r="I1468" s="102"/>
      <c r="J1468" s="102"/>
      <c r="K1468" s="102"/>
      <c r="L1468" s="102"/>
    </row>
    <row r="1469">
      <c r="A1469" s="102" t="str">
        <f>IFERROR(__xludf.DUMMYFUNCTION("""COMPUTED_VALUE"""),"Tediore")</f>
        <v>Tediore</v>
      </c>
      <c r="B1469" s="102" t="str">
        <f>IFERROR(__xludf.DUMMYFUNCTION("""COMPUTED_VALUE"""),"Shotgun")</f>
        <v>Shotgun</v>
      </c>
      <c r="C1469" s="103">
        <f>IFERROR(__xludf.DUMMYFUNCTION("""COMPUTED_VALUE"""),34.0)</f>
        <v>34</v>
      </c>
      <c r="D1469" s="102" t="str">
        <f>IFERROR(__xludf.DUMMYFUNCTION("""COMPUTED_VALUE"""),"Scope Accessory")</f>
        <v>Scope Accessory</v>
      </c>
      <c r="E1469" s="102" t="str">
        <f>IFERROR(__xludf.DUMMYFUNCTION("""COMPUTED_VALUE"""),"TED_SG.part_scope_acc_s01_l01_b")</f>
        <v>TED_SG.part_scope_acc_s01_l01_b</v>
      </c>
      <c r="F1469" s="102"/>
      <c r="G1469" s="102" t="str">
        <f>IFERROR(__xludf.DUMMYFUNCTION("""COMPUTED_VALUE"""),"-Reload Speed")</f>
        <v>-Reload Speed</v>
      </c>
      <c r="H1469" s="102" t="str">
        <f>IFERROR(__xludf.DUMMYFUNCTION("""COMPUTED_VALUE"""),"Damage Type")</f>
        <v>Damage Type</v>
      </c>
      <c r="I1469" s="102"/>
      <c r="J1469" s="102"/>
      <c r="K1469" s="102"/>
      <c r="L1469" s="102"/>
    </row>
    <row r="1470">
      <c r="A1470" s="102" t="str">
        <f>IFERROR(__xludf.DUMMYFUNCTION("""COMPUTED_VALUE"""),"Tediore")</f>
        <v>Tediore</v>
      </c>
      <c r="B1470" s="102" t="str">
        <f>IFERROR(__xludf.DUMMYFUNCTION("""COMPUTED_VALUE"""),"Shotgun")</f>
        <v>Shotgun</v>
      </c>
      <c r="C1470" s="103">
        <f>IFERROR(__xludf.DUMMYFUNCTION("""COMPUTED_VALUE"""),35.0)</f>
        <v>35</v>
      </c>
      <c r="D1470" s="102" t="str">
        <f>IFERROR(__xludf.DUMMYFUNCTION("""COMPUTED_VALUE"""),"Scope Accessory")</f>
        <v>Scope Accessory</v>
      </c>
      <c r="E1470" s="102" t="str">
        <f>IFERROR(__xludf.DUMMYFUNCTION("""COMPUTED_VALUE"""),"TED_SG.part_scope_acc_s02_l01_a")</f>
        <v>TED_SG.part_scope_acc_s02_l01_a</v>
      </c>
      <c r="F1470" s="102"/>
      <c r="G1470" s="102" t="str">
        <f>IFERROR(__xludf.DUMMYFUNCTION("""COMPUTED_VALUE"""),"No Stat Changes")</f>
        <v>No Stat Changes</v>
      </c>
      <c r="H1470" s="102" t="str">
        <f>IFERROR(__xludf.DUMMYFUNCTION("""COMPUTED_VALUE"""),"Scope hood")</f>
        <v>Scope hood</v>
      </c>
      <c r="I1470" s="102"/>
      <c r="J1470" s="102"/>
      <c r="K1470" s="102"/>
      <c r="L1470" s="102"/>
    </row>
    <row r="1471">
      <c r="A1471" s="102" t="str">
        <f>IFERROR(__xludf.DUMMYFUNCTION("""COMPUTED_VALUE"""),"Tediore")</f>
        <v>Tediore</v>
      </c>
      <c r="B1471" s="102" t="str">
        <f>IFERROR(__xludf.DUMMYFUNCTION("""COMPUTED_VALUE"""),"Shotgun")</f>
        <v>Shotgun</v>
      </c>
      <c r="C1471" s="103">
        <f>IFERROR(__xludf.DUMMYFUNCTION("""COMPUTED_VALUE"""),36.0)</f>
        <v>36</v>
      </c>
      <c r="D1471" s="102" t="str">
        <f>IFERROR(__xludf.DUMMYFUNCTION("""COMPUTED_VALUE"""),"Scope Accessory")</f>
        <v>Scope Accessory</v>
      </c>
      <c r="E1471" s="102" t="str">
        <f>IFERROR(__xludf.DUMMYFUNCTION("""COMPUTED_VALUE"""),"TED_SG.part_scope_acc_s02_l01_b")</f>
        <v>TED_SG.part_scope_acc_s02_l01_b</v>
      </c>
      <c r="F1471" s="102"/>
      <c r="G1471" s="102" t="str">
        <f>IFERROR(__xludf.DUMMYFUNCTION("""COMPUTED_VALUE"""),"+Crit Damage")</f>
        <v>+Crit Damage</v>
      </c>
      <c r="H1471" s="102" t="str">
        <f>IFERROR(__xludf.DUMMYFUNCTION("""COMPUTED_VALUE"""),"Damage Type")</f>
        <v>Damage Type</v>
      </c>
      <c r="I1471" s="102"/>
      <c r="J1471" s="102"/>
      <c r="K1471" s="102"/>
      <c r="L1471" s="102"/>
    </row>
    <row r="1472">
      <c r="A1472" s="102" t="str">
        <f>IFERROR(__xludf.DUMMYFUNCTION("""COMPUTED_VALUE"""),"Tediore")</f>
        <v>Tediore</v>
      </c>
      <c r="B1472" s="102" t="str">
        <f>IFERROR(__xludf.DUMMYFUNCTION("""COMPUTED_VALUE"""),"Shotgun")</f>
        <v>Shotgun</v>
      </c>
      <c r="C1472" s="103">
        <f>IFERROR(__xludf.DUMMYFUNCTION("""COMPUTED_VALUE"""),37.0)</f>
        <v>37</v>
      </c>
      <c r="D1472" s="102" t="str">
        <f>IFERROR(__xludf.DUMMYFUNCTION("""COMPUTED_VALUE"""),"Scope Accessory")</f>
        <v>Scope Accessory</v>
      </c>
      <c r="E1472" s="102" t="str">
        <f>IFERROR(__xludf.DUMMYFUNCTION("""COMPUTED_VALUE"""),"TED_SG.part_scope_acc_s01_l02_a")</f>
        <v>TED_SG.part_scope_acc_s01_l02_a</v>
      </c>
      <c r="F1472" s="102"/>
      <c r="G1472" s="102" t="str">
        <f>IFERROR(__xludf.DUMMYFUNCTION("""COMPUTED_VALUE"""),"+Damage")</f>
        <v>+Damage</v>
      </c>
      <c r="H1472" s="102" t="str">
        <f>IFERROR(__xludf.DUMMYFUNCTION("""COMPUTED_VALUE"""),"Hud Elements")</f>
        <v>Hud Elements</v>
      </c>
      <c r="I1472" s="102"/>
      <c r="J1472" s="102"/>
      <c r="K1472" s="102"/>
      <c r="L1472" s="102"/>
    </row>
    <row r="1473">
      <c r="A1473" s="102" t="str">
        <f>IFERROR(__xludf.DUMMYFUNCTION("""COMPUTED_VALUE"""),"Tediore")</f>
        <v>Tediore</v>
      </c>
      <c r="B1473" s="102" t="str">
        <f>IFERROR(__xludf.DUMMYFUNCTION("""COMPUTED_VALUE"""),"Shotgun")</f>
        <v>Shotgun</v>
      </c>
      <c r="C1473" s="103">
        <f>IFERROR(__xludf.DUMMYFUNCTION("""COMPUTED_VALUE"""),38.0)</f>
        <v>38</v>
      </c>
      <c r="D1473" s="102" t="str">
        <f>IFERROR(__xludf.DUMMYFUNCTION("""COMPUTED_VALUE"""),"Scope Accessory")</f>
        <v>Scope Accessory</v>
      </c>
      <c r="E1473" s="102" t="str">
        <f>IFERROR(__xludf.DUMMYFUNCTION("""COMPUTED_VALUE"""),"TED_SG.part_scope_acc_s01_l02_b")</f>
        <v>TED_SG.part_scope_acc_s01_l02_b</v>
      </c>
      <c r="F1473" s="102"/>
      <c r="G1473" s="102" t="str">
        <f>IFERROR(__xludf.DUMMYFUNCTION("""COMPUTED_VALUE"""),"-Reload Speed")</f>
        <v>-Reload Speed</v>
      </c>
      <c r="H1473" s="102" t="str">
        <f>IFERROR(__xludf.DUMMYFUNCTION("""COMPUTED_VALUE"""),"Damage Type")</f>
        <v>Damage Type</v>
      </c>
      <c r="I1473" s="102"/>
      <c r="J1473" s="102"/>
      <c r="K1473" s="102"/>
      <c r="L1473" s="102"/>
    </row>
    <row r="1474">
      <c r="A1474" s="102" t="str">
        <f>IFERROR(__xludf.DUMMYFUNCTION("""COMPUTED_VALUE"""),"Tediore")</f>
        <v>Tediore</v>
      </c>
      <c r="B1474" s="102" t="str">
        <f>IFERROR(__xludf.DUMMYFUNCTION("""COMPUTED_VALUE"""),"Shotgun")</f>
        <v>Shotgun</v>
      </c>
      <c r="C1474" s="103">
        <f>IFERROR(__xludf.DUMMYFUNCTION("""COMPUTED_VALUE"""),39.0)</f>
        <v>39</v>
      </c>
      <c r="D1474" s="102" t="str">
        <f>IFERROR(__xludf.DUMMYFUNCTION("""COMPUTED_VALUE"""),"Scope Accessory")</f>
        <v>Scope Accessory</v>
      </c>
      <c r="E1474" s="102" t="str">
        <f>IFERROR(__xludf.DUMMYFUNCTION("""COMPUTED_VALUE"""),"TED_SG.part_scope_acc_s02_l02_a")</f>
        <v>TED_SG.part_scope_acc_s02_l02_a</v>
      </c>
      <c r="F1474" s="102"/>
      <c r="G1474" s="102" t="str">
        <f>IFERROR(__xludf.DUMMYFUNCTION("""COMPUTED_VALUE"""),"No Stat Changes")</f>
        <v>No Stat Changes</v>
      </c>
      <c r="H1474" s="102" t="str">
        <f>IFERROR(__xludf.DUMMYFUNCTION("""COMPUTED_VALUE"""),"Mag/Ammo Counter")</f>
        <v>Mag/Ammo Counter</v>
      </c>
      <c r="I1474" s="102"/>
      <c r="J1474" s="102"/>
      <c r="K1474" s="102"/>
      <c r="L1474" s="102"/>
    </row>
    <row r="1475">
      <c r="A1475" s="102" t="str">
        <f>IFERROR(__xludf.DUMMYFUNCTION("""COMPUTED_VALUE"""),"Tediore")</f>
        <v>Tediore</v>
      </c>
      <c r="B1475" s="102" t="str">
        <f>IFERROR(__xludf.DUMMYFUNCTION("""COMPUTED_VALUE"""),"Shotgun")</f>
        <v>Shotgun</v>
      </c>
      <c r="C1475" s="103">
        <f>IFERROR(__xludf.DUMMYFUNCTION("""COMPUTED_VALUE"""),40.0)</f>
        <v>40</v>
      </c>
      <c r="D1475" s="102" t="str">
        <f>IFERROR(__xludf.DUMMYFUNCTION("""COMPUTED_VALUE"""),"Scope Accessory")</f>
        <v>Scope Accessory</v>
      </c>
      <c r="E1475" s="102" t="str">
        <f>IFERROR(__xludf.DUMMYFUNCTION("""COMPUTED_VALUE"""),"TED_SG.part_scope_acc_s02_l02_b")</f>
        <v>TED_SG.part_scope_acc_s02_l02_b</v>
      </c>
      <c r="F1475" s="102"/>
      <c r="G1475" s="102" t="str">
        <f>IFERROR(__xludf.DUMMYFUNCTION("""COMPUTED_VALUE"""),"+Crit Damage")</f>
        <v>+Crit Damage</v>
      </c>
      <c r="H1475" s="102" t="str">
        <f>IFERROR(__xludf.DUMMYFUNCTION("""COMPUTED_VALUE"""),"Damage Type")</f>
        <v>Damage Type</v>
      </c>
      <c r="I1475" s="102"/>
      <c r="J1475" s="102"/>
      <c r="K1475" s="102"/>
      <c r="L1475" s="102"/>
    </row>
    <row r="1476">
      <c r="A1476" s="102" t="str">
        <f>IFERROR(__xludf.DUMMYFUNCTION("""COMPUTED_VALUE"""),"Tediore")</f>
        <v>Tediore</v>
      </c>
      <c r="B1476" s="102" t="str">
        <f>IFERROR(__xludf.DUMMYFUNCTION("""COMPUTED_VALUE"""),"Shotgun")</f>
        <v>Shotgun</v>
      </c>
      <c r="C1476" s="103">
        <f>IFERROR(__xludf.DUMMYFUNCTION("""COMPUTED_VALUE"""),41.0)</f>
        <v>41</v>
      </c>
      <c r="D1476" s="102" t="str">
        <f>IFERROR(__xludf.DUMMYFUNCTION("""COMPUTED_VALUE"""),"Grip")</f>
        <v>Grip</v>
      </c>
      <c r="E1476" s="102" t="str">
        <f>IFERROR(__xludf.DUMMYFUNCTION("""COMPUTED_VALUE"""),"TED_SG.part_grip_05a_ted_legs")</f>
        <v>TED_SG.part_grip_05a_ted_legs</v>
      </c>
      <c r="F1476" s="102"/>
      <c r="G1476" s="102" t="str">
        <f>IFERROR(__xludf.DUMMYFUNCTION("""COMPUTED_VALUE"""),"Tediore reload modifier: Legs, no stat changes")</f>
        <v>Tediore reload modifier: Legs, no stat changes</v>
      </c>
      <c r="H1476" s="102"/>
      <c r="I1476" s="102"/>
      <c r="J1476" s="102"/>
      <c r="K1476" s="102"/>
      <c r="L1476" s="102"/>
    </row>
    <row r="1477">
      <c r="A1477" s="102" t="str">
        <f>IFERROR(__xludf.DUMMYFUNCTION("""COMPUTED_VALUE"""),"Tediore")</f>
        <v>Tediore</v>
      </c>
      <c r="B1477" s="102" t="str">
        <f>IFERROR(__xludf.DUMMYFUNCTION("""COMPUTED_VALUE"""),"Shotgun")</f>
        <v>Shotgun</v>
      </c>
      <c r="C1477" s="103">
        <f>IFERROR(__xludf.DUMMYFUNCTION("""COMPUTED_VALUE"""),42.0)</f>
        <v>42</v>
      </c>
      <c r="D1477" s="102" t="str">
        <f>IFERROR(__xludf.DUMMYFUNCTION("""COMPUTED_VALUE"""),"Grip")</f>
        <v>Grip</v>
      </c>
      <c r="E1477" s="102" t="str">
        <f>IFERROR(__xludf.DUMMYFUNCTION("""COMPUTED_VALUE"""),"TED_SG.part_grip_05c_ted_jav")</f>
        <v>TED_SG.part_grip_05c_ted_jav</v>
      </c>
      <c r="F1477" s="102"/>
      <c r="G1477" s="102" t="str">
        <f>IFERROR(__xludf.DUMMYFUNCTION("""COMPUTED_VALUE"""),"Tediore reload modifier: Javelin, no stat changes")</f>
        <v>Tediore reload modifier: Javelin, no stat changes</v>
      </c>
      <c r="H1477" s="102"/>
      <c r="I1477" s="102"/>
      <c r="J1477" s="102"/>
      <c r="K1477" s="102"/>
      <c r="L1477" s="102"/>
    </row>
    <row r="1478">
      <c r="A1478" s="102" t="str">
        <f>IFERROR(__xludf.DUMMYFUNCTION("""COMPUTED_VALUE"""),"Tediore")</f>
        <v>Tediore</v>
      </c>
      <c r="B1478" s="102" t="str">
        <f>IFERROR(__xludf.DUMMYFUNCTION("""COMPUTED_VALUE"""),"Shotgun")</f>
        <v>Shotgun</v>
      </c>
      <c r="C1478" s="103">
        <f>IFERROR(__xludf.DUMMYFUNCTION("""COMPUTED_VALUE"""),43.0)</f>
        <v>43</v>
      </c>
      <c r="D1478" s="102" t="str">
        <f>IFERROR(__xludf.DUMMYFUNCTION("""COMPUTED_VALUE"""),"Grip")</f>
        <v>Grip</v>
      </c>
      <c r="E1478" s="102" t="str">
        <f>IFERROR(__xludf.DUMMYFUNCTION("""COMPUTED_VALUE"""),"TED_SG.part_grip_05b_ted_homing")</f>
        <v>TED_SG.part_grip_05b_ted_homing</v>
      </c>
      <c r="F1478" s="102"/>
      <c r="G1478" s="102" t="str">
        <f>IFERROR(__xludf.DUMMYFUNCTION("""COMPUTED_VALUE"""),"Tediore reload modifier: Homing, no stat changes")</f>
        <v>Tediore reload modifier: Homing, no stat changes</v>
      </c>
      <c r="H1478" s="102"/>
      <c r="I1478" s="102"/>
      <c r="J1478" s="102"/>
      <c r="K1478" s="102"/>
      <c r="L1478" s="102"/>
    </row>
    <row r="1479">
      <c r="A1479" s="102" t="str">
        <f>IFERROR(__xludf.DUMMYFUNCTION("""COMPUTED_VALUE"""),"Tediore")</f>
        <v>Tediore</v>
      </c>
      <c r="B1479" s="102" t="str">
        <f>IFERROR(__xludf.DUMMYFUNCTION("""COMPUTED_VALUE"""),"Shotgun")</f>
        <v>Shotgun</v>
      </c>
      <c r="C1479" s="103">
        <f>IFERROR(__xludf.DUMMYFUNCTION("""COMPUTED_VALUE"""),44.0)</f>
        <v>44</v>
      </c>
      <c r="D1479" s="102" t="str">
        <f>IFERROR(__xludf.DUMMYFUNCTION("""COMPUTED_VALUE"""),"Grip")</f>
        <v>Grip</v>
      </c>
      <c r="E1479" s="102" t="str">
        <f>IFERROR(__xludf.DUMMYFUNCTION("""COMPUTED_VALUE"""),"TED_SG.part_grip_04_hyp")</f>
        <v>TED_SG.part_grip_04_hyp</v>
      </c>
      <c r="F1479" s="102"/>
      <c r="G1479" s="102" t="str">
        <f>IFERROR(__xludf.DUMMYFUNCTION("""COMPUTED_VALUE"""),"Hyperion Grip, -Acc, Acc increases with continuous fire")</f>
        <v>Hyperion Grip, -Acc, Acc increases with continuous fire</v>
      </c>
      <c r="H1479" s="102"/>
      <c r="I1479" s="102"/>
      <c r="J1479" s="102"/>
      <c r="K1479" s="102"/>
      <c r="L1479" s="102"/>
    </row>
    <row r="1480">
      <c r="A1480" s="102" t="str">
        <f>IFERROR(__xludf.DUMMYFUNCTION("""COMPUTED_VALUE"""),"Tediore")</f>
        <v>Tediore</v>
      </c>
      <c r="B1480" s="102" t="str">
        <f>IFERROR(__xludf.DUMMYFUNCTION("""COMPUTED_VALUE"""),"Shotgun")</f>
        <v>Shotgun</v>
      </c>
      <c r="C1480" s="103">
        <f>IFERROR(__xludf.DUMMYFUNCTION("""COMPUTED_VALUE"""),45.0)</f>
        <v>45</v>
      </c>
      <c r="D1480" s="102" t="str">
        <f>IFERROR(__xludf.DUMMYFUNCTION("""COMPUTED_VALUE"""),"Grip")</f>
        <v>Grip</v>
      </c>
      <c r="E1480" s="102" t="str">
        <f>IFERROR(__xludf.DUMMYFUNCTION("""COMPUTED_VALUE"""),"TED_SG.part_grip_01")</f>
        <v>TED_SG.part_grip_01</v>
      </c>
      <c r="F1480" s="102"/>
      <c r="G1480" s="102" t="str">
        <f>IFERROR(__xludf.DUMMYFUNCTION("""COMPUTED_VALUE"""),"+Damage")</f>
        <v>+Damage</v>
      </c>
      <c r="H1480" s="102"/>
      <c r="I1480" s="102"/>
      <c r="J1480" s="102"/>
      <c r="K1480" s="102"/>
      <c r="L1480" s="102"/>
    </row>
    <row r="1481">
      <c r="A1481" s="102" t="str">
        <f>IFERROR(__xludf.DUMMYFUNCTION("""COMPUTED_VALUE"""),"Tediore")</f>
        <v>Tediore</v>
      </c>
      <c r="B1481" s="102" t="str">
        <f>IFERROR(__xludf.DUMMYFUNCTION("""COMPUTED_VALUE"""),"Shotgun")</f>
        <v>Shotgun</v>
      </c>
      <c r="C1481" s="103">
        <f>IFERROR(__xludf.DUMMYFUNCTION("""COMPUTED_VALUE"""),46.0)</f>
        <v>46</v>
      </c>
      <c r="D1481" s="102" t="str">
        <f>IFERROR(__xludf.DUMMYFUNCTION("""COMPUTED_VALUE"""),"Grip")</f>
        <v>Grip</v>
      </c>
      <c r="E1481" s="102" t="str">
        <f>IFERROR(__xludf.DUMMYFUNCTION("""COMPUTED_VALUE"""),"TED_SG.part_grip_02")</f>
        <v>TED_SG.part_grip_02</v>
      </c>
      <c r="F1481" s="102"/>
      <c r="G1481" s="102" t="str">
        <f>IFERROR(__xludf.DUMMYFUNCTION("""COMPUTED_VALUE"""),"+Fire Rate")</f>
        <v>+Fire Rate</v>
      </c>
      <c r="H1481" s="102"/>
      <c r="I1481" s="102"/>
      <c r="J1481" s="102"/>
      <c r="K1481" s="102"/>
      <c r="L1481" s="102"/>
    </row>
    <row r="1482">
      <c r="A1482" s="102" t="str">
        <f>IFERROR(__xludf.DUMMYFUNCTION("""COMPUTED_VALUE"""),"Tediore")</f>
        <v>Tediore</v>
      </c>
      <c r="B1482" s="102" t="str">
        <f>IFERROR(__xludf.DUMMYFUNCTION("""COMPUTED_VALUE"""),"Shotgun")</f>
        <v>Shotgun</v>
      </c>
      <c r="C1482" s="103">
        <f>IFERROR(__xludf.DUMMYFUNCTION("""COMPUTED_VALUE"""),47.0)</f>
        <v>47</v>
      </c>
      <c r="D1482" s="102" t="str">
        <f>IFERROR(__xludf.DUMMYFUNCTION("""COMPUTED_VALUE"""),"Grip")</f>
        <v>Grip</v>
      </c>
      <c r="E1482" s="102" t="str">
        <f>IFERROR(__xludf.DUMMYFUNCTION("""COMPUTED_VALUE"""),"TED_SG.part_grip_03")</f>
        <v>TED_SG.part_grip_03</v>
      </c>
      <c r="F1482" s="102"/>
      <c r="G1482" s="102" t="str">
        <f>IFERROR(__xludf.DUMMYFUNCTION("""COMPUTED_VALUE"""),"+Ammo")</f>
        <v>+Ammo</v>
      </c>
      <c r="H1482" s="102"/>
      <c r="I1482" s="102"/>
      <c r="J1482" s="102"/>
      <c r="K1482" s="102"/>
      <c r="L1482" s="102"/>
    </row>
    <row r="1483">
      <c r="A1483" s="102" t="str">
        <f>IFERROR(__xludf.DUMMYFUNCTION("""COMPUTED_VALUE"""),"Tediore")</f>
        <v>Tediore</v>
      </c>
      <c r="B1483" s="102" t="str">
        <f>IFERROR(__xludf.DUMMYFUNCTION("""COMPUTED_VALUE"""),"Shotgun")</f>
        <v>Shotgun</v>
      </c>
      <c r="C1483" s="103">
        <f>IFERROR(__xludf.DUMMYFUNCTION("""COMPUTED_VALUE"""),48.0)</f>
        <v>48</v>
      </c>
      <c r="D1483" s="102" t="str">
        <f>IFERROR(__xludf.DUMMYFUNCTION("""COMPUTED_VALUE"""),"Underbarrel")</f>
        <v>Underbarrel</v>
      </c>
      <c r="E1483" s="102" t="str">
        <f>IFERROR(__xludf.DUMMYFUNCTION("""COMPUTED_VALUE"""),"TED_SG.part_underbarrel_04_atlas")</f>
        <v>TED_SG.part_underbarrel_04_atlas</v>
      </c>
      <c r="F1483" s="102"/>
      <c r="G1483" s="102" t="str">
        <f>IFERROR(__xludf.DUMMYFUNCTION("""COMPUTED_VALUE"""),"Atlas Tracker Darts")</f>
        <v>Atlas Tracker Darts</v>
      </c>
      <c r="H1483" s="102"/>
      <c r="I1483" s="102"/>
      <c r="J1483" s="102"/>
      <c r="K1483" s="102"/>
      <c r="L1483" s="102"/>
    </row>
    <row r="1484">
      <c r="A1484" s="102" t="str">
        <f>IFERROR(__xludf.DUMMYFUNCTION("""COMPUTED_VALUE"""),"Tediore")</f>
        <v>Tediore</v>
      </c>
      <c r="B1484" s="102" t="str">
        <f>IFERROR(__xludf.DUMMYFUNCTION("""COMPUTED_VALUE"""),"Shotgun")</f>
        <v>Shotgun</v>
      </c>
      <c r="C1484" s="103">
        <f>IFERROR(__xludf.DUMMYFUNCTION("""COMPUTED_VALUE"""),49.0)</f>
        <v>49</v>
      </c>
      <c r="D1484" s="102" t="str">
        <f>IFERROR(__xludf.DUMMYFUNCTION("""COMPUTED_VALUE"""),"Underbarrel")</f>
        <v>Underbarrel</v>
      </c>
      <c r="E1484" s="102" t="str">
        <f>IFERROR(__xludf.DUMMYFUNCTION("""COMPUTED_VALUE"""),"TED_SG.part_underbarrel_04_atlas_ball")</f>
        <v>TED_SG.part_underbarrel_04_atlas_ball</v>
      </c>
      <c r="F1484" s="102"/>
      <c r="G1484" s="102" t="str">
        <f>IFERROR(__xludf.DUMMYFUNCTION("""COMPUTED_VALUE"""),"Atlas Tracker Grenades")</f>
        <v>Atlas Tracker Grenades</v>
      </c>
      <c r="H1484" s="102"/>
      <c r="I1484" s="102"/>
      <c r="J1484" s="102"/>
      <c r="K1484" s="102"/>
      <c r="L1484" s="102"/>
    </row>
    <row r="1485">
      <c r="A1485" s="102" t="str">
        <f>IFERROR(__xludf.DUMMYFUNCTION("""COMPUTED_VALUE"""),"Tediore")</f>
        <v>Tediore</v>
      </c>
      <c r="B1485" s="102" t="str">
        <f>IFERROR(__xludf.DUMMYFUNCTION("""COMPUTED_VALUE"""),"Shotgun")</f>
        <v>Shotgun</v>
      </c>
      <c r="C1485" s="103">
        <f>IFERROR(__xludf.DUMMYFUNCTION("""COMPUTED_VALUE"""),50.0)</f>
        <v>50</v>
      </c>
      <c r="D1485" s="102" t="str">
        <f>IFERROR(__xludf.DUMMYFUNCTION("""COMPUTED_VALUE"""),"Underbarrel")</f>
        <v>Underbarrel</v>
      </c>
      <c r="E1485" s="102" t="str">
        <f>IFERROR(__xludf.DUMMYFUNCTION("""COMPUTED_VALUE"""),"TED_SG.part_underbarrel_03_deployable_shield")</f>
        <v>TED_SG.part_underbarrel_03_deployable_shield</v>
      </c>
      <c r="F1485" s="102"/>
      <c r="G1485" s="102" t="str">
        <f>IFERROR(__xludf.DUMMYFUNCTION("""COMPUTED_VALUE"""),"Alt Fire - Deployable Barrier")</f>
        <v>Alt Fire - Deployable Barrier</v>
      </c>
      <c r="H1485" s="102" t="str">
        <f>IFERROR(__xludf.DUMMYFUNCTION("""COMPUTED_VALUE"""),"Deploys a Shield that blocks incoming Projectiles")</f>
        <v>Deploys a Shield that blocks incoming Projectiles</v>
      </c>
      <c r="I1485" s="102"/>
      <c r="J1485" s="102"/>
      <c r="K1485" s="102"/>
      <c r="L1485" s="102"/>
    </row>
    <row r="1486">
      <c r="A1486" s="102" t="str">
        <f>IFERROR(__xludf.DUMMYFUNCTION("""COMPUTED_VALUE"""),"Tediore")</f>
        <v>Tediore</v>
      </c>
      <c r="B1486" s="102" t="str">
        <f>IFERROR(__xludf.DUMMYFUNCTION("""COMPUTED_VALUE"""),"Shotgun")</f>
        <v>Shotgun</v>
      </c>
      <c r="C1486" s="103">
        <f>IFERROR(__xludf.DUMMYFUNCTION("""COMPUTED_VALUE"""),51.0)</f>
        <v>51</v>
      </c>
      <c r="D1486" s="102" t="str">
        <f>IFERROR(__xludf.DUMMYFUNCTION("""COMPUTED_VALUE"""),"Underbarrel")</f>
        <v>Underbarrel</v>
      </c>
      <c r="E1486" s="102" t="str">
        <f>IFERROR(__xludf.DUMMYFUNCTION("""COMPUTED_VALUE"""),"TED_SG.part_underbarrel_02_stickymine")</f>
        <v>TED_SG.part_underbarrel_02_stickymine</v>
      </c>
      <c r="F1486" s="102"/>
      <c r="G1486" s="102" t="str">
        <f>IFERROR(__xludf.DUMMYFUNCTION("""COMPUTED_VALUE"""),"Alt Fire - Proximity Mines")</f>
        <v>Alt Fire - Proximity Mines</v>
      </c>
      <c r="H1486" s="102"/>
      <c r="I1486" s="102"/>
      <c r="J1486" s="102"/>
      <c r="K1486" s="102"/>
      <c r="L1486" s="102"/>
    </row>
    <row r="1487">
      <c r="A1487" s="102" t="str">
        <f>IFERROR(__xludf.DUMMYFUNCTION("""COMPUTED_VALUE"""),"Tediore")</f>
        <v>Tediore</v>
      </c>
      <c r="B1487" s="102" t="str">
        <f>IFERROR(__xludf.DUMMYFUNCTION("""COMPUTED_VALUE"""),"Shotgun")</f>
        <v>Shotgun</v>
      </c>
      <c r="C1487" s="103">
        <f>IFERROR(__xludf.DUMMYFUNCTION("""COMPUTED_VALUE"""),52.0)</f>
        <v>52</v>
      </c>
      <c r="D1487" s="102" t="str">
        <f>IFERROR(__xludf.DUMMYFUNCTION("""COMPUTED_VALUE"""),"Foregrip")</f>
        <v>Foregrip</v>
      </c>
      <c r="E1487" s="102" t="str">
        <f>IFERROR(__xludf.DUMMYFUNCTION("""COMPUTED_VALUE"""),"TED_SG.part_foregrip_01")</f>
        <v>TED_SG.part_foregrip_01</v>
      </c>
      <c r="F1487" s="102"/>
      <c r="G1487" s="102" t="str">
        <f>IFERROR(__xludf.DUMMYFUNCTION("""COMPUTED_VALUE"""),"+Damage")</f>
        <v>+Damage</v>
      </c>
      <c r="H1487" s="102"/>
      <c r="I1487" s="102"/>
      <c r="J1487" s="102"/>
      <c r="K1487" s="102"/>
      <c r="L1487" s="102"/>
    </row>
    <row r="1488">
      <c r="A1488" s="102" t="str">
        <f>IFERROR(__xludf.DUMMYFUNCTION("""COMPUTED_VALUE"""),"Tediore")</f>
        <v>Tediore</v>
      </c>
      <c r="B1488" s="102" t="str">
        <f>IFERROR(__xludf.DUMMYFUNCTION("""COMPUTED_VALUE"""),"Shotgun")</f>
        <v>Shotgun</v>
      </c>
      <c r="C1488" s="103">
        <f>IFERROR(__xludf.DUMMYFUNCTION("""COMPUTED_VALUE"""),53.0)</f>
        <v>53</v>
      </c>
      <c r="D1488" s="102" t="str">
        <f>IFERROR(__xludf.DUMMYFUNCTION("""COMPUTED_VALUE"""),"Foregrip")</f>
        <v>Foregrip</v>
      </c>
      <c r="E1488" s="102" t="str">
        <f>IFERROR(__xludf.DUMMYFUNCTION("""COMPUTED_VALUE"""),"TED_SG.part_foregrip_03")</f>
        <v>TED_SG.part_foregrip_03</v>
      </c>
      <c r="F1488" s="102"/>
      <c r="G1488" s="102" t="str">
        <f>IFERROR(__xludf.DUMMYFUNCTION("""COMPUTED_VALUE"""),"+Accuracy")</f>
        <v>+Accuracy</v>
      </c>
      <c r="H1488" s="102"/>
      <c r="I1488" s="102"/>
      <c r="J1488" s="102"/>
      <c r="K1488" s="102"/>
      <c r="L1488" s="102"/>
    </row>
    <row r="1489">
      <c r="A1489" s="102" t="str">
        <f>IFERROR(__xludf.DUMMYFUNCTION("""COMPUTED_VALUE"""),"Tediore")</f>
        <v>Tediore</v>
      </c>
      <c r="B1489" s="102" t="str">
        <f>IFERROR(__xludf.DUMMYFUNCTION("""COMPUTED_VALUE"""),"Shotgun")</f>
        <v>Shotgun</v>
      </c>
      <c r="C1489" s="103">
        <f>IFERROR(__xludf.DUMMYFUNCTION("""COMPUTED_VALUE"""),54.0)</f>
        <v>54</v>
      </c>
      <c r="D1489" s="102" t="str">
        <f>IFERROR(__xludf.DUMMYFUNCTION("""COMPUTED_VALUE"""),"Foregrip")</f>
        <v>Foregrip</v>
      </c>
      <c r="E1489" s="102" t="str">
        <f>IFERROR(__xludf.DUMMYFUNCTION("""COMPUTED_VALUE"""),"TED_SG.part_foregrip_02")</f>
        <v>TED_SG.part_foregrip_02</v>
      </c>
      <c r="F1489" s="102"/>
      <c r="G1489" s="102" t="str">
        <f>IFERROR(__xludf.DUMMYFUNCTION("""COMPUTED_VALUE"""),"+Fire Rate")</f>
        <v>+Fire Rate</v>
      </c>
      <c r="H1489" s="102"/>
      <c r="I1489" s="102"/>
      <c r="J1489" s="102"/>
      <c r="K1489" s="102"/>
      <c r="L1489" s="102"/>
    </row>
    <row r="1490">
      <c r="A1490" s="102" t="str">
        <f>IFERROR(__xludf.DUMMYFUNCTION("""COMPUTED_VALUE"""),"Tediore")</f>
        <v>Tediore</v>
      </c>
      <c r="B1490" s="102" t="str">
        <f>IFERROR(__xludf.DUMMYFUNCTION("""COMPUTED_VALUE"""),"Shotgun")</f>
        <v>Shotgun</v>
      </c>
      <c r="C1490" s="103">
        <f>IFERROR(__xludf.DUMMYFUNCTION("""COMPUTED_VALUE"""),55.0)</f>
        <v>55</v>
      </c>
      <c r="D1490" s="102" t="str">
        <f>IFERROR(__xludf.DUMMYFUNCTION("""COMPUTED_VALUE"""),"Underbarrel")</f>
        <v>Underbarrel</v>
      </c>
      <c r="E1490" s="102" t="str">
        <f>IFERROR(__xludf.DUMMYFUNCTION("""COMPUTED_VALUE"""),"TED_SG.part_underbarrel_05_ammoswitcher")</f>
        <v>TED_SG.part_underbarrel_05_ammoswitcher</v>
      </c>
      <c r="F1490" s="102"/>
      <c r="G1490" s="102" t="str">
        <f>IFERROR(__xludf.DUMMYFUNCTION("""COMPUTED_VALUE"""),"Daedalus Ammo Switch")</f>
        <v>Daedalus Ammo Switch</v>
      </c>
      <c r="H1490" s="102" t="str">
        <f>IFERROR(__xludf.DUMMYFUNCTION("""COMPUTED_VALUE"""),"Used for Daedalus Ammo switch")</f>
        <v>Used for Daedalus Ammo switch</v>
      </c>
      <c r="I1490" s="102"/>
      <c r="J1490" s="102"/>
      <c r="K1490" s="102"/>
      <c r="L1490" s="102"/>
    </row>
    <row r="1491">
      <c r="A1491" s="102" t="str">
        <f>IFERROR(__xludf.DUMMYFUNCTION("""COMPUTED_VALUE"""),"Tediore")</f>
        <v>Tediore</v>
      </c>
      <c r="B1491" s="102" t="str">
        <f>IFERROR(__xludf.DUMMYFUNCTION("""COMPUTED_VALUE"""),"Shotgun")</f>
        <v>Shotgun</v>
      </c>
      <c r="C1491" s="103">
        <f>IFERROR(__xludf.DUMMYFUNCTION("""COMPUTED_VALUE"""),56.0)</f>
        <v>56</v>
      </c>
      <c r="D1491" s="102" t="str">
        <f>IFERROR(__xludf.DUMMYFUNCTION("""COMPUTED_VALUE"""),"Underbarrel")</f>
        <v>Underbarrel</v>
      </c>
      <c r="E1491" s="102" t="str">
        <f>IFERROR(__xludf.DUMMYFUNCTION("""COMPUTED_VALUE"""),"TED_SG.part_underbarrel_06_malswitch")</f>
        <v>TED_SG.part_underbarrel_06_malswitch</v>
      </c>
      <c r="F1491" s="102"/>
      <c r="G1491" s="102" t="str">
        <f>IFERROR(__xludf.DUMMYFUNCTION("""COMPUTED_VALUE"""),"Maliwan Element Switch")</f>
        <v>Maliwan Element Switch</v>
      </c>
      <c r="H1491" s="102" t="str">
        <f>IFERROR(__xludf.DUMMYFUNCTION("""COMPUTED_VALUE"""),"Used for Maliwan elemental switch")</f>
        <v>Used for Maliwan elemental switch</v>
      </c>
      <c r="I1491" s="102"/>
      <c r="J1491" s="102"/>
      <c r="K1491" s="102"/>
      <c r="L1491" s="102"/>
    </row>
    <row r="1492">
      <c r="A1492" s="102" t="str">
        <f>IFERROR(__xludf.DUMMYFUNCTION("""COMPUTED_VALUE"""),"Tediore")</f>
        <v>Tediore</v>
      </c>
      <c r="B1492" s="102" t="str">
        <f>IFERROR(__xludf.DUMMYFUNCTION("""COMPUTED_VALUE"""),"Shotgun")</f>
        <v>Shotgun</v>
      </c>
      <c r="C1492" s="103">
        <f>IFERROR(__xludf.DUMMYFUNCTION("""COMPUTED_VALUE"""),57.0)</f>
        <v>57</v>
      </c>
      <c r="D1492" s="102" t="str">
        <f>IFERROR(__xludf.DUMMYFUNCTION("""COMPUTED_VALUE"""),"Underbarrel")</f>
        <v>Underbarrel</v>
      </c>
      <c r="E1492" s="102" t="str">
        <f>IFERROR(__xludf.DUMMYFUNCTION("""COMPUTED_VALUE"""),"TED_SG.part_underbarrel_01_autoturret")</f>
        <v>TED_SG.part_underbarrel_01_autoturret</v>
      </c>
      <c r="F1492" s="102"/>
      <c r="G1492" s="102" t="str">
        <f>IFERROR(__xludf.DUMMYFUNCTION("""COMPUTED_VALUE"""),"Alt Fire - Digital Backup")</f>
        <v>Alt Fire - Digital Backup</v>
      </c>
      <c r="H1492" s="102" t="str">
        <f>IFERROR(__xludf.DUMMYFUNCTION("""COMPUTED_VALUE"""),"Deploys a Tediore Assault Rifle with legs that fires at enemies")</f>
        <v>Deploys a Tediore Assault Rifle with legs that fires at enemies</v>
      </c>
      <c r="I1492" s="102"/>
      <c r="J1492" s="102"/>
      <c r="K1492" s="102"/>
      <c r="L1492" s="102"/>
    </row>
    <row r="1493">
      <c r="A1493" s="102" t="str">
        <f>IFERROR(__xludf.DUMMYFUNCTION("""COMPUTED_VALUE"""),"Tediore")</f>
        <v>Tediore</v>
      </c>
      <c r="B1493" s="102" t="str">
        <f>IFERROR(__xludf.DUMMYFUNCTION("""COMPUTED_VALUE"""),"Shotgun")</f>
        <v>Shotgun</v>
      </c>
      <c r="C1493" s="103">
        <f>IFERROR(__xludf.DUMMYFUNCTION("""COMPUTED_VALUE"""),58.0)</f>
        <v>58</v>
      </c>
      <c r="D1493" s="102" t="str">
        <f>IFERROR(__xludf.DUMMYFUNCTION("""COMPUTED_VALUE"""),"Manufacturer Part")</f>
        <v>Manufacturer Part</v>
      </c>
      <c r="E1493" s="102" t="str">
        <f>IFERROR(__xludf.DUMMYFUNCTION("""COMPUTED_VALUE"""),"TED_SG.part_secondary_ammo_sm")</f>
        <v>TED_SG.part_secondary_ammo_sm</v>
      </c>
      <c r="F1493" s="102"/>
      <c r="G1493" s="102" t="str">
        <f>IFERROR(__xludf.DUMMYFUNCTION("""COMPUTED_VALUE"""),"Daedalus SMG Ammo")</f>
        <v>Daedalus SMG Ammo</v>
      </c>
      <c r="H1493" s="102"/>
      <c r="I1493" s="102"/>
      <c r="J1493" s="102"/>
      <c r="K1493" s="102"/>
      <c r="L1493" s="102"/>
    </row>
    <row r="1494">
      <c r="A1494" s="102" t="str">
        <f>IFERROR(__xludf.DUMMYFUNCTION("""COMPUTED_VALUE"""),"Tediore")</f>
        <v>Tediore</v>
      </c>
      <c r="B1494" s="102" t="str">
        <f>IFERROR(__xludf.DUMMYFUNCTION("""COMPUTED_VALUE"""),"Shotgun")</f>
        <v>Shotgun</v>
      </c>
      <c r="C1494" s="103">
        <f>IFERROR(__xludf.DUMMYFUNCTION("""COMPUTED_VALUE"""),59.0)</f>
        <v>59</v>
      </c>
      <c r="D1494" s="102" t="str">
        <f>IFERROR(__xludf.DUMMYFUNCTION("""COMPUTED_VALUE"""),"Manufacturer Part")</f>
        <v>Manufacturer Part</v>
      </c>
      <c r="E1494" s="102" t="str">
        <f>IFERROR(__xludf.DUMMYFUNCTION("""COMPUTED_VALUE"""),"TED_SG.part_secondary_ammo_ps")</f>
        <v>TED_SG.part_secondary_ammo_ps</v>
      </c>
      <c r="F1494" s="102"/>
      <c r="G1494" s="102" t="str">
        <f>IFERROR(__xludf.DUMMYFUNCTION("""COMPUTED_VALUE"""),"Daedalus Pistol Ammo")</f>
        <v>Daedalus Pistol Ammo</v>
      </c>
      <c r="H1494" s="102"/>
      <c r="I1494" s="102"/>
      <c r="J1494" s="102"/>
      <c r="K1494" s="102"/>
      <c r="L1494" s="102"/>
    </row>
    <row r="1495">
      <c r="A1495" s="102" t="str">
        <f>IFERROR(__xludf.DUMMYFUNCTION("""COMPUTED_VALUE"""),"Tediore")</f>
        <v>Tediore</v>
      </c>
      <c r="B1495" s="102" t="str">
        <f>IFERROR(__xludf.DUMMYFUNCTION("""COMPUTED_VALUE"""),"Shotgun")</f>
        <v>Shotgun</v>
      </c>
      <c r="C1495" s="103">
        <f>IFERROR(__xludf.DUMMYFUNCTION("""COMPUTED_VALUE"""),60.0)</f>
        <v>60</v>
      </c>
      <c r="D1495" s="102" t="str">
        <f>IFERROR(__xludf.DUMMYFUNCTION("""COMPUTED_VALUE"""),"Manufacturer Part")</f>
        <v>Manufacturer Part</v>
      </c>
      <c r="E1495" s="102" t="str">
        <f>IFERROR(__xludf.DUMMYFUNCTION("""COMPUTED_VALUE"""),"TED_SG.part_secondary_ammo_ar")</f>
        <v>TED_SG.part_secondary_ammo_ar</v>
      </c>
      <c r="F1495" s="102"/>
      <c r="G1495" s="102" t="str">
        <f>IFERROR(__xludf.DUMMYFUNCTION("""COMPUTED_VALUE"""),"Daedalus AR Ammo")</f>
        <v>Daedalus AR Ammo</v>
      </c>
      <c r="H1495" s="102"/>
      <c r="I1495" s="102"/>
      <c r="J1495" s="102"/>
      <c r="K1495" s="102"/>
      <c r="L1495" s="102"/>
    </row>
    <row r="1496">
      <c r="A1496" s="102" t="str">
        <f>IFERROR(__xludf.DUMMYFUNCTION("""COMPUTED_VALUE"""),"Tediore")</f>
        <v>Tediore</v>
      </c>
      <c r="B1496" s="102" t="str">
        <f>IFERROR(__xludf.DUMMYFUNCTION("""COMPUTED_VALUE"""),"Shotgun")</f>
        <v>Shotgun</v>
      </c>
      <c r="C1496" s="103">
        <f>IFERROR(__xludf.DUMMYFUNCTION("""COMPUTED_VALUE"""),61.0)</f>
        <v>61</v>
      </c>
      <c r="D1496" s="102" t="str">
        <f>IFERROR(__xludf.DUMMYFUNCTION("""COMPUTED_VALUE"""),"Manufacturer Part")</f>
        <v>Manufacturer Part</v>
      </c>
      <c r="E1496" s="102" t="str">
        <f>IFERROR(__xludf.DUMMYFUNCTION("""COMPUTED_VALUE"""),"TED_SG.part_secondary_ammo_sr")</f>
        <v>TED_SG.part_secondary_ammo_sr</v>
      </c>
      <c r="F1496" s="102"/>
      <c r="G1496" s="102" t="str">
        <f>IFERROR(__xludf.DUMMYFUNCTION("""COMPUTED_VALUE"""),"Daedalus SR Ammo")</f>
        <v>Daedalus SR Ammo</v>
      </c>
      <c r="H1496" s="102"/>
      <c r="I1496" s="102"/>
      <c r="J1496" s="102"/>
      <c r="K1496" s="102"/>
      <c r="L1496" s="102"/>
    </row>
    <row r="1497">
      <c r="A1497" s="102" t="str">
        <f>IFERROR(__xludf.DUMMYFUNCTION("""COMPUTED_VALUE"""),"Tediore")</f>
        <v>Tediore</v>
      </c>
      <c r="B1497" s="102" t="str">
        <f>IFERROR(__xludf.DUMMYFUNCTION("""COMPUTED_VALUE"""),"Shotgun")</f>
        <v>Shotgun</v>
      </c>
      <c r="C1497" s="103">
        <f>IFERROR(__xludf.DUMMYFUNCTION("""COMPUTED_VALUE"""),62.0)</f>
        <v>62</v>
      </c>
      <c r="D1497" s="102" t="str">
        <f>IFERROR(__xludf.DUMMYFUNCTION("""COMPUTED_VALUE"""),"Barrel Accessory")</f>
        <v>Barrel Accessory</v>
      </c>
      <c r="E1497" s="102" t="str">
        <f>IFERROR(__xludf.DUMMYFUNCTION("""COMPUTED_VALUE"""),"TED_SG.part_barrel_01_a")</f>
        <v>TED_SG.part_barrel_01_a</v>
      </c>
      <c r="F1497" s="102"/>
      <c r="G1497" s="102" t="str">
        <f>IFERROR(__xludf.DUMMYFUNCTION("""COMPUTED_VALUE"""),"+Damage")</f>
        <v>+Damage</v>
      </c>
      <c r="H1497" s="102"/>
      <c r="I1497" s="102"/>
      <c r="J1497" s="102"/>
      <c r="K1497" s="102"/>
      <c r="L1497" s="102"/>
    </row>
    <row r="1498">
      <c r="A1498" s="102" t="str">
        <f>IFERROR(__xludf.DUMMYFUNCTION("""COMPUTED_VALUE"""),"Tediore")</f>
        <v>Tediore</v>
      </c>
      <c r="B1498" s="102" t="str">
        <f>IFERROR(__xludf.DUMMYFUNCTION("""COMPUTED_VALUE"""),"Shotgun")</f>
        <v>Shotgun</v>
      </c>
      <c r="C1498" s="103">
        <f>IFERROR(__xludf.DUMMYFUNCTION("""COMPUTED_VALUE"""),63.0)</f>
        <v>63</v>
      </c>
      <c r="D1498" s="102" t="str">
        <f>IFERROR(__xludf.DUMMYFUNCTION("""COMPUTED_VALUE"""),"Barrel Accessory")</f>
        <v>Barrel Accessory</v>
      </c>
      <c r="E1498" s="102" t="str">
        <f>IFERROR(__xludf.DUMMYFUNCTION("""COMPUTED_VALUE"""),"TED_SG.part_barrel_01_b")</f>
        <v>TED_SG.part_barrel_01_b</v>
      </c>
      <c r="F1498" s="102"/>
      <c r="G1498" s="102" t="str">
        <f>IFERROR(__xludf.DUMMYFUNCTION("""COMPUTED_VALUE"""),"+Ammo")</f>
        <v>+Ammo</v>
      </c>
      <c r="H1498" s="102"/>
      <c r="I1498" s="102"/>
      <c r="J1498" s="102"/>
      <c r="K1498" s="102"/>
      <c r="L1498" s="102"/>
    </row>
    <row r="1499">
      <c r="A1499" s="102" t="str">
        <f>IFERROR(__xludf.DUMMYFUNCTION("""COMPUTED_VALUE"""),"Tediore")</f>
        <v>Tediore</v>
      </c>
      <c r="B1499" s="102" t="str">
        <f>IFERROR(__xludf.DUMMYFUNCTION("""COMPUTED_VALUE"""),"Shotgun")</f>
        <v>Shotgun</v>
      </c>
      <c r="C1499" s="103">
        <f>IFERROR(__xludf.DUMMYFUNCTION("""COMPUTED_VALUE"""),64.0)</f>
        <v>64</v>
      </c>
      <c r="D1499" s="102" t="str">
        <f>IFERROR(__xludf.DUMMYFUNCTION("""COMPUTED_VALUE"""),"Barrel Accessory")</f>
        <v>Barrel Accessory</v>
      </c>
      <c r="E1499" s="102" t="str">
        <f>IFERROR(__xludf.DUMMYFUNCTION("""COMPUTED_VALUE"""),"TED_SG.part_barrel_01_c")</f>
        <v>TED_SG.part_barrel_01_c</v>
      </c>
      <c r="F1499" s="102"/>
      <c r="G1499" s="102" t="str">
        <f>IFERROR(__xludf.DUMMYFUNCTION("""COMPUTED_VALUE"""),"+Ammo")</f>
        <v>+Ammo</v>
      </c>
      <c r="H1499" s="102"/>
      <c r="I1499" s="102"/>
      <c r="J1499" s="102"/>
      <c r="K1499" s="102"/>
      <c r="L1499" s="102"/>
    </row>
    <row r="1500">
      <c r="A1500" s="102" t="str">
        <f>IFERROR(__xludf.DUMMYFUNCTION("""COMPUTED_VALUE"""),"Tediore")</f>
        <v>Tediore</v>
      </c>
      <c r="B1500" s="102" t="str">
        <f>IFERROR(__xludf.DUMMYFUNCTION("""COMPUTED_VALUE"""),"Shotgun")</f>
        <v>Shotgun</v>
      </c>
      <c r="C1500" s="103">
        <f>IFERROR(__xludf.DUMMYFUNCTION("""COMPUTED_VALUE"""),65.0)</f>
        <v>65</v>
      </c>
      <c r="D1500" s="102" t="str">
        <f>IFERROR(__xludf.DUMMYFUNCTION("""COMPUTED_VALUE"""),"Barrel Accessory")</f>
        <v>Barrel Accessory</v>
      </c>
      <c r="E1500" s="102" t="str">
        <f>IFERROR(__xludf.DUMMYFUNCTION("""COMPUTED_VALUE"""),"TED_SG.part_barrel_01_d")</f>
        <v>TED_SG.part_barrel_01_d</v>
      </c>
      <c r="F1500" s="102"/>
      <c r="G1500" s="102" t="str">
        <f>IFERROR(__xludf.DUMMYFUNCTION("""COMPUTED_VALUE"""),"+Accuracy")</f>
        <v>+Accuracy</v>
      </c>
      <c r="H1500" s="102"/>
      <c r="I1500" s="102"/>
      <c r="J1500" s="102"/>
      <c r="K1500" s="102"/>
      <c r="L1500" s="102"/>
    </row>
    <row r="1501">
      <c r="A1501" s="102" t="str">
        <f>IFERROR(__xludf.DUMMYFUNCTION("""COMPUTED_VALUE"""),"Tediore")</f>
        <v>Tediore</v>
      </c>
      <c r="B1501" s="102" t="str">
        <f>IFERROR(__xludf.DUMMYFUNCTION("""COMPUTED_VALUE"""),"Shotgun")</f>
        <v>Shotgun</v>
      </c>
      <c r="C1501" s="103">
        <f>IFERROR(__xludf.DUMMYFUNCTION("""COMPUTED_VALUE"""),66.0)</f>
        <v>66</v>
      </c>
      <c r="D1501" s="102" t="str">
        <f>IFERROR(__xludf.DUMMYFUNCTION("""COMPUTED_VALUE"""),"Barrel Accessory")</f>
        <v>Barrel Accessory</v>
      </c>
      <c r="E1501" s="102" t="str">
        <f>IFERROR(__xludf.DUMMYFUNCTION("""COMPUTED_VALUE"""),"TED_SG.part_barrel_02_a")</f>
        <v>TED_SG.part_barrel_02_a</v>
      </c>
      <c r="F1501" s="102"/>
      <c r="G1501" s="102" t="str">
        <f>IFERROR(__xludf.DUMMYFUNCTION("""COMPUTED_VALUE"""),"+Damage")</f>
        <v>+Damage</v>
      </c>
      <c r="H1501" s="102"/>
      <c r="I1501" s="102"/>
      <c r="J1501" s="102"/>
      <c r="K1501" s="102"/>
      <c r="L1501" s="102"/>
    </row>
    <row r="1502">
      <c r="A1502" s="102" t="str">
        <f>IFERROR(__xludf.DUMMYFUNCTION("""COMPUTED_VALUE"""),"Tediore")</f>
        <v>Tediore</v>
      </c>
      <c r="B1502" s="102" t="str">
        <f>IFERROR(__xludf.DUMMYFUNCTION("""COMPUTED_VALUE"""),"Shotgun")</f>
        <v>Shotgun</v>
      </c>
      <c r="C1502" s="103">
        <f>IFERROR(__xludf.DUMMYFUNCTION("""COMPUTED_VALUE"""),67.0)</f>
        <v>67</v>
      </c>
      <c r="D1502" s="102" t="str">
        <f>IFERROR(__xludf.DUMMYFUNCTION("""COMPUTED_VALUE"""),"Barrel Accessory")</f>
        <v>Barrel Accessory</v>
      </c>
      <c r="E1502" s="102" t="str">
        <f>IFERROR(__xludf.DUMMYFUNCTION("""COMPUTED_VALUE"""),"TED_SG.part_barrel_02_b")</f>
        <v>TED_SG.part_barrel_02_b</v>
      </c>
      <c r="F1502" s="102"/>
      <c r="G1502" s="102" t="str">
        <f>IFERROR(__xludf.DUMMYFUNCTION("""COMPUTED_VALUE"""),"+Accuracy")</f>
        <v>+Accuracy</v>
      </c>
      <c r="H1502" s="102"/>
      <c r="I1502" s="102"/>
      <c r="J1502" s="102"/>
      <c r="K1502" s="102"/>
      <c r="L1502" s="102"/>
    </row>
    <row r="1503">
      <c r="A1503" s="102" t="str">
        <f>IFERROR(__xludf.DUMMYFUNCTION("""COMPUTED_VALUE"""),"Tediore")</f>
        <v>Tediore</v>
      </c>
      <c r="B1503" s="102" t="str">
        <f>IFERROR(__xludf.DUMMYFUNCTION("""COMPUTED_VALUE"""),"Shotgun")</f>
        <v>Shotgun</v>
      </c>
      <c r="C1503" s="103">
        <f>IFERROR(__xludf.DUMMYFUNCTION("""COMPUTED_VALUE"""),68.0)</f>
        <v>68</v>
      </c>
      <c r="D1503" s="102" t="str">
        <f>IFERROR(__xludf.DUMMYFUNCTION("""COMPUTED_VALUE"""),"Barrel Accessory")</f>
        <v>Barrel Accessory</v>
      </c>
      <c r="E1503" s="102" t="str">
        <f>IFERROR(__xludf.DUMMYFUNCTION("""COMPUTED_VALUE"""),"TED_SG.part_barrel_02_c")</f>
        <v>TED_SG.part_barrel_02_c</v>
      </c>
      <c r="F1503" s="102"/>
      <c r="G1503" s="102" t="str">
        <f>IFERROR(__xludf.DUMMYFUNCTION("""COMPUTED_VALUE"""),"+Fire Rate")</f>
        <v>+Fire Rate</v>
      </c>
      <c r="H1503" s="102"/>
      <c r="I1503" s="102"/>
      <c r="J1503" s="102"/>
      <c r="K1503" s="102"/>
      <c r="L1503" s="102"/>
    </row>
    <row r="1504">
      <c r="A1504" s="102" t="str">
        <f>IFERROR(__xludf.DUMMYFUNCTION("""COMPUTED_VALUE"""),"Tediore")</f>
        <v>Tediore</v>
      </c>
      <c r="B1504" s="102" t="str">
        <f>IFERROR(__xludf.DUMMYFUNCTION("""COMPUTED_VALUE"""),"Shotgun")</f>
        <v>Shotgun</v>
      </c>
      <c r="C1504" s="103">
        <f>IFERROR(__xludf.DUMMYFUNCTION("""COMPUTED_VALUE"""),69.0)</f>
        <v>69</v>
      </c>
      <c r="D1504" s="102" t="str">
        <f>IFERROR(__xludf.DUMMYFUNCTION("""COMPUTED_VALUE"""),"Barrel Accessory")</f>
        <v>Barrel Accessory</v>
      </c>
      <c r="E1504" s="102" t="str">
        <f>IFERROR(__xludf.DUMMYFUNCTION("""COMPUTED_VALUE"""),"TED_SG.part_barrel_02_d")</f>
        <v>TED_SG.part_barrel_02_d</v>
      </c>
      <c r="F1504" s="102"/>
      <c r="G1504" s="102" t="str">
        <f>IFERROR(__xludf.DUMMYFUNCTION("""COMPUTED_VALUE"""),"+Fire Rate")</f>
        <v>+Fire Rate</v>
      </c>
      <c r="H1504" s="102"/>
      <c r="I1504" s="102"/>
      <c r="J1504" s="102"/>
      <c r="K1504" s="102"/>
      <c r="L1504" s="102"/>
    </row>
    <row r="1505">
      <c r="A1505" s="102" t="str">
        <f>IFERROR(__xludf.DUMMYFUNCTION("""COMPUTED_VALUE"""),"Tediore")</f>
        <v>Tediore</v>
      </c>
      <c r="B1505" s="102" t="str">
        <f>IFERROR(__xludf.DUMMYFUNCTION("""COMPUTED_VALUE"""),"Shotgun")</f>
        <v>Shotgun</v>
      </c>
      <c r="C1505" s="103">
        <f>IFERROR(__xludf.DUMMYFUNCTION("""COMPUTED_VALUE"""),70.0)</f>
        <v>70</v>
      </c>
      <c r="D1505" s="102" t="str">
        <f>IFERROR(__xludf.DUMMYFUNCTION("""COMPUTED_VALUE"""),"Manufacturer Part")</f>
        <v>Manufacturer Part</v>
      </c>
      <c r="E1505" s="102" t="str">
        <f>IFERROR(__xludf.DUMMYFUNCTION("""COMPUTED_VALUE"""),"TED_SG.part_barrel_licensed_jak")</f>
        <v>TED_SG.part_barrel_licensed_jak</v>
      </c>
      <c r="F1505" s="102"/>
      <c r="G1505" s="102" t="str">
        <f>IFERROR(__xludf.DUMMYFUNCTION("""COMPUTED_VALUE"""),"Jakobs Ricochet")</f>
        <v>Jakobs Ricochet</v>
      </c>
      <c r="H1505" s="102"/>
      <c r="I1505" s="102"/>
      <c r="J1505" s="102"/>
      <c r="K1505" s="102"/>
      <c r="L1505" s="102"/>
    </row>
    <row r="1506">
      <c r="A1506" s="102" t="str">
        <f>IFERROR(__xludf.DUMMYFUNCTION("""COMPUTED_VALUE"""),"Tediore")</f>
        <v>Tediore</v>
      </c>
      <c r="B1506" s="102" t="str">
        <f>IFERROR(__xludf.DUMMYFUNCTION("""COMPUTED_VALUE"""),"Shotgun")</f>
        <v>Shotgun</v>
      </c>
      <c r="C1506" s="103">
        <f>IFERROR(__xludf.DUMMYFUNCTION("""COMPUTED_VALUE"""),71.0)</f>
        <v>71</v>
      </c>
      <c r="D1506" s="102" t="str">
        <f>IFERROR(__xludf.DUMMYFUNCTION("""COMPUTED_VALUE"""),"Manufacturer Part")</f>
        <v>Manufacturer Part</v>
      </c>
      <c r="E1506" s="102" t="str">
        <f>IFERROR(__xludf.DUMMYFUNCTION("""COMPUTED_VALUE"""),"TED_SG.part_barrel_licensed_hyp")</f>
        <v>TED_SG.part_barrel_licensed_hyp</v>
      </c>
      <c r="F1506" s="102"/>
      <c r="G1506" s="102" t="str">
        <f>IFERROR(__xludf.DUMMYFUNCTION("""COMPUTED_VALUE"""),"Hyperion Shield visual accessory, no stat changes")</f>
        <v>Hyperion Shield visual accessory, no stat changes</v>
      </c>
      <c r="H1506" s="102"/>
      <c r="I1506" s="102"/>
      <c r="J1506" s="102"/>
      <c r="K1506" s="102"/>
      <c r="L1506" s="102"/>
    </row>
    <row r="1507">
      <c r="A1507" s="102" t="str">
        <f>IFERROR(__xludf.DUMMYFUNCTION("""COMPUTED_VALUE"""),"Tediore")</f>
        <v>Tediore</v>
      </c>
      <c r="B1507" s="102" t="str">
        <f>IFERROR(__xludf.DUMMYFUNCTION("""COMPUTED_VALUE"""),"Shotgun")</f>
        <v>Shotgun</v>
      </c>
      <c r="C1507" s="103">
        <f>IFERROR(__xludf.DUMMYFUNCTION("""COMPUTED_VALUE"""),72.0)</f>
        <v>72</v>
      </c>
      <c r="D1507" s="102" t="str">
        <f>IFERROR(__xludf.DUMMYFUNCTION("""COMPUTED_VALUE"""),"Manufacturer Part")</f>
        <v>Manufacturer Part</v>
      </c>
      <c r="E1507" s="102" t="str">
        <f>IFERROR(__xludf.DUMMYFUNCTION("""COMPUTED_VALUE"""),"TED_SG.part_barrel_licensed_multi")</f>
        <v>TED_SG.part_barrel_licensed_multi</v>
      </c>
      <c r="F1507" s="102"/>
      <c r="G1507" s="102" t="str">
        <f>IFERROR(__xludf.DUMMYFUNCTION("""COMPUTED_VALUE"""),"No Stat Changes")</f>
        <v>No Stat Changes</v>
      </c>
      <c r="H1507" s="102"/>
      <c r="I1507" s="102"/>
      <c r="J1507" s="102"/>
      <c r="K1507" s="102"/>
      <c r="L1507" s="102"/>
    </row>
    <row r="1508">
      <c r="A1508" s="102" t="str">
        <f>IFERROR(__xludf.DUMMYFUNCTION("""COMPUTED_VALUE"""),"Tediore")</f>
        <v>Tediore</v>
      </c>
      <c r="B1508" s="102" t="str">
        <f>IFERROR(__xludf.DUMMYFUNCTION("""COMPUTED_VALUE"""),"Shotgun")</f>
        <v>Shotgun</v>
      </c>
      <c r="C1508" s="103">
        <f>IFERROR(__xludf.DUMMYFUNCTION("""COMPUTED_VALUE"""),73.0)</f>
        <v>73</v>
      </c>
      <c r="D1508" s="102" t="str">
        <f>IFERROR(__xludf.DUMMYFUNCTION("""COMPUTED_VALUE"""),"Grip")</f>
        <v>Grip</v>
      </c>
      <c r="E1508" s="102" t="str">
        <f>IFERROR(__xludf.DUMMYFUNCTION("""COMPUTED_VALUE"""),"TED_SG.part_grip_05a_ted_legs_mirv")</f>
        <v>TED_SG.part_grip_05a_ted_legs_mirv</v>
      </c>
      <c r="F1508" s="102"/>
      <c r="G1508" s="102" t="str">
        <f>IFERROR(__xludf.DUMMYFUNCTION("""COMPUTED_VALUE"""),"Tediore reload modifier: Legs, no stat changes")</f>
        <v>Tediore reload modifier: Legs, no stat changes</v>
      </c>
      <c r="H1508" s="102"/>
      <c r="I1508" s="102"/>
      <c r="J1508" s="102"/>
      <c r="K1508" s="102"/>
      <c r="L1508" s="102"/>
    </row>
    <row r="1509">
      <c r="A1509" s="102" t="str">
        <f>IFERROR(__xludf.DUMMYFUNCTION("""COMPUTED_VALUE"""),"Tediore")</f>
        <v>Tediore</v>
      </c>
      <c r="B1509" s="102" t="str">
        <f>IFERROR(__xludf.DUMMYFUNCTION("""COMPUTED_VALUE"""),"Shotgun")</f>
        <v>Shotgun</v>
      </c>
      <c r="C1509" s="103">
        <f>IFERROR(__xludf.DUMMYFUNCTION("""COMPUTED_VALUE"""),74.0)</f>
        <v>74</v>
      </c>
      <c r="D1509" s="102" t="str">
        <f>IFERROR(__xludf.DUMMYFUNCTION("""COMPUTED_VALUE"""),"Manufacturer Part")</f>
        <v>Manufacturer Part</v>
      </c>
      <c r="E1509" s="102" t="str">
        <f>IFERROR(__xludf.DUMMYFUNCTION("""COMPUTED_VALUE"""),"TED_SG.part_barrel_licensed_ted_replicator_multi")</f>
        <v>TED_SG.part_barrel_licensed_ted_replicator_multi</v>
      </c>
      <c r="F1509" s="102"/>
      <c r="G1509" s="102" t="str">
        <f>IFERROR(__xludf.DUMMYFUNCTION("""COMPUTED_VALUE"""),"No Stat Changes")</f>
        <v>No Stat Changes</v>
      </c>
      <c r="H1509" s="102"/>
      <c r="I1509" s="102"/>
      <c r="J1509" s="102"/>
      <c r="K1509" s="102"/>
      <c r="L1509" s="102"/>
    </row>
    <row r="1510">
      <c r="A1510" s="102" t="str">
        <f>IFERROR(__xludf.DUMMYFUNCTION("""COMPUTED_VALUE"""),"Tediore")</f>
        <v>Tediore</v>
      </c>
      <c r="B1510" s="102" t="str">
        <f>IFERROR(__xludf.DUMMYFUNCTION("""COMPUTED_VALUE"""),"Shotgun")</f>
        <v>Shotgun</v>
      </c>
      <c r="C1510" s="103">
        <f>IFERROR(__xludf.DUMMYFUNCTION("""COMPUTED_VALUE"""),75.0)</f>
        <v>75</v>
      </c>
      <c r="D1510" s="102" t="str">
        <f>IFERROR(__xludf.DUMMYFUNCTION("""COMPUTED_VALUE"""),"Barrel")</f>
        <v>Barrel</v>
      </c>
      <c r="E1510" s="102" t="str">
        <f>IFERROR(__xludf.DUMMYFUNCTION("""COMPUTED_VALUE"""),"TED_SG.part_barrel_01_anarchy")</f>
        <v>TED_SG.part_barrel_01_anarchy</v>
      </c>
      <c r="F1510" s="102"/>
      <c r="G1510" s="102" t="str">
        <f>IFERROR(__xludf.DUMMYFUNCTION("""COMPUTED_VALUE"""),"Anarchy, 335 x 12 Damage, 61% Acc, 1.6/s FR, 2 Shot")</f>
        <v>Anarchy, 335 x 12 Damage, 61% Acc, 1.6/s FR, 2 Shot</v>
      </c>
      <c r="H1510" s="102"/>
      <c r="I1510" s="102"/>
      <c r="J1510" s="102"/>
      <c r="K1510" s="102"/>
      <c r="L1510" s="102"/>
    </row>
    <row r="1511">
      <c r="A1511" s="102" t="str">
        <f>IFERROR(__xludf.DUMMYFUNCTION("""COMPUTED_VALUE"""),"Tediore")</f>
        <v>Tediore</v>
      </c>
      <c r="B1511" s="102" t="str">
        <f>IFERROR(__xludf.DUMMYFUNCTION("""COMPUTED_VALUE"""),"Shotgun")</f>
        <v>Shotgun</v>
      </c>
      <c r="C1511" s="103">
        <f>IFERROR(__xludf.DUMMYFUNCTION("""COMPUTED_VALUE"""),77.0)</f>
        <v>77</v>
      </c>
      <c r="D1511" s="102" t="str">
        <f>IFERROR(__xludf.DUMMYFUNCTION("""COMPUTED_VALUE"""),"Barrel")</f>
        <v>Barrel</v>
      </c>
      <c r="E1511" s="102" t="str">
        <f>IFERROR(__xludf.DUMMYFUNCTION("""COMPUTED_VALUE"""),"TED_SG.part_barrel_01_commbd")</f>
        <v>TED_SG.part_barrel_01_commbd</v>
      </c>
      <c r="F1511" s="102"/>
      <c r="G1511" s="102" t="str">
        <f>IFERROR(__xludf.DUMMYFUNCTION("""COMPUTED_VALUE"""),"Forsaken Chaos, 480 x 8 Damage, 61% Acc, 1.3/s FR, 2 Shot")</f>
        <v>Forsaken Chaos, 480 x 8 Damage, 61% Acc, 1.3/s FR, 2 Shot</v>
      </c>
      <c r="H1511" s="102"/>
      <c r="I1511" s="102"/>
      <c r="J1511" s="102"/>
      <c r="K1511" s="102"/>
      <c r="L1511" s="102"/>
    </row>
    <row r="1512">
      <c r="A1512" s="102" t="str">
        <f>IFERROR(__xludf.DUMMYFUNCTION("""COMPUTED_VALUE"""),"Tediore")</f>
        <v>Tediore</v>
      </c>
      <c r="B1512" s="102" t="str">
        <f>IFERROR(__xludf.DUMMYFUNCTION("""COMPUTED_VALUE"""),"Shotgun")</f>
        <v>Shotgun</v>
      </c>
      <c r="C1512" s="103">
        <f>IFERROR(__xludf.DUMMYFUNCTION("""COMPUTED_VALUE"""),79.0)</f>
        <v>79</v>
      </c>
      <c r="D1512" s="102" t="str">
        <f>IFERROR(__xludf.DUMMYFUNCTION("""COMPUTED_VALUE"""),"Underbarrel")</f>
        <v>Underbarrel</v>
      </c>
      <c r="E1512" s="102" t="str">
        <f>IFERROR(__xludf.DUMMYFUNCTION("""COMPUTED_VALUE"""),"TED_SG.part_underbarrel_01_heavyturret")</f>
        <v>TED_SG.part_underbarrel_01_heavyturret</v>
      </c>
      <c r="F1512" s="102"/>
      <c r="G1512" s="102" t="str">
        <f>IFERROR(__xludf.DUMMYFUNCTION("""COMPUTED_VALUE"""),"Husky Auto Turret")</f>
        <v>Husky Auto Turret</v>
      </c>
      <c r="H1512" s="102" t="str">
        <f>IFERROR(__xludf.DUMMYFUNCTION("""COMPUTED_VALUE"""),"Legendary Perk")</f>
        <v>Legendary Perk</v>
      </c>
      <c r="I1512" s="102"/>
      <c r="J1512" s="102"/>
      <c r="K1512" s="102"/>
      <c r="L1512" s="102"/>
    </row>
    <row r="1513">
      <c r="A1513" s="102" t="str">
        <f>IFERROR(__xludf.DUMMYFUNCTION("""COMPUTED_VALUE"""),"Torgue")</f>
        <v>Torgue</v>
      </c>
      <c r="B1513" s="102" t="str">
        <f>IFERROR(__xludf.DUMMYFUNCTION("""COMPUTED_VALUE"""),"Assault Rifle")</f>
        <v>Assault Rifle</v>
      </c>
      <c r="C1513" s="103">
        <f>IFERROR(__xludf.DUMMYFUNCTION("""COMPUTED_VALUE"""),3.0)</f>
        <v>3</v>
      </c>
      <c r="D1513" s="102" t="str">
        <f>IFERROR(__xludf.DUMMYFUNCTION("""COMPUTED_VALUE"""),"Body Accessory")</f>
        <v>Body Accessory</v>
      </c>
      <c r="E1513" s="102" t="str">
        <f>IFERROR(__xludf.DUMMYFUNCTION("""COMPUTED_VALUE"""),"TOR_AR.part_body_a")</f>
        <v>TOR_AR.part_body_a</v>
      </c>
      <c r="F1513" s="102"/>
      <c r="G1513" s="102" t="str">
        <f>IFERROR(__xludf.DUMMYFUNCTION("""COMPUTED_VALUE"""),"-Reload Speed")</f>
        <v>-Reload Speed</v>
      </c>
      <c r="H1513" s="102"/>
      <c r="I1513" s="102"/>
      <c r="J1513" s="102"/>
      <c r="K1513" s="102"/>
      <c r="L1513" s="102"/>
    </row>
    <row r="1514">
      <c r="A1514" s="102" t="str">
        <f>IFERROR(__xludf.DUMMYFUNCTION("""COMPUTED_VALUE"""),"Torgue")</f>
        <v>Torgue</v>
      </c>
      <c r="B1514" s="102" t="str">
        <f>IFERROR(__xludf.DUMMYFUNCTION("""COMPUTED_VALUE"""),"Assault Rifle")</f>
        <v>Assault Rifle</v>
      </c>
      <c r="C1514" s="103">
        <f>IFERROR(__xludf.DUMMYFUNCTION("""COMPUTED_VALUE"""),4.0)</f>
        <v>4</v>
      </c>
      <c r="D1514" s="102" t="str">
        <f>IFERROR(__xludf.DUMMYFUNCTION("""COMPUTED_VALUE"""),"Body Accessory")</f>
        <v>Body Accessory</v>
      </c>
      <c r="E1514" s="102" t="str">
        <f>IFERROR(__xludf.DUMMYFUNCTION("""COMPUTED_VALUE"""),"TOR_AR.part_body_b")</f>
        <v>TOR_AR.part_body_b</v>
      </c>
      <c r="F1514" s="102"/>
      <c r="G1514" s="104" t="str">
        <f>IFERROR(__xludf.DUMMYFUNCTION("""COMPUTED_VALUE"""),"+Damage")</f>
        <v>+Damage</v>
      </c>
      <c r="H1514" s="102"/>
      <c r="I1514" s="102"/>
      <c r="J1514" s="102"/>
      <c r="K1514" s="102"/>
      <c r="L1514" s="102"/>
    </row>
    <row r="1515">
      <c r="A1515" s="102" t="str">
        <f>IFERROR(__xludf.DUMMYFUNCTION("""COMPUTED_VALUE"""),"Torgue")</f>
        <v>Torgue</v>
      </c>
      <c r="B1515" s="102" t="str">
        <f>IFERROR(__xludf.DUMMYFUNCTION("""COMPUTED_VALUE"""),"Assault Rifle")</f>
        <v>Assault Rifle</v>
      </c>
      <c r="C1515" s="103">
        <f>IFERROR(__xludf.DUMMYFUNCTION("""COMPUTED_VALUE"""),5.0)</f>
        <v>5</v>
      </c>
      <c r="D1515" s="102" t="str">
        <f>IFERROR(__xludf.DUMMYFUNCTION("""COMPUTED_VALUE"""),"Body Accessory")</f>
        <v>Body Accessory</v>
      </c>
      <c r="E1515" s="102" t="str">
        <f>IFERROR(__xludf.DUMMYFUNCTION("""COMPUTED_VALUE"""),"TOR_AR.part_body_c")</f>
        <v>TOR_AR.part_body_c</v>
      </c>
      <c r="F1515" s="102"/>
      <c r="G1515" s="104" t="str">
        <f>IFERROR(__xludf.DUMMYFUNCTION("""COMPUTED_VALUE"""),"+Accuracy")</f>
        <v>+Accuracy</v>
      </c>
      <c r="H1515" s="102"/>
      <c r="I1515" s="102"/>
      <c r="J1515" s="102"/>
      <c r="K1515" s="102"/>
      <c r="L1515" s="102"/>
    </row>
    <row r="1516">
      <c r="A1516" s="102" t="str">
        <f>IFERROR(__xludf.DUMMYFUNCTION("""COMPUTED_VALUE"""),"Torgue")</f>
        <v>Torgue</v>
      </c>
      <c r="B1516" s="102" t="str">
        <f>IFERROR(__xludf.DUMMYFUNCTION("""COMPUTED_VALUE"""),"Assault Rifle")</f>
        <v>Assault Rifle</v>
      </c>
      <c r="C1516" s="103">
        <f>IFERROR(__xludf.DUMMYFUNCTION("""COMPUTED_VALUE"""),6.0)</f>
        <v>6</v>
      </c>
      <c r="D1516" s="102" t="str">
        <f>IFERROR(__xludf.DUMMYFUNCTION("""COMPUTED_VALUE"""),"Body Accessory")</f>
        <v>Body Accessory</v>
      </c>
      <c r="E1516" s="102" t="str">
        <f>IFERROR(__xludf.DUMMYFUNCTION("""COMPUTED_VALUE"""),"TOR_AR.part_body_d")</f>
        <v>TOR_AR.part_body_d</v>
      </c>
      <c r="F1516" s="102"/>
      <c r="G1516" s="102" t="str">
        <f>IFERROR(__xludf.DUMMYFUNCTION("""COMPUTED_VALUE"""),"No Stat Changes")</f>
        <v>No Stat Changes</v>
      </c>
      <c r="H1516" s="102"/>
      <c r="I1516" s="102"/>
      <c r="J1516" s="102"/>
      <c r="K1516" s="102"/>
      <c r="L1516" s="102"/>
    </row>
    <row r="1517">
      <c r="A1517" s="102" t="str">
        <f>IFERROR(__xludf.DUMMYFUNCTION("""COMPUTED_VALUE"""),"Torgue")</f>
        <v>Torgue</v>
      </c>
      <c r="B1517" s="102" t="str">
        <f>IFERROR(__xludf.DUMMYFUNCTION("""COMPUTED_VALUE"""),"Assault Rifle")</f>
        <v>Assault Rifle</v>
      </c>
      <c r="C1517" s="103">
        <f>IFERROR(__xludf.DUMMYFUNCTION("""COMPUTED_VALUE"""),7.0)</f>
        <v>7</v>
      </c>
      <c r="D1517" s="102" t="str">
        <f>IFERROR(__xludf.DUMMYFUNCTION("""COMPUTED_VALUE"""),"Barrel")</f>
        <v>Barrel</v>
      </c>
      <c r="E1517" s="102" t="str">
        <f>IFERROR(__xludf.DUMMYFUNCTION("""COMPUTED_VALUE"""),"TOR_AR.part_barrel_01")</f>
        <v>TOR_AR.part_barrel_01</v>
      </c>
      <c r="F1517" s="102"/>
      <c r="G1517" s="102" t="str">
        <f>IFERROR(__xludf.DUMMYFUNCTION("""COMPUTED_VALUE"""),"Handle, 1160 Damage, 75% Acc, 3.5/s FR")</f>
        <v>Handle, 1160 Damage, 75% Acc, 3.5/s FR</v>
      </c>
      <c r="H1517" s="102"/>
      <c r="I1517" s="102"/>
      <c r="J1517" s="102"/>
      <c r="K1517" s="102"/>
      <c r="L1517" s="102"/>
    </row>
    <row r="1518">
      <c r="A1518" s="102" t="str">
        <f>IFERROR(__xludf.DUMMYFUNCTION("""COMPUTED_VALUE"""),"Torgue")</f>
        <v>Torgue</v>
      </c>
      <c r="B1518" s="102" t="str">
        <f>IFERROR(__xludf.DUMMYFUNCTION("""COMPUTED_VALUE"""),"Assault Rifle")</f>
        <v>Assault Rifle</v>
      </c>
      <c r="C1518" s="103">
        <f>IFERROR(__xludf.DUMMYFUNCTION("""COMPUTED_VALUE"""),8.0)</f>
        <v>8</v>
      </c>
      <c r="D1518" s="102" t="str">
        <f>IFERROR(__xludf.DUMMYFUNCTION("""COMPUTED_VALUE"""),"Barrel")</f>
        <v>Barrel</v>
      </c>
      <c r="E1518" s="102" t="str">
        <f>IFERROR(__xludf.DUMMYFUNCTION("""COMPUTED_VALUE"""),"TOR_AR.part_barrel_02")</f>
        <v>TOR_AR.part_barrel_02</v>
      </c>
      <c r="F1518" s="102"/>
      <c r="G1518" s="102" t="str">
        <f>IFERROR(__xludf.DUMMYFUNCTION("""COMPUTED_VALUE"""),"Truncheon, 1517 Damage, 76% Acc, 2.5/s FR")</f>
        <v>Truncheon, 1517 Damage, 76% Acc, 2.5/s FR</v>
      </c>
      <c r="H1518" s="102"/>
      <c r="I1518" s="102"/>
      <c r="J1518" s="102"/>
      <c r="K1518" s="102"/>
      <c r="L1518" s="102"/>
    </row>
    <row r="1519">
      <c r="A1519" s="102" t="str">
        <f>IFERROR(__xludf.DUMMYFUNCTION("""COMPUTED_VALUE"""),"Torgue")</f>
        <v>Torgue</v>
      </c>
      <c r="B1519" s="102" t="str">
        <f>IFERROR(__xludf.DUMMYFUNCTION("""COMPUTED_VALUE"""),"Assault Rifle")</f>
        <v>Assault Rifle</v>
      </c>
      <c r="C1519" s="103">
        <f>IFERROR(__xludf.DUMMYFUNCTION("""COMPUTED_VALUE"""),9.0)</f>
        <v>9</v>
      </c>
      <c r="D1519" s="102" t="str">
        <f>IFERROR(__xludf.DUMMYFUNCTION("""COMPUTED_VALUE"""),"Manufacturer Part")</f>
        <v>Manufacturer Part</v>
      </c>
      <c r="E1519" s="102" t="str">
        <f>IFERROR(__xludf.DUMMYFUNCTION("""COMPUTED_VALUE"""),"TOR_AR.part_shield_default")</f>
        <v>TOR_AR.part_shield_default</v>
      </c>
      <c r="F1519" s="102"/>
      <c r="G1519" s="102" t="str">
        <f>IFERROR(__xludf.DUMMYFUNCTION("""COMPUTED_VALUE"""),"Hyperion Shield")</f>
        <v>Hyperion Shield</v>
      </c>
      <c r="H1519" s="102"/>
      <c r="I1519" s="102"/>
      <c r="J1519" s="102"/>
      <c r="K1519" s="102"/>
      <c r="L1519" s="102"/>
    </row>
    <row r="1520">
      <c r="A1520" s="102" t="str">
        <f>IFERROR(__xludf.DUMMYFUNCTION("""COMPUTED_VALUE"""),"Torgue")</f>
        <v>Torgue</v>
      </c>
      <c r="B1520" s="102" t="str">
        <f>IFERROR(__xludf.DUMMYFUNCTION("""COMPUTED_VALUE"""),"Assault Rifle")</f>
        <v>Assault Rifle</v>
      </c>
      <c r="C1520" s="103">
        <f>IFERROR(__xludf.DUMMYFUNCTION("""COMPUTED_VALUE"""),10.0)</f>
        <v>10</v>
      </c>
      <c r="D1520" s="102" t="str">
        <f>IFERROR(__xludf.DUMMYFUNCTION("""COMPUTED_VALUE"""),"Manufacturer Part")</f>
        <v>Manufacturer Part</v>
      </c>
      <c r="E1520" s="102" t="str">
        <f>IFERROR(__xludf.DUMMYFUNCTION("""COMPUTED_VALUE"""),"TOR_AR.part_shield_ricochet")</f>
        <v>TOR_AR.part_shield_ricochet</v>
      </c>
      <c r="F1520" s="102"/>
      <c r="G1520" s="102" t="str">
        <f>IFERROR(__xludf.DUMMYFUNCTION("""COMPUTED_VALUE"""),"Hyperion Ricochet Shield")</f>
        <v>Hyperion Ricochet Shield</v>
      </c>
      <c r="H1520" s="102"/>
      <c r="I1520" s="102"/>
      <c r="J1520" s="102"/>
      <c r="K1520" s="102"/>
      <c r="L1520" s="102"/>
    </row>
    <row r="1521">
      <c r="A1521" s="102" t="str">
        <f>IFERROR(__xludf.DUMMYFUNCTION("""COMPUTED_VALUE"""),"Torgue")</f>
        <v>Torgue</v>
      </c>
      <c r="B1521" s="102" t="str">
        <f>IFERROR(__xludf.DUMMYFUNCTION("""COMPUTED_VALUE"""),"Assault Rifle")</f>
        <v>Assault Rifle</v>
      </c>
      <c r="C1521" s="103">
        <f>IFERROR(__xludf.DUMMYFUNCTION("""COMPUTED_VALUE"""),11.0)</f>
        <v>11</v>
      </c>
      <c r="D1521" s="102" t="str">
        <f>IFERROR(__xludf.DUMMYFUNCTION("""COMPUTED_VALUE"""),"Manufacturer Part")</f>
        <v>Manufacturer Part</v>
      </c>
      <c r="E1521" s="102" t="str">
        <f>IFERROR(__xludf.DUMMYFUNCTION("""COMPUTED_VALUE"""),"TOR_AR.part_shield_ammo")</f>
        <v>TOR_AR.part_shield_ammo</v>
      </c>
      <c r="F1521" s="102"/>
      <c r="G1521" s="102" t="str">
        <f>IFERROR(__xludf.DUMMYFUNCTION("""COMPUTED_VALUE"""),"Hyperion Absorb Shield")</f>
        <v>Hyperion Absorb Shield</v>
      </c>
      <c r="H1521" s="102"/>
      <c r="I1521" s="102"/>
      <c r="J1521" s="102"/>
      <c r="K1521" s="102"/>
      <c r="L1521" s="102"/>
    </row>
    <row r="1522">
      <c r="A1522" s="102" t="str">
        <f>IFERROR(__xludf.DUMMYFUNCTION("""COMPUTED_VALUE"""),"Torgue")</f>
        <v>Torgue</v>
      </c>
      <c r="B1522" s="102" t="str">
        <f>IFERROR(__xludf.DUMMYFUNCTION("""COMPUTED_VALUE"""),"Assault Rifle")</f>
        <v>Assault Rifle</v>
      </c>
      <c r="C1522" s="103">
        <f>IFERROR(__xludf.DUMMYFUNCTION("""COMPUTED_VALUE"""),12.0)</f>
        <v>12</v>
      </c>
      <c r="D1522" s="102" t="str">
        <f>IFERROR(__xludf.DUMMYFUNCTION("""COMPUTED_VALUE"""),"Manufacturer Part")</f>
        <v>Manufacturer Part</v>
      </c>
      <c r="E1522" s="102" t="str">
        <f>IFERROR(__xludf.DUMMYFUNCTION("""COMPUTED_VALUE"""),"TOR_AR.part_shield_amp")</f>
        <v>TOR_AR.part_shield_amp</v>
      </c>
      <c r="F1522" s="102"/>
      <c r="G1522" s="102" t="str">
        <f>IFERROR(__xludf.DUMMYFUNCTION("""COMPUTED_VALUE"""),"Hyperion Amp Shield")</f>
        <v>Hyperion Amp Shield</v>
      </c>
      <c r="H1522" s="102"/>
      <c r="I1522" s="102"/>
      <c r="J1522" s="102"/>
      <c r="K1522" s="102"/>
      <c r="L1522" s="102"/>
    </row>
    <row r="1523">
      <c r="A1523" s="102" t="str">
        <f>IFERROR(__xludf.DUMMYFUNCTION("""COMPUTED_VALUE"""),"Torgue")</f>
        <v>Torgue</v>
      </c>
      <c r="B1523" s="102" t="str">
        <f>IFERROR(__xludf.DUMMYFUNCTION("""COMPUTED_VALUE"""),"Assault Rifle")</f>
        <v>Assault Rifle</v>
      </c>
      <c r="C1523" s="103">
        <f>IFERROR(__xludf.DUMMYFUNCTION("""COMPUTED_VALUE"""),13.0)</f>
        <v>13</v>
      </c>
      <c r="D1523" s="102" t="str">
        <f>IFERROR(__xludf.DUMMYFUNCTION("""COMPUTED_VALUE"""),"Magazine")</f>
        <v>Magazine</v>
      </c>
      <c r="E1523" s="102" t="str">
        <f>IFERROR(__xludf.DUMMYFUNCTION("""COMPUTED_VALUE"""),"TOR_AR.part_mag_01")</f>
        <v>TOR_AR.part_mag_01</v>
      </c>
      <c r="F1523" s="102"/>
      <c r="G1523" s="102" t="str">
        <f>IFERROR(__xludf.DUMMYFUNCTION("""COMPUTED_VALUE"""),"2.0s Reload, 14 Shots")</f>
        <v>2.0s Reload, 14 Shots</v>
      </c>
      <c r="H1523" s="102"/>
      <c r="I1523" s="102"/>
      <c r="J1523" s="102"/>
      <c r="K1523" s="102"/>
      <c r="L1523" s="102"/>
    </row>
    <row r="1524">
      <c r="A1524" s="102" t="str">
        <f>IFERROR(__xludf.DUMMYFUNCTION("""COMPUTED_VALUE"""),"Torgue")</f>
        <v>Torgue</v>
      </c>
      <c r="B1524" s="102" t="str">
        <f>IFERROR(__xludf.DUMMYFUNCTION("""COMPUTED_VALUE"""),"Assault Rifle")</f>
        <v>Assault Rifle</v>
      </c>
      <c r="C1524" s="103">
        <f>IFERROR(__xludf.DUMMYFUNCTION("""COMPUTED_VALUE"""),14.0)</f>
        <v>14</v>
      </c>
      <c r="D1524" s="102" t="str">
        <f>IFERROR(__xludf.DUMMYFUNCTION("""COMPUTED_VALUE"""),"Magazine")</f>
        <v>Magazine</v>
      </c>
      <c r="E1524" s="102" t="str">
        <f>IFERROR(__xludf.DUMMYFUNCTION("""COMPUTED_VALUE"""),"TOR_AR.part_mag_02")</f>
        <v>TOR_AR.part_mag_02</v>
      </c>
      <c r="F1524" s="102"/>
      <c r="G1524" s="102" t="str">
        <f>IFERROR(__xludf.DUMMYFUNCTION("""COMPUTED_VALUE"""),"2.8s Reload, 20 Shots")</f>
        <v>2.8s Reload, 20 Shots</v>
      </c>
      <c r="H1524" s="102"/>
      <c r="I1524" s="102"/>
      <c r="J1524" s="102"/>
      <c r="K1524" s="102"/>
      <c r="L1524" s="102"/>
    </row>
    <row r="1525">
      <c r="A1525" s="102" t="str">
        <f>IFERROR(__xludf.DUMMYFUNCTION("""COMPUTED_VALUE"""),"Torgue")</f>
        <v>Torgue</v>
      </c>
      <c r="B1525" s="102" t="str">
        <f>IFERROR(__xludf.DUMMYFUNCTION("""COMPUTED_VALUE"""),"Assault Rifle")</f>
        <v>Assault Rifle</v>
      </c>
      <c r="C1525" s="103">
        <f>IFERROR(__xludf.DUMMYFUNCTION("""COMPUTED_VALUE"""),15.0)</f>
        <v>15</v>
      </c>
      <c r="D1525" s="102" t="str">
        <f>IFERROR(__xludf.DUMMYFUNCTION("""COMPUTED_VALUE"""),"Magazine")</f>
        <v>Magazine</v>
      </c>
      <c r="E1525" s="102" t="str">
        <f>IFERROR(__xludf.DUMMYFUNCTION("""COMPUTED_VALUE"""),"TOR_AR.part_mag_04_cov")</f>
        <v>TOR_AR.part_mag_04_cov</v>
      </c>
      <c r="F1525" s="102"/>
      <c r="G1525" s="102" t="str">
        <f>IFERROR(__xludf.DUMMYFUNCTION("""COMPUTED_VALUE"""),"4.0s Reload, +Damage, -Acc, 25 Shots, CoV Mag")</f>
        <v>4.0s Reload, +Damage, -Acc, 25 Shots, CoV Mag</v>
      </c>
      <c r="H1525" s="102"/>
      <c r="I1525" s="102"/>
      <c r="J1525" s="102"/>
      <c r="K1525" s="102"/>
      <c r="L1525" s="102"/>
    </row>
    <row r="1526">
      <c r="A1526" s="102" t="str">
        <f>IFERROR(__xludf.DUMMYFUNCTION("""COMPUTED_VALUE"""),"Torgue")</f>
        <v>Torgue</v>
      </c>
      <c r="B1526" s="102" t="str">
        <f>IFERROR(__xludf.DUMMYFUNCTION("""COMPUTED_VALUE"""),"Assault Rifle")</f>
        <v>Assault Rifle</v>
      </c>
      <c r="C1526" s="103">
        <f>IFERROR(__xludf.DUMMYFUNCTION("""COMPUTED_VALUE"""),16.0)</f>
        <v>16</v>
      </c>
      <c r="D1526" s="102" t="str">
        <f>IFERROR(__xludf.DUMMYFUNCTION("""COMPUTED_VALUE"""),"Magazine")</f>
        <v>Magazine</v>
      </c>
      <c r="E1526" s="102" t="str">
        <f>IFERROR(__xludf.DUMMYFUNCTION("""COMPUTED_VALUE"""),"TOR_AR.part_mag_05_borg")</f>
        <v>TOR_AR.part_mag_05_borg</v>
      </c>
      <c r="F1526" s="102"/>
      <c r="G1526" s="102" t="str">
        <f>IFERROR(__xludf.DUMMYFUNCTION("""COMPUTED_VALUE"""),"2.4s Reload, -Damage, +Fire Rate, 24 Shots, Ripper Mag")</f>
        <v>2.4s Reload, -Damage, +Fire Rate, 24 Shots, Ripper Mag</v>
      </c>
      <c r="H1526" s="102"/>
      <c r="I1526" s="102"/>
      <c r="J1526" s="102"/>
      <c r="K1526" s="102"/>
      <c r="L1526" s="102"/>
    </row>
    <row r="1527">
      <c r="A1527" s="102" t="str">
        <f>IFERROR(__xludf.DUMMYFUNCTION("""COMPUTED_VALUE"""),"Torgue")</f>
        <v>Torgue</v>
      </c>
      <c r="B1527" s="102" t="str">
        <f>IFERROR(__xludf.DUMMYFUNCTION("""COMPUTED_VALUE"""),"Assault Rifle")</f>
        <v>Assault Rifle</v>
      </c>
      <c r="C1527" s="103">
        <f>IFERROR(__xludf.DUMMYFUNCTION("""COMPUTED_VALUE"""),17.0)</f>
        <v>17</v>
      </c>
      <c r="D1527" s="102" t="str">
        <f>IFERROR(__xludf.DUMMYFUNCTION("""COMPUTED_VALUE"""),"Stat Modifier")</f>
        <v>Stat Modifier</v>
      </c>
      <c r="E1527" s="102" t="str">
        <f>IFERROR(__xludf.DUMMYFUNCTION("""COMPUTED_VALUE"""),"TOR_AR.part_mag_ted_thrown_01")</f>
        <v>TOR_AR.part_mag_ted_thrown_01</v>
      </c>
      <c r="F1527" s="102"/>
      <c r="G1527" s="102" t="str">
        <f>IFERROR(__xludf.DUMMYFUNCTION("""COMPUTED_VALUE"""),"2.0s Reload")</f>
        <v>2.0s Reload</v>
      </c>
      <c r="H1527" s="102"/>
      <c r="I1527" s="102"/>
      <c r="J1527" s="102"/>
      <c r="K1527" s="102"/>
      <c r="L1527" s="102"/>
    </row>
    <row r="1528">
      <c r="A1528" s="102" t="str">
        <f>IFERROR(__xludf.DUMMYFUNCTION("""COMPUTED_VALUE"""),"Torgue")</f>
        <v>Torgue</v>
      </c>
      <c r="B1528" s="102" t="str">
        <f>IFERROR(__xludf.DUMMYFUNCTION("""COMPUTED_VALUE"""),"Assault Rifle")</f>
        <v>Assault Rifle</v>
      </c>
      <c r="C1528" s="103">
        <f>IFERROR(__xludf.DUMMYFUNCTION("""COMPUTED_VALUE"""),18.0)</f>
        <v>18</v>
      </c>
      <c r="D1528" s="102" t="str">
        <f>IFERROR(__xludf.DUMMYFUNCTION("""COMPUTED_VALUE"""),"Stat Modifier")</f>
        <v>Stat Modifier</v>
      </c>
      <c r="E1528" s="102" t="str">
        <f>IFERROR(__xludf.DUMMYFUNCTION("""COMPUTED_VALUE"""),"TOR_AR.part_mag_ted_thrown_02")</f>
        <v>TOR_AR.part_mag_ted_thrown_02</v>
      </c>
      <c r="F1528" s="102"/>
      <c r="G1528" s="102" t="str">
        <f>IFERROR(__xludf.DUMMYFUNCTION("""COMPUTED_VALUE"""),"2.0s Reload")</f>
        <v>2.0s Reload</v>
      </c>
      <c r="H1528" s="102"/>
      <c r="I1528" s="102"/>
      <c r="J1528" s="102"/>
      <c r="K1528" s="102"/>
      <c r="L1528" s="102"/>
    </row>
    <row r="1529">
      <c r="A1529" s="102" t="str">
        <f>IFERROR(__xludf.DUMMYFUNCTION("""COMPUTED_VALUE"""),"Torgue")</f>
        <v>Torgue</v>
      </c>
      <c r="B1529" s="102" t="str">
        <f>IFERROR(__xludf.DUMMYFUNCTION("""COMPUTED_VALUE"""),"Assault Rifle")</f>
        <v>Assault Rifle</v>
      </c>
      <c r="C1529" s="103">
        <f>IFERROR(__xludf.DUMMYFUNCTION("""COMPUTED_VALUE"""),19.0)</f>
        <v>19</v>
      </c>
      <c r="D1529" s="102" t="str">
        <f>IFERROR(__xludf.DUMMYFUNCTION("""COMPUTED_VALUE"""),"Stat Modifier")</f>
        <v>Stat Modifier</v>
      </c>
      <c r="E1529" s="102" t="str">
        <f>IFERROR(__xludf.DUMMYFUNCTION("""COMPUTED_VALUE"""),"TOR_AR.part_mag_ted_thrown_04_cov")</f>
        <v>TOR_AR.part_mag_ted_thrown_04_cov</v>
      </c>
      <c r="F1529" s="102"/>
      <c r="G1529" s="102" t="str">
        <f>IFERROR(__xludf.DUMMYFUNCTION("""COMPUTED_VALUE"""),"3.0s Reload")</f>
        <v>3.0s Reload</v>
      </c>
      <c r="H1529" s="102"/>
      <c r="I1529" s="102"/>
      <c r="J1529" s="102"/>
      <c r="K1529" s="102"/>
      <c r="L1529" s="102"/>
    </row>
    <row r="1530">
      <c r="A1530" s="102" t="str">
        <f>IFERROR(__xludf.DUMMYFUNCTION("""COMPUTED_VALUE"""),"Torgue")</f>
        <v>Torgue</v>
      </c>
      <c r="B1530" s="102" t="str">
        <f>IFERROR(__xludf.DUMMYFUNCTION("""COMPUTED_VALUE"""),"Assault Rifle")</f>
        <v>Assault Rifle</v>
      </c>
      <c r="C1530" s="103">
        <f>IFERROR(__xludf.DUMMYFUNCTION("""COMPUTED_VALUE"""),20.0)</f>
        <v>20</v>
      </c>
      <c r="D1530" s="102" t="str">
        <f>IFERROR(__xludf.DUMMYFUNCTION("""COMPUTED_VALUE"""),"Stat Modifier")</f>
        <v>Stat Modifier</v>
      </c>
      <c r="E1530" s="102" t="str">
        <f>IFERROR(__xludf.DUMMYFUNCTION("""COMPUTED_VALUE"""),"TOR_AR.part_mag_ted_thrown_05_bor")</f>
        <v>TOR_AR.part_mag_ted_thrown_05_bor</v>
      </c>
      <c r="F1530" s="102"/>
      <c r="G1530" s="102" t="str">
        <f>IFERROR(__xludf.DUMMYFUNCTION("""COMPUTED_VALUE"""),"3.0s Reload")</f>
        <v>3.0s Reload</v>
      </c>
      <c r="H1530" s="102"/>
      <c r="I1530" s="102"/>
      <c r="J1530" s="102"/>
      <c r="K1530" s="102"/>
      <c r="L1530" s="102"/>
    </row>
    <row r="1531">
      <c r="A1531" s="102" t="str">
        <f>IFERROR(__xludf.DUMMYFUNCTION("""COMPUTED_VALUE"""),"Torgue")</f>
        <v>Torgue</v>
      </c>
      <c r="B1531" s="102" t="str">
        <f>IFERROR(__xludf.DUMMYFUNCTION("""COMPUTED_VALUE"""),"Assault Rifle")</f>
        <v>Assault Rifle</v>
      </c>
      <c r="C1531" s="103">
        <f>IFERROR(__xludf.DUMMYFUNCTION("""COMPUTED_VALUE"""),21.0)</f>
        <v>21</v>
      </c>
      <c r="D1531" s="102" t="str">
        <f>IFERROR(__xludf.DUMMYFUNCTION("""COMPUTED_VALUE"""),"Scope")</f>
        <v>Scope</v>
      </c>
      <c r="E1531" s="102" t="str">
        <f>IFERROR(__xludf.DUMMYFUNCTION("""COMPUTED_VALUE"""),"TOR_AR.part_scope_ironsight")</f>
        <v>TOR_AR.part_scope_ironsight</v>
      </c>
      <c r="F1531" s="102"/>
      <c r="G1531" s="102" t="str">
        <f>IFERROR(__xludf.DUMMYFUNCTION("""COMPUTED_VALUE"""),"ADS")</f>
        <v>ADS</v>
      </c>
      <c r="H1531" s="102"/>
      <c r="I1531" s="102"/>
      <c r="J1531" s="102"/>
      <c r="K1531" s="102"/>
      <c r="L1531" s="102"/>
    </row>
    <row r="1532">
      <c r="A1532" s="102" t="str">
        <f>IFERROR(__xludf.DUMMYFUNCTION("""COMPUTED_VALUE"""),"Torgue")</f>
        <v>Torgue</v>
      </c>
      <c r="B1532" s="102" t="str">
        <f>IFERROR(__xludf.DUMMYFUNCTION("""COMPUTED_VALUE"""),"Assault Rifle")</f>
        <v>Assault Rifle</v>
      </c>
      <c r="C1532" s="103">
        <f>IFERROR(__xludf.DUMMYFUNCTION("""COMPUTED_VALUE"""),22.0)</f>
        <v>22</v>
      </c>
      <c r="D1532" s="102" t="str">
        <f>IFERROR(__xludf.DUMMYFUNCTION("""COMPUTED_VALUE"""),"Scope")</f>
        <v>Scope</v>
      </c>
      <c r="E1532" s="102" t="str">
        <f>IFERROR(__xludf.DUMMYFUNCTION("""COMPUTED_VALUE"""),"TOR_AR.part_scope_01_lens_01")</f>
        <v>TOR_AR.part_scope_01_lens_01</v>
      </c>
      <c r="F1532" s="102"/>
      <c r="G1532" s="102" t="str">
        <f>IFERROR(__xludf.DUMMYFUNCTION("""COMPUTED_VALUE"""),"ADS")</f>
        <v>ADS</v>
      </c>
      <c r="H1532" s="102" t="str">
        <f>IFERROR(__xludf.DUMMYFUNCTION("""COMPUTED_VALUE"""),"Mag/Ammo Counter")</f>
        <v>Mag/Ammo Counter</v>
      </c>
      <c r="I1532" s="102"/>
      <c r="J1532" s="102"/>
      <c r="K1532" s="102"/>
      <c r="L1532" s="102"/>
    </row>
    <row r="1533">
      <c r="A1533" s="102" t="str">
        <f>IFERROR(__xludf.DUMMYFUNCTION("""COMPUTED_VALUE"""),"Torgue")</f>
        <v>Torgue</v>
      </c>
      <c r="B1533" s="102" t="str">
        <f>IFERROR(__xludf.DUMMYFUNCTION("""COMPUTED_VALUE"""),"Assault Rifle")</f>
        <v>Assault Rifle</v>
      </c>
      <c r="C1533" s="103">
        <f>IFERROR(__xludf.DUMMYFUNCTION("""COMPUTED_VALUE"""),23.0)</f>
        <v>23</v>
      </c>
      <c r="D1533" s="102" t="str">
        <f>IFERROR(__xludf.DUMMYFUNCTION("""COMPUTED_VALUE"""),"Scope")</f>
        <v>Scope</v>
      </c>
      <c r="E1533" s="102" t="str">
        <f>IFERROR(__xludf.DUMMYFUNCTION("""COMPUTED_VALUE"""),"TOR_AR.part_scope_01_lens_02")</f>
        <v>TOR_AR.part_scope_01_lens_02</v>
      </c>
      <c r="F1533" s="102"/>
      <c r="G1533" s="102" t="str">
        <f>IFERROR(__xludf.DUMMYFUNCTION("""COMPUTED_VALUE"""),"ADS +Zoom")</f>
        <v>ADS +Zoom</v>
      </c>
      <c r="H1533" s="102"/>
      <c r="I1533" s="102"/>
      <c r="J1533" s="102"/>
      <c r="K1533" s="102"/>
      <c r="L1533" s="102"/>
    </row>
    <row r="1534">
      <c r="A1534" s="102" t="str">
        <f>IFERROR(__xludf.DUMMYFUNCTION("""COMPUTED_VALUE"""),"Torgue")</f>
        <v>Torgue</v>
      </c>
      <c r="B1534" s="102" t="str">
        <f>IFERROR(__xludf.DUMMYFUNCTION("""COMPUTED_VALUE"""),"Assault Rifle")</f>
        <v>Assault Rifle</v>
      </c>
      <c r="C1534" s="103">
        <f>IFERROR(__xludf.DUMMYFUNCTION("""COMPUTED_VALUE"""),24.0)</f>
        <v>24</v>
      </c>
      <c r="D1534" s="102" t="str">
        <f>IFERROR(__xludf.DUMMYFUNCTION("""COMPUTED_VALUE"""),"Scope")</f>
        <v>Scope</v>
      </c>
      <c r="E1534" s="102" t="str">
        <f>IFERROR(__xludf.DUMMYFUNCTION("""COMPUTED_VALUE"""),"TOR_AR.part_scope_02_lens_01")</f>
        <v>TOR_AR.part_scope_02_lens_01</v>
      </c>
      <c r="F1534" s="102"/>
      <c r="G1534" s="102" t="str">
        <f>IFERROR(__xludf.DUMMYFUNCTION("""COMPUTED_VALUE"""),"ADS ++Zoom")</f>
        <v>ADS ++Zoom</v>
      </c>
      <c r="H1534" s="102"/>
      <c r="I1534" s="102"/>
      <c r="J1534" s="102"/>
      <c r="K1534" s="102"/>
      <c r="L1534" s="102"/>
    </row>
    <row r="1535">
      <c r="A1535" s="102" t="str">
        <f>IFERROR(__xludf.DUMMYFUNCTION("""COMPUTED_VALUE"""),"Torgue")</f>
        <v>Torgue</v>
      </c>
      <c r="B1535" s="102" t="str">
        <f>IFERROR(__xludf.DUMMYFUNCTION("""COMPUTED_VALUE"""),"Assault Rifle")</f>
        <v>Assault Rifle</v>
      </c>
      <c r="C1535" s="103">
        <f>IFERROR(__xludf.DUMMYFUNCTION("""COMPUTED_VALUE"""),25.0)</f>
        <v>25</v>
      </c>
      <c r="D1535" s="102" t="str">
        <f>IFERROR(__xludf.DUMMYFUNCTION("""COMPUTED_VALUE"""),"Scope")</f>
        <v>Scope</v>
      </c>
      <c r="E1535" s="102" t="str">
        <f>IFERROR(__xludf.DUMMYFUNCTION("""COMPUTED_VALUE"""),"TOR_AR.part_scope_02_lens_02")</f>
        <v>TOR_AR.part_scope_02_lens_02</v>
      </c>
      <c r="F1535" s="102"/>
      <c r="G1535" s="102" t="str">
        <f>IFERROR(__xludf.DUMMYFUNCTION("""COMPUTED_VALUE"""),"ADS ++Zoom")</f>
        <v>ADS ++Zoom</v>
      </c>
      <c r="H1535" s="102"/>
      <c r="I1535" s="102"/>
      <c r="J1535" s="102"/>
      <c r="K1535" s="102"/>
      <c r="L1535" s="102"/>
    </row>
    <row r="1536">
      <c r="A1536" s="102" t="str">
        <f>IFERROR(__xludf.DUMMYFUNCTION("""COMPUTED_VALUE"""),"Torgue")</f>
        <v>Torgue</v>
      </c>
      <c r="B1536" s="102" t="str">
        <f>IFERROR(__xludf.DUMMYFUNCTION("""COMPUTED_VALUE"""),"Assault Rifle")</f>
        <v>Assault Rifle</v>
      </c>
      <c r="C1536" s="103">
        <f>IFERROR(__xludf.DUMMYFUNCTION("""COMPUTED_VALUE"""),26.0)</f>
        <v>26</v>
      </c>
      <c r="D1536" s="102" t="str">
        <f>IFERROR(__xludf.DUMMYFUNCTION("""COMPUTED_VALUE"""),"Scope Accessory")</f>
        <v>Scope Accessory</v>
      </c>
      <c r="E1536" s="102" t="str">
        <f>IFERROR(__xludf.DUMMYFUNCTION("""COMPUTED_VALUE"""),"TOR_AR.part_scope_acc_s01_l01_a")</f>
        <v>TOR_AR.part_scope_acc_s01_l01_a</v>
      </c>
      <c r="F1536" s="102"/>
      <c r="G1536" s="102" t="str">
        <f>IFERROR(__xludf.DUMMYFUNCTION("""COMPUTED_VALUE"""),"+Damage")</f>
        <v>+Damage</v>
      </c>
      <c r="H1536" s="102" t="str">
        <f>IFERROR(__xludf.DUMMYFUNCTION("""COMPUTED_VALUE"""),"HUD Elements")</f>
        <v>HUD Elements</v>
      </c>
      <c r="I1536" s="102"/>
      <c r="J1536" s="102"/>
      <c r="K1536" s="102"/>
      <c r="L1536" s="102"/>
    </row>
    <row r="1537">
      <c r="A1537" s="102" t="str">
        <f>IFERROR(__xludf.DUMMYFUNCTION("""COMPUTED_VALUE"""),"Torgue")</f>
        <v>Torgue</v>
      </c>
      <c r="B1537" s="102" t="str">
        <f>IFERROR(__xludf.DUMMYFUNCTION("""COMPUTED_VALUE"""),"Assault Rifle")</f>
        <v>Assault Rifle</v>
      </c>
      <c r="C1537" s="103">
        <f>IFERROR(__xludf.DUMMYFUNCTION("""COMPUTED_VALUE"""),27.0)</f>
        <v>27</v>
      </c>
      <c r="D1537" s="102" t="str">
        <f>IFERROR(__xludf.DUMMYFUNCTION("""COMPUTED_VALUE"""),"Scope Accessory")</f>
        <v>Scope Accessory</v>
      </c>
      <c r="E1537" s="102" t="str">
        <f>IFERROR(__xludf.DUMMYFUNCTION("""COMPUTED_VALUE"""),"TOR_AR.part_scope_acc_s01_l01_b")</f>
        <v>TOR_AR.part_scope_acc_s01_l01_b</v>
      </c>
      <c r="F1537" s="102"/>
      <c r="G1537" s="102" t="str">
        <f>IFERROR(__xludf.DUMMYFUNCTION("""COMPUTED_VALUE"""),"-Reload Speed")</f>
        <v>-Reload Speed</v>
      </c>
      <c r="H1537" s="102"/>
      <c r="I1537" s="102"/>
      <c r="J1537" s="102"/>
      <c r="K1537" s="102"/>
      <c r="L1537" s="102"/>
    </row>
    <row r="1538">
      <c r="A1538" s="102" t="str">
        <f>IFERROR(__xludf.DUMMYFUNCTION("""COMPUTED_VALUE"""),"Torgue")</f>
        <v>Torgue</v>
      </c>
      <c r="B1538" s="102" t="str">
        <f>IFERROR(__xludf.DUMMYFUNCTION("""COMPUTED_VALUE"""),"Assault Rifle")</f>
        <v>Assault Rifle</v>
      </c>
      <c r="C1538" s="103">
        <f>IFERROR(__xludf.DUMMYFUNCTION("""COMPUTED_VALUE"""),28.0)</f>
        <v>28</v>
      </c>
      <c r="D1538" s="102" t="str">
        <f>IFERROR(__xludf.DUMMYFUNCTION("""COMPUTED_VALUE"""),"Scope Accessory")</f>
        <v>Scope Accessory</v>
      </c>
      <c r="E1538" s="102" t="str">
        <f>IFERROR(__xludf.DUMMYFUNCTION("""COMPUTED_VALUE"""),"TOR_AR.part_scope_acc_s02_l01_a")</f>
        <v>TOR_AR.part_scope_acc_s02_l01_a</v>
      </c>
      <c r="F1538" s="102"/>
      <c r="G1538" s="102" t="str">
        <f>IFERROR(__xludf.DUMMYFUNCTION("""COMPUTED_VALUE"""),"No Stat Changes")</f>
        <v>No Stat Changes</v>
      </c>
      <c r="H1538" s="102" t="str">
        <f>IFERROR(__xludf.DUMMYFUNCTION("""COMPUTED_VALUE"""),"Mag/Ammo Counter")</f>
        <v>Mag/Ammo Counter</v>
      </c>
      <c r="I1538" s="102"/>
      <c r="J1538" s="102"/>
      <c r="K1538" s="102"/>
      <c r="L1538" s="102"/>
    </row>
    <row r="1539">
      <c r="A1539" s="102" t="str">
        <f>IFERROR(__xludf.DUMMYFUNCTION("""COMPUTED_VALUE"""),"Torgue")</f>
        <v>Torgue</v>
      </c>
      <c r="B1539" s="102" t="str">
        <f>IFERROR(__xludf.DUMMYFUNCTION("""COMPUTED_VALUE"""),"Assault Rifle")</f>
        <v>Assault Rifle</v>
      </c>
      <c r="C1539" s="103">
        <f>IFERROR(__xludf.DUMMYFUNCTION("""COMPUTED_VALUE"""),29.0)</f>
        <v>29</v>
      </c>
      <c r="D1539" s="102" t="str">
        <f>IFERROR(__xludf.DUMMYFUNCTION("""COMPUTED_VALUE"""),"Scope Accessory")</f>
        <v>Scope Accessory</v>
      </c>
      <c r="E1539" s="102" t="str">
        <f>IFERROR(__xludf.DUMMYFUNCTION("""COMPUTED_VALUE"""),"TOR_AR.part_scope_acc_s02_l01_b")</f>
        <v>TOR_AR.part_scope_acc_s02_l01_b</v>
      </c>
      <c r="F1539" s="102"/>
      <c r="G1539" s="102" t="str">
        <f>IFERROR(__xludf.DUMMYFUNCTION("""COMPUTED_VALUE"""),"+Blast Radius")</f>
        <v>+Blast Radius</v>
      </c>
      <c r="H1539" s="102" t="str">
        <f>IFERROR(__xludf.DUMMYFUNCTION("""COMPUTED_VALUE"""),"Compass")</f>
        <v>Compass</v>
      </c>
      <c r="I1539" s="102"/>
      <c r="J1539" s="102"/>
      <c r="K1539" s="102"/>
      <c r="L1539" s="102"/>
    </row>
    <row r="1540">
      <c r="A1540" s="102" t="str">
        <f>IFERROR(__xludf.DUMMYFUNCTION("""COMPUTED_VALUE"""),"Torgue")</f>
        <v>Torgue</v>
      </c>
      <c r="B1540" s="102" t="str">
        <f>IFERROR(__xludf.DUMMYFUNCTION("""COMPUTED_VALUE"""),"Assault Rifle")</f>
        <v>Assault Rifle</v>
      </c>
      <c r="C1540" s="103">
        <f>IFERROR(__xludf.DUMMYFUNCTION("""COMPUTED_VALUE"""),30.0)</f>
        <v>30</v>
      </c>
      <c r="D1540" s="102" t="str">
        <f>IFERROR(__xludf.DUMMYFUNCTION("""COMPUTED_VALUE"""),"Scope Accessory")</f>
        <v>Scope Accessory</v>
      </c>
      <c r="E1540" s="102" t="str">
        <f>IFERROR(__xludf.DUMMYFUNCTION("""COMPUTED_VALUE"""),"TOR_AR.part_scope_acc_s01_l02_a")</f>
        <v>TOR_AR.part_scope_acc_s01_l02_a</v>
      </c>
      <c r="F1540" s="102"/>
      <c r="G1540" s="102" t="str">
        <f>IFERROR(__xludf.DUMMYFUNCTION("""COMPUTED_VALUE"""),"+Damage")</f>
        <v>+Damage</v>
      </c>
      <c r="H1540" s="102" t="str">
        <f>IFERROR(__xludf.DUMMYFUNCTION("""COMPUTED_VALUE"""),"HUD Elements")</f>
        <v>HUD Elements</v>
      </c>
      <c r="I1540" s="102"/>
      <c r="J1540" s="102"/>
      <c r="K1540" s="102"/>
      <c r="L1540" s="102"/>
    </row>
    <row r="1541">
      <c r="A1541" s="102" t="str">
        <f>IFERROR(__xludf.DUMMYFUNCTION("""COMPUTED_VALUE"""),"Torgue")</f>
        <v>Torgue</v>
      </c>
      <c r="B1541" s="102" t="str">
        <f>IFERROR(__xludf.DUMMYFUNCTION("""COMPUTED_VALUE"""),"Assault Rifle")</f>
        <v>Assault Rifle</v>
      </c>
      <c r="C1541" s="103">
        <f>IFERROR(__xludf.DUMMYFUNCTION("""COMPUTED_VALUE"""),31.0)</f>
        <v>31</v>
      </c>
      <c r="D1541" s="102" t="str">
        <f>IFERROR(__xludf.DUMMYFUNCTION("""COMPUTED_VALUE"""),"Scope Accessory")</f>
        <v>Scope Accessory</v>
      </c>
      <c r="E1541" s="102" t="str">
        <f>IFERROR(__xludf.DUMMYFUNCTION("""COMPUTED_VALUE"""),"TOR_AR.part_scope_acc_s01_l02_b")</f>
        <v>TOR_AR.part_scope_acc_s01_l02_b</v>
      </c>
      <c r="F1541" s="102"/>
      <c r="G1541" s="102" t="str">
        <f>IFERROR(__xludf.DUMMYFUNCTION("""COMPUTED_VALUE"""),"-Reload Speed")</f>
        <v>-Reload Speed</v>
      </c>
      <c r="H1541" s="102" t="str">
        <f>IFERROR(__xludf.DUMMYFUNCTION("""COMPUTED_VALUE"""),"Compass")</f>
        <v>Compass</v>
      </c>
      <c r="I1541" s="102"/>
      <c r="J1541" s="102"/>
      <c r="K1541" s="102"/>
      <c r="L1541" s="102"/>
    </row>
    <row r="1542">
      <c r="A1542" s="102" t="str">
        <f>IFERROR(__xludf.DUMMYFUNCTION("""COMPUTED_VALUE"""),"Torgue")</f>
        <v>Torgue</v>
      </c>
      <c r="B1542" s="102" t="str">
        <f>IFERROR(__xludf.DUMMYFUNCTION("""COMPUTED_VALUE"""),"Assault Rifle")</f>
        <v>Assault Rifle</v>
      </c>
      <c r="C1542" s="103">
        <f>IFERROR(__xludf.DUMMYFUNCTION("""COMPUTED_VALUE"""),32.0)</f>
        <v>32</v>
      </c>
      <c r="D1542" s="102" t="str">
        <f>IFERROR(__xludf.DUMMYFUNCTION("""COMPUTED_VALUE"""),"Scope Accessory")</f>
        <v>Scope Accessory</v>
      </c>
      <c r="E1542" s="102" t="str">
        <f>IFERROR(__xludf.DUMMYFUNCTION("""COMPUTED_VALUE"""),"TOR_AR.part_scope_acc_s02_l02_a")</f>
        <v>TOR_AR.part_scope_acc_s02_l02_a</v>
      </c>
      <c r="F1542" s="102"/>
      <c r="G1542" s="102" t="str">
        <f>IFERROR(__xludf.DUMMYFUNCTION("""COMPUTED_VALUE"""),"No Stat Changes")</f>
        <v>No Stat Changes</v>
      </c>
      <c r="H1542" s="102" t="str">
        <f>IFERROR(__xludf.DUMMYFUNCTION("""COMPUTED_VALUE"""),"Mag Counter, Shield, Health")</f>
        <v>Mag Counter, Shield, Health</v>
      </c>
      <c r="I1542" s="102"/>
      <c r="J1542" s="102"/>
      <c r="K1542" s="102"/>
      <c r="L1542" s="102"/>
    </row>
    <row r="1543">
      <c r="A1543" s="102" t="str">
        <f>IFERROR(__xludf.DUMMYFUNCTION("""COMPUTED_VALUE"""),"Torgue")</f>
        <v>Torgue</v>
      </c>
      <c r="B1543" s="102" t="str">
        <f>IFERROR(__xludf.DUMMYFUNCTION("""COMPUTED_VALUE"""),"Assault Rifle")</f>
        <v>Assault Rifle</v>
      </c>
      <c r="C1543" s="103">
        <f>IFERROR(__xludf.DUMMYFUNCTION("""COMPUTED_VALUE"""),33.0)</f>
        <v>33</v>
      </c>
      <c r="D1543" s="102" t="str">
        <f>IFERROR(__xludf.DUMMYFUNCTION("""COMPUTED_VALUE"""),"Scope Accessory")</f>
        <v>Scope Accessory</v>
      </c>
      <c r="E1543" s="102" t="str">
        <f>IFERROR(__xludf.DUMMYFUNCTION("""COMPUTED_VALUE"""),"TOR_AR.part_scope_acc_s02_l02_b")</f>
        <v>TOR_AR.part_scope_acc_s02_l02_b</v>
      </c>
      <c r="F1543" s="102"/>
      <c r="G1543" s="102" t="str">
        <f>IFERROR(__xludf.DUMMYFUNCTION("""COMPUTED_VALUE"""),"+Blast Radius")</f>
        <v>+Blast Radius</v>
      </c>
      <c r="H1543" s="102" t="str">
        <f>IFERROR(__xludf.DUMMYFUNCTION("""COMPUTED_VALUE"""),"Ammo Counter")</f>
        <v>Ammo Counter</v>
      </c>
      <c r="I1543" s="102"/>
      <c r="J1543" s="102"/>
      <c r="K1543" s="102"/>
      <c r="L1543" s="102"/>
    </row>
    <row r="1544">
      <c r="A1544" s="102" t="str">
        <f>IFERROR(__xludf.DUMMYFUNCTION("""COMPUTED_VALUE"""),"Torgue")</f>
        <v>Torgue</v>
      </c>
      <c r="B1544" s="102" t="str">
        <f>IFERROR(__xludf.DUMMYFUNCTION("""COMPUTED_VALUE"""),"Assault Rifle")</f>
        <v>Assault Rifle</v>
      </c>
      <c r="C1544" s="103">
        <f>IFERROR(__xludf.DUMMYFUNCTION("""COMPUTED_VALUE"""),34.0)</f>
        <v>34</v>
      </c>
      <c r="D1544" s="102" t="str">
        <f>IFERROR(__xludf.DUMMYFUNCTION("""COMPUTED_VALUE"""),"Grip")</f>
        <v>Grip</v>
      </c>
      <c r="E1544" s="102" t="str">
        <f>IFERROR(__xludf.DUMMYFUNCTION("""COMPUTED_VALUE"""),"TOR_AR.part_grip_05a_ted_legs")</f>
        <v>TOR_AR.part_grip_05a_ted_legs</v>
      </c>
      <c r="F1544" s="102"/>
      <c r="G1544" s="102" t="str">
        <f>IFERROR(__xludf.DUMMYFUNCTION("""COMPUTED_VALUE"""),"Tediore reload modifier: Legs, no stat changes")</f>
        <v>Tediore reload modifier: Legs, no stat changes</v>
      </c>
      <c r="H1544" s="102"/>
      <c r="I1544" s="102"/>
      <c r="J1544" s="102"/>
      <c r="K1544" s="102"/>
      <c r="L1544" s="102"/>
    </row>
    <row r="1545">
      <c r="A1545" s="102" t="str">
        <f>IFERROR(__xludf.DUMMYFUNCTION("""COMPUTED_VALUE"""),"Torgue")</f>
        <v>Torgue</v>
      </c>
      <c r="B1545" s="102" t="str">
        <f>IFERROR(__xludf.DUMMYFUNCTION("""COMPUTED_VALUE"""),"Assault Rifle")</f>
        <v>Assault Rifle</v>
      </c>
      <c r="C1545" s="103">
        <f>IFERROR(__xludf.DUMMYFUNCTION("""COMPUTED_VALUE"""),35.0)</f>
        <v>35</v>
      </c>
      <c r="D1545" s="102" t="str">
        <f>IFERROR(__xludf.DUMMYFUNCTION("""COMPUTED_VALUE"""),"Grip")</f>
        <v>Grip</v>
      </c>
      <c r="E1545" s="102" t="str">
        <f>IFERROR(__xludf.DUMMYFUNCTION("""COMPUTED_VALUE"""),"TOR_AR.part_grip_05c_ted_jav")</f>
        <v>TOR_AR.part_grip_05c_ted_jav</v>
      </c>
      <c r="F1545" s="102"/>
      <c r="G1545" s="102" t="str">
        <f>IFERROR(__xludf.DUMMYFUNCTION("""COMPUTED_VALUE"""),"Tediore reload modifier: Javelin, no stat changes")</f>
        <v>Tediore reload modifier: Javelin, no stat changes</v>
      </c>
      <c r="H1545" s="102"/>
      <c r="I1545" s="102"/>
      <c r="J1545" s="102"/>
      <c r="K1545" s="102"/>
      <c r="L1545" s="102"/>
    </row>
    <row r="1546">
      <c r="A1546" s="102" t="str">
        <f>IFERROR(__xludf.DUMMYFUNCTION("""COMPUTED_VALUE"""),"Torgue")</f>
        <v>Torgue</v>
      </c>
      <c r="B1546" s="102" t="str">
        <f>IFERROR(__xludf.DUMMYFUNCTION("""COMPUTED_VALUE"""),"Assault Rifle")</f>
        <v>Assault Rifle</v>
      </c>
      <c r="C1546" s="103">
        <f>IFERROR(__xludf.DUMMYFUNCTION("""COMPUTED_VALUE"""),36.0)</f>
        <v>36</v>
      </c>
      <c r="D1546" s="102" t="str">
        <f>IFERROR(__xludf.DUMMYFUNCTION("""COMPUTED_VALUE"""),"Grip")</f>
        <v>Grip</v>
      </c>
      <c r="E1546" s="102" t="str">
        <f>IFERROR(__xludf.DUMMYFUNCTION("""COMPUTED_VALUE"""),"TOR_AR.part_grip_05b_ted_homing")</f>
        <v>TOR_AR.part_grip_05b_ted_homing</v>
      </c>
      <c r="F1546" s="102"/>
      <c r="G1546" s="102" t="str">
        <f>IFERROR(__xludf.DUMMYFUNCTION("""COMPUTED_VALUE"""),"Tediore reload modifier: Homing, no stat changes")</f>
        <v>Tediore reload modifier: Homing, no stat changes</v>
      </c>
      <c r="H1546" s="102"/>
      <c r="I1546" s="102"/>
      <c r="J1546" s="102"/>
      <c r="K1546" s="102"/>
      <c r="L1546" s="102"/>
    </row>
    <row r="1547">
      <c r="A1547" s="102" t="str">
        <f>IFERROR(__xludf.DUMMYFUNCTION("""COMPUTED_VALUE"""),"Torgue")</f>
        <v>Torgue</v>
      </c>
      <c r="B1547" s="102" t="str">
        <f>IFERROR(__xludf.DUMMYFUNCTION("""COMPUTED_VALUE"""),"Assault Rifle")</f>
        <v>Assault Rifle</v>
      </c>
      <c r="C1547" s="103">
        <f>IFERROR(__xludf.DUMMYFUNCTION("""COMPUTED_VALUE"""),37.0)</f>
        <v>37</v>
      </c>
      <c r="D1547" s="102" t="str">
        <f>IFERROR(__xludf.DUMMYFUNCTION("""COMPUTED_VALUE"""),"Grip")</f>
        <v>Grip</v>
      </c>
      <c r="E1547" s="102" t="str">
        <f>IFERROR(__xludf.DUMMYFUNCTION("""COMPUTED_VALUE"""),"TOR_AR.part_grip_01")</f>
        <v>TOR_AR.part_grip_01</v>
      </c>
      <c r="F1547" s="102"/>
      <c r="G1547" s="102" t="str">
        <f>IFERROR(__xludf.DUMMYFUNCTION("""COMPUTED_VALUE"""),"+Damage")</f>
        <v>+Damage</v>
      </c>
      <c r="H1547" s="102"/>
      <c r="I1547" s="102"/>
      <c r="J1547" s="102"/>
      <c r="K1547" s="102"/>
      <c r="L1547" s="102"/>
    </row>
    <row r="1548">
      <c r="A1548" s="102" t="str">
        <f>IFERROR(__xludf.DUMMYFUNCTION("""COMPUTED_VALUE"""),"Torgue")</f>
        <v>Torgue</v>
      </c>
      <c r="B1548" s="102" t="str">
        <f>IFERROR(__xludf.DUMMYFUNCTION("""COMPUTED_VALUE"""),"Assault Rifle")</f>
        <v>Assault Rifle</v>
      </c>
      <c r="C1548" s="103">
        <f>IFERROR(__xludf.DUMMYFUNCTION("""COMPUTED_VALUE"""),38.0)</f>
        <v>38</v>
      </c>
      <c r="D1548" s="102" t="str">
        <f>IFERROR(__xludf.DUMMYFUNCTION("""COMPUTED_VALUE"""),"Grip")</f>
        <v>Grip</v>
      </c>
      <c r="E1548" s="102" t="str">
        <f>IFERROR(__xludf.DUMMYFUNCTION("""COMPUTED_VALUE"""),"TOR_AR.part_grip_02")</f>
        <v>TOR_AR.part_grip_02</v>
      </c>
      <c r="F1548" s="102"/>
      <c r="G1548" s="102" t="str">
        <f>IFERROR(__xludf.DUMMYFUNCTION("""COMPUTED_VALUE"""),"+Fire Rate")</f>
        <v>+Fire Rate</v>
      </c>
      <c r="H1548" s="102"/>
      <c r="I1548" s="102"/>
      <c r="J1548" s="102"/>
      <c r="K1548" s="102"/>
      <c r="L1548" s="102"/>
    </row>
    <row r="1549">
      <c r="A1549" s="102" t="str">
        <f>IFERROR(__xludf.DUMMYFUNCTION("""COMPUTED_VALUE"""),"Torgue")</f>
        <v>Torgue</v>
      </c>
      <c r="B1549" s="102" t="str">
        <f>IFERROR(__xludf.DUMMYFUNCTION("""COMPUTED_VALUE"""),"Assault Rifle")</f>
        <v>Assault Rifle</v>
      </c>
      <c r="C1549" s="103">
        <f>IFERROR(__xludf.DUMMYFUNCTION("""COMPUTED_VALUE"""),39.0)</f>
        <v>39</v>
      </c>
      <c r="D1549" s="102" t="str">
        <f>IFERROR(__xludf.DUMMYFUNCTION("""COMPUTED_VALUE"""),"Grip")</f>
        <v>Grip</v>
      </c>
      <c r="E1549" s="102" t="str">
        <f>IFERROR(__xludf.DUMMYFUNCTION("""COMPUTED_VALUE"""),"TOR_AR.part_grip_03")</f>
        <v>TOR_AR.part_grip_03</v>
      </c>
      <c r="F1549" s="102"/>
      <c r="G1549" s="102" t="str">
        <f>IFERROR(__xludf.DUMMYFUNCTION("""COMPUTED_VALUE"""),"-Reload Speed")</f>
        <v>-Reload Speed</v>
      </c>
      <c r="H1549" s="102"/>
      <c r="I1549" s="102"/>
      <c r="J1549" s="102"/>
      <c r="K1549" s="102"/>
      <c r="L1549" s="102"/>
    </row>
    <row r="1550">
      <c r="A1550" s="102" t="str">
        <f>IFERROR(__xludf.DUMMYFUNCTION("""COMPUTED_VALUE"""),"Torgue")</f>
        <v>Torgue</v>
      </c>
      <c r="B1550" s="102" t="str">
        <f>IFERROR(__xludf.DUMMYFUNCTION("""COMPUTED_VALUE"""),"Assault Rifle")</f>
        <v>Assault Rifle</v>
      </c>
      <c r="C1550" s="103">
        <f>IFERROR(__xludf.DUMMYFUNCTION("""COMPUTED_VALUE"""),40.0)</f>
        <v>40</v>
      </c>
      <c r="D1550" s="102" t="str">
        <f>IFERROR(__xludf.DUMMYFUNCTION("""COMPUTED_VALUE"""),"Grip")</f>
        <v>Grip</v>
      </c>
      <c r="E1550" s="102" t="str">
        <f>IFERROR(__xludf.DUMMYFUNCTION("""COMPUTED_VALUE"""),"TOR_AR.part_grip_04_hyp")</f>
        <v>TOR_AR.part_grip_04_hyp</v>
      </c>
      <c r="F1550" s="102"/>
      <c r="G1550" s="102" t="str">
        <f>IFERROR(__xludf.DUMMYFUNCTION("""COMPUTED_VALUE"""),"Hyperion Grip, -Acc, Acc increases with continuous fire")</f>
        <v>Hyperion Grip, -Acc, Acc increases with continuous fire</v>
      </c>
      <c r="H1550" s="102"/>
      <c r="I1550" s="102"/>
      <c r="J1550" s="102"/>
      <c r="K1550" s="102"/>
      <c r="L1550" s="102"/>
    </row>
    <row r="1551">
      <c r="A1551" s="102" t="str">
        <f>IFERROR(__xludf.DUMMYFUNCTION("""COMPUTED_VALUE"""),"Torgue")</f>
        <v>Torgue</v>
      </c>
      <c r="B1551" s="102" t="str">
        <f>IFERROR(__xludf.DUMMYFUNCTION("""COMPUTED_VALUE"""),"Assault Rifle")</f>
        <v>Assault Rifle</v>
      </c>
      <c r="C1551" s="103">
        <f>IFERROR(__xludf.DUMMYFUNCTION("""COMPUTED_VALUE"""),41.0)</f>
        <v>41</v>
      </c>
      <c r="D1551" s="102" t="str">
        <f>IFERROR(__xludf.DUMMYFUNCTION("""COMPUTED_VALUE"""),"Underbarrel")</f>
        <v>Underbarrel</v>
      </c>
      <c r="E1551" s="102" t="str">
        <f>IFERROR(__xludf.DUMMYFUNCTION("""COMPUTED_VALUE"""),"TOR_AR.part_underbarrel_05_ammoswitcher")</f>
        <v>TOR_AR.part_underbarrel_05_ammoswitcher</v>
      </c>
      <c r="F1551" s="102"/>
      <c r="G1551" s="102" t="str">
        <f>IFERROR(__xludf.DUMMYFUNCTION("""COMPUTED_VALUE"""),"Daedalus Ammo Switch")</f>
        <v>Daedalus Ammo Switch</v>
      </c>
      <c r="H1551" s="102" t="str">
        <f>IFERROR(__xludf.DUMMYFUNCTION("""COMPUTED_VALUE"""),"Used for Daedalus Ammo switch")</f>
        <v>Used for Daedalus Ammo switch</v>
      </c>
      <c r="I1551" s="102"/>
      <c r="J1551" s="102"/>
      <c r="K1551" s="102"/>
      <c r="L1551" s="102"/>
    </row>
    <row r="1552">
      <c r="A1552" s="102" t="str">
        <f>IFERROR(__xludf.DUMMYFUNCTION("""COMPUTED_VALUE"""),"Torgue")</f>
        <v>Torgue</v>
      </c>
      <c r="B1552" s="102" t="str">
        <f>IFERROR(__xludf.DUMMYFUNCTION("""COMPUTED_VALUE"""),"Assault Rifle")</f>
        <v>Assault Rifle</v>
      </c>
      <c r="C1552" s="103">
        <f>IFERROR(__xludf.DUMMYFUNCTION("""COMPUTED_VALUE"""),42.0)</f>
        <v>42</v>
      </c>
      <c r="D1552" s="102" t="str">
        <f>IFERROR(__xludf.DUMMYFUNCTION("""COMPUTED_VALUE"""),"Underbarrel")</f>
        <v>Underbarrel</v>
      </c>
      <c r="E1552" s="102" t="str">
        <f>IFERROR(__xludf.DUMMYFUNCTION("""COMPUTED_VALUE"""),"TOR_AR.part_underbarrel_06_malswitch")</f>
        <v>TOR_AR.part_underbarrel_06_malswitch</v>
      </c>
      <c r="F1552" s="102"/>
      <c r="G1552" s="102" t="str">
        <f>IFERROR(__xludf.DUMMYFUNCTION("""COMPUTED_VALUE"""),"Maliwan Element Switch")</f>
        <v>Maliwan Element Switch</v>
      </c>
      <c r="H1552" s="102" t="str">
        <f>IFERROR(__xludf.DUMMYFUNCTION("""COMPUTED_VALUE"""),"Used for Maliwan elemental switch")</f>
        <v>Used for Maliwan elemental switch</v>
      </c>
      <c r="I1552" s="102"/>
      <c r="J1552" s="102"/>
      <c r="K1552" s="102"/>
      <c r="L1552" s="102"/>
    </row>
    <row r="1553">
      <c r="A1553" s="102" t="str">
        <f>IFERROR(__xludf.DUMMYFUNCTION("""COMPUTED_VALUE"""),"Torgue")</f>
        <v>Torgue</v>
      </c>
      <c r="B1553" s="102" t="str">
        <f>IFERROR(__xludf.DUMMYFUNCTION("""COMPUTED_VALUE"""),"Assault Rifle")</f>
        <v>Assault Rifle</v>
      </c>
      <c r="C1553" s="103">
        <f>IFERROR(__xludf.DUMMYFUNCTION("""COMPUTED_VALUE"""),43.0)</f>
        <v>43</v>
      </c>
      <c r="D1553" s="102" t="str">
        <f>IFERROR(__xludf.DUMMYFUNCTION("""COMPUTED_VALUE"""),"Underbarrel")</f>
        <v>Underbarrel</v>
      </c>
      <c r="E1553" s="102" t="str">
        <f>IFERROR(__xludf.DUMMYFUNCTION("""COMPUTED_VALUE"""),"TOR_AR.part_underbarrel_01_mirvgrenade")</f>
        <v>TOR_AR.part_underbarrel_01_mirvgrenade</v>
      </c>
      <c r="F1553" s="102"/>
      <c r="G1553" s="102" t="str">
        <f>IFERROR(__xludf.DUMMYFUNCTION("""COMPUTED_VALUE"""),"Alt Fire - MIRV Grenade Launcher")</f>
        <v>Alt Fire - MIRV Grenade Launcher</v>
      </c>
      <c r="H1553" s="102"/>
      <c r="I1553" s="102"/>
      <c r="J1553" s="102"/>
      <c r="K1553" s="102"/>
      <c r="L1553" s="102"/>
    </row>
    <row r="1554">
      <c r="A1554" s="102" t="str">
        <f>IFERROR(__xludf.DUMMYFUNCTION("""COMPUTED_VALUE"""),"Torgue")</f>
        <v>Torgue</v>
      </c>
      <c r="B1554" s="102" t="str">
        <f>IFERROR(__xludf.DUMMYFUNCTION("""COMPUTED_VALUE"""),"Assault Rifle")</f>
        <v>Assault Rifle</v>
      </c>
      <c r="C1554" s="103">
        <f>IFERROR(__xludf.DUMMYFUNCTION("""COMPUTED_VALUE"""),44.0)</f>
        <v>44</v>
      </c>
      <c r="D1554" s="102" t="str">
        <f>IFERROR(__xludf.DUMMYFUNCTION("""COMPUTED_VALUE"""),"Underbarrel")</f>
        <v>Underbarrel</v>
      </c>
      <c r="E1554" s="102" t="str">
        <f>IFERROR(__xludf.DUMMYFUNCTION("""COMPUTED_VALUE"""),"TOR_AR.part_underbarrel_04_atlas_ball")</f>
        <v>TOR_AR.part_underbarrel_04_atlas_ball</v>
      </c>
      <c r="F1554" s="102"/>
      <c r="G1554" s="102" t="str">
        <f>IFERROR(__xludf.DUMMYFUNCTION("""COMPUTED_VALUE"""),"Atlas Tracker Grenades")</f>
        <v>Atlas Tracker Grenades</v>
      </c>
      <c r="H1554" s="102"/>
      <c r="I1554" s="102"/>
      <c r="J1554" s="102"/>
      <c r="K1554" s="102"/>
      <c r="L1554" s="102"/>
    </row>
    <row r="1555">
      <c r="A1555" s="102" t="str">
        <f>IFERROR(__xludf.DUMMYFUNCTION("""COMPUTED_VALUE"""),"Torgue")</f>
        <v>Torgue</v>
      </c>
      <c r="B1555" s="102" t="str">
        <f>IFERROR(__xludf.DUMMYFUNCTION("""COMPUTED_VALUE"""),"Assault Rifle")</f>
        <v>Assault Rifle</v>
      </c>
      <c r="C1555" s="103">
        <f>IFERROR(__xludf.DUMMYFUNCTION("""COMPUTED_VALUE"""),45.0)</f>
        <v>45</v>
      </c>
      <c r="D1555" s="102" t="str">
        <f>IFERROR(__xludf.DUMMYFUNCTION("""COMPUTED_VALUE"""),"Underbarrel")</f>
        <v>Underbarrel</v>
      </c>
      <c r="E1555" s="102" t="str">
        <f>IFERROR(__xludf.DUMMYFUNCTION("""COMPUTED_VALUE"""),"TOR_AR.part_underbarrel_03_airstrike")</f>
        <v>TOR_AR.part_underbarrel_03_airstrike</v>
      </c>
      <c r="F1555" s="102"/>
      <c r="G1555" s="102" t="str">
        <f>IFERROR(__xludf.DUMMYFUNCTION("""COMPUTED_VALUE"""),"Alt Fire - Airstrike")</f>
        <v>Alt Fire - Airstrike</v>
      </c>
      <c r="H1555" s="102"/>
      <c r="I1555" s="102"/>
      <c r="J1555" s="102"/>
      <c r="K1555" s="102"/>
      <c r="L1555" s="102"/>
    </row>
    <row r="1556">
      <c r="A1556" s="102" t="str">
        <f>IFERROR(__xludf.DUMMYFUNCTION("""COMPUTED_VALUE"""),"Torgue")</f>
        <v>Torgue</v>
      </c>
      <c r="B1556" s="102" t="str">
        <f>IFERROR(__xludf.DUMMYFUNCTION("""COMPUTED_VALUE"""),"Assault Rifle")</f>
        <v>Assault Rifle</v>
      </c>
      <c r="C1556" s="103">
        <f>IFERROR(__xludf.DUMMYFUNCTION("""COMPUTED_VALUE"""),46.0)</f>
        <v>46</v>
      </c>
      <c r="D1556" s="102" t="str">
        <f>IFERROR(__xludf.DUMMYFUNCTION("""COMPUTED_VALUE"""),"Foregrip")</f>
        <v>Foregrip</v>
      </c>
      <c r="E1556" s="102" t="str">
        <f>IFERROR(__xludf.DUMMYFUNCTION("""COMPUTED_VALUE"""),"TOR_AR.part_foregrip_02")</f>
        <v>TOR_AR.part_foregrip_02</v>
      </c>
      <c r="F1556" s="102"/>
      <c r="G1556" s="102" t="str">
        <f>IFERROR(__xludf.DUMMYFUNCTION("""COMPUTED_VALUE"""),"+Fire Rate")</f>
        <v>+Fire Rate</v>
      </c>
      <c r="H1556" s="102"/>
      <c r="I1556" s="102"/>
      <c r="J1556" s="102"/>
      <c r="K1556" s="102"/>
      <c r="L1556" s="102"/>
    </row>
    <row r="1557">
      <c r="A1557" s="102" t="str">
        <f>IFERROR(__xludf.DUMMYFUNCTION("""COMPUTED_VALUE"""),"Torgue")</f>
        <v>Torgue</v>
      </c>
      <c r="B1557" s="102" t="str">
        <f>IFERROR(__xludf.DUMMYFUNCTION("""COMPUTED_VALUE"""),"Assault Rifle")</f>
        <v>Assault Rifle</v>
      </c>
      <c r="C1557" s="103">
        <f>IFERROR(__xludf.DUMMYFUNCTION("""COMPUTED_VALUE"""),47.0)</f>
        <v>47</v>
      </c>
      <c r="D1557" s="102" t="str">
        <f>IFERROR(__xludf.DUMMYFUNCTION("""COMPUTED_VALUE"""),"Foregrip")</f>
        <v>Foregrip</v>
      </c>
      <c r="E1557" s="102" t="str">
        <f>IFERROR(__xludf.DUMMYFUNCTION("""COMPUTED_VALUE"""),"TOR_AR.part_foregrip_03")</f>
        <v>TOR_AR.part_foregrip_03</v>
      </c>
      <c r="F1557" s="102"/>
      <c r="G1557" s="102" t="str">
        <f>IFERROR(__xludf.DUMMYFUNCTION("""COMPUTED_VALUE"""),"+Blast Radius")</f>
        <v>+Blast Radius</v>
      </c>
      <c r="H1557" s="102"/>
      <c r="I1557" s="102"/>
      <c r="J1557" s="102"/>
      <c r="K1557" s="102"/>
      <c r="L1557" s="102"/>
    </row>
    <row r="1558">
      <c r="A1558" s="102" t="str">
        <f>IFERROR(__xludf.DUMMYFUNCTION("""COMPUTED_VALUE"""),"Torgue")</f>
        <v>Torgue</v>
      </c>
      <c r="B1558" s="102" t="str">
        <f>IFERROR(__xludf.DUMMYFUNCTION("""COMPUTED_VALUE"""),"Assault Rifle")</f>
        <v>Assault Rifle</v>
      </c>
      <c r="C1558" s="103">
        <f>IFERROR(__xludf.DUMMYFUNCTION("""COMPUTED_VALUE"""),48.0)</f>
        <v>48</v>
      </c>
      <c r="D1558" s="102" t="str">
        <f>IFERROR(__xludf.DUMMYFUNCTION("""COMPUTED_VALUE"""),"Manufacturer Part")</f>
        <v>Manufacturer Part</v>
      </c>
      <c r="E1558" s="102" t="str">
        <f>IFERROR(__xludf.DUMMYFUNCTION("""COMPUTED_VALUE"""),"TOR_AR.part_secondary_ammo_smg")</f>
        <v>TOR_AR.part_secondary_ammo_smg</v>
      </c>
      <c r="F1558" s="102"/>
      <c r="G1558" s="102" t="str">
        <f>IFERROR(__xludf.DUMMYFUNCTION("""COMPUTED_VALUE"""),"Daedalus SMG Ammo")</f>
        <v>Daedalus SMG Ammo</v>
      </c>
      <c r="H1558" s="102"/>
      <c r="I1558" s="102"/>
      <c r="J1558" s="102"/>
      <c r="K1558" s="102"/>
      <c r="L1558" s="102"/>
    </row>
    <row r="1559">
      <c r="A1559" s="102" t="str">
        <f>IFERROR(__xludf.DUMMYFUNCTION("""COMPUTED_VALUE"""),"Torgue")</f>
        <v>Torgue</v>
      </c>
      <c r="B1559" s="102" t="str">
        <f>IFERROR(__xludf.DUMMYFUNCTION("""COMPUTED_VALUE"""),"Assault Rifle")</f>
        <v>Assault Rifle</v>
      </c>
      <c r="C1559" s="103">
        <f>IFERROR(__xludf.DUMMYFUNCTION("""COMPUTED_VALUE"""),49.0)</f>
        <v>49</v>
      </c>
      <c r="D1559" s="102" t="str">
        <f>IFERROR(__xludf.DUMMYFUNCTION("""COMPUTED_VALUE"""),"Manufacturer Part")</f>
        <v>Manufacturer Part</v>
      </c>
      <c r="E1559" s="102" t="str">
        <f>IFERROR(__xludf.DUMMYFUNCTION("""COMPUTED_VALUE"""),"TOR_AR.part_secondary_ammo_sg")</f>
        <v>TOR_AR.part_secondary_ammo_sg</v>
      </c>
      <c r="F1559" s="102"/>
      <c r="G1559" s="102" t="str">
        <f>IFERROR(__xludf.DUMMYFUNCTION("""COMPUTED_VALUE"""),"Daedalus Shotgun Ammo")</f>
        <v>Daedalus Shotgun Ammo</v>
      </c>
      <c r="H1559" s="102"/>
      <c r="I1559" s="102"/>
      <c r="J1559" s="102"/>
      <c r="K1559" s="102"/>
      <c r="L1559" s="102"/>
    </row>
    <row r="1560">
      <c r="A1560" s="102" t="str">
        <f>IFERROR(__xludf.DUMMYFUNCTION("""COMPUTED_VALUE"""),"Torgue")</f>
        <v>Torgue</v>
      </c>
      <c r="B1560" s="102" t="str">
        <f>IFERROR(__xludf.DUMMYFUNCTION("""COMPUTED_VALUE"""),"Assault Rifle")</f>
        <v>Assault Rifle</v>
      </c>
      <c r="C1560" s="103">
        <f>IFERROR(__xludf.DUMMYFUNCTION("""COMPUTED_VALUE"""),50.0)</f>
        <v>50</v>
      </c>
      <c r="D1560" s="102" t="str">
        <f>IFERROR(__xludf.DUMMYFUNCTION("""COMPUTED_VALUE"""),"Manufacturer Part")</f>
        <v>Manufacturer Part</v>
      </c>
      <c r="E1560" s="102" t="str">
        <f>IFERROR(__xludf.DUMMYFUNCTION("""COMPUTED_VALUE"""),"TOR_AR.part_secondary_ammo_ps")</f>
        <v>TOR_AR.part_secondary_ammo_ps</v>
      </c>
      <c r="F1560" s="102"/>
      <c r="G1560" s="104" t="str">
        <f>IFERROR(__xludf.DUMMYFUNCTION("""COMPUTED_VALUE"""),"Daedalus Pistol Ammo")</f>
        <v>Daedalus Pistol Ammo</v>
      </c>
      <c r="H1560" s="102"/>
      <c r="I1560" s="102"/>
      <c r="J1560" s="102"/>
      <c r="K1560" s="102"/>
      <c r="L1560" s="102"/>
    </row>
    <row r="1561">
      <c r="A1561" s="102" t="str">
        <f>IFERROR(__xludf.DUMMYFUNCTION("""COMPUTED_VALUE"""),"Torgue")</f>
        <v>Torgue</v>
      </c>
      <c r="B1561" s="102" t="str">
        <f>IFERROR(__xludf.DUMMYFUNCTION("""COMPUTED_VALUE"""),"Assault Rifle")</f>
        <v>Assault Rifle</v>
      </c>
      <c r="C1561" s="103">
        <f>IFERROR(__xludf.DUMMYFUNCTION("""COMPUTED_VALUE"""),51.0)</f>
        <v>51</v>
      </c>
      <c r="D1561" s="102" t="str">
        <f>IFERROR(__xludf.DUMMYFUNCTION("""COMPUTED_VALUE"""),"Manufacturer Part")</f>
        <v>Manufacturer Part</v>
      </c>
      <c r="E1561" s="102" t="str">
        <f>IFERROR(__xludf.DUMMYFUNCTION("""COMPUTED_VALUE"""),"TOR_AR.part_secondary_ammo_sr")</f>
        <v>TOR_AR.part_secondary_ammo_sr</v>
      </c>
      <c r="F1561" s="102"/>
      <c r="G1561" s="104" t="str">
        <f>IFERROR(__xludf.DUMMYFUNCTION("""COMPUTED_VALUE"""),"Daedalus SR Ammo")</f>
        <v>Daedalus SR Ammo</v>
      </c>
      <c r="H1561" s="102"/>
      <c r="I1561" s="102"/>
      <c r="J1561" s="102"/>
      <c r="K1561" s="102"/>
      <c r="L1561" s="102"/>
    </row>
    <row r="1562">
      <c r="A1562" s="102" t="str">
        <f>IFERROR(__xludf.DUMMYFUNCTION("""COMPUTED_VALUE"""),"Torgue")</f>
        <v>Torgue</v>
      </c>
      <c r="B1562" s="102" t="str">
        <f>IFERROR(__xludf.DUMMYFUNCTION("""COMPUTED_VALUE"""),"Assault Rifle")</f>
        <v>Assault Rifle</v>
      </c>
      <c r="C1562" s="103">
        <f>IFERROR(__xludf.DUMMYFUNCTION("""COMPUTED_VALUE"""),52.0)</f>
        <v>52</v>
      </c>
      <c r="D1562" s="102" t="str">
        <f>IFERROR(__xludf.DUMMYFUNCTION("""COMPUTED_VALUE"""),"Body")</f>
        <v>Body</v>
      </c>
      <c r="E1562" s="102" t="str">
        <f>IFERROR(__xludf.DUMMYFUNCTION("""COMPUTED_VALUE"""),"TOR_AR.part_body")</f>
        <v>TOR_AR.part_body</v>
      </c>
      <c r="F1562" s="102"/>
      <c r="G1562" s="102" t="str">
        <f>IFERROR(__xludf.DUMMYFUNCTION("""COMPUTED_VALUE"""),"No Stat Changes, always present")</f>
        <v>No Stat Changes, always present</v>
      </c>
      <c r="H1562" s="102"/>
      <c r="I1562" s="102"/>
      <c r="J1562" s="102"/>
      <c r="K1562" s="102"/>
      <c r="L1562" s="102"/>
    </row>
    <row r="1563">
      <c r="A1563" s="102" t="str">
        <f>IFERROR(__xludf.DUMMYFUNCTION("""COMPUTED_VALUE"""),"Torgue")</f>
        <v>Torgue</v>
      </c>
      <c r="B1563" s="102" t="str">
        <f>IFERROR(__xludf.DUMMYFUNCTION("""COMPUTED_VALUE"""),"Assault Rifle")</f>
        <v>Assault Rifle</v>
      </c>
      <c r="C1563" s="103">
        <f>IFERROR(__xludf.DUMMYFUNCTION("""COMPUTED_VALUE"""),54.0)</f>
        <v>54</v>
      </c>
      <c r="D1563" s="102" t="str">
        <f>IFERROR(__xludf.DUMMYFUNCTION("""COMPUTED_VALUE"""),"Barrel")</f>
        <v>Barrel</v>
      </c>
      <c r="E1563" s="102" t="str">
        <f>IFERROR(__xludf.DUMMYFUNCTION("""COMPUTED_VALUE"""),"TOR_AR.part_barrel_02_bugbear")</f>
        <v>TOR_AR.part_barrel_02_bugbear</v>
      </c>
      <c r="F1563" s="102"/>
      <c r="G1563" s="102" t="str">
        <f>IFERROR(__xludf.DUMMYFUNCTION("""COMPUTED_VALUE"""),"Bugbear, 1124 Damage, 78% Acc, 5.5/s FR")</f>
        <v>Bugbear, 1124 Damage, 78% Acc, 5.5/s FR</v>
      </c>
      <c r="H1563" s="102" t="str">
        <f>IFERROR(__xludf.DUMMYFUNCTION("""COMPUTED_VALUE"""),"Rotary Gun - Scales up to +200% Damage and +200% Damage Radius based on the emptiness of the magazine")</f>
        <v>Rotary Gun - Scales up to +200% Damage and +200% Damage Radius based on the emptiness of the magazine</v>
      </c>
      <c r="I1563" s="102"/>
      <c r="J1563" s="102"/>
      <c r="K1563" s="102"/>
      <c r="L1563" s="102"/>
    </row>
    <row r="1564">
      <c r="A1564" s="102" t="str">
        <f>IFERROR(__xludf.DUMMYFUNCTION("""COMPUTED_VALUE"""),"Torgue")</f>
        <v>Torgue</v>
      </c>
      <c r="B1564" s="102" t="str">
        <f>IFERROR(__xludf.DUMMYFUNCTION("""COMPUTED_VALUE"""),"Assault Rifle")</f>
        <v>Assault Rifle</v>
      </c>
      <c r="C1564" s="103">
        <f>IFERROR(__xludf.DUMMYFUNCTION("""COMPUTED_VALUE"""),55.0)</f>
        <v>55</v>
      </c>
      <c r="D1564" s="102" t="str">
        <f>IFERROR(__xludf.DUMMYFUNCTION("""COMPUTED_VALUE"""),"Barrel")</f>
        <v>Barrel</v>
      </c>
      <c r="E1564" s="102" t="str">
        <f>IFERROR(__xludf.DUMMYFUNCTION("""COMPUTED_VALUE"""),"TOR_AR.part_barrel_coldshoulder")</f>
        <v>TOR_AR.part_barrel_coldshoulder</v>
      </c>
      <c r="F1564" s="102"/>
      <c r="G1564" s="102" t="str">
        <f>IFERROR(__xludf.DUMMYFUNCTION("""COMPUTED_VALUE"""),"Cold Shoulder, 1285 Damage, 78% Acc, 5.5/s FR")</f>
        <v>Cold Shoulder, 1285 Damage, 78% Acc, 5.5/s FR</v>
      </c>
      <c r="H1564" s="102" t="str">
        <f>IFERROR(__xludf.DUMMYFUNCTION("""COMPUTED_VALUE"""),"Iced Out")</f>
        <v>Iced Out</v>
      </c>
      <c r="I1564" s="102"/>
      <c r="J1564" s="102"/>
      <c r="K1564" s="102"/>
      <c r="L1564" s="102"/>
    </row>
    <row r="1565">
      <c r="A1565" s="102" t="str">
        <f>IFERROR(__xludf.DUMMYFUNCTION("""COMPUTED_VALUE"""),"Torgue")</f>
        <v>Torgue</v>
      </c>
      <c r="B1565" s="102" t="str">
        <f>IFERROR(__xludf.DUMMYFUNCTION("""COMPUTED_VALUE"""),"Assault Rifle")</f>
        <v>Assault Rifle</v>
      </c>
      <c r="C1565" s="103">
        <f>IFERROR(__xludf.DUMMYFUNCTION("""COMPUTED_VALUE"""),57.0)</f>
        <v>57</v>
      </c>
      <c r="D1565" s="102" t="str">
        <f>IFERROR(__xludf.DUMMYFUNCTION("""COMPUTED_VALUE"""),"Foregrip")</f>
        <v>Foregrip</v>
      </c>
      <c r="E1565" s="102" t="str">
        <f>IFERROR(__xludf.DUMMYFUNCTION("""COMPUTED_VALUE"""),"TOR_AR.part_foregrip_01_pt")</f>
        <v>TOR_AR.part_foregrip_01_pt</v>
      </c>
      <c r="F1565" s="102"/>
      <c r="G1565" s="102" t="str">
        <f>IFERROR(__xludf.DUMMYFUNCTION("""COMPUTED_VALUE"""),"+Damage")</f>
        <v>+Damage</v>
      </c>
      <c r="H1565" s="102"/>
      <c r="I1565" s="102"/>
      <c r="J1565" s="102"/>
      <c r="K1565" s="102"/>
      <c r="L1565" s="102"/>
    </row>
    <row r="1566">
      <c r="A1566" s="102" t="str">
        <f>IFERROR(__xludf.DUMMYFUNCTION("""COMPUTED_VALUE"""),"Torgue")</f>
        <v>Torgue</v>
      </c>
      <c r="B1566" s="102" t="str">
        <f>IFERROR(__xludf.DUMMYFUNCTION("""COMPUTED_VALUE"""),"Assault Rifle")</f>
        <v>Assault Rifle</v>
      </c>
      <c r="C1566" s="103">
        <f>IFERROR(__xludf.DUMMYFUNCTION("""COMPUTED_VALUE"""),58.0)</f>
        <v>58</v>
      </c>
      <c r="D1566" s="102" t="str">
        <f>IFERROR(__xludf.DUMMYFUNCTION("""COMPUTED_VALUE"""),"Barrel Accessory")</f>
        <v>Barrel Accessory</v>
      </c>
      <c r="E1566" s="102" t="str">
        <f>IFERROR(__xludf.DUMMYFUNCTION("""COMPUTED_VALUE"""),"TOR_AR.part_barrel_01_a")</f>
        <v>TOR_AR.part_barrel_01_a</v>
      </c>
      <c r="F1566" s="102"/>
      <c r="G1566" s="102" t="str">
        <f>IFERROR(__xludf.DUMMYFUNCTION("""COMPUTED_VALUE"""),"+Damage")</f>
        <v>+Damage</v>
      </c>
      <c r="H1566" s="102"/>
      <c r="I1566" s="102"/>
      <c r="J1566" s="102"/>
      <c r="K1566" s="102"/>
      <c r="L1566" s="102"/>
    </row>
    <row r="1567">
      <c r="A1567" s="102" t="str">
        <f>IFERROR(__xludf.DUMMYFUNCTION("""COMPUTED_VALUE"""),"Torgue")</f>
        <v>Torgue</v>
      </c>
      <c r="B1567" s="102" t="str">
        <f>IFERROR(__xludf.DUMMYFUNCTION("""COMPUTED_VALUE"""),"Assault Rifle")</f>
        <v>Assault Rifle</v>
      </c>
      <c r="C1567" s="103">
        <f>IFERROR(__xludf.DUMMYFUNCTION("""COMPUTED_VALUE"""),59.0)</f>
        <v>59</v>
      </c>
      <c r="D1567" s="102" t="str">
        <f>IFERROR(__xludf.DUMMYFUNCTION("""COMPUTED_VALUE"""),"Barrel Accessory")</f>
        <v>Barrel Accessory</v>
      </c>
      <c r="E1567" s="102" t="str">
        <f>IFERROR(__xludf.DUMMYFUNCTION("""COMPUTED_VALUE"""),"TOR_AR.part_barrel_01_b")</f>
        <v>TOR_AR.part_barrel_01_b</v>
      </c>
      <c r="F1567" s="102"/>
      <c r="G1567" s="102" t="str">
        <f>IFERROR(__xludf.DUMMYFUNCTION("""COMPUTED_VALUE"""),"+Damage")</f>
        <v>+Damage</v>
      </c>
      <c r="H1567" s="102"/>
      <c r="I1567" s="102"/>
      <c r="J1567" s="102"/>
      <c r="K1567" s="102"/>
      <c r="L1567" s="102"/>
    </row>
    <row r="1568">
      <c r="A1568" s="102" t="str">
        <f>IFERROR(__xludf.DUMMYFUNCTION("""COMPUTED_VALUE"""),"Torgue")</f>
        <v>Torgue</v>
      </c>
      <c r="B1568" s="102" t="str">
        <f>IFERROR(__xludf.DUMMYFUNCTION("""COMPUTED_VALUE"""),"Assault Rifle")</f>
        <v>Assault Rifle</v>
      </c>
      <c r="C1568" s="103">
        <f>IFERROR(__xludf.DUMMYFUNCTION("""COMPUTED_VALUE"""),60.0)</f>
        <v>60</v>
      </c>
      <c r="D1568" s="102" t="str">
        <f>IFERROR(__xludf.DUMMYFUNCTION("""COMPUTED_VALUE"""),"Barrel Accessory")</f>
        <v>Barrel Accessory</v>
      </c>
      <c r="E1568" s="102" t="str">
        <f>IFERROR(__xludf.DUMMYFUNCTION("""COMPUTED_VALUE"""),"TOR_AR.part_barrel_01_c")</f>
        <v>TOR_AR.part_barrel_01_c</v>
      </c>
      <c r="F1568" s="102"/>
      <c r="G1568" s="102" t="str">
        <f>IFERROR(__xludf.DUMMYFUNCTION("""COMPUTED_VALUE"""),"+Blast Radius")</f>
        <v>+Blast Radius</v>
      </c>
      <c r="H1568" s="102"/>
      <c r="I1568" s="102"/>
      <c r="J1568" s="102"/>
      <c r="K1568" s="102"/>
      <c r="L1568" s="102"/>
    </row>
    <row r="1569">
      <c r="A1569" s="102" t="str">
        <f>IFERROR(__xludf.DUMMYFUNCTION("""COMPUTED_VALUE"""),"Torgue")</f>
        <v>Torgue</v>
      </c>
      <c r="B1569" s="102" t="str">
        <f>IFERROR(__xludf.DUMMYFUNCTION("""COMPUTED_VALUE"""),"Assault Rifle")</f>
        <v>Assault Rifle</v>
      </c>
      <c r="C1569" s="103">
        <f>IFERROR(__xludf.DUMMYFUNCTION("""COMPUTED_VALUE"""),61.0)</f>
        <v>61</v>
      </c>
      <c r="D1569" s="102" t="str">
        <f>IFERROR(__xludf.DUMMYFUNCTION("""COMPUTED_VALUE"""),"Barrel Accessory")</f>
        <v>Barrel Accessory</v>
      </c>
      <c r="E1569" s="102" t="str">
        <f>IFERROR(__xludf.DUMMYFUNCTION("""COMPUTED_VALUE"""),"TOR_AR.part_barrel_01_d")</f>
        <v>TOR_AR.part_barrel_01_d</v>
      </c>
      <c r="F1569" s="102"/>
      <c r="G1569" s="102" t="str">
        <f>IFERROR(__xludf.DUMMYFUNCTION("""COMPUTED_VALUE"""),"+Accuracy")</f>
        <v>+Accuracy</v>
      </c>
      <c r="H1569" s="102"/>
      <c r="I1569" s="102"/>
      <c r="J1569" s="102"/>
      <c r="K1569" s="102"/>
      <c r="L1569" s="102"/>
    </row>
    <row r="1570">
      <c r="A1570" s="102" t="str">
        <f>IFERROR(__xludf.DUMMYFUNCTION("""COMPUTED_VALUE"""),"Torgue")</f>
        <v>Torgue</v>
      </c>
      <c r="B1570" s="102" t="str">
        <f>IFERROR(__xludf.DUMMYFUNCTION("""COMPUTED_VALUE"""),"Assault Rifle")</f>
        <v>Assault Rifle</v>
      </c>
      <c r="C1570" s="103">
        <f>IFERROR(__xludf.DUMMYFUNCTION("""COMPUTED_VALUE"""),62.0)</f>
        <v>62</v>
      </c>
      <c r="D1570" s="102" t="str">
        <f>IFERROR(__xludf.DUMMYFUNCTION("""COMPUTED_VALUE"""),"Barrel Accessory")</f>
        <v>Barrel Accessory</v>
      </c>
      <c r="E1570" s="102" t="str">
        <f>IFERROR(__xludf.DUMMYFUNCTION("""COMPUTED_VALUE"""),"TOR_AR.part_barrel_02_a")</f>
        <v>TOR_AR.part_barrel_02_a</v>
      </c>
      <c r="F1570" s="102"/>
      <c r="G1570" s="102" t="str">
        <f>IFERROR(__xludf.DUMMYFUNCTION("""COMPUTED_VALUE"""),"+Damage")</f>
        <v>+Damage</v>
      </c>
      <c r="H1570" s="102"/>
      <c r="I1570" s="102"/>
      <c r="J1570" s="102"/>
      <c r="K1570" s="102"/>
      <c r="L1570" s="102"/>
    </row>
    <row r="1571">
      <c r="A1571" s="102" t="str">
        <f>IFERROR(__xludf.DUMMYFUNCTION("""COMPUTED_VALUE"""),"Torgue")</f>
        <v>Torgue</v>
      </c>
      <c r="B1571" s="102" t="str">
        <f>IFERROR(__xludf.DUMMYFUNCTION("""COMPUTED_VALUE"""),"Assault Rifle")</f>
        <v>Assault Rifle</v>
      </c>
      <c r="C1571" s="103">
        <f>IFERROR(__xludf.DUMMYFUNCTION("""COMPUTED_VALUE"""),63.0)</f>
        <v>63</v>
      </c>
      <c r="D1571" s="102" t="str">
        <f>IFERROR(__xludf.DUMMYFUNCTION("""COMPUTED_VALUE"""),"Barrel Accessory")</f>
        <v>Barrel Accessory</v>
      </c>
      <c r="E1571" s="102" t="str">
        <f>IFERROR(__xludf.DUMMYFUNCTION("""COMPUTED_VALUE"""),"TOR_AR.part_barrel_02_b")</f>
        <v>TOR_AR.part_barrel_02_b</v>
      </c>
      <c r="F1571" s="102"/>
      <c r="G1571" s="102" t="str">
        <f>IFERROR(__xludf.DUMMYFUNCTION("""COMPUTED_VALUE"""),"+Accuracy")</f>
        <v>+Accuracy</v>
      </c>
      <c r="H1571" s="102"/>
      <c r="I1571" s="102"/>
      <c r="J1571" s="102"/>
      <c r="K1571" s="102"/>
      <c r="L1571" s="102"/>
    </row>
    <row r="1572">
      <c r="A1572" s="102" t="str">
        <f>IFERROR(__xludf.DUMMYFUNCTION("""COMPUTED_VALUE"""),"Torgue")</f>
        <v>Torgue</v>
      </c>
      <c r="B1572" s="102" t="str">
        <f>IFERROR(__xludf.DUMMYFUNCTION("""COMPUTED_VALUE"""),"Assault Rifle")</f>
        <v>Assault Rifle</v>
      </c>
      <c r="C1572" s="103">
        <f>IFERROR(__xludf.DUMMYFUNCTION("""COMPUTED_VALUE"""),64.0)</f>
        <v>64</v>
      </c>
      <c r="D1572" s="102" t="str">
        <f>IFERROR(__xludf.DUMMYFUNCTION("""COMPUTED_VALUE"""),"Barrel Accessory")</f>
        <v>Barrel Accessory</v>
      </c>
      <c r="E1572" s="102" t="str">
        <f>IFERROR(__xludf.DUMMYFUNCTION("""COMPUTED_VALUE"""),"TOR_AR.part_barrel_02_c")</f>
        <v>TOR_AR.part_barrel_02_c</v>
      </c>
      <c r="F1572" s="102"/>
      <c r="G1572" s="102" t="str">
        <f>IFERROR(__xludf.DUMMYFUNCTION("""COMPUTED_VALUE"""),"+Fire Rate")</f>
        <v>+Fire Rate</v>
      </c>
      <c r="H1572" s="102"/>
      <c r="I1572" s="102"/>
      <c r="J1572" s="102"/>
      <c r="K1572" s="102"/>
      <c r="L1572" s="102"/>
    </row>
    <row r="1573">
      <c r="A1573" s="102" t="str">
        <f>IFERROR(__xludf.DUMMYFUNCTION("""COMPUTED_VALUE"""),"Torgue")</f>
        <v>Torgue</v>
      </c>
      <c r="B1573" s="102" t="str">
        <f>IFERROR(__xludf.DUMMYFUNCTION("""COMPUTED_VALUE"""),"Assault Rifle")</f>
        <v>Assault Rifle</v>
      </c>
      <c r="C1573" s="103">
        <f>IFERROR(__xludf.DUMMYFUNCTION("""COMPUTED_VALUE"""),65.0)</f>
        <v>65</v>
      </c>
      <c r="D1573" s="102" t="str">
        <f>IFERROR(__xludf.DUMMYFUNCTION("""COMPUTED_VALUE"""),"Barrel Accessory")</f>
        <v>Barrel Accessory</v>
      </c>
      <c r="E1573" s="102" t="str">
        <f>IFERROR(__xludf.DUMMYFUNCTION("""COMPUTED_VALUE"""),"TOR_AR.part_barrel_02_d")</f>
        <v>TOR_AR.part_barrel_02_d</v>
      </c>
      <c r="F1573" s="102"/>
      <c r="G1573" s="102" t="str">
        <f>IFERROR(__xludf.DUMMYFUNCTION("""COMPUTED_VALUE"""),"+Fire Rate")</f>
        <v>+Fire Rate</v>
      </c>
      <c r="H1573" s="102"/>
      <c r="I1573" s="102"/>
      <c r="J1573" s="102"/>
      <c r="K1573" s="102"/>
      <c r="L1573" s="102"/>
    </row>
    <row r="1574">
      <c r="A1574" s="102" t="str">
        <f>IFERROR(__xludf.DUMMYFUNCTION("""COMPUTED_VALUE"""),"Torgue")</f>
        <v>Torgue</v>
      </c>
      <c r="B1574" s="102" t="str">
        <f>IFERROR(__xludf.DUMMYFUNCTION("""COMPUTED_VALUE"""),"Assault Rifle")</f>
        <v>Assault Rifle</v>
      </c>
      <c r="C1574" s="103">
        <f>IFERROR(__xludf.DUMMYFUNCTION("""COMPUTED_VALUE"""),66.0)</f>
        <v>66</v>
      </c>
      <c r="D1574" s="102" t="str">
        <f>IFERROR(__xludf.DUMMYFUNCTION("""COMPUTED_VALUE"""),"Manufacturer Part")</f>
        <v>Manufacturer Part</v>
      </c>
      <c r="E1574" s="102" t="str">
        <f>IFERROR(__xludf.DUMMYFUNCTION("""COMPUTED_VALUE"""),"TOR_AR.part_barrel_licensed_jak")</f>
        <v>TOR_AR.part_barrel_licensed_jak</v>
      </c>
      <c r="F1574" s="102"/>
      <c r="G1574" s="102" t="str">
        <f>IFERROR(__xludf.DUMMYFUNCTION("""COMPUTED_VALUE"""),"Jakobs Ricochet")</f>
        <v>Jakobs Ricochet</v>
      </c>
      <c r="H1574" s="102"/>
      <c r="I1574" s="102"/>
      <c r="J1574" s="102"/>
      <c r="K1574" s="102"/>
      <c r="L1574" s="102"/>
    </row>
    <row r="1575">
      <c r="A1575" s="102" t="str">
        <f>IFERROR(__xludf.DUMMYFUNCTION("""COMPUTED_VALUE"""),"Torgue")</f>
        <v>Torgue</v>
      </c>
      <c r="B1575" s="102" t="str">
        <f>IFERROR(__xludf.DUMMYFUNCTION("""COMPUTED_VALUE"""),"Assault Rifle")</f>
        <v>Assault Rifle</v>
      </c>
      <c r="C1575" s="103">
        <f>IFERROR(__xludf.DUMMYFUNCTION("""COMPUTED_VALUE"""),67.0)</f>
        <v>67</v>
      </c>
      <c r="D1575" s="102" t="str">
        <f>IFERROR(__xludf.DUMMYFUNCTION("""COMPUTED_VALUE"""),"Manufacturer Part")</f>
        <v>Manufacturer Part</v>
      </c>
      <c r="E1575" s="102" t="str">
        <f>IFERROR(__xludf.DUMMYFUNCTION("""COMPUTED_VALUE"""),"TOR_AR.part_barrel_licensed_ted")</f>
        <v>TOR_AR.part_barrel_licensed_ted</v>
      </c>
      <c r="F1575" s="102"/>
      <c r="G1575" s="102" t="str">
        <f>IFERROR(__xludf.DUMMYFUNCTION("""COMPUTED_VALUE"""),"Tediore Reload, no stat changes")</f>
        <v>Tediore Reload, no stat changes</v>
      </c>
      <c r="H1575" s="102"/>
      <c r="I1575" s="102"/>
      <c r="J1575" s="102"/>
      <c r="K1575" s="102"/>
      <c r="L1575" s="102"/>
    </row>
    <row r="1576">
      <c r="A1576" s="102" t="str">
        <f>IFERROR(__xludf.DUMMYFUNCTION("""COMPUTED_VALUE"""),"Torgue")</f>
        <v>Torgue</v>
      </c>
      <c r="B1576" s="102" t="str">
        <f>IFERROR(__xludf.DUMMYFUNCTION("""COMPUTED_VALUE"""),"Assault Rifle")</f>
        <v>Assault Rifle</v>
      </c>
      <c r="C1576" s="103">
        <f>IFERROR(__xludf.DUMMYFUNCTION("""COMPUTED_VALUE"""),68.0)</f>
        <v>68</v>
      </c>
      <c r="D1576" s="102" t="str">
        <f>IFERROR(__xludf.DUMMYFUNCTION("""COMPUTED_VALUE"""),"Manufacturer Part")</f>
        <v>Manufacturer Part</v>
      </c>
      <c r="E1576" s="102" t="str">
        <f>IFERROR(__xludf.DUMMYFUNCTION("""COMPUTED_VALUE"""),"TOR_AR.part_barrel_licensed_ted_shooting")</f>
        <v>TOR_AR.part_barrel_licensed_ted_shooting</v>
      </c>
      <c r="F1576" s="102"/>
      <c r="G1576" s="102" t="str">
        <f>IFERROR(__xludf.DUMMYFUNCTION("""COMPUTED_VALUE"""),"Tediore Shooting, no stat changes")</f>
        <v>Tediore Shooting, no stat changes</v>
      </c>
      <c r="H1576" s="102"/>
      <c r="I1576" s="102"/>
      <c r="J1576" s="102"/>
      <c r="K1576" s="102"/>
      <c r="L1576" s="102"/>
    </row>
    <row r="1577">
      <c r="A1577" s="102" t="str">
        <f>IFERROR(__xludf.DUMMYFUNCTION("""COMPUTED_VALUE"""),"Torgue")</f>
        <v>Torgue</v>
      </c>
      <c r="B1577" s="102" t="str">
        <f>IFERROR(__xludf.DUMMYFUNCTION("""COMPUTED_VALUE"""),"Assault Rifle")</f>
        <v>Assault Rifle</v>
      </c>
      <c r="C1577" s="103">
        <f>IFERROR(__xludf.DUMMYFUNCTION("""COMPUTED_VALUE"""),69.0)</f>
        <v>69</v>
      </c>
      <c r="D1577" s="102" t="str">
        <f>IFERROR(__xludf.DUMMYFUNCTION("""COMPUTED_VALUE"""),"Manufacturer Part")</f>
        <v>Manufacturer Part</v>
      </c>
      <c r="E1577" s="102" t="str">
        <f>IFERROR(__xludf.DUMMYFUNCTION("""COMPUTED_VALUE"""),"TOR_AR.part_barrel_licensed_ted_mirv")</f>
        <v>TOR_AR.part_barrel_licensed_ted_mirv</v>
      </c>
      <c r="F1577" s="102"/>
      <c r="G1577" s="102" t="str">
        <f>IFERROR(__xludf.DUMMYFUNCTION("""COMPUTED_VALUE"""),"Tediore MIRV, no stat changes")</f>
        <v>Tediore MIRV, no stat changes</v>
      </c>
      <c r="H1577" s="102"/>
      <c r="I1577" s="102"/>
      <c r="J1577" s="102"/>
      <c r="K1577" s="102"/>
      <c r="L1577" s="102"/>
    </row>
    <row r="1578">
      <c r="A1578" s="102" t="str">
        <f>IFERROR(__xludf.DUMMYFUNCTION("""COMPUTED_VALUE"""),"Torgue")</f>
        <v>Torgue</v>
      </c>
      <c r="B1578" s="102" t="str">
        <f>IFERROR(__xludf.DUMMYFUNCTION("""COMPUTED_VALUE"""),"Assault Rifle")</f>
        <v>Assault Rifle</v>
      </c>
      <c r="C1578" s="103">
        <f>IFERROR(__xludf.DUMMYFUNCTION("""COMPUTED_VALUE"""),70.0)</f>
        <v>70</v>
      </c>
      <c r="D1578" s="102" t="str">
        <f>IFERROR(__xludf.DUMMYFUNCTION("""COMPUTED_VALUE"""),"Manufacturer Part")</f>
        <v>Manufacturer Part</v>
      </c>
      <c r="E1578" s="102" t="str">
        <f>IFERROR(__xludf.DUMMYFUNCTION("""COMPUTED_VALUE"""),"TOR_AR.part_barrel_licensed_ted_combo")</f>
        <v>TOR_AR.part_barrel_licensed_ted_combo</v>
      </c>
      <c r="F1578" s="102"/>
      <c r="G1578" s="102" t="str">
        <f>IFERROR(__xludf.DUMMYFUNCTION("""COMPUTED_VALUE"""),"Tediore Combo, no stat changes")</f>
        <v>Tediore Combo, no stat changes</v>
      </c>
      <c r="H1578" s="102"/>
      <c r="I1578" s="102"/>
      <c r="J1578" s="102"/>
      <c r="K1578" s="102"/>
      <c r="L1578" s="102"/>
    </row>
    <row r="1579">
      <c r="A1579" s="102" t="str">
        <f>IFERROR(__xludf.DUMMYFUNCTION("""COMPUTED_VALUE"""),"Torgue")</f>
        <v>Torgue</v>
      </c>
      <c r="B1579" s="102" t="str">
        <f>IFERROR(__xludf.DUMMYFUNCTION("""COMPUTED_VALUE"""),"Assault Rifle")</f>
        <v>Assault Rifle</v>
      </c>
      <c r="C1579" s="103">
        <f>IFERROR(__xludf.DUMMYFUNCTION("""COMPUTED_VALUE"""),71.0)</f>
        <v>71</v>
      </c>
      <c r="D1579" s="102" t="str">
        <f>IFERROR(__xludf.DUMMYFUNCTION("""COMPUTED_VALUE"""),"Manufacturer Part")</f>
        <v>Manufacturer Part</v>
      </c>
      <c r="E1579" s="102" t="str">
        <f>IFERROR(__xludf.DUMMYFUNCTION("""COMPUTED_VALUE"""),"TOR_AR.part_barrel_licensed_hyp")</f>
        <v>TOR_AR.part_barrel_licensed_hyp</v>
      </c>
      <c r="F1579" s="102"/>
      <c r="G1579" s="102" t="str">
        <f>IFERROR(__xludf.DUMMYFUNCTION("""COMPUTED_VALUE"""),"Hyperion Shield visual accessory, no stat changes")</f>
        <v>Hyperion Shield visual accessory, no stat changes</v>
      </c>
      <c r="H1579" s="102"/>
      <c r="I1579" s="102"/>
      <c r="J1579" s="102"/>
      <c r="K1579" s="102"/>
      <c r="L1579" s="102"/>
    </row>
    <row r="1580">
      <c r="A1580" s="102" t="str">
        <f>IFERROR(__xludf.DUMMYFUNCTION("""COMPUTED_VALUE"""),"Torgue")</f>
        <v>Torgue</v>
      </c>
      <c r="B1580" s="102" t="str">
        <f>IFERROR(__xludf.DUMMYFUNCTION("""COMPUTED_VALUE"""),"Assault Rifle")</f>
        <v>Assault Rifle</v>
      </c>
      <c r="C1580" s="103">
        <f>IFERROR(__xludf.DUMMYFUNCTION("""COMPUTED_VALUE"""),72.0)</f>
        <v>72</v>
      </c>
      <c r="D1580" s="102" t="str">
        <f>IFERROR(__xludf.DUMMYFUNCTION("""COMPUTED_VALUE"""),"Underbarrel")</f>
        <v>Underbarrel</v>
      </c>
      <c r="E1580" s="102" t="str">
        <f>IFERROR(__xludf.DUMMYFUNCTION("""COMPUTED_VALUE"""),"TOR_AR.part_underbarrel_02_shotgun")</f>
        <v>TOR_AR.part_underbarrel_02_shotgun</v>
      </c>
      <c r="F1580" s="102"/>
      <c r="G1580" s="102" t="str">
        <f>IFERROR(__xludf.DUMMYFUNCTION("""COMPUTED_VALUE"""),"Alt Fire - Sticky Shotgun")</f>
        <v>Alt Fire - Sticky Shotgun</v>
      </c>
      <c r="H1580" s="102"/>
      <c r="I1580" s="102"/>
      <c r="J1580" s="102"/>
      <c r="K1580" s="102"/>
      <c r="L1580" s="102"/>
    </row>
    <row r="1581">
      <c r="A1581" s="102" t="str">
        <f>IFERROR(__xludf.DUMMYFUNCTION("""COMPUTED_VALUE"""),"Torgue")</f>
        <v>Torgue</v>
      </c>
      <c r="B1581" s="102" t="str">
        <f>IFERROR(__xludf.DUMMYFUNCTION("""COMPUTED_VALUE"""),"Assault Rifle")</f>
        <v>Assault Rifle</v>
      </c>
      <c r="C1581" s="103">
        <f>IFERROR(__xludf.DUMMYFUNCTION("""COMPUTED_VALUE"""),73.0)</f>
        <v>73</v>
      </c>
      <c r="D1581" s="102" t="str">
        <f>IFERROR(__xludf.DUMMYFUNCTION("""COMPUTED_VALUE"""),"Underbarrel")</f>
        <v>Underbarrel</v>
      </c>
      <c r="E1581" s="102" t="str">
        <f>IFERROR(__xludf.DUMMYFUNCTION("""COMPUTED_VALUE"""),"TOR_AR.part_underbarrel_04_atlas")</f>
        <v>TOR_AR.part_underbarrel_04_atlas</v>
      </c>
      <c r="F1581" s="102"/>
      <c r="G1581" s="102" t="str">
        <f>IFERROR(__xludf.DUMMYFUNCTION("""COMPUTED_VALUE"""),"Atlas Tracker Darts")</f>
        <v>Atlas Tracker Darts</v>
      </c>
      <c r="H1581" s="102"/>
      <c r="I1581" s="102"/>
      <c r="J1581" s="102"/>
      <c r="K1581" s="102"/>
      <c r="L1581" s="102"/>
    </row>
    <row r="1582">
      <c r="A1582" s="102" t="str">
        <f>IFERROR(__xludf.DUMMYFUNCTION("""COMPUTED_VALUE"""),"Torgue")</f>
        <v>Torgue</v>
      </c>
      <c r="B1582" s="102" t="str">
        <f>IFERROR(__xludf.DUMMYFUNCTION("""COMPUTED_VALUE"""),"Assault Rifle")</f>
        <v>Assault Rifle</v>
      </c>
      <c r="C1582" s="103">
        <f>IFERROR(__xludf.DUMMYFUNCTION("""COMPUTED_VALUE"""),74.0)</f>
        <v>74</v>
      </c>
      <c r="D1582" s="102" t="str">
        <f>IFERROR(__xludf.DUMMYFUNCTION("""COMPUTED_VALUE"""),"Foregrip")</f>
        <v>Foregrip</v>
      </c>
      <c r="E1582" s="102" t="str">
        <f>IFERROR(__xludf.DUMMYFUNCTION("""COMPUTED_VALUE"""),"TOR_AR.part_foregrip_01")</f>
        <v>TOR_AR.part_foregrip_01</v>
      </c>
      <c r="F1582" s="102"/>
      <c r="G1582" s="104" t="str">
        <f>IFERROR(__xludf.DUMMYFUNCTION("""COMPUTED_VALUE"""),"+Damage")</f>
        <v>+Damage</v>
      </c>
      <c r="H1582" s="102"/>
      <c r="I1582" s="102"/>
      <c r="J1582" s="102"/>
      <c r="K1582" s="102"/>
      <c r="L1582" s="102"/>
    </row>
    <row r="1583">
      <c r="A1583" s="102" t="str">
        <f>IFERROR(__xludf.DUMMYFUNCTION("""COMPUTED_VALUE"""),"Torgue")</f>
        <v>Torgue</v>
      </c>
      <c r="B1583" s="102" t="str">
        <f>IFERROR(__xludf.DUMMYFUNCTION("""COMPUTED_VALUE"""),"Assault Rifle")</f>
        <v>Assault Rifle</v>
      </c>
      <c r="C1583" s="103">
        <f>IFERROR(__xludf.DUMMYFUNCTION("""COMPUTED_VALUE"""),75.0)</f>
        <v>75</v>
      </c>
      <c r="D1583" s="102" t="str">
        <f>IFERROR(__xludf.DUMMYFUNCTION("""COMPUTED_VALUE"""),"Foregrip")</f>
        <v>Foregrip</v>
      </c>
      <c r="E1583" s="102" t="str">
        <f>IFERROR(__xludf.DUMMYFUNCTION("""COMPUTED_VALUE"""),"TOR_AR.part_foregrip_03_pt")</f>
        <v>TOR_AR.part_foregrip_03_pt</v>
      </c>
      <c r="F1583" s="102"/>
      <c r="G1583" s="102" t="str">
        <f>IFERROR(__xludf.DUMMYFUNCTION("""COMPUTED_VALUE"""),"+Blast Radius")</f>
        <v>+Blast Radius</v>
      </c>
      <c r="H1583" s="102"/>
      <c r="I1583" s="102"/>
      <c r="J1583" s="102"/>
      <c r="K1583" s="102"/>
      <c r="L1583" s="102"/>
    </row>
    <row r="1584">
      <c r="A1584" s="102" t="str">
        <f>IFERROR(__xludf.DUMMYFUNCTION("""COMPUTED_VALUE"""),"Torgue")</f>
        <v>Torgue</v>
      </c>
      <c r="B1584" s="102" t="str">
        <f>IFERROR(__xludf.DUMMYFUNCTION("""COMPUTED_VALUE"""),"Assault Rifle")</f>
        <v>Assault Rifle</v>
      </c>
      <c r="C1584" s="103">
        <f>IFERROR(__xludf.DUMMYFUNCTION("""COMPUTED_VALUE"""),76.0)</f>
        <v>76</v>
      </c>
      <c r="D1584" s="102" t="str">
        <f>IFERROR(__xludf.DUMMYFUNCTION("""COMPUTED_VALUE"""),"Foregrip")</f>
        <v>Foregrip</v>
      </c>
      <c r="E1584" s="102" t="str">
        <f>IFERROR(__xludf.DUMMYFUNCTION("""COMPUTED_VALUE"""),"TOR_AR.part_foregrip_02_pt")</f>
        <v>TOR_AR.part_foregrip_02_pt</v>
      </c>
      <c r="F1584" s="102"/>
      <c r="G1584" s="102" t="str">
        <f>IFERROR(__xludf.DUMMYFUNCTION("""COMPUTED_VALUE"""),"+Fire Rate")</f>
        <v>+Fire Rate</v>
      </c>
      <c r="H1584" s="102"/>
      <c r="I1584" s="102"/>
      <c r="J1584" s="102"/>
      <c r="K1584" s="102"/>
      <c r="L1584" s="102"/>
    </row>
    <row r="1585">
      <c r="A1585" s="102" t="str">
        <f>IFERROR(__xludf.DUMMYFUNCTION("""COMPUTED_VALUE"""),"Torgue")</f>
        <v>Torgue</v>
      </c>
      <c r="B1585" s="102" t="str">
        <f>IFERROR(__xludf.DUMMYFUNCTION("""COMPUTED_VALUE"""),"Assault Rifle")</f>
        <v>Assault Rifle</v>
      </c>
      <c r="C1585" s="103">
        <f>IFERROR(__xludf.DUMMYFUNCTION("""COMPUTED_VALUE"""),77.0)</f>
        <v>77</v>
      </c>
      <c r="D1585" s="102" t="str">
        <f>IFERROR(__xludf.DUMMYFUNCTION("""COMPUTED_VALUE"""),"Barrel")</f>
        <v>Barrel</v>
      </c>
      <c r="E1585" s="102" t="str">
        <f>IFERROR(__xludf.DUMMYFUNCTION("""COMPUTED_VALUE"""),"TOR_AR.part_barrel_potatothrower")</f>
        <v>TOR_AR.part_barrel_potatothrower</v>
      </c>
      <c r="F1585" s="102"/>
      <c r="G1585" s="102" t="str">
        <f>IFERROR(__xludf.DUMMYFUNCTION("""COMPUTED_VALUE"""),"Potato Thrower IV, 580 Damage, 75% Acc, 5.5/s FR")</f>
        <v>Potato Thrower IV, 580 Damage, 75% Acc, 5.5/s FR</v>
      </c>
      <c r="H1585" s="102" t="str">
        <f>IFERROR(__xludf.DUMMYFUNCTION("""COMPUTED_VALUE"""),"Spud Gun")</f>
        <v>Spud Gun</v>
      </c>
      <c r="I1585" s="102"/>
      <c r="J1585" s="102"/>
      <c r="K1585" s="102"/>
      <c r="L1585" s="102"/>
    </row>
    <row r="1586">
      <c r="A1586" s="102" t="str">
        <f>IFERROR(__xludf.DUMMYFUNCTION("""COMPUTED_VALUE"""),"Torgue")</f>
        <v>Torgue</v>
      </c>
      <c r="B1586" s="102" t="str">
        <f>IFERROR(__xludf.DUMMYFUNCTION("""COMPUTED_VALUE"""),"Pistol")</f>
        <v>Pistol</v>
      </c>
      <c r="C1586" s="103">
        <f>IFERROR(__xludf.DUMMYFUNCTION("""COMPUTED_VALUE"""),2.0)</f>
        <v>2</v>
      </c>
      <c r="D1586" s="102" t="str">
        <f>IFERROR(__xludf.DUMMYFUNCTION("""COMPUTED_VALUE"""),"Body")</f>
        <v>Body</v>
      </c>
      <c r="E1586" s="102" t="str">
        <f>IFERROR(__xludf.DUMMYFUNCTION("""COMPUTED_VALUE"""),"TOR_PS.part_body")</f>
        <v>TOR_PS.part_body</v>
      </c>
      <c r="F1586" s="102"/>
      <c r="G1586" s="102" t="str">
        <f>IFERROR(__xludf.DUMMYFUNCTION("""COMPUTED_VALUE"""),"No Stat Changes, always present")</f>
        <v>No Stat Changes, always present</v>
      </c>
      <c r="H1586" s="102"/>
      <c r="I1586" s="102"/>
      <c r="J1586" s="102"/>
      <c r="K1586" s="102"/>
      <c r="L1586" s="102"/>
    </row>
    <row r="1587">
      <c r="A1587" s="102" t="str">
        <f>IFERROR(__xludf.DUMMYFUNCTION("""COMPUTED_VALUE"""),"Torgue")</f>
        <v>Torgue</v>
      </c>
      <c r="B1587" s="102" t="str">
        <f>IFERROR(__xludf.DUMMYFUNCTION("""COMPUTED_VALUE"""),"Pistol")</f>
        <v>Pistol</v>
      </c>
      <c r="C1587" s="103">
        <f>IFERROR(__xludf.DUMMYFUNCTION("""COMPUTED_VALUE"""),3.0)</f>
        <v>3</v>
      </c>
      <c r="D1587" s="102" t="str">
        <f>IFERROR(__xludf.DUMMYFUNCTION("""COMPUTED_VALUE"""),"Body Accessory")</f>
        <v>Body Accessory</v>
      </c>
      <c r="E1587" s="102" t="str">
        <f>IFERROR(__xludf.DUMMYFUNCTION("""COMPUTED_VALUE"""),"TOR_PS.part_body_a")</f>
        <v>TOR_PS.part_body_a</v>
      </c>
      <c r="F1587" s="102"/>
      <c r="G1587" s="102" t="str">
        <f>IFERROR(__xludf.DUMMYFUNCTION("""COMPUTED_VALUE"""),"-Reload Speed")</f>
        <v>-Reload Speed</v>
      </c>
      <c r="H1587" s="102"/>
      <c r="I1587" s="102"/>
      <c r="J1587" s="102"/>
      <c r="K1587" s="102"/>
      <c r="L1587" s="102"/>
    </row>
    <row r="1588">
      <c r="A1588" s="102" t="str">
        <f>IFERROR(__xludf.DUMMYFUNCTION("""COMPUTED_VALUE"""),"Torgue")</f>
        <v>Torgue</v>
      </c>
      <c r="B1588" s="102" t="str">
        <f>IFERROR(__xludf.DUMMYFUNCTION("""COMPUTED_VALUE"""),"Pistol")</f>
        <v>Pistol</v>
      </c>
      <c r="C1588" s="103">
        <f>IFERROR(__xludf.DUMMYFUNCTION("""COMPUTED_VALUE"""),4.0)</f>
        <v>4</v>
      </c>
      <c r="D1588" s="102" t="str">
        <f>IFERROR(__xludf.DUMMYFUNCTION("""COMPUTED_VALUE"""),"Body Accessory")</f>
        <v>Body Accessory</v>
      </c>
      <c r="E1588" s="102" t="str">
        <f>IFERROR(__xludf.DUMMYFUNCTION("""COMPUTED_VALUE"""),"TOR_PS.part_body_b")</f>
        <v>TOR_PS.part_body_b</v>
      </c>
      <c r="F1588" s="102"/>
      <c r="G1588" s="102" t="str">
        <f>IFERROR(__xludf.DUMMYFUNCTION("""COMPUTED_VALUE"""),"+Damage")</f>
        <v>+Damage</v>
      </c>
      <c r="H1588" s="102"/>
      <c r="I1588" s="102"/>
      <c r="J1588" s="102"/>
      <c r="K1588" s="102"/>
      <c r="L1588" s="102"/>
    </row>
    <row r="1589">
      <c r="A1589" s="102" t="str">
        <f>IFERROR(__xludf.DUMMYFUNCTION("""COMPUTED_VALUE"""),"Torgue")</f>
        <v>Torgue</v>
      </c>
      <c r="B1589" s="102" t="str">
        <f>IFERROR(__xludf.DUMMYFUNCTION("""COMPUTED_VALUE"""),"Pistol")</f>
        <v>Pistol</v>
      </c>
      <c r="C1589" s="103">
        <f>IFERROR(__xludf.DUMMYFUNCTION("""COMPUTED_VALUE"""),5.0)</f>
        <v>5</v>
      </c>
      <c r="D1589" s="102" t="str">
        <f>IFERROR(__xludf.DUMMYFUNCTION("""COMPUTED_VALUE"""),"Body Accessory")</f>
        <v>Body Accessory</v>
      </c>
      <c r="E1589" s="102" t="str">
        <f>IFERROR(__xludf.DUMMYFUNCTION("""COMPUTED_VALUE"""),"TOR_PS.part_body_c")</f>
        <v>TOR_PS.part_body_c</v>
      </c>
      <c r="F1589" s="102"/>
      <c r="G1589" s="102" t="str">
        <f>IFERROR(__xludf.DUMMYFUNCTION("""COMPUTED_VALUE"""),"+Accuracy")</f>
        <v>+Accuracy</v>
      </c>
      <c r="H1589" s="102"/>
      <c r="I1589" s="102"/>
      <c r="J1589" s="102"/>
      <c r="K1589" s="102"/>
      <c r="L1589" s="102"/>
    </row>
    <row r="1590">
      <c r="A1590" s="102" t="str">
        <f>IFERROR(__xludf.DUMMYFUNCTION("""COMPUTED_VALUE"""),"Torgue")</f>
        <v>Torgue</v>
      </c>
      <c r="B1590" s="102" t="str">
        <f>IFERROR(__xludf.DUMMYFUNCTION("""COMPUTED_VALUE"""),"Pistol")</f>
        <v>Pistol</v>
      </c>
      <c r="C1590" s="103">
        <f>IFERROR(__xludf.DUMMYFUNCTION("""COMPUTED_VALUE"""),6.0)</f>
        <v>6</v>
      </c>
      <c r="D1590" s="102" t="str">
        <f>IFERROR(__xludf.DUMMYFUNCTION("""COMPUTED_VALUE"""),"Body Accessory")</f>
        <v>Body Accessory</v>
      </c>
      <c r="E1590" s="102" t="str">
        <f>IFERROR(__xludf.DUMMYFUNCTION("""COMPUTED_VALUE"""),"TOR_PS.part_body_d")</f>
        <v>TOR_PS.part_body_d</v>
      </c>
      <c r="F1590" s="102"/>
      <c r="G1590" s="102" t="str">
        <f>IFERROR(__xludf.DUMMYFUNCTION("""COMPUTED_VALUE"""),"No Stat Changes")</f>
        <v>No Stat Changes</v>
      </c>
      <c r="H1590" s="102"/>
      <c r="I1590" s="102"/>
      <c r="J1590" s="102"/>
      <c r="K1590" s="102"/>
      <c r="L1590" s="102"/>
    </row>
    <row r="1591">
      <c r="A1591" s="102" t="str">
        <f>IFERROR(__xludf.DUMMYFUNCTION("""COMPUTED_VALUE"""),"Torgue")</f>
        <v>Torgue</v>
      </c>
      <c r="B1591" s="102" t="str">
        <f>IFERROR(__xludf.DUMMYFUNCTION("""COMPUTED_VALUE"""),"Pistol")</f>
        <v>Pistol</v>
      </c>
      <c r="C1591" s="103">
        <f>IFERROR(__xludf.DUMMYFUNCTION("""COMPUTED_VALUE"""),7.0)</f>
        <v>7</v>
      </c>
      <c r="D1591" s="102" t="str">
        <f>IFERROR(__xludf.DUMMYFUNCTION("""COMPUTED_VALUE"""),"Barrel")</f>
        <v>Barrel</v>
      </c>
      <c r="E1591" s="102" t="str">
        <f>IFERROR(__xludf.DUMMYFUNCTION("""COMPUTED_VALUE"""),"TOR_PS.part_barrel_01")</f>
        <v>TOR_PS.part_barrel_01</v>
      </c>
      <c r="F1591" s="102"/>
      <c r="G1591" s="102" t="str">
        <f>IFERROR(__xludf.DUMMYFUNCTION("""COMPUTED_VALUE"""),"Kitty, 1785 Damage, 64% Acc, 2.5/s FR")</f>
        <v>Kitty, 1785 Damage, 64% Acc, 2.5/s FR</v>
      </c>
      <c r="H1591" s="102"/>
      <c r="I1591" s="102"/>
      <c r="J1591" s="102"/>
      <c r="K1591" s="102"/>
      <c r="L1591" s="102"/>
    </row>
    <row r="1592">
      <c r="A1592" s="102" t="str">
        <f>IFERROR(__xludf.DUMMYFUNCTION("""COMPUTED_VALUE"""),"Torgue")</f>
        <v>Torgue</v>
      </c>
      <c r="B1592" s="102" t="str">
        <f>IFERROR(__xludf.DUMMYFUNCTION("""COMPUTED_VALUE"""),"Pistol")</f>
        <v>Pistol</v>
      </c>
      <c r="C1592" s="103">
        <f>IFERROR(__xludf.DUMMYFUNCTION("""COMPUTED_VALUE"""),8.0)</f>
        <v>8</v>
      </c>
      <c r="D1592" s="102" t="str">
        <f>IFERROR(__xludf.DUMMYFUNCTION("""COMPUTED_VALUE"""),"Barrel")</f>
        <v>Barrel</v>
      </c>
      <c r="E1592" s="102" t="str">
        <f>IFERROR(__xludf.DUMMYFUNCTION("""COMPUTED_VALUE"""),"TOR_PS.part_barrel_02")</f>
        <v>TOR_PS.part_barrel_02</v>
      </c>
      <c r="F1592" s="102"/>
      <c r="G1592" s="102" t="str">
        <f>IFERROR(__xludf.DUMMYFUNCTION("""COMPUTED_VALUE"""),"Lotus, 2231 Damage, 65% Acc, 1.8/s FR")</f>
        <v>Lotus, 2231 Damage, 65% Acc, 1.8/s FR</v>
      </c>
      <c r="H1592" s="102"/>
      <c r="I1592" s="102"/>
      <c r="J1592" s="102"/>
      <c r="K1592" s="102"/>
      <c r="L1592" s="102"/>
    </row>
    <row r="1593">
      <c r="A1593" s="102" t="str">
        <f>IFERROR(__xludf.DUMMYFUNCTION("""COMPUTED_VALUE"""),"Torgue")</f>
        <v>Torgue</v>
      </c>
      <c r="B1593" s="102" t="str">
        <f>IFERROR(__xludf.DUMMYFUNCTION("""COMPUTED_VALUE"""),"Pistol")</f>
        <v>Pistol</v>
      </c>
      <c r="C1593" s="103">
        <f>IFERROR(__xludf.DUMMYFUNCTION("""COMPUTED_VALUE"""),9.0)</f>
        <v>9</v>
      </c>
      <c r="D1593" s="102" t="str">
        <f>IFERROR(__xludf.DUMMYFUNCTION("""COMPUTED_VALUE"""),"Manufacturer Part")</f>
        <v>Manufacturer Part</v>
      </c>
      <c r="E1593" s="102" t="str">
        <f>IFERROR(__xludf.DUMMYFUNCTION("""COMPUTED_VALUE"""),"TOR_PS.part_shield_default")</f>
        <v>TOR_PS.part_shield_default</v>
      </c>
      <c r="F1593" s="102"/>
      <c r="G1593" s="102" t="str">
        <f>IFERROR(__xludf.DUMMYFUNCTION("""COMPUTED_VALUE"""),"Hyperion Shield")</f>
        <v>Hyperion Shield</v>
      </c>
      <c r="H1593" s="102"/>
      <c r="I1593" s="102"/>
      <c r="J1593" s="102"/>
      <c r="K1593" s="102"/>
      <c r="L1593" s="102"/>
    </row>
    <row r="1594">
      <c r="A1594" s="102" t="str">
        <f>IFERROR(__xludf.DUMMYFUNCTION("""COMPUTED_VALUE"""),"Torgue")</f>
        <v>Torgue</v>
      </c>
      <c r="B1594" s="102" t="str">
        <f>IFERROR(__xludf.DUMMYFUNCTION("""COMPUTED_VALUE"""),"Pistol")</f>
        <v>Pistol</v>
      </c>
      <c r="C1594" s="103">
        <f>IFERROR(__xludf.DUMMYFUNCTION("""COMPUTED_VALUE"""),10.0)</f>
        <v>10</v>
      </c>
      <c r="D1594" s="102" t="str">
        <f>IFERROR(__xludf.DUMMYFUNCTION("""COMPUTED_VALUE"""),"Manufacturer Part")</f>
        <v>Manufacturer Part</v>
      </c>
      <c r="E1594" s="102" t="str">
        <f>IFERROR(__xludf.DUMMYFUNCTION("""COMPUTED_VALUE"""),"TOR_PS.part_shield_ricochet")</f>
        <v>TOR_PS.part_shield_ricochet</v>
      </c>
      <c r="F1594" s="102"/>
      <c r="G1594" s="102" t="str">
        <f>IFERROR(__xludf.DUMMYFUNCTION("""COMPUTED_VALUE"""),"Hyperion Ricochet Shield")</f>
        <v>Hyperion Ricochet Shield</v>
      </c>
      <c r="H1594" s="102"/>
      <c r="I1594" s="102"/>
      <c r="J1594" s="102"/>
      <c r="K1594" s="102"/>
      <c r="L1594" s="102"/>
    </row>
    <row r="1595">
      <c r="A1595" s="102" t="str">
        <f>IFERROR(__xludf.DUMMYFUNCTION("""COMPUTED_VALUE"""),"Torgue")</f>
        <v>Torgue</v>
      </c>
      <c r="B1595" s="102" t="str">
        <f>IFERROR(__xludf.DUMMYFUNCTION("""COMPUTED_VALUE"""),"Pistol")</f>
        <v>Pistol</v>
      </c>
      <c r="C1595" s="103">
        <f>IFERROR(__xludf.DUMMYFUNCTION("""COMPUTED_VALUE"""),11.0)</f>
        <v>11</v>
      </c>
      <c r="D1595" s="102" t="str">
        <f>IFERROR(__xludf.DUMMYFUNCTION("""COMPUTED_VALUE"""),"Manufacturer Part")</f>
        <v>Manufacturer Part</v>
      </c>
      <c r="E1595" s="102" t="str">
        <f>IFERROR(__xludf.DUMMYFUNCTION("""COMPUTED_VALUE"""),"TOR_PS.part_shield_ammo")</f>
        <v>TOR_PS.part_shield_ammo</v>
      </c>
      <c r="F1595" s="102"/>
      <c r="G1595" s="102" t="str">
        <f>IFERROR(__xludf.DUMMYFUNCTION("""COMPUTED_VALUE"""),"Hyperion Absorb Shield")</f>
        <v>Hyperion Absorb Shield</v>
      </c>
      <c r="H1595" s="102"/>
      <c r="I1595" s="102"/>
      <c r="J1595" s="102"/>
      <c r="K1595" s="102"/>
      <c r="L1595" s="102"/>
    </row>
    <row r="1596">
      <c r="A1596" s="102" t="str">
        <f>IFERROR(__xludf.DUMMYFUNCTION("""COMPUTED_VALUE"""),"Torgue")</f>
        <v>Torgue</v>
      </c>
      <c r="B1596" s="102" t="str">
        <f>IFERROR(__xludf.DUMMYFUNCTION("""COMPUTED_VALUE"""),"Pistol")</f>
        <v>Pistol</v>
      </c>
      <c r="C1596" s="103">
        <f>IFERROR(__xludf.DUMMYFUNCTION("""COMPUTED_VALUE"""),12.0)</f>
        <v>12</v>
      </c>
      <c r="D1596" s="102" t="str">
        <f>IFERROR(__xludf.DUMMYFUNCTION("""COMPUTED_VALUE"""),"Manufacturer Part")</f>
        <v>Manufacturer Part</v>
      </c>
      <c r="E1596" s="102" t="str">
        <f>IFERROR(__xludf.DUMMYFUNCTION("""COMPUTED_VALUE"""),"TOR_PS.part_shield_amp")</f>
        <v>TOR_PS.part_shield_amp</v>
      </c>
      <c r="F1596" s="102"/>
      <c r="G1596" s="102" t="str">
        <f>IFERROR(__xludf.DUMMYFUNCTION("""COMPUTED_VALUE"""),"Hyperion Amp Shield")</f>
        <v>Hyperion Amp Shield</v>
      </c>
      <c r="H1596" s="102"/>
      <c r="I1596" s="102"/>
      <c r="J1596" s="102"/>
      <c r="K1596" s="102"/>
      <c r="L1596" s="102"/>
    </row>
    <row r="1597">
      <c r="A1597" s="102" t="str">
        <f>IFERROR(__xludf.DUMMYFUNCTION("""COMPUTED_VALUE"""),"Torgue")</f>
        <v>Torgue</v>
      </c>
      <c r="B1597" s="102" t="str">
        <f>IFERROR(__xludf.DUMMYFUNCTION("""COMPUTED_VALUE"""),"Pistol")</f>
        <v>Pistol</v>
      </c>
      <c r="C1597" s="103">
        <f>IFERROR(__xludf.DUMMYFUNCTION("""COMPUTED_VALUE"""),13.0)</f>
        <v>13</v>
      </c>
      <c r="D1597" s="102" t="str">
        <f>IFERROR(__xludf.DUMMYFUNCTION("""COMPUTED_VALUE"""),"Magazine")</f>
        <v>Magazine</v>
      </c>
      <c r="E1597" s="102" t="str">
        <f>IFERROR(__xludf.DUMMYFUNCTION("""COMPUTED_VALUE"""),"TOR_PS.part_mag_01")</f>
        <v>TOR_PS.part_mag_01</v>
      </c>
      <c r="F1597" s="102"/>
      <c r="G1597" s="102" t="str">
        <f>IFERROR(__xludf.DUMMYFUNCTION("""COMPUTED_VALUE"""),"1.8s Reload, 6 Shots")</f>
        <v>1.8s Reload, 6 Shots</v>
      </c>
      <c r="H1597" s="102"/>
      <c r="I1597" s="102"/>
      <c r="J1597" s="102"/>
      <c r="K1597" s="102"/>
      <c r="L1597" s="102"/>
    </row>
    <row r="1598">
      <c r="A1598" s="102" t="str">
        <f>IFERROR(__xludf.DUMMYFUNCTION("""COMPUTED_VALUE"""),"Torgue")</f>
        <v>Torgue</v>
      </c>
      <c r="B1598" s="102" t="str">
        <f>IFERROR(__xludf.DUMMYFUNCTION("""COMPUTED_VALUE"""),"Pistol")</f>
        <v>Pistol</v>
      </c>
      <c r="C1598" s="103">
        <f>IFERROR(__xludf.DUMMYFUNCTION("""COMPUTED_VALUE"""),14.0)</f>
        <v>14</v>
      </c>
      <c r="D1598" s="102" t="str">
        <f>IFERROR(__xludf.DUMMYFUNCTION("""COMPUTED_VALUE"""),"Magazine")</f>
        <v>Magazine</v>
      </c>
      <c r="E1598" s="102" t="str">
        <f>IFERROR(__xludf.DUMMYFUNCTION("""COMPUTED_VALUE"""),"TOR_PS.part_mag_02")</f>
        <v>TOR_PS.part_mag_02</v>
      </c>
      <c r="F1598" s="102"/>
      <c r="G1598" s="102" t="str">
        <f>IFERROR(__xludf.DUMMYFUNCTION("""COMPUTED_VALUE"""),"2.3s Reload, 8 Shots")</f>
        <v>2.3s Reload, 8 Shots</v>
      </c>
      <c r="H1598" s="102"/>
      <c r="I1598" s="102"/>
      <c r="J1598" s="102"/>
      <c r="K1598" s="102"/>
      <c r="L1598" s="102"/>
    </row>
    <row r="1599">
      <c r="A1599" s="102" t="str">
        <f>IFERROR(__xludf.DUMMYFUNCTION("""COMPUTED_VALUE"""),"Torgue")</f>
        <v>Torgue</v>
      </c>
      <c r="B1599" s="102" t="str">
        <f>IFERROR(__xludf.DUMMYFUNCTION("""COMPUTED_VALUE"""),"Pistol")</f>
        <v>Pistol</v>
      </c>
      <c r="C1599" s="103">
        <f>IFERROR(__xludf.DUMMYFUNCTION("""COMPUTED_VALUE"""),15.0)</f>
        <v>15</v>
      </c>
      <c r="D1599" s="102" t="str">
        <f>IFERROR(__xludf.DUMMYFUNCTION("""COMPUTED_VALUE"""),"Magazine")</f>
        <v>Magazine</v>
      </c>
      <c r="E1599" s="102" t="str">
        <f>IFERROR(__xludf.DUMMYFUNCTION("""COMPUTED_VALUE"""),"TOR_PS.part_mag_04_cov")</f>
        <v>TOR_PS.part_mag_04_cov</v>
      </c>
      <c r="F1599" s="102"/>
      <c r="G1599" s="102" t="str">
        <f>IFERROR(__xludf.DUMMYFUNCTION("""COMPUTED_VALUE"""),"3.5s Reload, +Damage, -Acc, 8 Shots, CoV Mag")</f>
        <v>3.5s Reload, +Damage, -Acc, 8 Shots, CoV Mag</v>
      </c>
      <c r="H1599" s="102"/>
      <c r="I1599" s="102"/>
      <c r="J1599" s="102"/>
      <c r="K1599" s="102"/>
      <c r="L1599" s="102"/>
    </row>
    <row r="1600">
      <c r="A1600" s="102" t="str">
        <f>IFERROR(__xludf.DUMMYFUNCTION("""COMPUTED_VALUE"""),"Torgue")</f>
        <v>Torgue</v>
      </c>
      <c r="B1600" s="102" t="str">
        <f>IFERROR(__xludf.DUMMYFUNCTION("""COMPUTED_VALUE"""),"Pistol")</f>
        <v>Pistol</v>
      </c>
      <c r="C1600" s="103">
        <f>IFERROR(__xludf.DUMMYFUNCTION("""COMPUTED_VALUE"""),16.0)</f>
        <v>16</v>
      </c>
      <c r="D1600" s="102" t="str">
        <f>IFERROR(__xludf.DUMMYFUNCTION("""COMPUTED_VALUE"""),"Magazine")</f>
        <v>Magazine</v>
      </c>
      <c r="E1600" s="102" t="str">
        <f>IFERROR(__xludf.DUMMYFUNCTION("""COMPUTED_VALUE"""),"TOR_PS.part_mag_05_borg")</f>
        <v>TOR_PS.part_mag_05_borg</v>
      </c>
      <c r="F1600" s="102"/>
      <c r="G1600" s="102" t="str">
        <f>IFERROR(__xludf.DUMMYFUNCTION("""COMPUTED_VALUE"""),"2.8s Reload, +Damage, -Acc, +Fire Rate, 10 Shots, Ripper Mag")</f>
        <v>2.8s Reload, +Damage, -Acc, +Fire Rate, 10 Shots, Ripper Mag</v>
      </c>
      <c r="H1600" s="102"/>
      <c r="I1600" s="102"/>
      <c r="J1600" s="102"/>
      <c r="K1600" s="102"/>
      <c r="L1600" s="102"/>
    </row>
    <row r="1601">
      <c r="A1601" s="102" t="str">
        <f>IFERROR(__xludf.DUMMYFUNCTION("""COMPUTED_VALUE"""),"Torgue")</f>
        <v>Torgue</v>
      </c>
      <c r="B1601" s="102" t="str">
        <f>IFERROR(__xludf.DUMMYFUNCTION("""COMPUTED_VALUE"""),"Pistol")</f>
        <v>Pistol</v>
      </c>
      <c r="C1601" s="103">
        <f>IFERROR(__xludf.DUMMYFUNCTION("""COMPUTED_VALUE"""),17.0)</f>
        <v>17</v>
      </c>
      <c r="D1601" s="102" t="str">
        <f>IFERROR(__xludf.DUMMYFUNCTION("""COMPUTED_VALUE"""),"Stat Modifier")</f>
        <v>Stat Modifier</v>
      </c>
      <c r="E1601" s="102" t="str">
        <f>IFERROR(__xludf.DUMMYFUNCTION("""COMPUTED_VALUE"""),"TOR_PS.part_mag_ted_thrown_01")</f>
        <v>TOR_PS.part_mag_ted_thrown_01</v>
      </c>
      <c r="F1601" s="102"/>
      <c r="G1601" s="102" t="str">
        <f>IFERROR(__xludf.DUMMYFUNCTION("""COMPUTED_VALUE"""),"2.0s Reload")</f>
        <v>2.0s Reload</v>
      </c>
      <c r="H1601" s="102"/>
      <c r="I1601" s="102"/>
      <c r="J1601" s="102"/>
      <c r="K1601" s="102"/>
      <c r="L1601" s="102"/>
    </row>
    <row r="1602">
      <c r="A1602" s="102" t="str">
        <f>IFERROR(__xludf.DUMMYFUNCTION("""COMPUTED_VALUE"""),"Torgue")</f>
        <v>Torgue</v>
      </c>
      <c r="B1602" s="102" t="str">
        <f>IFERROR(__xludf.DUMMYFUNCTION("""COMPUTED_VALUE"""),"Pistol")</f>
        <v>Pistol</v>
      </c>
      <c r="C1602" s="103">
        <f>IFERROR(__xludf.DUMMYFUNCTION("""COMPUTED_VALUE"""),18.0)</f>
        <v>18</v>
      </c>
      <c r="D1602" s="102" t="str">
        <f>IFERROR(__xludf.DUMMYFUNCTION("""COMPUTED_VALUE"""),"Stat Modifier")</f>
        <v>Stat Modifier</v>
      </c>
      <c r="E1602" s="102" t="str">
        <f>IFERROR(__xludf.DUMMYFUNCTION("""COMPUTED_VALUE"""),"TOR_PS.part_mag_ted_thrown_02")</f>
        <v>TOR_PS.part_mag_ted_thrown_02</v>
      </c>
      <c r="F1602" s="102"/>
      <c r="G1602" s="102" t="str">
        <f>IFERROR(__xludf.DUMMYFUNCTION("""COMPUTED_VALUE"""),"2.0s Reload")</f>
        <v>2.0s Reload</v>
      </c>
      <c r="H1602" s="102"/>
      <c r="I1602" s="102"/>
      <c r="J1602" s="102"/>
      <c r="K1602" s="102"/>
      <c r="L1602" s="102"/>
    </row>
    <row r="1603">
      <c r="A1603" s="102" t="str">
        <f>IFERROR(__xludf.DUMMYFUNCTION("""COMPUTED_VALUE"""),"Torgue")</f>
        <v>Torgue</v>
      </c>
      <c r="B1603" s="102" t="str">
        <f>IFERROR(__xludf.DUMMYFUNCTION("""COMPUTED_VALUE"""),"Pistol")</f>
        <v>Pistol</v>
      </c>
      <c r="C1603" s="103">
        <f>IFERROR(__xludf.DUMMYFUNCTION("""COMPUTED_VALUE"""),19.0)</f>
        <v>19</v>
      </c>
      <c r="D1603" s="102" t="str">
        <f>IFERROR(__xludf.DUMMYFUNCTION("""COMPUTED_VALUE"""),"Stat Modifier")</f>
        <v>Stat Modifier</v>
      </c>
      <c r="E1603" s="102" t="str">
        <f>IFERROR(__xludf.DUMMYFUNCTION("""COMPUTED_VALUE"""),"TOR_PS.part_mag_ted_thrown_04_cov")</f>
        <v>TOR_PS.part_mag_ted_thrown_04_cov</v>
      </c>
      <c r="F1603" s="102"/>
      <c r="G1603" s="102" t="str">
        <f>IFERROR(__xludf.DUMMYFUNCTION("""COMPUTED_VALUE"""),"3.0s Reload")</f>
        <v>3.0s Reload</v>
      </c>
      <c r="H1603" s="102"/>
      <c r="I1603" s="102"/>
      <c r="J1603" s="102"/>
      <c r="K1603" s="102"/>
      <c r="L1603" s="102"/>
    </row>
    <row r="1604">
      <c r="A1604" s="102" t="str">
        <f>IFERROR(__xludf.DUMMYFUNCTION("""COMPUTED_VALUE"""),"Torgue")</f>
        <v>Torgue</v>
      </c>
      <c r="B1604" s="102" t="str">
        <f>IFERROR(__xludf.DUMMYFUNCTION("""COMPUTED_VALUE"""),"Pistol")</f>
        <v>Pistol</v>
      </c>
      <c r="C1604" s="103">
        <f>IFERROR(__xludf.DUMMYFUNCTION("""COMPUTED_VALUE"""),20.0)</f>
        <v>20</v>
      </c>
      <c r="D1604" s="102" t="str">
        <f>IFERROR(__xludf.DUMMYFUNCTION("""COMPUTED_VALUE"""),"Stat Modifier")</f>
        <v>Stat Modifier</v>
      </c>
      <c r="E1604" s="102" t="str">
        <f>IFERROR(__xludf.DUMMYFUNCTION("""COMPUTED_VALUE"""),"TOR_PS.part_mag_ted_thrown_05_bor")</f>
        <v>TOR_PS.part_mag_ted_thrown_05_bor</v>
      </c>
      <c r="F1604" s="102"/>
      <c r="G1604" s="102" t="str">
        <f>IFERROR(__xludf.DUMMYFUNCTION("""COMPUTED_VALUE"""),"3.0s Reload")</f>
        <v>3.0s Reload</v>
      </c>
      <c r="H1604" s="102"/>
      <c r="I1604" s="102"/>
      <c r="J1604" s="102"/>
      <c r="K1604" s="102"/>
      <c r="L1604" s="102"/>
    </row>
    <row r="1605">
      <c r="A1605" s="102" t="str">
        <f>IFERROR(__xludf.DUMMYFUNCTION("""COMPUTED_VALUE"""),"Torgue")</f>
        <v>Torgue</v>
      </c>
      <c r="B1605" s="102" t="str">
        <f>IFERROR(__xludf.DUMMYFUNCTION("""COMPUTED_VALUE"""),"Pistol")</f>
        <v>Pistol</v>
      </c>
      <c r="C1605" s="103">
        <f>IFERROR(__xludf.DUMMYFUNCTION("""COMPUTED_VALUE"""),21.0)</f>
        <v>21</v>
      </c>
      <c r="D1605" s="102" t="str">
        <f>IFERROR(__xludf.DUMMYFUNCTION("""COMPUTED_VALUE"""),"Scope")</f>
        <v>Scope</v>
      </c>
      <c r="E1605" s="102" t="str">
        <f>IFERROR(__xludf.DUMMYFUNCTION("""COMPUTED_VALUE"""),"TOR_PS.part_scope_ironsight")</f>
        <v>TOR_PS.part_scope_ironsight</v>
      </c>
      <c r="F1605" s="102"/>
      <c r="G1605" s="102" t="str">
        <f>IFERROR(__xludf.DUMMYFUNCTION("""COMPUTED_VALUE"""),"ADS")</f>
        <v>ADS</v>
      </c>
      <c r="H1605" s="102"/>
      <c r="I1605" s="102"/>
      <c r="J1605" s="102"/>
      <c r="K1605" s="102"/>
      <c r="L1605" s="102"/>
    </row>
    <row r="1606">
      <c r="A1606" s="102" t="str">
        <f>IFERROR(__xludf.DUMMYFUNCTION("""COMPUTED_VALUE"""),"Torgue")</f>
        <v>Torgue</v>
      </c>
      <c r="B1606" s="102" t="str">
        <f>IFERROR(__xludf.DUMMYFUNCTION("""COMPUTED_VALUE"""),"Pistol")</f>
        <v>Pistol</v>
      </c>
      <c r="C1606" s="103">
        <f>IFERROR(__xludf.DUMMYFUNCTION("""COMPUTED_VALUE"""),22.0)</f>
        <v>22</v>
      </c>
      <c r="D1606" s="102" t="str">
        <f>IFERROR(__xludf.DUMMYFUNCTION("""COMPUTED_VALUE"""),"Scope")</f>
        <v>Scope</v>
      </c>
      <c r="E1606" s="102" t="str">
        <f>IFERROR(__xludf.DUMMYFUNCTION("""COMPUTED_VALUE"""),"TOR_PS.part_scope_01_lens_01")</f>
        <v>TOR_PS.part_scope_01_lens_01</v>
      </c>
      <c r="F1606" s="102"/>
      <c r="G1606" s="102" t="str">
        <f>IFERROR(__xludf.DUMMYFUNCTION("""COMPUTED_VALUE"""),"ADS")</f>
        <v>ADS</v>
      </c>
      <c r="H1606" s="102"/>
      <c r="I1606" s="102"/>
      <c r="J1606" s="102"/>
      <c r="K1606" s="102"/>
      <c r="L1606" s="102"/>
    </row>
    <row r="1607">
      <c r="A1607" s="102" t="str">
        <f>IFERROR(__xludf.DUMMYFUNCTION("""COMPUTED_VALUE"""),"Torgue")</f>
        <v>Torgue</v>
      </c>
      <c r="B1607" s="102" t="str">
        <f>IFERROR(__xludf.DUMMYFUNCTION("""COMPUTED_VALUE"""),"Pistol")</f>
        <v>Pistol</v>
      </c>
      <c r="C1607" s="103">
        <f>IFERROR(__xludf.DUMMYFUNCTION("""COMPUTED_VALUE"""),23.0)</f>
        <v>23</v>
      </c>
      <c r="D1607" s="102" t="str">
        <f>IFERROR(__xludf.DUMMYFUNCTION("""COMPUTED_VALUE"""),"Scope")</f>
        <v>Scope</v>
      </c>
      <c r="E1607" s="102" t="str">
        <f>IFERROR(__xludf.DUMMYFUNCTION("""COMPUTED_VALUE"""),"TOR_PS.part_scope_01_lens_02")</f>
        <v>TOR_PS.part_scope_01_lens_02</v>
      </c>
      <c r="F1607" s="102"/>
      <c r="G1607" s="102" t="str">
        <f>IFERROR(__xludf.DUMMYFUNCTION("""COMPUTED_VALUE"""),"ADS +Zoom")</f>
        <v>ADS +Zoom</v>
      </c>
      <c r="H1607" s="102"/>
      <c r="I1607" s="102"/>
      <c r="J1607" s="102"/>
      <c r="K1607" s="102"/>
      <c r="L1607" s="102"/>
    </row>
    <row r="1608">
      <c r="A1608" s="102" t="str">
        <f>IFERROR(__xludf.DUMMYFUNCTION("""COMPUTED_VALUE"""),"Torgue")</f>
        <v>Torgue</v>
      </c>
      <c r="B1608" s="102" t="str">
        <f>IFERROR(__xludf.DUMMYFUNCTION("""COMPUTED_VALUE"""),"Pistol")</f>
        <v>Pistol</v>
      </c>
      <c r="C1608" s="103">
        <f>IFERROR(__xludf.DUMMYFUNCTION("""COMPUTED_VALUE"""),24.0)</f>
        <v>24</v>
      </c>
      <c r="D1608" s="102" t="str">
        <f>IFERROR(__xludf.DUMMYFUNCTION("""COMPUTED_VALUE"""),"Scope")</f>
        <v>Scope</v>
      </c>
      <c r="E1608" s="102" t="str">
        <f>IFERROR(__xludf.DUMMYFUNCTION("""COMPUTED_VALUE"""),"TOR_PS.part_scope_02_lens_01")</f>
        <v>TOR_PS.part_scope_02_lens_01</v>
      </c>
      <c r="F1608" s="102"/>
      <c r="G1608" s="102" t="str">
        <f>IFERROR(__xludf.DUMMYFUNCTION("""COMPUTED_VALUE"""),"ADS ++Zoom")</f>
        <v>ADS ++Zoom</v>
      </c>
      <c r="H1608" s="102"/>
      <c r="I1608" s="102"/>
      <c r="J1608" s="102"/>
      <c r="K1608" s="102"/>
      <c r="L1608" s="102"/>
    </row>
    <row r="1609">
      <c r="A1609" s="102" t="str">
        <f>IFERROR(__xludf.DUMMYFUNCTION("""COMPUTED_VALUE"""),"Torgue")</f>
        <v>Torgue</v>
      </c>
      <c r="B1609" s="102" t="str">
        <f>IFERROR(__xludf.DUMMYFUNCTION("""COMPUTED_VALUE"""),"Pistol")</f>
        <v>Pistol</v>
      </c>
      <c r="C1609" s="103">
        <f>IFERROR(__xludf.DUMMYFUNCTION("""COMPUTED_VALUE"""),25.0)</f>
        <v>25</v>
      </c>
      <c r="D1609" s="102" t="str">
        <f>IFERROR(__xludf.DUMMYFUNCTION("""COMPUTED_VALUE"""),"Scope")</f>
        <v>Scope</v>
      </c>
      <c r="E1609" s="102" t="str">
        <f>IFERROR(__xludf.DUMMYFUNCTION("""COMPUTED_VALUE"""),"TOR_PS.part_scope_02_lens_02")</f>
        <v>TOR_PS.part_scope_02_lens_02</v>
      </c>
      <c r="F1609" s="102"/>
      <c r="G1609" s="102" t="str">
        <f>IFERROR(__xludf.DUMMYFUNCTION("""COMPUTED_VALUE"""),"ADS +++Zoom")</f>
        <v>ADS +++Zoom</v>
      </c>
      <c r="H1609" s="102"/>
      <c r="I1609" s="102"/>
      <c r="J1609" s="102"/>
      <c r="K1609" s="102"/>
      <c r="L1609" s="102"/>
    </row>
    <row r="1610">
      <c r="A1610" s="102" t="str">
        <f>IFERROR(__xludf.DUMMYFUNCTION("""COMPUTED_VALUE"""),"Torgue")</f>
        <v>Torgue</v>
      </c>
      <c r="B1610" s="102" t="str">
        <f>IFERROR(__xludf.DUMMYFUNCTION("""COMPUTED_VALUE"""),"Pistol")</f>
        <v>Pistol</v>
      </c>
      <c r="C1610" s="103">
        <f>IFERROR(__xludf.DUMMYFUNCTION("""COMPUTED_VALUE"""),26.0)</f>
        <v>26</v>
      </c>
      <c r="D1610" s="102" t="str">
        <f>IFERROR(__xludf.DUMMYFUNCTION("""COMPUTED_VALUE"""),"Scope Accessory")</f>
        <v>Scope Accessory</v>
      </c>
      <c r="E1610" s="102" t="str">
        <f>IFERROR(__xludf.DUMMYFUNCTION("""COMPUTED_VALUE"""),"TOR_PS.part_scope_acc_s01_l01_a")</f>
        <v>TOR_PS.part_scope_acc_s01_l01_a</v>
      </c>
      <c r="F1610" s="102"/>
      <c r="G1610" s="102" t="str">
        <f>IFERROR(__xludf.DUMMYFUNCTION("""COMPUTED_VALUE"""),"+Damage")</f>
        <v>+Damage</v>
      </c>
      <c r="H1610" s="102" t="str">
        <f>IFERROR(__xludf.DUMMYFUNCTION("""COMPUTED_VALUE"""),"Mag Counter, Compass")</f>
        <v>Mag Counter, Compass</v>
      </c>
      <c r="I1610" s="102"/>
      <c r="J1610" s="102"/>
      <c r="K1610" s="102"/>
      <c r="L1610" s="102"/>
    </row>
    <row r="1611">
      <c r="A1611" s="102" t="str">
        <f>IFERROR(__xludf.DUMMYFUNCTION("""COMPUTED_VALUE"""),"Torgue")</f>
        <v>Torgue</v>
      </c>
      <c r="B1611" s="102" t="str">
        <f>IFERROR(__xludf.DUMMYFUNCTION("""COMPUTED_VALUE"""),"Pistol")</f>
        <v>Pistol</v>
      </c>
      <c r="C1611" s="103">
        <f>IFERROR(__xludf.DUMMYFUNCTION("""COMPUTED_VALUE"""),27.0)</f>
        <v>27</v>
      </c>
      <c r="D1611" s="102" t="str">
        <f>IFERROR(__xludf.DUMMYFUNCTION("""COMPUTED_VALUE"""),"Scope Accessory")</f>
        <v>Scope Accessory</v>
      </c>
      <c r="E1611" s="102" t="str">
        <f>IFERROR(__xludf.DUMMYFUNCTION("""COMPUTED_VALUE"""),"TOR_PS.part_scope_acc_s01_l01_b")</f>
        <v>TOR_PS.part_scope_acc_s01_l01_b</v>
      </c>
      <c r="F1611" s="102"/>
      <c r="G1611" s="102" t="str">
        <f>IFERROR(__xludf.DUMMYFUNCTION("""COMPUTED_VALUE"""),"-Reload Speed")</f>
        <v>-Reload Speed</v>
      </c>
      <c r="H1611" s="102" t="str">
        <f>IFERROR(__xludf.DUMMYFUNCTION("""COMPUTED_VALUE"""),"Scope Hood")</f>
        <v>Scope Hood</v>
      </c>
      <c r="I1611" s="102"/>
      <c r="J1611" s="102"/>
      <c r="K1611" s="102"/>
      <c r="L1611" s="102"/>
    </row>
    <row r="1612">
      <c r="A1612" s="102" t="str">
        <f>IFERROR(__xludf.DUMMYFUNCTION("""COMPUTED_VALUE"""),"Torgue")</f>
        <v>Torgue</v>
      </c>
      <c r="B1612" s="102" t="str">
        <f>IFERROR(__xludf.DUMMYFUNCTION("""COMPUTED_VALUE"""),"Pistol")</f>
        <v>Pistol</v>
      </c>
      <c r="C1612" s="103">
        <f>IFERROR(__xludf.DUMMYFUNCTION("""COMPUTED_VALUE"""),28.0)</f>
        <v>28</v>
      </c>
      <c r="D1612" s="102" t="str">
        <f>IFERROR(__xludf.DUMMYFUNCTION("""COMPUTED_VALUE"""),"Scope Accessory")</f>
        <v>Scope Accessory</v>
      </c>
      <c r="E1612" s="102" t="str">
        <f>IFERROR(__xludf.DUMMYFUNCTION("""COMPUTED_VALUE"""),"TOR_PS.part_scope_acc_s02_l01_a")</f>
        <v>TOR_PS.part_scope_acc_s02_l01_a</v>
      </c>
      <c r="F1612" s="102"/>
      <c r="G1612" s="102" t="str">
        <f>IFERROR(__xludf.DUMMYFUNCTION("""COMPUTED_VALUE"""),"No Stat Changes")</f>
        <v>No Stat Changes</v>
      </c>
      <c r="H1612" s="102" t="str">
        <f>IFERROR(__xludf.DUMMYFUNCTION("""COMPUTED_VALUE"""),"Mag/Ammo Counter")</f>
        <v>Mag/Ammo Counter</v>
      </c>
      <c r="I1612" s="102"/>
      <c r="J1612" s="102"/>
      <c r="K1612" s="102"/>
      <c r="L1612" s="102"/>
    </row>
    <row r="1613">
      <c r="A1613" s="102" t="str">
        <f>IFERROR(__xludf.DUMMYFUNCTION("""COMPUTED_VALUE"""),"Torgue")</f>
        <v>Torgue</v>
      </c>
      <c r="B1613" s="102" t="str">
        <f>IFERROR(__xludf.DUMMYFUNCTION("""COMPUTED_VALUE"""),"Pistol")</f>
        <v>Pistol</v>
      </c>
      <c r="C1613" s="103">
        <f>IFERROR(__xludf.DUMMYFUNCTION("""COMPUTED_VALUE"""),29.0)</f>
        <v>29</v>
      </c>
      <c r="D1613" s="102" t="str">
        <f>IFERROR(__xludf.DUMMYFUNCTION("""COMPUTED_VALUE"""),"Scope Accessory")</f>
        <v>Scope Accessory</v>
      </c>
      <c r="E1613" s="102" t="str">
        <f>IFERROR(__xludf.DUMMYFUNCTION("""COMPUTED_VALUE"""),"TOR_PS.part_scope_acc_s02_l01_b")</f>
        <v>TOR_PS.part_scope_acc_s02_l01_b</v>
      </c>
      <c r="F1613" s="102"/>
      <c r="G1613" s="102" t="str">
        <f>IFERROR(__xludf.DUMMYFUNCTION("""COMPUTED_VALUE"""),"+Blast Radius")</f>
        <v>+Blast Radius</v>
      </c>
      <c r="H1613" s="102" t="str">
        <f>IFERROR(__xludf.DUMMYFUNCTION("""COMPUTED_VALUE"""),"Compass")</f>
        <v>Compass</v>
      </c>
      <c r="I1613" s="102"/>
      <c r="J1613" s="102"/>
      <c r="K1613" s="102"/>
      <c r="L1613" s="102"/>
    </row>
    <row r="1614">
      <c r="A1614" s="102" t="str">
        <f>IFERROR(__xludf.DUMMYFUNCTION("""COMPUTED_VALUE"""),"Torgue")</f>
        <v>Torgue</v>
      </c>
      <c r="B1614" s="102" t="str">
        <f>IFERROR(__xludf.DUMMYFUNCTION("""COMPUTED_VALUE"""),"Pistol")</f>
        <v>Pistol</v>
      </c>
      <c r="C1614" s="103">
        <f>IFERROR(__xludf.DUMMYFUNCTION("""COMPUTED_VALUE"""),30.0)</f>
        <v>30</v>
      </c>
      <c r="D1614" s="102" t="str">
        <f>IFERROR(__xludf.DUMMYFUNCTION("""COMPUTED_VALUE"""),"Scope Accessory")</f>
        <v>Scope Accessory</v>
      </c>
      <c r="E1614" s="102" t="str">
        <f>IFERROR(__xludf.DUMMYFUNCTION("""COMPUTED_VALUE"""),"TOR_PS.part_scope_acc_s01_l02_a")</f>
        <v>TOR_PS.part_scope_acc_s01_l02_a</v>
      </c>
      <c r="F1614" s="102"/>
      <c r="G1614" s="102" t="str">
        <f>IFERROR(__xludf.DUMMYFUNCTION("""COMPUTED_VALUE"""),"+Damage")</f>
        <v>+Damage</v>
      </c>
      <c r="H1614" s="102" t="str">
        <f>IFERROR(__xludf.DUMMYFUNCTION("""COMPUTED_VALUE"""),"Mag/Ammo Counter")</f>
        <v>Mag/Ammo Counter</v>
      </c>
      <c r="I1614" s="102"/>
      <c r="J1614" s="102"/>
      <c r="K1614" s="102"/>
      <c r="L1614" s="102"/>
    </row>
    <row r="1615">
      <c r="A1615" s="102" t="str">
        <f>IFERROR(__xludf.DUMMYFUNCTION("""COMPUTED_VALUE"""),"Torgue")</f>
        <v>Torgue</v>
      </c>
      <c r="B1615" s="102" t="str">
        <f>IFERROR(__xludf.DUMMYFUNCTION("""COMPUTED_VALUE"""),"Pistol")</f>
        <v>Pistol</v>
      </c>
      <c r="C1615" s="103">
        <f>IFERROR(__xludf.DUMMYFUNCTION("""COMPUTED_VALUE"""),31.0)</f>
        <v>31</v>
      </c>
      <c r="D1615" s="102" t="str">
        <f>IFERROR(__xludf.DUMMYFUNCTION("""COMPUTED_VALUE"""),"Scope Accessory")</f>
        <v>Scope Accessory</v>
      </c>
      <c r="E1615" s="102" t="str">
        <f>IFERROR(__xludf.DUMMYFUNCTION("""COMPUTED_VALUE"""),"TOR_PS.part_scope_acc_s01_l02_b")</f>
        <v>TOR_PS.part_scope_acc_s01_l02_b</v>
      </c>
      <c r="F1615" s="102"/>
      <c r="G1615" s="102" t="str">
        <f>IFERROR(__xludf.DUMMYFUNCTION("""COMPUTED_VALUE"""),"-Reload Speed")</f>
        <v>-Reload Speed</v>
      </c>
      <c r="H1615" s="102" t="str">
        <f>IFERROR(__xludf.DUMMYFUNCTION("""COMPUTED_VALUE"""),"Compass, Scope Hood")</f>
        <v>Compass, Scope Hood</v>
      </c>
      <c r="I1615" s="102"/>
      <c r="J1615" s="102"/>
      <c r="K1615" s="102"/>
      <c r="L1615" s="102"/>
    </row>
    <row r="1616">
      <c r="A1616" s="102" t="str">
        <f>IFERROR(__xludf.DUMMYFUNCTION("""COMPUTED_VALUE"""),"Torgue")</f>
        <v>Torgue</v>
      </c>
      <c r="B1616" s="102" t="str">
        <f>IFERROR(__xludf.DUMMYFUNCTION("""COMPUTED_VALUE"""),"Pistol")</f>
        <v>Pistol</v>
      </c>
      <c r="C1616" s="103">
        <f>IFERROR(__xludf.DUMMYFUNCTION("""COMPUTED_VALUE"""),32.0)</f>
        <v>32</v>
      </c>
      <c r="D1616" s="102" t="str">
        <f>IFERROR(__xludf.DUMMYFUNCTION("""COMPUTED_VALUE"""),"Scope Accessory")</f>
        <v>Scope Accessory</v>
      </c>
      <c r="E1616" s="102" t="str">
        <f>IFERROR(__xludf.DUMMYFUNCTION("""COMPUTED_VALUE"""),"TOR_PS.part_scope_acc_s02_l02_a")</f>
        <v>TOR_PS.part_scope_acc_s02_l02_a</v>
      </c>
      <c r="F1616" s="102"/>
      <c r="G1616" s="102" t="str">
        <f>IFERROR(__xludf.DUMMYFUNCTION("""COMPUTED_VALUE"""),"No Stat Changes")</f>
        <v>No Stat Changes</v>
      </c>
      <c r="H1616" s="102" t="str">
        <f>IFERROR(__xludf.DUMMYFUNCTION("""COMPUTED_VALUE"""),"Ammo Counter, Compass")</f>
        <v>Ammo Counter, Compass</v>
      </c>
      <c r="I1616" s="102"/>
      <c r="J1616" s="102"/>
      <c r="K1616" s="102"/>
      <c r="L1616" s="102"/>
    </row>
    <row r="1617">
      <c r="A1617" s="102" t="str">
        <f>IFERROR(__xludf.DUMMYFUNCTION("""COMPUTED_VALUE"""),"Torgue")</f>
        <v>Torgue</v>
      </c>
      <c r="B1617" s="102" t="str">
        <f>IFERROR(__xludf.DUMMYFUNCTION("""COMPUTED_VALUE"""),"Pistol")</f>
        <v>Pistol</v>
      </c>
      <c r="C1617" s="103">
        <f>IFERROR(__xludf.DUMMYFUNCTION("""COMPUTED_VALUE"""),33.0)</f>
        <v>33</v>
      </c>
      <c r="D1617" s="102" t="str">
        <f>IFERROR(__xludf.DUMMYFUNCTION("""COMPUTED_VALUE"""),"Scope Accessory")</f>
        <v>Scope Accessory</v>
      </c>
      <c r="E1617" s="102" t="str">
        <f>IFERROR(__xludf.DUMMYFUNCTION("""COMPUTED_VALUE"""),"TOR_PS.part_scope_acc_s02_l02_b")</f>
        <v>TOR_PS.part_scope_acc_s02_l02_b</v>
      </c>
      <c r="F1617" s="102"/>
      <c r="G1617" s="102" t="str">
        <f>IFERROR(__xludf.DUMMYFUNCTION("""COMPUTED_VALUE"""),"+Blast Radius")</f>
        <v>+Blast Radius</v>
      </c>
      <c r="H1617" s="102" t="str">
        <f>IFERROR(__xludf.DUMMYFUNCTION("""COMPUTED_VALUE"""),"Bullet Drop Gauge")</f>
        <v>Bullet Drop Gauge</v>
      </c>
      <c r="I1617" s="102"/>
      <c r="J1617" s="102"/>
      <c r="K1617" s="102"/>
      <c r="L1617" s="102"/>
    </row>
    <row r="1618">
      <c r="A1618" s="102" t="str">
        <f>IFERROR(__xludf.DUMMYFUNCTION("""COMPUTED_VALUE"""),"Torgue")</f>
        <v>Torgue</v>
      </c>
      <c r="B1618" s="102" t="str">
        <f>IFERROR(__xludf.DUMMYFUNCTION("""COMPUTED_VALUE"""),"Pistol")</f>
        <v>Pistol</v>
      </c>
      <c r="C1618" s="103">
        <f>IFERROR(__xludf.DUMMYFUNCTION("""COMPUTED_VALUE"""),34.0)</f>
        <v>34</v>
      </c>
      <c r="D1618" s="102" t="str">
        <f>IFERROR(__xludf.DUMMYFUNCTION("""COMPUTED_VALUE"""),"Grip")</f>
        <v>Grip</v>
      </c>
      <c r="E1618" s="102" t="str">
        <f>IFERROR(__xludf.DUMMYFUNCTION("""COMPUTED_VALUE"""),"TOR_PS.part_grip_05b_ted_homing")</f>
        <v>TOR_PS.part_grip_05b_ted_homing</v>
      </c>
      <c r="F1618" s="102"/>
      <c r="G1618" s="102" t="str">
        <f>IFERROR(__xludf.DUMMYFUNCTION("""COMPUTED_VALUE"""),"Tediore reload modifier: Homing, no stat changes")</f>
        <v>Tediore reload modifier: Homing, no stat changes</v>
      </c>
      <c r="H1618" s="102"/>
      <c r="I1618" s="102"/>
      <c r="J1618" s="102"/>
      <c r="K1618" s="102"/>
      <c r="L1618" s="102"/>
    </row>
    <row r="1619">
      <c r="A1619" s="102" t="str">
        <f>IFERROR(__xludf.DUMMYFUNCTION("""COMPUTED_VALUE"""),"Torgue")</f>
        <v>Torgue</v>
      </c>
      <c r="B1619" s="102" t="str">
        <f>IFERROR(__xludf.DUMMYFUNCTION("""COMPUTED_VALUE"""),"Pistol")</f>
        <v>Pistol</v>
      </c>
      <c r="C1619" s="103">
        <f>IFERROR(__xludf.DUMMYFUNCTION("""COMPUTED_VALUE"""),35.0)</f>
        <v>35</v>
      </c>
      <c r="D1619" s="102" t="str">
        <f>IFERROR(__xludf.DUMMYFUNCTION("""COMPUTED_VALUE"""),"Grip")</f>
        <v>Grip</v>
      </c>
      <c r="E1619" s="102" t="str">
        <f>IFERROR(__xludf.DUMMYFUNCTION("""COMPUTED_VALUE"""),"TOR_PS.part_grip_05c_ted_jav")</f>
        <v>TOR_PS.part_grip_05c_ted_jav</v>
      </c>
      <c r="F1619" s="102"/>
      <c r="G1619" s="102" t="str">
        <f>IFERROR(__xludf.DUMMYFUNCTION("""COMPUTED_VALUE"""),"Tediore reload modifier: Javelin, no stat changes")</f>
        <v>Tediore reload modifier: Javelin, no stat changes</v>
      </c>
      <c r="H1619" s="102"/>
      <c r="I1619" s="102"/>
      <c r="J1619" s="102"/>
      <c r="K1619" s="102"/>
      <c r="L1619" s="102"/>
    </row>
    <row r="1620">
      <c r="A1620" s="102" t="str">
        <f>IFERROR(__xludf.DUMMYFUNCTION("""COMPUTED_VALUE"""),"Torgue")</f>
        <v>Torgue</v>
      </c>
      <c r="B1620" s="102" t="str">
        <f>IFERROR(__xludf.DUMMYFUNCTION("""COMPUTED_VALUE"""),"Pistol")</f>
        <v>Pistol</v>
      </c>
      <c r="C1620" s="103">
        <f>IFERROR(__xludf.DUMMYFUNCTION("""COMPUTED_VALUE"""),36.0)</f>
        <v>36</v>
      </c>
      <c r="D1620" s="102" t="str">
        <f>IFERROR(__xludf.DUMMYFUNCTION("""COMPUTED_VALUE"""),"Grip")</f>
        <v>Grip</v>
      </c>
      <c r="E1620" s="102" t="str">
        <f>IFERROR(__xludf.DUMMYFUNCTION("""COMPUTED_VALUE"""),"TOR_PS.part_grip_05a_ted_legs")</f>
        <v>TOR_PS.part_grip_05a_ted_legs</v>
      </c>
      <c r="F1620" s="102"/>
      <c r="G1620" s="102" t="str">
        <f>IFERROR(__xludf.DUMMYFUNCTION("""COMPUTED_VALUE"""),"Tediore reload modifier: Legs, no stat changes")</f>
        <v>Tediore reload modifier: Legs, no stat changes</v>
      </c>
      <c r="H1620" s="102"/>
      <c r="I1620" s="102"/>
      <c r="J1620" s="102"/>
      <c r="K1620" s="102"/>
      <c r="L1620" s="102"/>
    </row>
    <row r="1621">
      <c r="A1621" s="102" t="str">
        <f>IFERROR(__xludf.DUMMYFUNCTION("""COMPUTED_VALUE"""),"Torgue")</f>
        <v>Torgue</v>
      </c>
      <c r="B1621" s="102" t="str">
        <f>IFERROR(__xludf.DUMMYFUNCTION("""COMPUTED_VALUE"""),"Pistol")</f>
        <v>Pistol</v>
      </c>
      <c r="C1621" s="103">
        <f>IFERROR(__xludf.DUMMYFUNCTION("""COMPUTED_VALUE"""),37.0)</f>
        <v>37</v>
      </c>
      <c r="D1621" s="102" t="str">
        <f>IFERROR(__xludf.DUMMYFUNCTION("""COMPUTED_VALUE"""),"Grip")</f>
        <v>Grip</v>
      </c>
      <c r="E1621" s="102" t="str">
        <f>IFERROR(__xludf.DUMMYFUNCTION("""COMPUTED_VALUE"""),"TOR_PS.part_grip_01")</f>
        <v>TOR_PS.part_grip_01</v>
      </c>
      <c r="F1621" s="102"/>
      <c r="G1621" s="102" t="str">
        <f>IFERROR(__xludf.DUMMYFUNCTION("""COMPUTED_VALUE"""),"+Damage")</f>
        <v>+Damage</v>
      </c>
      <c r="H1621" s="102"/>
      <c r="I1621" s="102"/>
      <c r="J1621" s="102"/>
      <c r="K1621" s="102"/>
      <c r="L1621" s="102"/>
    </row>
    <row r="1622">
      <c r="A1622" s="102" t="str">
        <f>IFERROR(__xludf.DUMMYFUNCTION("""COMPUTED_VALUE"""),"Torgue")</f>
        <v>Torgue</v>
      </c>
      <c r="B1622" s="102" t="str">
        <f>IFERROR(__xludf.DUMMYFUNCTION("""COMPUTED_VALUE"""),"Pistol")</f>
        <v>Pistol</v>
      </c>
      <c r="C1622" s="103">
        <f>IFERROR(__xludf.DUMMYFUNCTION("""COMPUTED_VALUE"""),38.0)</f>
        <v>38</v>
      </c>
      <c r="D1622" s="102" t="str">
        <f>IFERROR(__xludf.DUMMYFUNCTION("""COMPUTED_VALUE"""),"Grip")</f>
        <v>Grip</v>
      </c>
      <c r="E1622" s="102" t="str">
        <f>IFERROR(__xludf.DUMMYFUNCTION("""COMPUTED_VALUE"""),"TOR_PS.part_grip_02")</f>
        <v>TOR_PS.part_grip_02</v>
      </c>
      <c r="F1622" s="102"/>
      <c r="G1622" s="102" t="str">
        <f>IFERROR(__xludf.DUMMYFUNCTION("""COMPUTED_VALUE"""),"+Fire Rate")</f>
        <v>+Fire Rate</v>
      </c>
      <c r="H1622" s="102"/>
      <c r="I1622" s="102"/>
      <c r="J1622" s="102"/>
      <c r="K1622" s="102"/>
      <c r="L1622" s="102"/>
    </row>
    <row r="1623">
      <c r="A1623" s="102" t="str">
        <f>IFERROR(__xludf.DUMMYFUNCTION("""COMPUTED_VALUE"""),"Torgue")</f>
        <v>Torgue</v>
      </c>
      <c r="B1623" s="102" t="str">
        <f>IFERROR(__xludf.DUMMYFUNCTION("""COMPUTED_VALUE"""),"Pistol")</f>
        <v>Pistol</v>
      </c>
      <c r="C1623" s="103">
        <f>IFERROR(__xludf.DUMMYFUNCTION("""COMPUTED_VALUE"""),39.0)</f>
        <v>39</v>
      </c>
      <c r="D1623" s="102" t="str">
        <f>IFERROR(__xludf.DUMMYFUNCTION("""COMPUTED_VALUE"""),"Grip")</f>
        <v>Grip</v>
      </c>
      <c r="E1623" s="102" t="str">
        <f>IFERROR(__xludf.DUMMYFUNCTION("""COMPUTED_VALUE"""),"TOR_PS.part_grip_03")</f>
        <v>TOR_PS.part_grip_03</v>
      </c>
      <c r="F1623" s="102"/>
      <c r="G1623" s="102" t="str">
        <f>IFERROR(__xludf.DUMMYFUNCTION("""COMPUTED_VALUE"""),"-Reload Speed")</f>
        <v>-Reload Speed</v>
      </c>
      <c r="H1623" s="102"/>
      <c r="I1623" s="102"/>
      <c r="J1623" s="102"/>
      <c r="K1623" s="102"/>
      <c r="L1623" s="102"/>
    </row>
    <row r="1624">
      <c r="A1624" s="102" t="str">
        <f>IFERROR(__xludf.DUMMYFUNCTION("""COMPUTED_VALUE"""),"Torgue")</f>
        <v>Torgue</v>
      </c>
      <c r="B1624" s="102" t="str">
        <f>IFERROR(__xludf.DUMMYFUNCTION("""COMPUTED_VALUE"""),"Pistol")</f>
        <v>Pistol</v>
      </c>
      <c r="C1624" s="103">
        <f>IFERROR(__xludf.DUMMYFUNCTION("""COMPUTED_VALUE"""),40.0)</f>
        <v>40</v>
      </c>
      <c r="D1624" s="102" t="str">
        <f>IFERROR(__xludf.DUMMYFUNCTION("""COMPUTED_VALUE"""),"Grip")</f>
        <v>Grip</v>
      </c>
      <c r="E1624" s="102" t="str">
        <f>IFERROR(__xludf.DUMMYFUNCTION("""COMPUTED_VALUE"""),"TOR_PS.part_grip_04_hyp")</f>
        <v>TOR_PS.part_grip_04_hyp</v>
      </c>
      <c r="F1624" s="102"/>
      <c r="G1624" s="102" t="str">
        <f>IFERROR(__xludf.DUMMYFUNCTION("""COMPUTED_VALUE"""),"Hyperion Grip, -Acc, Acc increases with continuous fire")</f>
        <v>Hyperion Grip, -Acc, Acc increases with continuous fire</v>
      </c>
      <c r="H1624" s="102"/>
      <c r="I1624" s="102"/>
      <c r="J1624" s="102"/>
      <c r="K1624" s="102"/>
      <c r="L1624" s="102"/>
    </row>
    <row r="1625">
      <c r="A1625" s="102" t="str">
        <f>IFERROR(__xludf.DUMMYFUNCTION("""COMPUTED_VALUE"""),"Torgue")</f>
        <v>Torgue</v>
      </c>
      <c r="B1625" s="102" t="str">
        <f>IFERROR(__xludf.DUMMYFUNCTION("""COMPUTED_VALUE"""),"Pistol")</f>
        <v>Pistol</v>
      </c>
      <c r="C1625" s="103">
        <f>IFERROR(__xludf.DUMMYFUNCTION("""COMPUTED_VALUE"""),41.0)</f>
        <v>41</v>
      </c>
      <c r="D1625" s="102" t="str">
        <f>IFERROR(__xludf.DUMMYFUNCTION("""COMPUTED_VALUE"""),"Underbarrel")</f>
        <v>Underbarrel</v>
      </c>
      <c r="E1625" s="102" t="str">
        <f>IFERROR(__xludf.DUMMYFUNCTION("""COMPUTED_VALUE"""),"TOR_PS.part_underbarrel_05_ammoswitcher")</f>
        <v>TOR_PS.part_underbarrel_05_ammoswitcher</v>
      </c>
      <c r="F1625" s="102"/>
      <c r="G1625" s="102" t="str">
        <f>IFERROR(__xludf.DUMMYFUNCTION("""COMPUTED_VALUE"""),"Daedalus Ammo Switch")</f>
        <v>Daedalus Ammo Switch</v>
      </c>
      <c r="H1625" s="102" t="str">
        <f>IFERROR(__xludf.DUMMYFUNCTION("""COMPUTED_VALUE"""),"Used for Daedalus Ammo switch")</f>
        <v>Used for Daedalus Ammo switch</v>
      </c>
      <c r="I1625" s="102"/>
      <c r="J1625" s="102"/>
      <c r="K1625" s="102"/>
      <c r="L1625" s="102"/>
    </row>
    <row r="1626">
      <c r="A1626" s="102" t="str">
        <f>IFERROR(__xludf.DUMMYFUNCTION("""COMPUTED_VALUE"""),"Torgue")</f>
        <v>Torgue</v>
      </c>
      <c r="B1626" s="102" t="str">
        <f>IFERROR(__xludf.DUMMYFUNCTION("""COMPUTED_VALUE"""),"Pistol")</f>
        <v>Pistol</v>
      </c>
      <c r="C1626" s="103">
        <f>IFERROR(__xludf.DUMMYFUNCTION("""COMPUTED_VALUE"""),42.0)</f>
        <v>42</v>
      </c>
      <c r="D1626" s="102" t="str">
        <f>IFERROR(__xludf.DUMMYFUNCTION("""COMPUTED_VALUE"""),"Underbarrel")</f>
        <v>Underbarrel</v>
      </c>
      <c r="E1626" s="102" t="str">
        <f>IFERROR(__xludf.DUMMYFUNCTION("""COMPUTED_VALUE"""),"TOR_PS.part_underbarrel_06_malswitch")</f>
        <v>TOR_PS.part_underbarrel_06_malswitch</v>
      </c>
      <c r="F1626" s="102"/>
      <c r="G1626" s="102" t="str">
        <f>IFERROR(__xludf.DUMMYFUNCTION("""COMPUTED_VALUE"""),"Maliwan Element Switch")</f>
        <v>Maliwan Element Switch</v>
      </c>
      <c r="H1626" s="102" t="str">
        <f>IFERROR(__xludf.DUMMYFUNCTION("""COMPUTED_VALUE"""),"Used for Maliwan elemental switch")</f>
        <v>Used for Maliwan elemental switch</v>
      </c>
      <c r="I1626" s="102"/>
      <c r="J1626" s="102"/>
      <c r="K1626" s="102"/>
      <c r="L1626" s="102"/>
    </row>
    <row r="1627">
      <c r="A1627" s="102" t="str">
        <f>IFERROR(__xludf.DUMMYFUNCTION("""COMPUTED_VALUE"""),"Torgue")</f>
        <v>Torgue</v>
      </c>
      <c r="B1627" s="102" t="str">
        <f>IFERROR(__xludf.DUMMYFUNCTION("""COMPUTED_VALUE"""),"Pistol")</f>
        <v>Pistol</v>
      </c>
      <c r="C1627" s="103">
        <f>IFERROR(__xludf.DUMMYFUNCTION("""COMPUTED_VALUE"""),43.0)</f>
        <v>43</v>
      </c>
      <c r="D1627" s="102" t="str">
        <f>IFERROR(__xludf.DUMMYFUNCTION("""COMPUTED_VALUE"""),"Underbarrel")</f>
        <v>Underbarrel</v>
      </c>
      <c r="E1627" s="102" t="str">
        <f>IFERROR(__xludf.DUMMYFUNCTION("""COMPUTED_VALUE"""),"TOR_PS.part_underbarrel_04_atlas_ball")</f>
        <v>TOR_PS.part_underbarrel_04_atlas_ball</v>
      </c>
      <c r="F1627" s="102"/>
      <c r="G1627" s="102" t="str">
        <f>IFERROR(__xludf.DUMMYFUNCTION("""COMPUTED_VALUE"""),"Atlas Tracker Grenades")</f>
        <v>Atlas Tracker Grenades</v>
      </c>
      <c r="H1627" s="102"/>
      <c r="I1627" s="102"/>
      <c r="J1627" s="102"/>
      <c r="K1627" s="102"/>
      <c r="L1627" s="102"/>
    </row>
    <row r="1628">
      <c r="A1628" s="102" t="str">
        <f>IFERROR(__xludf.DUMMYFUNCTION("""COMPUTED_VALUE"""),"Torgue")</f>
        <v>Torgue</v>
      </c>
      <c r="B1628" s="102" t="str">
        <f>IFERROR(__xludf.DUMMYFUNCTION("""COMPUTED_VALUE"""),"Pistol")</f>
        <v>Pistol</v>
      </c>
      <c r="C1628" s="103">
        <f>IFERROR(__xludf.DUMMYFUNCTION("""COMPUTED_VALUE"""),44.0)</f>
        <v>44</v>
      </c>
      <c r="D1628" s="102" t="str">
        <f>IFERROR(__xludf.DUMMYFUNCTION("""COMPUTED_VALUE"""),"Underbarrel")</f>
        <v>Underbarrel</v>
      </c>
      <c r="E1628" s="102" t="str">
        <f>IFERROR(__xludf.DUMMYFUNCTION("""COMPUTED_VALUE"""),"TOR_PS.part_underbarrel_01_rockets")</f>
        <v>TOR_PS.part_underbarrel_01_rockets</v>
      </c>
      <c r="F1628" s="102"/>
      <c r="G1628" s="102" t="str">
        <f>IFERROR(__xludf.DUMMYFUNCTION("""COMPUTED_VALUE"""),"Alt Fire - Magnum Rockets")</f>
        <v>Alt Fire - Magnum Rockets</v>
      </c>
      <c r="H1628" s="102"/>
      <c r="I1628" s="102"/>
      <c r="J1628" s="102"/>
      <c r="K1628" s="102"/>
      <c r="L1628" s="102"/>
    </row>
    <row r="1629">
      <c r="A1629" s="102" t="str">
        <f>IFERROR(__xludf.DUMMYFUNCTION("""COMPUTED_VALUE"""),"Torgue")</f>
        <v>Torgue</v>
      </c>
      <c r="B1629" s="102" t="str">
        <f>IFERROR(__xludf.DUMMYFUNCTION("""COMPUTED_VALUE"""),"Pistol")</f>
        <v>Pistol</v>
      </c>
      <c r="C1629" s="103">
        <f>IFERROR(__xludf.DUMMYFUNCTION("""COMPUTED_VALUE"""),45.0)</f>
        <v>45</v>
      </c>
      <c r="D1629" s="102" t="str">
        <f>IFERROR(__xludf.DUMMYFUNCTION("""COMPUTED_VALUE"""),"Underbarrel")</f>
        <v>Underbarrel</v>
      </c>
      <c r="E1629" s="102" t="str">
        <f>IFERROR(__xludf.DUMMYFUNCTION("""COMPUTED_VALUE"""),"TOR_PS.part_underbarrel_03_cleaver")</f>
        <v>TOR_PS.part_underbarrel_03_cleaver</v>
      </c>
      <c r="F1629" s="102"/>
      <c r="G1629" s="102" t="str">
        <f>IFERROR(__xludf.DUMMYFUNCTION("""COMPUTED_VALUE"""),"Alt Fire - Turbine Cleaver")</f>
        <v>Alt Fire - Turbine Cleaver</v>
      </c>
      <c r="H1629" s="102"/>
      <c r="I1629" s="102"/>
      <c r="J1629" s="102"/>
      <c r="K1629" s="102"/>
      <c r="L1629" s="102"/>
    </row>
    <row r="1630">
      <c r="A1630" s="102" t="str">
        <f>IFERROR(__xludf.DUMMYFUNCTION("""COMPUTED_VALUE"""),"Torgue")</f>
        <v>Torgue</v>
      </c>
      <c r="B1630" s="102" t="str">
        <f>IFERROR(__xludf.DUMMYFUNCTION("""COMPUTED_VALUE"""),"Pistol")</f>
        <v>Pistol</v>
      </c>
      <c r="C1630" s="103">
        <f>IFERROR(__xludf.DUMMYFUNCTION("""COMPUTED_VALUE"""),46.0)</f>
        <v>46</v>
      </c>
      <c r="D1630" s="102" t="str">
        <f>IFERROR(__xludf.DUMMYFUNCTION("""COMPUTED_VALUE"""),"Foregrip")</f>
        <v>Foregrip</v>
      </c>
      <c r="E1630" s="102" t="str">
        <f>IFERROR(__xludf.DUMMYFUNCTION("""COMPUTED_VALUE"""),"TOR_PS.part_foregrip_02")</f>
        <v>TOR_PS.part_foregrip_02</v>
      </c>
      <c r="F1630" s="102"/>
      <c r="G1630" s="102" t="str">
        <f>IFERROR(__xludf.DUMMYFUNCTION("""COMPUTED_VALUE"""),"+Fire Rate")</f>
        <v>+Fire Rate</v>
      </c>
      <c r="H1630" s="102" t="str">
        <f>IFERROR(__xludf.DUMMYFUNCTION("""COMPUTED_VALUE"""),"Adding foregrip to tediore guns enables torgue gyrojets")</f>
        <v>Adding foregrip to tediore guns enables torgue gyrojets</v>
      </c>
      <c r="I1630" s="102"/>
      <c r="J1630" s="102"/>
      <c r="K1630" s="102"/>
      <c r="L1630" s="102"/>
    </row>
    <row r="1631">
      <c r="A1631" s="102" t="str">
        <f>IFERROR(__xludf.DUMMYFUNCTION("""COMPUTED_VALUE"""),"Torgue")</f>
        <v>Torgue</v>
      </c>
      <c r="B1631" s="102" t="str">
        <f>IFERROR(__xludf.DUMMYFUNCTION("""COMPUTED_VALUE"""),"Pistol")</f>
        <v>Pistol</v>
      </c>
      <c r="C1631" s="103">
        <f>IFERROR(__xludf.DUMMYFUNCTION("""COMPUTED_VALUE"""),47.0)</f>
        <v>47</v>
      </c>
      <c r="D1631" s="102" t="str">
        <f>IFERROR(__xludf.DUMMYFUNCTION("""COMPUTED_VALUE"""),"Foregrip")</f>
        <v>Foregrip</v>
      </c>
      <c r="E1631" s="102" t="str">
        <f>IFERROR(__xludf.DUMMYFUNCTION("""COMPUTED_VALUE"""),"TOR_PS.part_foregrip_03")</f>
        <v>TOR_PS.part_foregrip_03</v>
      </c>
      <c r="F1631" s="102"/>
      <c r="G1631" s="102" t="str">
        <f>IFERROR(__xludf.DUMMYFUNCTION("""COMPUTED_VALUE"""),"+Blast Radius")</f>
        <v>+Blast Radius</v>
      </c>
      <c r="H1631" s="102"/>
      <c r="I1631" s="102"/>
      <c r="J1631" s="102"/>
      <c r="K1631" s="102"/>
      <c r="L1631" s="102"/>
    </row>
    <row r="1632">
      <c r="A1632" s="102" t="str">
        <f>IFERROR(__xludf.DUMMYFUNCTION("""COMPUTED_VALUE"""),"Torgue")</f>
        <v>Torgue</v>
      </c>
      <c r="B1632" s="102" t="str">
        <f>IFERROR(__xludf.DUMMYFUNCTION("""COMPUTED_VALUE"""),"Pistol")</f>
        <v>Pistol</v>
      </c>
      <c r="C1632" s="103">
        <f>IFERROR(__xludf.DUMMYFUNCTION("""COMPUTED_VALUE"""),48.0)</f>
        <v>48</v>
      </c>
      <c r="D1632" s="102" t="str">
        <f>IFERROR(__xludf.DUMMYFUNCTION("""COMPUTED_VALUE"""),"Manufacturer Part")</f>
        <v>Manufacturer Part</v>
      </c>
      <c r="E1632" s="102" t="str">
        <f>IFERROR(__xludf.DUMMYFUNCTION("""COMPUTED_VALUE"""),"TOR_PS.part_secondary_ammo_smg")</f>
        <v>TOR_PS.part_secondary_ammo_smg</v>
      </c>
      <c r="F1632" s="102"/>
      <c r="G1632" s="102" t="str">
        <f>IFERROR(__xludf.DUMMYFUNCTION("""COMPUTED_VALUE"""),"Daedalus SMG Ammo")</f>
        <v>Daedalus SMG Ammo</v>
      </c>
      <c r="H1632" s="102"/>
      <c r="I1632" s="102"/>
      <c r="J1632" s="102"/>
      <c r="K1632" s="102"/>
      <c r="L1632" s="102"/>
    </row>
    <row r="1633">
      <c r="A1633" s="102" t="str">
        <f>IFERROR(__xludf.DUMMYFUNCTION("""COMPUTED_VALUE"""),"Torgue")</f>
        <v>Torgue</v>
      </c>
      <c r="B1633" s="102" t="str">
        <f>IFERROR(__xludf.DUMMYFUNCTION("""COMPUTED_VALUE"""),"Pistol")</f>
        <v>Pistol</v>
      </c>
      <c r="C1633" s="103">
        <f>IFERROR(__xludf.DUMMYFUNCTION("""COMPUTED_VALUE"""),49.0)</f>
        <v>49</v>
      </c>
      <c r="D1633" s="102" t="str">
        <f>IFERROR(__xludf.DUMMYFUNCTION("""COMPUTED_VALUE"""),"Manufacturer Part")</f>
        <v>Manufacturer Part</v>
      </c>
      <c r="E1633" s="102" t="str">
        <f>IFERROR(__xludf.DUMMYFUNCTION("""COMPUTED_VALUE"""),"TOR_PS.part_secondary_ammo_sg")</f>
        <v>TOR_PS.part_secondary_ammo_sg</v>
      </c>
      <c r="F1633" s="102"/>
      <c r="G1633" s="102" t="str">
        <f>IFERROR(__xludf.DUMMYFUNCTION("""COMPUTED_VALUE"""),"Daedalus Shotgun Ammo")</f>
        <v>Daedalus Shotgun Ammo</v>
      </c>
      <c r="H1633" s="102"/>
      <c r="I1633" s="102"/>
      <c r="J1633" s="102"/>
      <c r="K1633" s="102"/>
      <c r="L1633" s="102"/>
    </row>
    <row r="1634">
      <c r="A1634" s="102" t="str">
        <f>IFERROR(__xludf.DUMMYFUNCTION("""COMPUTED_VALUE"""),"Torgue")</f>
        <v>Torgue</v>
      </c>
      <c r="B1634" s="102" t="str">
        <f>IFERROR(__xludf.DUMMYFUNCTION("""COMPUTED_VALUE"""),"Pistol")</f>
        <v>Pistol</v>
      </c>
      <c r="C1634" s="103">
        <f>IFERROR(__xludf.DUMMYFUNCTION("""COMPUTED_VALUE"""),50.0)</f>
        <v>50</v>
      </c>
      <c r="D1634" s="102" t="str">
        <f>IFERROR(__xludf.DUMMYFUNCTION("""COMPUTED_VALUE"""),"Manufacturer Part")</f>
        <v>Manufacturer Part</v>
      </c>
      <c r="E1634" s="102" t="str">
        <f>IFERROR(__xludf.DUMMYFUNCTION("""COMPUTED_VALUE"""),"TOR_PS.part_secondary_ammo_ar")</f>
        <v>TOR_PS.part_secondary_ammo_ar</v>
      </c>
      <c r="F1634" s="102"/>
      <c r="G1634" s="102" t="str">
        <f>IFERROR(__xludf.DUMMYFUNCTION("""COMPUTED_VALUE"""),"Daedalus AR Ammo")</f>
        <v>Daedalus AR Ammo</v>
      </c>
      <c r="H1634" s="102"/>
      <c r="I1634" s="102"/>
      <c r="J1634" s="102"/>
      <c r="K1634" s="102"/>
      <c r="L1634" s="102"/>
    </row>
    <row r="1635">
      <c r="A1635" s="102" t="str">
        <f>IFERROR(__xludf.DUMMYFUNCTION("""COMPUTED_VALUE"""),"Torgue")</f>
        <v>Torgue</v>
      </c>
      <c r="B1635" s="102" t="str">
        <f>IFERROR(__xludf.DUMMYFUNCTION("""COMPUTED_VALUE"""),"Pistol")</f>
        <v>Pistol</v>
      </c>
      <c r="C1635" s="103">
        <f>IFERROR(__xludf.DUMMYFUNCTION("""COMPUTED_VALUE"""),51.0)</f>
        <v>51</v>
      </c>
      <c r="D1635" s="102" t="str">
        <f>IFERROR(__xludf.DUMMYFUNCTION("""COMPUTED_VALUE"""),"Manufacturer Part")</f>
        <v>Manufacturer Part</v>
      </c>
      <c r="E1635" s="102" t="str">
        <f>IFERROR(__xludf.DUMMYFUNCTION("""COMPUTED_VALUE"""),"TOR_PS.part_secondary_ammo_sr")</f>
        <v>TOR_PS.part_secondary_ammo_sr</v>
      </c>
      <c r="F1635" s="102"/>
      <c r="G1635" s="102" t="str">
        <f>IFERROR(__xludf.DUMMYFUNCTION("""COMPUTED_VALUE"""),"Daedalus SR Ammo")</f>
        <v>Daedalus SR Ammo</v>
      </c>
      <c r="H1635" s="102"/>
      <c r="I1635" s="102"/>
      <c r="J1635" s="102"/>
      <c r="K1635" s="102"/>
      <c r="L1635" s="102"/>
    </row>
    <row r="1636">
      <c r="A1636" s="102" t="str">
        <f>IFERROR(__xludf.DUMMYFUNCTION("""COMPUTED_VALUE"""),"Torgue")</f>
        <v>Torgue</v>
      </c>
      <c r="B1636" s="102" t="str">
        <f>IFERROR(__xludf.DUMMYFUNCTION("""COMPUTED_VALUE"""),"Pistol")</f>
        <v>Pistol</v>
      </c>
      <c r="C1636" s="103">
        <f>IFERROR(__xludf.DUMMYFUNCTION("""COMPUTED_VALUE"""),52.0)</f>
        <v>52</v>
      </c>
      <c r="D1636" s="102" t="str">
        <f>IFERROR(__xludf.DUMMYFUNCTION("""COMPUTED_VALUE"""),"Barrel")</f>
        <v>Barrel</v>
      </c>
      <c r="E1636" s="102" t="str">
        <f>IFERROR(__xludf.DUMMYFUNCTION("""COMPUTED_VALUE"""),"TOR_PS.part_barrel_02_queensrest")</f>
        <v>TOR_PS.part_barrel_02_queensrest</v>
      </c>
      <c r="F1636" s="102"/>
      <c r="G1636" s="102" t="str">
        <f>IFERROR(__xludf.DUMMYFUNCTION("""COMPUTED_VALUE"""),"Queen's Rest, 2231 Damage, 65% Acc, 2.6/s FR")</f>
        <v>Queen's Rest, 2231 Damage, 65% Acc, 2.6/s FR</v>
      </c>
      <c r="H1636" s="102" t="str">
        <f>IFERROR(__xludf.DUMMYFUNCTION("""COMPUTED_VALUE"""),"Royal Armory - Fires high-speed rounds, and damaging enemies has a 50% Chance to spawn a Homing Sticky Projectile")</f>
        <v>Royal Armory - Fires high-speed rounds, and damaging enemies has a 50% Chance to spawn a Homing Sticky Projectile</v>
      </c>
      <c r="I1636" s="102"/>
      <c r="J1636" s="102"/>
      <c r="K1636" s="102"/>
      <c r="L1636" s="102"/>
    </row>
    <row r="1637">
      <c r="A1637" s="102" t="str">
        <f>IFERROR(__xludf.DUMMYFUNCTION("""COMPUTED_VALUE"""),"Torgue")</f>
        <v>Torgue</v>
      </c>
      <c r="B1637" s="102" t="str">
        <f>IFERROR(__xludf.DUMMYFUNCTION("""COMPUTED_VALUE"""),"Pistol")</f>
        <v>Pistol</v>
      </c>
      <c r="C1637" s="103">
        <f>IFERROR(__xludf.DUMMYFUNCTION("""COMPUTED_VALUE"""),54.0)</f>
        <v>54</v>
      </c>
      <c r="D1637" s="102" t="str">
        <f>IFERROR(__xludf.DUMMYFUNCTION("""COMPUTED_VALUE"""),"Barrel")</f>
        <v>Barrel</v>
      </c>
      <c r="E1637" s="102" t="str">
        <f>IFERROR(__xludf.DUMMYFUNCTION("""COMPUTED_VALUE"""),"TOR_PS.part_barrel_01_roach")</f>
        <v>TOR_PS.part_barrel_01_roach</v>
      </c>
      <c r="F1637" s="102"/>
      <c r="G1637" s="102" t="str">
        <f>IFERROR(__xludf.DUMMYFUNCTION("""COMPUTED_VALUE"""),"Roach, 1338 Damage, 64% Acc, 2.2/s FR")</f>
        <v>Roach, 1338 Damage, 64% Acc, 2.2/s FR</v>
      </c>
      <c r="H1637" s="102" t="str">
        <f>IFERROR(__xludf.DUMMYFUNCTION("""COMPUTED_VALUE"""),"Flesh Eaters - Shoots eggs that hatch flying roaches when attached to flesh, living or dead")</f>
        <v>Flesh Eaters - Shoots eggs that hatch flying roaches when attached to flesh, living or dead</v>
      </c>
      <c r="I1637" s="102"/>
      <c r="J1637" s="102"/>
      <c r="K1637" s="102"/>
      <c r="L1637" s="102"/>
    </row>
    <row r="1638">
      <c r="A1638" s="102" t="str">
        <f>IFERROR(__xludf.DUMMYFUNCTION("""COMPUTED_VALUE"""),"Torgue")</f>
        <v>Torgue</v>
      </c>
      <c r="B1638" s="102" t="str">
        <f>IFERROR(__xludf.DUMMYFUNCTION("""COMPUTED_VALUE"""),"Pistol")</f>
        <v>Pistol</v>
      </c>
      <c r="C1638" s="103">
        <f>IFERROR(__xludf.DUMMYFUNCTION("""COMPUTED_VALUE"""),58.0)</f>
        <v>58</v>
      </c>
      <c r="D1638" s="102" t="str">
        <f>IFERROR(__xludf.DUMMYFUNCTION("""COMPUTED_VALUE"""),"Barrel")</f>
        <v>Barrel</v>
      </c>
      <c r="E1638" s="102" t="str">
        <f>IFERROR(__xludf.DUMMYFUNCTION("""COMPUTED_VALUE"""),"TOR_PS.part_barrel_02_breadth")</f>
        <v>TOR_PS.part_barrel_02_breadth</v>
      </c>
      <c r="F1638" s="102"/>
      <c r="G1638" s="102" t="str">
        <f>IFERROR(__xludf.DUMMYFUNCTION("""COMPUTED_VALUE"""),"Hardpoint, 1115 x 5 Damage, 51% Acc, 1.5/s FR, 2 Shot")</f>
        <v>Hardpoint, 1115 x 5 Damage, 51% Acc, 1.5/s FR, 2 Shot</v>
      </c>
      <c r="H1638" s="102" t="str">
        <f>IFERROR(__xludf.DUMMYFUNCTION("""COMPUTED_VALUE"""),"Breach")</f>
        <v>Breach</v>
      </c>
      <c r="I1638" s="102"/>
      <c r="J1638" s="102"/>
      <c r="K1638" s="102"/>
      <c r="L1638" s="102"/>
    </row>
    <row r="1639">
      <c r="A1639" s="102" t="str">
        <f>IFERROR(__xludf.DUMMYFUNCTION("""COMPUTED_VALUE"""),"Torgue")</f>
        <v>Torgue</v>
      </c>
      <c r="B1639" s="102" t="str">
        <f>IFERROR(__xludf.DUMMYFUNCTION("""COMPUTED_VALUE"""),"Pistol")</f>
        <v>Pistol</v>
      </c>
      <c r="C1639" s="103">
        <f>IFERROR(__xludf.DUMMYFUNCTION("""COMPUTED_VALUE"""),60.0)</f>
        <v>60</v>
      </c>
      <c r="D1639" s="102" t="str">
        <f>IFERROR(__xludf.DUMMYFUNCTION("""COMPUTED_VALUE"""),"Barrel Accessory")</f>
        <v>Barrel Accessory</v>
      </c>
      <c r="E1639" s="102" t="str">
        <f>IFERROR(__xludf.DUMMYFUNCTION("""COMPUTED_VALUE"""),"TOR_PS.part_barrel_01_a")</f>
        <v>TOR_PS.part_barrel_01_a</v>
      </c>
      <c r="F1639" s="102"/>
      <c r="G1639" s="102" t="str">
        <f>IFERROR(__xludf.DUMMYFUNCTION("""COMPUTED_VALUE"""),"+Damage")</f>
        <v>+Damage</v>
      </c>
      <c r="H1639" s="102"/>
      <c r="I1639" s="102"/>
      <c r="J1639" s="102"/>
      <c r="K1639" s="102"/>
      <c r="L1639" s="102"/>
    </row>
    <row r="1640">
      <c r="A1640" s="102" t="str">
        <f>IFERROR(__xludf.DUMMYFUNCTION("""COMPUTED_VALUE"""),"Torgue")</f>
        <v>Torgue</v>
      </c>
      <c r="B1640" s="102" t="str">
        <f>IFERROR(__xludf.DUMMYFUNCTION("""COMPUTED_VALUE"""),"Pistol")</f>
        <v>Pistol</v>
      </c>
      <c r="C1640" s="103">
        <f>IFERROR(__xludf.DUMMYFUNCTION("""COMPUTED_VALUE"""),61.0)</f>
        <v>61</v>
      </c>
      <c r="D1640" s="102" t="str">
        <f>IFERROR(__xludf.DUMMYFUNCTION("""COMPUTED_VALUE"""),"Barrel Accessory")</f>
        <v>Barrel Accessory</v>
      </c>
      <c r="E1640" s="102" t="str">
        <f>IFERROR(__xludf.DUMMYFUNCTION("""COMPUTED_VALUE"""),"TOR_PS.part_barrel_01_b")</f>
        <v>TOR_PS.part_barrel_01_b</v>
      </c>
      <c r="F1640" s="102"/>
      <c r="G1640" s="102" t="str">
        <f>IFERROR(__xludf.DUMMYFUNCTION("""COMPUTED_VALUE"""),"+Damage")</f>
        <v>+Damage</v>
      </c>
      <c r="H1640" s="102"/>
      <c r="I1640" s="102"/>
      <c r="J1640" s="102"/>
      <c r="K1640" s="102"/>
      <c r="L1640" s="102"/>
    </row>
    <row r="1641">
      <c r="A1641" s="102" t="str">
        <f>IFERROR(__xludf.DUMMYFUNCTION("""COMPUTED_VALUE"""),"Torgue")</f>
        <v>Torgue</v>
      </c>
      <c r="B1641" s="102" t="str">
        <f>IFERROR(__xludf.DUMMYFUNCTION("""COMPUTED_VALUE"""),"Pistol")</f>
        <v>Pistol</v>
      </c>
      <c r="C1641" s="103">
        <f>IFERROR(__xludf.DUMMYFUNCTION("""COMPUTED_VALUE"""),62.0)</f>
        <v>62</v>
      </c>
      <c r="D1641" s="102" t="str">
        <f>IFERROR(__xludf.DUMMYFUNCTION("""COMPUTED_VALUE"""),"Barrel Accessory")</f>
        <v>Barrel Accessory</v>
      </c>
      <c r="E1641" s="102" t="str">
        <f>IFERROR(__xludf.DUMMYFUNCTION("""COMPUTED_VALUE"""),"TOR_PS.part_barrel_01_c")</f>
        <v>TOR_PS.part_barrel_01_c</v>
      </c>
      <c r="F1641" s="102"/>
      <c r="G1641" s="102" t="str">
        <f>IFERROR(__xludf.DUMMYFUNCTION("""COMPUTED_VALUE"""),"+Blast Radius")</f>
        <v>+Blast Radius</v>
      </c>
      <c r="H1641" s="102"/>
      <c r="I1641" s="102"/>
      <c r="J1641" s="102"/>
      <c r="K1641" s="102"/>
      <c r="L1641" s="102"/>
    </row>
    <row r="1642">
      <c r="A1642" s="102" t="str">
        <f>IFERROR(__xludf.DUMMYFUNCTION("""COMPUTED_VALUE"""),"Torgue")</f>
        <v>Torgue</v>
      </c>
      <c r="B1642" s="102" t="str">
        <f>IFERROR(__xludf.DUMMYFUNCTION("""COMPUTED_VALUE"""),"Pistol")</f>
        <v>Pistol</v>
      </c>
      <c r="C1642" s="103">
        <f>IFERROR(__xludf.DUMMYFUNCTION("""COMPUTED_VALUE"""),63.0)</f>
        <v>63</v>
      </c>
      <c r="D1642" s="102" t="str">
        <f>IFERROR(__xludf.DUMMYFUNCTION("""COMPUTED_VALUE"""),"Barrel Accessory")</f>
        <v>Barrel Accessory</v>
      </c>
      <c r="E1642" s="102" t="str">
        <f>IFERROR(__xludf.DUMMYFUNCTION("""COMPUTED_VALUE"""),"TOR_PS.part_barrel_01_d")</f>
        <v>TOR_PS.part_barrel_01_d</v>
      </c>
      <c r="F1642" s="102"/>
      <c r="G1642" s="102" t="str">
        <f>IFERROR(__xludf.DUMMYFUNCTION("""COMPUTED_VALUE"""),"+Accuracy")</f>
        <v>+Accuracy</v>
      </c>
      <c r="H1642" s="102"/>
      <c r="I1642" s="102"/>
      <c r="J1642" s="102"/>
      <c r="K1642" s="102"/>
      <c r="L1642" s="102"/>
    </row>
    <row r="1643">
      <c r="A1643" s="102" t="str">
        <f>IFERROR(__xludf.DUMMYFUNCTION("""COMPUTED_VALUE"""),"Torgue")</f>
        <v>Torgue</v>
      </c>
      <c r="B1643" s="102" t="str">
        <f>IFERROR(__xludf.DUMMYFUNCTION("""COMPUTED_VALUE"""),"Pistol")</f>
        <v>Pistol</v>
      </c>
      <c r="C1643" s="103">
        <f>IFERROR(__xludf.DUMMYFUNCTION("""COMPUTED_VALUE"""),64.0)</f>
        <v>64</v>
      </c>
      <c r="D1643" s="102" t="str">
        <f>IFERROR(__xludf.DUMMYFUNCTION("""COMPUTED_VALUE"""),"Barrel Accessory")</f>
        <v>Barrel Accessory</v>
      </c>
      <c r="E1643" s="102" t="str">
        <f>IFERROR(__xludf.DUMMYFUNCTION("""COMPUTED_VALUE"""),"TOR_PS.part_barrel_02_a")</f>
        <v>TOR_PS.part_barrel_02_a</v>
      </c>
      <c r="F1643" s="102"/>
      <c r="G1643" s="102" t="str">
        <f>IFERROR(__xludf.DUMMYFUNCTION("""COMPUTED_VALUE"""),"+Damage")</f>
        <v>+Damage</v>
      </c>
      <c r="H1643" s="102"/>
      <c r="I1643" s="102"/>
      <c r="J1643" s="102"/>
      <c r="K1643" s="102"/>
      <c r="L1643" s="102"/>
    </row>
    <row r="1644">
      <c r="A1644" s="102" t="str">
        <f>IFERROR(__xludf.DUMMYFUNCTION("""COMPUTED_VALUE"""),"Torgue")</f>
        <v>Torgue</v>
      </c>
      <c r="B1644" s="102" t="str">
        <f>IFERROR(__xludf.DUMMYFUNCTION("""COMPUTED_VALUE"""),"Pistol")</f>
        <v>Pistol</v>
      </c>
      <c r="C1644" s="103">
        <f>IFERROR(__xludf.DUMMYFUNCTION("""COMPUTED_VALUE"""),65.0)</f>
        <v>65</v>
      </c>
      <c r="D1644" s="102" t="str">
        <f>IFERROR(__xludf.DUMMYFUNCTION("""COMPUTED_VALUE"""),"Barrel Accessory")</f>
        <v>Barrel Accessory</v>
      </c>
      <c r="E1644" s="102" t="str">
        <f>IFERROR(__xludf.DUMMYFUNCTION("""COMPUTED_VALUE"""),"TOR_PS.part_barrel_02_b")</f>
        <v>TOR_PS.part_barrel_02_b</v>
      </c>
      <c r="F1644" s="102"/>
      <c r="G1644" s="102" t="str">
        <f>IFERROR(__xludf.DUMMYFUNCTION("""COMPUTED_VALUE"""),"+Accuracy")</f>
        <v>+Accuracy</v>
      </c>
      <c r="H1644" s="102"/>
      <c r="I1644" s="102"/>
      <c r="J1644" s="102"/>
      <c r="K1644" s="102"/>
      <c r="L1644" s="102"/>
    </row>
    <row r="1645">
      <c r="A1645" s="102" t="str">
        <f>IFERROR(__xludf.DUMMYFUNCTION("""COMPUTED_VALUE"""),"Torgue")</f>
        <v>Torgue</v>
      </c>
      <c r="B1645" s="102" t="str">
        <f>IFERROR(__xludf.DUMMYFUNCTION("""COMPUTED_VALUE"""),"Pistol")</f>
        <v>Pistol</v>
      </c>
      <c r="C1645" s="103">
        <f>IFERROR(__xludf.DUMMYFUNCTION("""COMPUTED_VALUE"""),66.0)</f>
        <v>66</v>
      </c>
      <c r="D1645" s="102" t="str">
        <f>IFERROR(__xludf.DUMMYFUNCTION("""COMPUTED_VALUE"""),"Barrel Accessory")</f>
        <v>Barrel Accessory</v>
      </c>
      <c r="E1645" s="102" t="str">
        <f>IFERROR(__xludf.DUMMYFUNCTION("""COMPUTED_VALUE"""),"TOR_PS.part_barrel_02_c")</f>
        <v>TOR_PS.part_barrel_02_c</v>
      </c>
      <c r="F1645" s="102"/>
      <c r="G1645" s="102" t="str">
        <f>IFERROR(__xludf.DUMMYFUNCTION("""COMPUTED_VALUE"""),"+Fire Rate")</f>
        <v>+Fire Rate</v>
      </c>
      <c r="H1645" s="102"/>
      <c r="I1645" s="102"/>
      <c r="J1645" s="102"/>
      <c r="K1645" s="102"/>
      <c r="L1645" s="102"/>
    </row>
    <row r="1646">
      <c r="A1646" s="102" t="str">
        <f>IFERROR(__xludf.DUMMYFUNCTION("""COMPUTED_VALUE"""),"Torgue")</f>
        <v>Torgue</v>
      </c>
      <c r="B1646" s="102" t="str">
        <f>IFERROR(__xludf.DUMMYFUNCTION("""COMPUTED_VALUE"""),"Pistol")</f>
        <v>Pistol</v>
      </c>
      <c r="C1646" s="103">
        <f>IFERROR(__xludf.DUMMYFUNCTION("""COMPUTED_VALUE"""),67.0)</f>
        <v>67</v>
      </c>
      <c r="D1646" s="102" t="str">
        <f>IFERROR(__xludf.DUMMYFUNCTION("""COMPUTED_VALUE"""),"Barrel Accessory")</f>
        <v>Barrel Accessory</v>
      </c>
      <c r="E1646" s="102" t="str">
        <f>IFERROR(__xludf.DUMMYFUNCTION("""COMPUTED_VALUE"""),"TOR_PS.part_barrel_02_d")</f>
        <v>TOR_PS.part_barrel_02_d</v>
      </c>
      <c r="F1646" s="102"/>
      <c r="G1646" s="102" t="str">
        <f>IFERROR(__xludf.DUMMYFUNCTION("""COMPUTED_VALUE"""),"+Fire Rate")</f>
        <v>+Fire Rate</v>
      </c>
      <c r="H1646" s="102"/>
      <c r="I1646" s="102"/>
      <c r="J1646" s="102"/>
      <c r="K1646" s="102"/>
      <c r="L1646" s="102"/>
    </row>
    <row r="1647">
      <c r="A1647" s="102" t="str">
        <f>IFERROR(__xludf.DUMMYFUNCTION("""COMPUTED_VALUE"""),"Torgue")</f>
        <v>Torgue</v>
      </c>
      <c r="B1647" s="102" t="str">
        <f>IFERROR(__xludf.DUMMYFUNCTION("""COMPUTED_VALUE"""),"Pistol")</f>
        <v>Pistol</v>
      </c>
      <c r="C1647" s="103">
        <f>IFERROR(__xludf.DUMMYFUNCTION("""COMPUTED_VALUE"""),68.0)</f>
        <v>68</v>
      </c>
      <c r="D1647" s="102" t="str">
        <f>IFERROR(__xludf.DUMMYFUNCTION("""COMPUTED_VALUE"""),"Manufacturer Part")</f>
        <v>Manufacturer Part</v>
      </c>
      <c r="E1647" s="102" t="str">
        <f>IFERROR(__xludf.DUMMYFUNCTION("""COMPUTED_VALUE"""),"TOR_PS.part_barrel_licensed_jak")</f>
        <v>TOR_PS.part_barrel_licensed_jak</v>
      </c>
      <c r="F1647" s="102"/>
      <c r="G1647" s="102" t="str">
        <f>IFERROR(__xludf.DUMMYFUNCTION("""COMPUTED_VALUE"""),"Jakobs Ricochet")</f>
        <v>Jakobs Ricochet</v>
      </c>
      <c r="H1647" s="102"/>
      <c r="I1647" s="102"/>
      <c r="J1647" s="102"/>
      <c r="K1647" s="102"/>
      <c r="L1647" s="102"/>
    </row>
    <row r="1648">
      <c r="A1648" s="102" t="str">
        <f>IFERROR(__xludf.DUMMYFUNCTION("""COMPUTED_VALUE"""),"Torgue")</f>
        <v>Torgue</v>
      </c>
      <c r="B1648" s="102" t="str">
        <f>IFERROR(__xludf.DUMMYFUNCTION("""COMPUTED_VALUE"""),"Pistol")</f>
        <v>Pistol</v>
      </c>
      <c r="C1648" s="103">
        <f>IFERROR(__xludf.DUMMYFUNCTION("""COMPUTED_VALUE"""),69.0)</f>
        <v>69</v>
      </c>
      <c r="D1648" s="102" t="str">
        <f>IFERROR(__xludf.DUMMYFUNCTION("""COMPUTED_VALUE"""),"Manufacturer Part")</f>
        <v>Manufacturer Part</v>
      </c>
      <c r="E1648" s="102" t="str">
        <f>IFERROR(__xludf.DUMMYFUNCTION("""COMPUTED_VALUE"""),"TOR_PS.part_barrel_licensed_ted")</f>
        <v>TOR_PS.part_barrel_licensed_ted</v>
      </c>
      <c r="F1648" s="102"/>
      <c r="G1648" s="102" t="str">
        <f>IFERROR(__xludf.DUMMYFUNCTION("""COMPUTED_VALUE"""),"Tediore Reload, no stat changes")</f>
        <v>Tediore Reload, no stat changes</v>
      </c>
      <c r="H1648" s="102"/>
      <c r="I1648" s="102"/>
      <c r="J1648" s="102"/>
      <c r="K1648" s="102"/>
      <c r="L1648" s="102"/>
    </row>
    <row r="1649">
      <c r="A1649" s="102" t="str">
        <f>IFERROR(__xludf.DUMMYFUNCTION("""COMPUTED_VALUE"""),"Torgue")</f>
        <v>Torgue</v>
      </c>
      <c r="B1649" s="102" t="str">
        <f>IFERROR(__xludf.DUMMYFUNCTION("""COMPUTED_VALUE"""),"Pistol")</f>
        <v>Pistol</v>
      </c>
      <c r="C1649" s="103">
        <f>IFERROR(__xludf.DUMMYFUNCTION("""COMPUTED_VALUE"""),70.0)</f>
        <v>70</v>
      </c>
      <c r="D1649" s="102" t="str">
        <f>IFERROR(__xludf.DUMMYFUNCTION("""COMPUTED_VALUE"""),"Manufacturer Part")</f>
        <v>Manufacturer Part</v>
      </c>
      <c r="E1649" s="102" t="str">
        <f>IFERROR(__xludf.DUMMYFUNCTION("""COMPUTED_VALUE"""),"TOR_PS.part_barrel_licensed_ted_shooting")</f>
        <v>TOR_PS.part_barrel_licensed_ted_shooting</v>
      </c>
      <c r="F1649" s="102"/>
      <c r="G1649" s="102" t="str">
        <f>IFERROR(__xludf.DUMMYFUNCTION("""COMPUTED_VALUE"""),"Tediore Shooting, no stat changes")</f>
        <v>Tediore Shooting, no stat changes</v>
      </c>
      <c r="H1649" s="102"/>
      <c r="I1649" s="102"/>
      <c r="J1649" s="102"/>
      <c r="K1649" s="102"/>
      <c r="L1649" s="102"/>
    </row>
    <row r="1650">
      <c r="A1650" s="102" t="str">
        <f>IFERROR(__xludf.DUMMYFUNCTION("""COMPUTED_VALUE"""),"Torgue")</f>
        <v>Torgue</v>
      </c>
      <c r="B1650" s="102" t="str">
        <f>IFERROR(__xludf.DUMMYFUNCTION("""COMPUTED_VALUE"""),"Pistol")</f>
        <v>Pistol</v>
      </c>
      <c r="C1650" s="103">
        <f>IFERROR(__xludf.DUMMYFUNCTION("""COMPUTED_VALUE"""),71.0)</f>
        <v>71</v>
      </c>
      <c r="D1650" s="102" t="str">
        <f>IFERROR(__xludf.DUMMYFUNCTION("""COMPUTED_VALUE"""),"Manufacturer Part")</f>
        <v>Manufacturer Part</v>
      </c>
      <c r="E1650" s="102" t="str">
        <f>IFERROR(__xludf.DUMMYFUNCTION("""COMPUTED_VALUE"""),"TOR_PS.part_barrel_licensed_ted_mirv")</f>
        <v>TOR_PS.part_barrel_licensed_ted_mirv</v>
      </c>
      <c r="F1650" s="102"/>
      <c r="G1650" s="102" t="str">
        <f>IFERROR(__xludf.DUMMYFUNCTION("""COMPUTED_VALUE"""),"Tediore MIRV, no stat changes")</f>
        <v>Tediore MIRV, no stat changes</v>
      </c>
      <c r="H1650" s="102"/>
      <c r="I1650" s="102"/>
      <c r="J1650" s="102"/>
      <c r="K1650" s="102"/>
      <c r="L1650" s="102"/>
    </row>
    <row r="1651">
      <c r="A1651" s="102" t="str">
        <f>IFERROR(__xludf.DUMMYFUNCTION("""COMPUTED_VALUE"""),"Torgue")</f>
        <v>Torgue</v>
      </c>
      <c r="B1651" s="102" t="str">
        <f>IFERROR(__xludf.DUMMYFUNCTION("""COMPUTED_VALUE"""),"Pistol")</f>
        <v>Pistol</v>
      </c>
      <c r="C1651" s="103">
        <f>IFERROR(__xludf.DUMMYFUNCTION("""COMPUTED_VALUE"""),72.0)</f>
        <v>72</v>
      </c>
      <c r="D1651" s="102" t="str">
        <f>IFERROR(__xludf.DUMMYFUNCTION("""COMPUTED_VALUE"""),"Manufacturer Part")</f>
        <v>Manufacturer Part</v>
      </c>
      <c r="E1651" s="102" t="str">
        <f>IFERROR(__xludf.DUMMYFUNCTION("""COMPUTED_VALUE"""),"TOR_PS.part_barrel_licensed_ted_combo")</f>
        <v>TOR_PS.part_barrel_licensed_ted_combo</v>
      </c>
      <c r="F1651" s="102"/>
      <c r="G1651" s="102" t="str">
        <f>IFERROR(__xludf.DUMMYFUNCTION("""COMPUTED_VALUE"""),"Tediore Combo, no stat changes")</f>
        <v>Tediore Combo, no stat changes</v>
      </c>
      <c r="H1651" s="102"/>
      <c r="I1651" s="102"/>
      <c r="J1651" s="102"/>
      <c r="K1651" s="102"/>
      <c r="L1651" s="102"/>
    </row>
    <row r="1652">
      <c r="A1652" s="102" t="str">
        <f>IFERROR(__xludf.DUMMYFUNCTION("""COMPUTED_VALUE"""),"Torgue")</f>
        <v>Torgue</v>
      </c>
      <c r="B1652" s="102" t="str">
        <f>IFERROR(__xludf.DUMMYFUNCTION("""COMPUTED_VALUE"""),"Pistol")</f>
        <v>Pistol</v>
      </c>
      <c r="C1652" s="103">
        <f>IFERROR(__xludf.DUMMYFUNCTION("""COMPUTED_VALUE"""),73.0)</f>
        <v>73</v>
      </c>
      <c r="D1652" s="102" t="str">
        <f>IFERROR(__xludf.DUMMYFUNCTION("""COMPUTED_VALUE"""),"Manufacturer Part")</f>
        <v>Manufacturer Part</v>
      </c>
      <c r="E1652" s="102" t="str">
        <f>IFERROR(__xludf.DUMMYFUNCTION("""COMPUTED_VALUE"""),"TOR_PS.part_barrel_licensed_hyp")</f>
        <v>TOR_PS.part_barrel_licensed_hyp</v>
      </c>
      <c r="F1652" s="102"/>
      <c r="G1652" s="102" t="str">
        <f>IFERROR(__xludf.DUMMYFUNCTION("""COMPUTED_VALUE"""),"Hyperion Grip, -Acc, Acc increases with continuous fire")</f>
        <v>Hyperion Grip, -Acc, Acc increases with continuous fire</v>
      </c>
      <c r="H1652" s="102"/>
      <c r="I1652" s="102"/>
      <c r="J1652" s="102"/>
      <c r="K1652" s="102"/>
      <c r="L1652" s="102"/>
    </row>
    <row r="1653">
      <c r="A1653" s="102" t="str">
        <f>IFERROR(__xludf.DUMMYFUNCTION("""COMPUTED_VALUE"""),"Torgue")</f>
        <v>Torgue</v>
      </c>
      <c r="B1653" s="102" t="str">
        <f>IFERROR(__xludf.DUMMYFUNCTION("""COMPUTED_VALUE"""),"Pistol")</f>
        <v>Pistol</v>
      </c>
      <c r="C1653" s="103">
        <f>IFERROR(__xludf.DUMMYFUNCTION("""COMPUTED_VALUE"""),74.0)</f>
        <v>74</v>
      </c>
      <c r="D1653" s="102" t="str">
        <f>IFERROR(__xludf.DUMMYFUNCTION("""COMPUTED_VALUE"""),"Underbarrel")</f>
        <v>Underbarrel</v>
      </c>
      <c r="E1653" s="102" t="str">
        <f>IFERROR(__xludf.DUMMYFUNCTION("""COMPUTED_VALUE"""),"TOR_PS.part_underbarrel_04_atlas")</f>
        <v>TOR_PS.part_underbarrel_04_atlas</v>
      </c>
      <c r="F1653" s="102"/>
      <c r="G1653" s="102" t="str">
        <f>IFERROR(__xludf.DUMMYFUNCTION("""COMPUTED_VALUE"""),"Atlas Tracker Darts")</f>
        <v>Atlas Tracker Darts</v>
      </c>
      <c r="H1653" s="102"/>
      <c r="I1653" s="102"/>
      <c r="J1653" s="102"/>
      <c r="K1653" s="102"/>
      <c r="L1653" s="102"/>
    </row>
    <row r="1654">
      <c r="A1654" s="102" t="str">
        <f>IFERROR(__xludf.DUMMYFUNCTION("""COMPUTED_VALUE"""),"Torgue")</f>
        <v>Torgue</v>
      </c>
      <c r="B1654" s="102" t="str">
        <f>IFERROR(__xludf.DUMMYFUNCTION("""COMPUTED_VALUE"""),"Pistol")</f>
        <v>Pistol</v>
      </c>
      <c r="C1654" s="103">
        <f>IFERROR(__xludf.DUMMYFUNCTION("""COMPUTED_VALUE"""),75.0)</f>
        <v>75</v>
      </c>
      <c r="D1654" s="102" t="str">
        <f>IFERROR(__xludf.DUMMYFUNCTION("""COMPUTED_VALUE"""),"Underbarrel")</f>
        <v>Underbarrel</v>
      </c>
      <c r="E1654" s="102" t="str">
        <f>IFERROR(__xludf.DUMMYFUNCTION("""COMPUTED_VALUE"""),"TOR_PS.part_underbarrel_02_blowback")</f>
        <v>TOR_PS.part_underbarrel_02_blowback</v>
      </c>
      <c r="F1654" s="102"/>
      <c r="G1654" s="102" t="str">
        <f>IFERROR(__xludf.DUMMYFUNCTION("""COMPUTED_VALUE"""),"Alt Fire - Exhaust Blast")</f>
        <v>Alt Fire - Exhaust Blast</v>
      </c>
      <c r="H1654" s="102"/>
      <c r="I1654" s="102"/>
      <c r="J1654" s="102"/>
      <c r="K1654" s="102"/>
      <c r="L1654" s="102"/>
    </row>
    <row r="1655">
      <c r="A1655" s="102" t="str">
        <f>IFERROR(__xludf.DUMMYFUNCTION("""COMPUTED_VALUE"""),"Torgue")</f>
        <v>Torgue</v>
      </c>
      <c r="B1655" s="102" t="str">
        <f>IFERROR(__xludf.DUMMYFUNCTION("""COMPUTED_VALUE"""),"Pistol")</f>
        <v>Pistol</v>
      </c>
      <c r="C1655" s="103">
        <f>IFERROR(__xludf.DUMMYFUNCTION("""COMPUTED_VALUE"""),76.0)</f>
        <v>76</v>
      </c>
      <c r="D1655" s="102" t="str">
        <f>IFERROR(__xludf.DUMMYFUNCTION("""COMPUTED_VALUE"""),"Foregrip")</f>
        <v>Foregrip</v>
      </c>
      <c r="E1655" s="102" t="str">
        <f>IFERROR(__xludf.DUMMYFUNCTION("""COMPUTED_VALUE"""),"TOR_PS.part_foregrip_01")</f>
        <v>TOR_PS.part_foregrip_01</v>
      </c>
      <c r="F1655" s="102"/>
      <c r="G1655" s="102" t="str">
        <f>IFERROR(__xludf.DUMMYFUNCTION("""COMPUTED_VALUE"""),"+Damage")</f>
        <v>+Damage</v>
      </c>
      <c r="H1655" s="102"/>
      <c r="I1655" s="102"/>
      <c r="J1655" s="102"/>
      <c r="K1655" s="102"/>
      <c r="L1655" s="102"/>
    </row>
    <row r="1656">
      <c r="A1656" s="102" t="str">
        <f>IFERROR(__xludf.DUMMYFUNCTION("""COMPUTED_VALUE"""),"Torgue")</f>
        <v>Torgue</v>
      </c>
      <c r="B1656" s="102" t="str">
        <f>IFERROR(__xludf.DUMMYFUNCTION("""COMPUTED_VALUE"""),"Shotgun")</f>
        <v>Shotgun</v>
      </c>
      <c r="C1656" s="103">
        <f>IFERROR(__xludf.DUMMYFUNCTION("""COMPUTED_VALUE"""),2.0)</f>
        <v>2</v>
      </c>
      <c r="D1656" s="102" t="str">
        <f>IFERROR(__xludf.DUMMYFUNCTION("""COMPUTED_VALUE"""),"Body")</f>
        <v>Body</v>
      </c>
      <c r="E1656" s="102" t="str">
        <f>IFERROR(__xludf.DUMMYFUNCTION("""COMPUTED_VALUE"""),"TOR_SG.part_body")</f>
        <v>TOR_SG.part_body</v>
      </c>
      <c r="F1656" s="102"/>
      <c r="G1656" s="102" t="str">
        <f>IFERROR(__xludf.DUMMYFUNCTION("""COMPUTED_VALUE"""),"No Stat Changes, always present")</f>
        <v>No Stat Changes, always present</v>
      </c>
      <c r="H1656" s="102"/>
      <c r="I1656" s="102"/>
      <c r="J1656" s="102"/>
      <c r="K1656" s="102"/>
      <c r="L1656" s="102"/>
    </row>
    <row r="1657">
      <c r="A1657" s="102" t="str">
        <f>IFERROR(__xludf.DUMMYFUNCTION("""COMPUTED_VALUE"""),"Torgue")</f>
        <v>Torgue</v>
      </c>
      <c r="B1657" s="102" t="str">
        <f>IFERROR(__xludf.DUMMYFUNCTION("""COMPUTED_VALUE"""),"Shotgun")</f>
        <v>Shotgun</v>
      </c>
      <c r="C1657" s="103">
        <f>IFERROR(__xludf.DUMMYFUNCTION("""COMPUTED_VALUE"""),3.0)</f>
        <v>3</v>
      </c>
      <c r="D1657" s="102" t="str">
        <f>IFERROR(__xludf.DUMMYFUNCTION("""COMPUTED_VALUE"""),"Body Accessory")</f>
        <v>Body Accessory</v>
      </c>
      <c r="E1657" s="102" t="str">
        <f>IFERROR(__xludf.DUMMYFUNCTION("""COMPUTED_VALUE"""),"TOR_SG.part_body_a")</f>
        <v>TOR_SG.part_body_a</v>
      </c>
      <c r="F1657" s="102"/>
      <c r="G1657" s="102" t="str">
        <f>IFERROR(__xludf.DUMMYFUNCTION("""COMPUTED_VALUE"""),"-Reload Speed")</f>
        <v>-Reload Speed</v>
      </c>
      <c r="H1657" s="102"/>
      <c r="I1657" s="102"/>
      <c r="J1657" s="102"/>
      <c r="K1657" s="102"/>
      <c r="L1657" s="102"/>
    </row>
    <row r="1658">
      <c r="A1658" s="102" t="str">
        <f>IFERROR(__xludf.DUMMYFUNCTION("""COMPUTED_VALUE"""),"Torgue")</f>
        <v>Torgue</v>
      </c>
      <c r="B1658" s="102" t="str">
        <f>IFERROR(__xludf.DUMMYFUNCTION("""COMPUTED_VALUE"""),"Shotgun")</f>
        <v>Shotgun</v>
      </c>
      <c r="C1658" s="103">
        <f>IFERROR(__xludf.DUMMYFUNCTION("""COMPUTED_VALUE"""),4.0)</f>
        <v>4</v>
      </c>
      <c r="D1658" s="102" t="str">
        <f>IFERROR(__xludf.DUMMYFUNCTION("""COMPUTED_VALUE"""),"Body Accessory")</f>
        <v>Body Accessory</v>
      </c>
      <c r="E1658" s="102" t="str">
        <f>IFERROR(__xludf.DUMMYFUNCTION("""COMPUTED_VALUE"""),"TOR_SG.part_body_b")</f>
        <v>TOR_SG.part_body_b</v>
      </c>
      <c r="F1658" s="102"/>
      <c r="G1658" s="102" t="str">
        <f>IFERROR(__xludf.DUMMYFUNCTION("""COMPUTED_VALUE"""),"+Damage")</f>
        <v>+Damage</v>
      </c>
      <c r="H1658" s="102"/>
      <c r="I1658" s="102"/>
      <c r="J1658" s="102"/>
      <c r="K1658" s="102"/>
      <c r="L1658" s="102"/>
    </row>
    <row r="1659">
      <c r="A1659" s="102" t="str">
        <f>IFERROR(__xludf.DUMMYFUNCTION("""COMPUTED_VALUE"""),"Torgue")</f>
        <v>Torgue</v>
      </c>
      <c r="B1659" s="102" t="str">
        <f>IFERROR(__xludf.DUMMYFUNCTION("""COMPUTED_VALUE"""),"Shotgun")</f>
        <v>Shotgun</v>
      </c>
      <c r="C1659" s="103">
        <f>IFERROR(__xludf.DUMMYFUNCTION("""COMPUTED_VALUE"""),5.0)</f>
        <v>5</v>
      </c>
      <c r="D1659" s="102" t="str">
        <f>IFERROR(__xludf.DUMMYFUNCTION("""COMPUTED_VALUE"""),"Body Accessory")</f>
        <v>Body Accessory</v>
      </c>
      <c r="E1659" s="102" t="str">
        <f>IFERROR(__xludf.DUMMYFUNCTION("""COMPUTED_VALUE"""),"TOR_SG.part_body_c")</f>
        <v>TOR_SG.part_body_c</v>
      </c>
      <c r="F1659" s="102"/>
      <c r="G1659" s="102" t="str">
        <f>IFERROR(__xludf.DUMMYFUNCTION("""COMPUTED_VALUE"""),"+Accuracy")</f>
        <v>+Accuracy</v>
      </c>
      <c r="H1659" s="102"/>
      <c r="I1659" s="102"/>
      <c r="J1659" s="102"/>
      <c r="K1659" s="102"/>
      <c r="L1659" s="102"/>
    </row>
    <row r="1660">
      <c r="A1660" s="102" t="str">
        <f>IFERROR(__xludf.DUMMYFUNCTION("""COMPUTED_VALUE"""),"Torgue")</f>
        <v>Torgue</v>
      </c>
      <c r="B1660" s="102" t="str">
        <f>IFERROR(__xludf.DUMMYFUNCTION("""COMPUTED_VALUE"""),"Shotgun")</f>
        <v>Shotgun</v>
      </c>
      <c r="C1660" s="103">
        <f>IFERROR(__xludf.DUMMYFUNCTION("""COMPUTED_VALUE"""),6.0)</f>
        <v>6</v>
      </c>
      <c r="D1660" s="102" t="str">
        <f>IFERROR(__xludf.DUMMYFUNCTION("""COMPUTED_VALUE"""),"Body Accessory")</f>
        <v>Body Accessory</v>
      </c>
      <c r="E1660" s="102" t="str">
        <f>IFERROR(__xludf.DUMMYFUNCTION("""COMPUTED_VALUE"""),"TOR_SG.part_body_d")</f>
        <v>TOR_SG.part_body_d</v>
      </c>
      <c r="F1660" s="102"/>
      <c r="G1660" s="102" t="str">
        <f>IFERROR(__xludf.DUMMYFUNCTION("""COMPUTED_VALUE"""),"No Stat Changes")</f>
        <v>No Stat Changes</v>
      </c>
      <c r="H1660" s="102"/>
      <c r="I1660" s="102"/>
      <c r="J1660" s="102"/>
      <c r="K1660" s="102"/>
      <c r="L1660" s="102"/>
    </row>
    <row r="1661">
      <c r="A1661" s="102" t="str">
        <f>IFERROR(__xludf.DUMMYFUNCTION("""COMPUTED_VALUE"""),"Torgue")</f>
        <v>Torgue</v>
      </c>
      <c r="B1661" s="102" t="str">
        <f>IFERROR(__xludf.DUMMYFUNCTION("""COMPUTED_VALUE"""),"Shotgun")</f>
        <v>Shotgun</v>
      </c>
      <c r="C1661" s="103">
        <f>IFERROR(__xludf.DUMMYFUNCTION("""COMPUTED_VALUE"""),7.0)</f>
        <v>7</v>
      </c>
      <c r="D1661" s="102" t="str">
        <f>IFERROR(__xludf.DUMMYFUNCTION("""COMPUTED_VALUE"""),"Barrel")</f>
        <v>Barrel</v>
      </c>
      <c r="E1661" s="102" t="str">
        <f>IFERROR(__xludf.DUMMYFUNCTION("""COMPUTED_VALUE"""),"TOR_SG.part_barrel_01")</f>
        <v>TOR_SG.part_barrel_01</v>
      </c>
      <c r="F1661" s="102"/>
      <c r="G1661" s="102" t="str">
        <f>IFERROR(__xludf.DUMMYFUNCTION("""COMPUTED_VALUE"""),"Rider, 1485 x 4 Damage, 67% Acc, 1.2/s FR - 2 Shot")</f>
        <v>Rider, 1485 x 4 Damage, 67% Acc, 1.2/s FR - 2 Shot</v>
      </c>
      <c r="H1661" s="102"/>
      <c r="I1661" s="102"/>
      <c r="J1661" s="102"/>
      <c r="K1661" s="102"/>
      <c r="L1661" s="102"/>
    </row>
    <row r="1662">
      <c r="A1662" s="102" t="str">
        <f>IFERROR(__xludf.DUMMYFUNCTION("""COMPUTED_VALUE"""),"Torgue")</f>
        <v>Torgue</v>
      </c>
      <c r="B1662" s="102" t="str">
        <f>IFERROR(__xludf.DUMMYFUNCTION("""COMPUTED_VALUE"""),"Shotgun")</f>
        <v>Shotgun</v>
      </c>
      <c r="C1662" s="103">
        <f>IFERROR(__xludf.DUMMYFUNCTION("""COMPUTED_VALUE"""),8.0)</f>
        <v>8</v>
      </c>
      <c r="D1662" s="102" t="str">
        <f>IFERROR(__xludf.DUMMYFUNCTION("""COMPUTED_VALUE"""),"Barrel")</f>
        <v>Barrel</v>
      </c>
      <c r="E1662" s="102" t="str">
        <f>IFERROR(__xludf.DUMMYFUNCTION("""COMPUTED_VALUE"""),"TOR_SG.part_barrel_02")</f>
        <v>TOR_SG.part_barrel_02</v>
      </c>
      <c r="F1662" s="102"/>
      <c r="G1662" s="102" t="str">
        <f>IFERROR(__xludf.DUMMYFUNCTION("""COMPUTED_VALUE"""),"Crank, 1673 x 4 Damage, 70% Acc, 1.0/s FR - 2 Shot")</f>
        <v>Crank, 1673 x 4 Damage, 70% Acc, 1.0/s FR - 2 Shot</v>
      </c>
      <c r="H1662" s="102"/>
      <c r="I1662" s="102"/>
      <c r="J1662" s="102"/>
      <c r="K1662" s="102"/>
      <c r="L1662" s="102"/>
    </row>
    <row r="1663">
      <c r="A1663" s="102" t="str">
        <f>IFERROR(__xludf.DUMMYFUNCTION("""COMPUTED_VALUE"""),"Torgue")</f>
        <v>Torgue</v>
      </c>
      <c r="B1663" s="102" t="str">
        <f>IFERROR(__xludf.DUMMYFUNCTION("""COMPUTED_VALUE"""),"Shotgun")</f>
        <v>Shotgun</v>
      </c>
      <c r="C1663" s="103">
        <f>IFERROR(__xludf.DUMMYFUNCTION("""COMPUTED_VALUE"""),9.0)</f>
        <v>9</v>
      </c>
      <c r="D1663" s="102" t="str">
        <f>IFERROR(__xludf.DUMMYFUNCTION("""COMPUTED_VALUE"""),"Manufacturer Part")</f>
        <v>Manufacturer Part</v>
      </c>
      <c r="E1663" s="102" t="str">
        <f>IFERROR(__xludf.DUMMYFUNCTION("""COMPUTED_VALUE"""),"TOR_SG.part_shield_default")</f>
        <v>TOR_SG.part_shield_default</v>
      </c>
      <c r="F1663" s="102"/>
      <c r="G1663" s="102" t="str">
        <f>IFERROR(__xludf.DUMMYFUNCTION("""COMPUTED_VALUE"""),"Hyperion Shield")</f>
        <v>Hyperion Shield</v>
      </c>
      <c r="H1663" s="102"/>
      <c r="I1663" s="102"/>
      <c r="J1663" s="102"/>
      <c r="K1663" s="102"/>
      <c r="L1663" s="102"/>
    </row>
    <row r="1664">
      <c r="A1664" s="102" t="str">
        <f>IFERROR(__xludf.DUMMYFUNCTION("""COMPUTED_VALUE"""),"Torgue")</f>
        <v>Torgue</v>
      </c>
      <c r="B1664" s="102" t="str">
        <f>IFERROR(__xludf.DUMMYFUNCTION("""COMPUTED_VALUE"""),"Shotgun")</f>
        <v>Shotgun</v>
      </c>
      <c r="C1664" s="103">
        <f>IFERROR(__xludf.DUMMYFUNCTION("""COMPUTED_VALUE"""),10.0)</f>
        <v>10</v>
      </c>
      <c r="D1664" s="102" t="str">
        <f>IFERROR(__xludf.DUMMYFUNCTION("""COMPUTED_VALUE"""),"Manufacturer Part")</f>
        <v>Manufacturer Part</v>
      </c>
      <c r="E1664" s="102" t="str">
        <f>IFERROR(__xludf.DUMMYFUNCTION("""COMPUTED_VALUE"""),"TOR_SG.part_shield_ricochet")</f>
        <v>TOR_SG.part_shield_ricochet</v>
      </c>
      <c r="F1664" s="102"/>
      <c r="G1664" s="102" t="str">
        <f>IFERROR(__xludf.DUMMYFUNCTION("""COMPUTED_VALUE"""),"Hyperion Ricochet Shield")</f>
        <v>Hyperion Ricochet Shield</v>
      </c>
      <c r="H1664" s="102"/>
      <c r="I1664" s="102"/>
      <c r="J1664" s="102"/>
      <c r="K1664" s="102"/>
      <c r="L1664" s="102"/>
    </row>
    <row r="1665">
      <c r="A1665" s="102" t="str">
        <f>IFERROR(__xludf.DUMMYFUNCTION("""COMPUTED_VALUE"""),"Torgue")</f>
        <v>Torgue</v>
      </c>
      <c r="B1665" s="102" t="str">
        <f>IFERROR(__xludf.DUMMYFUNCTION("""COMPUTED_VALUE"""),"Shotgun")</f>
        <v>Shotgun</v>
      </c>
      <c r="C1665" s="103">
        <f>IFERROR(__xludf.DUMMYFUNCTION("""COMPUTED_VALUE"""),11.0)</f>
        <v>11</v>
      </c>
      <c r="D1665" s="102" t="str">
        <f>IFERROR(__xludf.DUMMYFUNCTION("""COMPUTED_VALUE"""),"Manufacturer Part")</f>
        <v>Manufacturer Part</v>
      </c>
      <c r="E1665" s="102" t="str">
        <f>IFERROR(__xludf.DUMMYFUNCTION("""COMPUTED_VALUE"""),"TOR_SG.part_shield_ammo")</f>
        <v>TOR_SG.part_shield_ammo</v>
      </c>
      <c r="F1665" s="102"/>
      <c r="G1665" s="102" t="str">
        <f>IFERROR(__xludf.DUMMYFUNCTION("""COMPUTED_VALUE"""),"Hyperion Absorb Shield")</f>
        <v>Hyperion Absorb Shield</v>
      </c>
      <c r="H1665" s="102"/>
      <c r="I1665" s="102"/>
      <c r="J1665" s="102"/>
      <c r="K1665" s="102"/>
      <c r="L1665" s="102"/>
    </row>
    <row r="1666">
      <c r="A1666" s="102" t="str">
        <f>IFERROR(__xludf.DUMMYFUNCTION("""COMPUTED_VALUE"""),"Torgue")</f>
        <v>Torgue</v>
      </c>
      <c r="B1666" s="102" t="str">
        <f>IFERROR(__xludf.DUMMYFUNCTION("""COMPUTED_VALUE"""),"Shotgun")</f>
        <v>Shotgun</v>
      </c>
      <c r="C1666" s="103">
        <f>IFERROR(__xludf.DUMMYFUNCTION("""COMPUTED_VALUE"""),12.0)</f>
        <v>12</v>
      </c>
      <c r="D1666" s="102" t="str">
        <f>IFERROR(__xludf.DUMMYFUNCTION("""COMPUTED_VALUE"""),"Manufacturer Part")</f>
        <v>Manufacturer Part</v>
      </c>
      <c r="E1666" s="102" t="str">
        <f>IFERROR(__xludf.DUMMYFUNCTION("""COMPUTED_VALUE"""),"TOR_SG.part_shield_amp")</f>
        <v>TOR_SG.part_shield_amp</v>
      </c>
      <c r="F1666" s="102"/>
      <c r="G1666" s="102" t="str">
        <f>IFERROR(__xludf.DUMMYFUNCTION("""COMPUTED_VALUE"""),"Hyperion Amp Shield")</f>
        <v>Hyperion Amp Shield</v>
      </c>
      <c r="H1666" s="102"/>
      <c r="I1666" s="102"/>
      <c r="J1666" s="102"/>
      <c r="K1666" s="102"/>
      <c r="L1666" s="102"/>
    </row>
    <row r="1667">
      <c r="A1667" s="102" t="str">
        <f>IFERROR(__xludf.DUMMYFUNCTION("""COMPUTED_VALUE"""),"Torgue")</f>
        <v>Torgue</v>
      </c>
      <c r="B1667" s="102" t="str">
        <f>IFERROR(__xludf.DUMMYFUNCTION("""COMPUTED_VALUE"""),"Shotgun")</f>
        <v>Shotgun</v>
      </c>
      <c r="C1667" s="103">
        <f>IFERROR(__xludf.DUMMYFUNCTION("""COMPUTED_VALUE"""),13.0)</f>
        <v>13</v>
      </c>
      <c r="D1667" s="102" t="str">
        <f>IFERROR(__xludf.DUMMYFUNCTION("""COMPUTED_VALUE"""),"Magazine")</f>
        <v>Magazine</v>
      </c>
      <c r="E1667" s="102" t="str">
        <f>IFERROR(__xludf.DUMMYFUNCTION("""COMPUTED_VALUE"""),"TOR_SG.part_mag_05_borg")</f>
        <v>TOR_SG.part_mag_05_borg</v>
      </c>
      <c r="F1667" s="102"/>
      <c r="G1667" s="102" t="str">
        <f>IFERROR(__xludf.DUMMYFUNCTION("""COMPUTED_VALUE"""),"2.4s Reload, -Damage, +Fire Rate, 10 Shots, Ripper Mag")</f>
        <v>2.4s Reload, -Damage, +Fire Rate, 10 Shots, Ripper Mag</v>
      </c>
      <c r="H1667" s="102"/>
      <c r="I1667" s="102"/>
      <c r="J1667" s="102"/>
      <c r="K1667" s="102"/>
      <c r="L1667" s="102"/>
    </row>
    <row r="1668">
      <c r="A1668" s="102" t="str">
        <f>IFERROR(__xludf.DUMMYFUNCTION("""COMPUTED_VALUE"""),"Torgue")</f>
        <v>Torgue</v>
      </c>
      <c r="B1668" s="102" t="str">
        <f>IFERROR(__xludf.DUMMYFUNCTION("""COMPUTED_VALUE"""),"Shotgun")</f>
        <v>Shotgun</v>
      </c>
      <c r="C1668" s="103">
        <f>IFERROR(__xludf.DUMMYFUNCTION("""COMPUTED_VALUE"""),14.0)</f>
        <v>14</v>
      </c>
      <c r="D1668" s="102" t="str">
        <f>IFERROR(__xludf.DUMMYFUNCTION("""COMPUTED_VALUE"""),"Magazine")</f>
        <v>Magazine</v>
      </c>
      <c r="E1668" s="102" t="str">
        <f>IFERROR(__xludf.DUMMYFUNCTION("""COMPUTED_VALUE"""),"TOR_SG.part_mag_04_cov")</f>
        <v>TOR_SG.part_mag_04_cov</v>
      </c>
      <c r="F1668" s="102"/>
      <c r="G1668" s="102" t="str">
        <f>IFERROR(__xludf.DUMMYFUNCTION("""COMPUTED_VALUE"""),"3.3s Reload, -Damage, -Acc, 8 Shots, CoV Mag")</f>
        <v>3.3s Reload, -Damage, -Acc, 8 Shots, CoV Mag</v>
      </c>
      <c r="H1668" s="102"/>
      <c r="I1668" s="102"/>
      <c r="J1668" s="102"/>
      <c r="K1668" s="102"/>
      <c r="L1668" s="102"/>
    </row>
    <row r="1669">
      <c r="A1669" s="102" t="str">
        <f>IFERROR(__xludf.DUMMYFUNCTION("""COMPUTED_VALUE"""),"Torgue")</f>
        <v>Torgue</v>
      </c>
      <c r="B1669" s="102" t="str">
        <f>IFERROR(__xludf.DUMMYFUNCTION("""COMPUTED_VALUE"""),"Shotgun")</f>
        <v>Shotgun</v>
      </c>
      <c r="C1669" s="103">
        <f>IFERROR(__xludf.DUMMYFUNCTION("""COMPUTED_VALUE"""),15.0)</f>
        <v>15</v>
      </c>
      <c r="D1669" s="102" t="str">
        <f>IFERROR(__xludf.DUMMYFUNCTION("""COMPUTED_VALUE"""),"Magazine")</f>
        <v>Magazine</v>
      </c>
      <c r="E1669" s="102" t="str">
        <f>IFERROR(__xludf.DUMMYFUNCTION("""COMPUTED_VALUE"""),"TOR_SG.part_mag_01")</f>
        <v>TOR_SG.part_mag_01</v>
      </c>
      <c r="F1669" s="102"/>
      <c r="G1669" s="102" t="str">
        <f>IFERROR(__xludf.DUMMYFUNCTION("""COMPUTED_VALUE"""),"2.0s Reload, 8 Shots")</f>
        <v>2.0s Reload, 8 Shots</v>
      </c>
      <c r="H1669" s="102"/>
      <c r="I1669" s="102"/>
      <c r="J1669" s="102"/>
      <c r="K1669" s="102"/>
      <c r="L1669" s="102"/>
    </row>
    <row r="1670">
      <c r="A1670" s="102" t="str">
        <f>IFERROR(__xludf.DUMMYFUNCTION("""COMPUTED_VALUE"""),"Torgue")</f>
        <v>Torgue</v>
      </c>
      <c r="B1670" s="102" t="str">
        <f>IFERROR(__xludf.DUMMYFUNCTION("""COMPUTED_VALUE"""),"Shotgun")</f>
        <v>Shotgun</v>
      </c>
      <c r="C1670" s="103">
        <f>IFERROR(__xludf.DUMMYFUNCTION("""COMPUTED_VALUE"""),16.0)</f>
        <v>16</v>
      </c>
      <c r="D1670" s="102" t="str">
        <f>IFERROR(__xludf.DUMMYFUNCTION("""COMPUTED_VALUE"""),"Magazine")</f>
        <v>Magazine</v>
      </c>
      <c r="E1670" s="102" t="str">
        <f>IFERROR(__xludf.DUMMYFUNCTION("""COMPUTED_VALUE"""),"TOR_SG.part_mag_02")</f>
        <v>TOR_SG.part_mag_02</v>
      </c>
      <c r="F1670" s="102"/>
      <c r="G1670" s="102" t="str">
        <f>IFERROR(__xludf.DUMMYFUNCTION("""COMPUTED_VALUE"""),"1.2s Reload, -Damage, 12 Shots")</f>
        <v>1.2s Reload, -Damage, 12 Shots</v>
      </c>
      <c r="H1670" s="102"/>
      <c r="I1670" s="102"/>
      <c r="J1670" s="102"/>
      <c r="K1670" s="102"/>
      <c r="L1670" s="102"/>
    </row>
    <row r="1671">
      <c r="A1671" s="102" t="str">
        <f>IFERROR(__xludf.DUMMYFUNCTION("""COMPUTED_VALUE"""),"Torgue")</f>
        <v>Torgue</v>
      </c>
      <c r="B1671" s="102" t="str">
        <f>IFERROR(__xludf.DUMMYFUNCTION("""COMPUTED_VALUE"""),"Shotgun")</f>
        <v>Shotgun</v>
      </c>
      <c r="C1671" s="103">
        <f>IFERROR(__xludf.DUMMYFUNCTION("""COMPUTED_VALUE"""),17.0)</f>
        <v>17</v>
      </c>
      <c r="D1671" s="102" t="str">
        <f>IFERROR(__xludf.DUMMYFUNCTION("""COMPUTED_VALUE"""),"Stat Modifier")</f>
        <v>Stat Modifier</v>
      </c>
      <c r="E1671" s="102" t="str">
        <f>IFERROR(__xludf.DUMMYFUNCTION("""COMPUTED_VALUE"""),"TOR_SG.part_mag_ted_thrown_01")</f>
        <v>TOR_SG.part_mag_ted_thrown_01</v>
      </c>
      <c r="F1671" s="102"/>
      <c r="G1671" s="102" t="str">
        <f>IFERROR(__xludf.DUMMYFUNCTION("""COMPUTED_VALUE"""),"2.0s Reload")</f>
        <v>2.0s Reload</v>
      </c>
      <c r="H1671" s="102"/>
      <c r="I1671" s="102"/>
      <c r="J1671" s="102"/>
      <c r="K1671" s="102"/>
      <c r="L1671" s="102"/>
    </row>
    <row r="1672">
      <c r="A1672" s="102" t="str">
        <f>IFERROR(__xludf.DUMMYFUNCTION("""COMPUTED_VALUE"""),"Torgue")</f>
        <v>Torgue</v>
      </c>
      <c r="B1672" s="102" t="str">
        <f>IFERROR(__xludf.DUMMYFUNCTION("""COMPUTED_VALUE"""),"Shotgun")</f>
        <v>Shotgun</v>
      </c>
      <c r="C1672" s="103">
        <f>IFERROR(__xludf.DUMMYFUNCTION("""COMPUTED_VALUE"""),18.0)</f>
        <v>18</v>
      </c>
      <c r="D1672" s="102" t="str">
        <f>IFERROR(__xludf.DUMMYFUNCTION("""COMPUTED_VALUE"""),"Stat Modifier")</f>
        <v>Stat Modifier</v>
      </c>
      <c r="E1672" s="102" t="str">
        <f>IFERROR(__xludf.DUMMYFUNCTION("""COMPUTED_VALUE"""),"TOR_SG.part_mag_ted_thrown_02")</f>
        <v>TOR_SG.part_mag_ted_thrown_02</v>
      </c>
      <c r="F1672" s="102"/>
      <c r="G1672" s="102" t="str">
        <f>IFERROR(__xludf.DUMMYFUNCTION("""COMPUTED_VALUE"""),"2.0s Reload")</f>
        <v>2.0s Reload</v>
      </c>
      <c r="H1672" s="102"/>
      <c r="I1672" s="102"/>
      <c r="J1672" s="102"/>
      <c r="K1672" s="102"/>
      <c r="L1672" s="102"/>
    </row>
    <row r="1673">
      <c r="A1673" s="102" t="str">
        <f>IFERROR(__xludf.DUMMYFUNCTION("""COMPUTED_VALUE"""),"Torgue")</f>
        <v>Torgue</v>
      </c>
      <c r="B1673" s="102" t="str">
        <f>IFERROR(__xludf.DUMMYFUNCTION("""COMPUTED_VALUE"""),"Shotgun")</f>
        <v>Shotgun</v>
      </c>
      <c r="C1673" s="103">
        <f>IFERROR(__xludf.DUMMYFUNCTION("""COMPUTED_VALUE"""),19.0)</f>
        <v>19</v>
      </c>
      <c r="D1673" s="102" t="str">
        <f>IFERROR(__xludf.DUMMYFUNCTION("""COMPUTED_VALUE"""),"Stat Modifier")</f>
        <v>Stat Modifier</v>
      </c>
      <c r="E1673" s="102" t="str">
        <f>IFERROR(__xludf.DUMMYFUNCTION("""COMPUTED_VALUE"""),"TOR_SG.part_mag_ted_thrown_04_cov")</f>
        <v>TOR_SG.part_mag_ted_thrown_04_cov</v>
      </c>
      <c r="F1673" s="102"/>
      <c r="G1673" s="102" t="str">
        <f>IFERROR(__xludf.DUMMYFUNCTION("""COMPUTED_VALUE"""),"3.0s Reload")</f>
        <v>3.0s Reload</v>
      </c>
      <c r="H1673" s="102"/>
      <c r="I1673" s="102"/>
      <c r="J1673" s="102"/>
      <c r="K1673" s="102"/>
      <c r="L1673" s="102"/>
    </row>
    <row r="1674">
      <c r="A1674" s="102" t="str">
        <f>IFERROR(__xludf.DUMMYFUNCTION("""COMPUTED_VALUE"""),"Torgue")</f>
        <v>Torgue</v>
      </c>
      <c r="B1674" s="102" t="str">
        <f>IFERROR(__xludf.DUMMYFUNCTION("""COMPUTED_VALUE"""),"Shotgun")</f>
        <v>Shotgun</v>
      </c>
      <c r="C1674" s="103">
        <f>IFERROR(__xludf.DUMMYFUNCTION("""COMPUTED_VALUE"""),20.0)</f>
        <v>20</v>
      </c>
      <c r="D1674" s="102" t="str">
        <f>IFERROR(__xludf.DUMMYFUNCTION("""COMPUTED_VALUE"""),"Stat Modifier")</f>
        <v>Stat Modifier</v>
      </c>
      <c r="E1674" s="102" t="str">
        <f>IFERROR(__xludf.DUMMYFUNCTION("""COMPUTED_VALUE"""),"TOR_SG.part_mag_ted_thrown_05_bor")</f>
        <v>TOR_SG.part_mag_ted_thrown_05_bor</v>
      </c>
      <c r="F1674" s="102"/>
      <c r="G1674" s="102" t="str">
        <f>IFERROR(__xludf.DUMMYFUNCTION("""COMPUTED_VALUE"""),"3.0s Reload")</f>
        <v>3.0s Reload</v>
      </c>
      <c r="H1674" s="102"/>
      <c r="I1674" s="102"/>
      <c r="J1674" s="102"/>
      <c r="K1674" s="102"/>
      <c r="L1674" s="102"/>
    </row>
    <row r="1675">
      <c r="A1675" s="102" t="str">
        <f>IFERROR(__xludf.DUMMYFUNCTION("""COMPUTED_VALUE"""),"Torgue")</f>
        <v>Torgue</v>
      </c>
      <c r="B1675" s="102" t="str">
        <f>IFERROR(__xludf.DUMMYFUNCTION("""COMPUTED_VALUE"""),"Shotgun")</f>
        <v>Shotgun</v>
      </c>
      <c r="C1675" s="103">
        <f>IFERROR(__xludf.DUMMYFUNCTION("""COMPUTED_VALUE"""),21.0)</f>
        <v>21</v>
      </c>
      <c r="D1675" s="102" t="str">
        <f>IFERROR(__xludf.DUMMYFUNCTION("""COMPUTED_VALUE"""),"Scope")</f>
        <v>Scope</v>
      </c>
      <c r="E1675" s="102" t="str">
        <f>IFERROR(__xludf.DUMMYFUNCTION("""COMPUTED_VALUE"""),"TOR_SG.part_scope_ironsight")</f>
        <v>TOR_SG.part_scope_ironsight</v>
      </c>
      <c r="F1675" s="102"/>
      <c r="G1675" s="102" t="str">
        <f>IFERROR(__xludf.DUMMYFUNCTION("""COMPUTED_VALUE"""),"ADS")</f>
        <v>ADS</v>
      </c>
      <c r="H1675" s="102"/>
      <c r="I1675" s="102"/>
      <c r="J1675" s="102"/>
      <c r="K1675" s="102"/>
      <c r="L1675" s="102"/>
    </row>
    <row r="1676">
      <c r="A1676" s="102" t="str">
        <f>IFERROR(__xludf.DUMMYFUNCTION("""COMPUTED_VALUE"""),"Torgue")</f>
        <v>Torgue</v>
      </c>
      <c r="B1676" s="102" t="str">
        <f>IFERROR(__xludf.DUMMYFUNCTION("""COMPUTED_VALUE"""),"Shotgun")</f>
        <v>Shotgun</v>
      </c>
      <c r="C1676" s="103">
        <f>IFERROR(__xludf.DUMMYFUNCTION("""COMPUTED_VALUE"""),22.0)</f>
        <v>22</v>
      </c>
      <c r="D1676" s="102" t="str">
        <f>IFERROR(__xludf.DUMMYFUNCTION("""COMPUTED_VALUE"""),"Scope")</f>
        <v>Scope</v>
      </c>
      <c r="E1676" s="102" t="str">
        <f>IFERROR(__xludf.DUMMYFUNCTION("""COMPUTED_VALUE"""),"TOR_SG.part_scope_01_lens_01")</f>
        <v>TOR_SG.part_scope_01_lens_01</v>
      </c>
      <c r="F1676" s="102"/>
      <c r="G1676" s="102" t="str">
        <f>IFERROR(__xludf.DUMMYFUNCTION("""COMPUTED_VALUE"""),"ADS")</f>
        <v>ADS</v>
      </c>
      <c r="H1676" s="102"/>
      <c r="I1676" s="102"/>
      <c r="J1676" s="102"/>
      <c r="K1676" s="102"/>
      <c r="L1676" s="102"/>
    </row>
    <row r="1677">
      <c r="A1677" s="102" t="str">
        <f>IFERROR(__xludf.DUMMYFUNCTION("""COMPUTED_VALUE"""),"Torgue")</f>
        <v>Torgue</v>
      </c>
      <c r="B1677" s="102" t="str">
        <f>IFERROR(__xludf.DUMMYFUNCTION("""COMPUTED_VALUE"""),"Shotgun")</f>
        <v>Shotgun</v>
      </c>
      <c r="C1677" s="103">
        <f>IFERROR(__xludf.DUMMYFUNCTION("""COMPUTED_VALUE"""),23.0)</f>
        <v>23</v>
      </c>
      <c r="D1677" s="102" t="str">
        <f>IFERROR(__xludf.DUMMYFUNCTION("""COMPUTED_VALUE"""),"Scope")</f>
        <v>Scope</v>
      </c>
      <c r="E1677" s="102" t="str">
        <f>IFERROR(__xludf.DUMMYFUNCTION("""COMPUTED_VALUE"""),"TOR_SG.part_scope_01_lens_02")</f>
        <v>TOR_SG.part_scope_01_lens_02</v>
      </c>
      <c r="F1677" s="102"/>
      <c r="G1677" s="102" t="str">
        <f>IFERROR(__xludf.DUMMYFUNCTION("""COMPUTED_VALUE"""),"ADS +Zoom")</f>
        <v>ADS +Zoom</v>
      </c>
      <c r="H1677" s="102"/>
      <c r="I1677" s="102"/>
      <c r="J1677" s="102"/>
      <c r="K1677" s="102"/>
      <c r="L1677" s="102"/>
    </row>
    <row r="1678">
      <c r="A1678" s="102" t="str">
        <f>IFERROR(__xludf.DUMMYFUNCTION("""COMPUTED_VALUE"""),"Torgue")</f>
        <v>Torgue</v>
      </c>
      <c r="B1678" s="102" t="str">
        <f>IFERROR(__xludf.DUMMYFUNCTION("""COMPUTED_VALUE"""),"Shotgun")</f>
        <v>Shotgun</v>
      </c>
      <c r="C1678" s="103">
        <f>IFERROR(__xludf.DUMMYFUNCTION("""COMPUTED_VALUE"""),24.0)</f>
        <v>24</v>
      </c>
      <c r="D1678" s="102" t="str">
        <f>IFERROR(__xludf.DUMMYFUNCTION("""COMPUTED_VALUE"""),"Scope")</f>
        <v>Scope</v>
      </c>
      <c r="E1678" s="102" t="str">
        <f>IFERROR(__xludf.DUMMYFUNCTION("""COMPUTED_VALUE"""),"TOR_SG.part_scope_02_lens_01")</f>
        <v>TOR_SG.part_scope_02_lens_01</v>
      </c>
      <c r="F1678" s="102"/>
      <c r="G1678" s="102" t="str">
        <f>IFERROR(__xludf.DUMMYFUNCTION("""COMPUTED_VALUE"""),"ADS +Zoom")</f>
        <v>ADS +Zoom</v>
      </c>
      <c r="H1678" s="102"/>
      <c r="I1678" s="102"/>
      <c r="J1678" s="102"/>
      <c r="K1678" s="102"/>
      <c r="L1678" s="102"/>
    </row>
    <row r="1679">
      <c r="A1679" s="102" t="str">
        <f>IFERROR(__xludf.DUMMYFUNCTION("""COMPUTED_VALUE"""),"Torgue")</f>
        <v>Torgue</v>
      </c>
      <c r="B1679" s="102" t="str">
        <f>IFERROR(__xludf.DUMMYFUNCTION("""COMPUTED_VALUE"""),"Shotgun")</f>
        <v>Shotgun</v>
      </c>
      <c r="C1679" s="103">
        <f>IFERROR(__xludf.DUMMYFUNCTION("""COMPUTED_VALUE"""),25.0)</f>
        <v>25</v>
      </c>
      <c r="D1679" s="102" t="str">
        <f>IFERROR(__xludf.DUMMYFUNCTION("""COMPUTED_VALUE"""),"Scope")</f>
        <v>Scope</v>
      </c>
      <c r="E1679" s="102" t="str">
        <f>IFERROR(__xludf.DUMMYFUNCTION("""COMPUTED_VALUE"""),"TOR_SG.part_scope_02_lens_02")</f>
        <v>TOR_SG.part_scope_02_lens_02</v>
      </c>
      <c r="F1679" s="102"/>
      <c r="G1679" s="102" t="str">
        <f>IFERROR(__xludf.DUMMYFUNCTION("""COMPUTED_VALUE"""),"ADS +Zoom")</f>
        <v>ADS +Zoom</v>
      </c>
      <c r="H1679" s="102"/>
      <c r="I1679" s="102"/>
      <c r="J1679" s="102"/>
      <c r="K1679" s="102"/>
      <c r="L1679" s="102"/>
    </row>
    <row r="1680">
      <c r="A1680" s="102" t="str">
        <f>IFERROR(__xludf.DUMMYFUNCTION("""COMPUTED_VALUE"""),"Torgue")</f>
        <v>Torgue</v>
      </c>
      <c r="B1680" s="102" t="str">
        <f>IFERROR(__xludf.DUMMYFUNCTION("""COMPUTED_VALUE"""),"Shotgun")</f>
        <v>Shotgun</v>
      </c>
      <c r="C1680" s="103">
        <f>IFERROR(__xludf.DUMMYFUNCTION("""COMPUTED_VALUE"""),26.0)</f>
        <v>26</v>
      </c>
      <c r="D1680" s="102" t="str">
        <f>IFERROR(__xludf.DUMMYFUNCTION("""COMPUTED_VALUE"""),"Scope Accessory")</f>
        <v>Scope Accessory</v>
      </c>
      <c r="E1680" s="102" t="str">
        <f>IFERROR(__xludf.DUMMYFUNCTION("""COMPUTED_VALUE"""),"TOR_SG.part_scope_acc_s01_l01_a")</f>
        <v>TOR_SG.part_scope_acc_s01_l01_a</v>
      </c>
      <c r="F1680" s="102"/>
      <c r="G1680" s="102" t="str">
        <f>IFERROR(__xludf.DUMMYFUNCTION("""COMPUTED_VALUE"""),"+Damage")</f>
        <v>+Damage</v>
      </c>
      <c r="H1680" s="102" t="str">
        <f>IFERROR(__xludf.DUMMYFUNCTION("""COMPUTED_VALUE"""),"HUD Elements")</f>
        <v>HUD Elements</v>
      </c>
      <c r="I1680" s="102"/>
      <c r="J1680" s="102"/>
      <c r="K1680" s="102"/>
      <c r="L1680" s="102"/>
    </row>
    <row r="1681">
      <c r="A1681" s="102" t="str">
        <f>IFERROR(__xludf.DUMMYFUNCTION("""COMPUTED_VALUE"""),"Torgue")</f>
        <v>Torgue</v>
      </c>
      <c r="B1681" s="102" t="str">
        <f>IFERROR(__xludf.DUMMYFUNCTION("""COMPUTED_VALUE"""),"Shotgun")</f>
        <v>Shotgun</v>
      </c>
      <c r="C1681" s="103">
        <f>IFERROR(__xludf.DUMMYFUNCTION("""COMPUTED_VALUE"""),27.0)</f>
        <v>27</v>
      </c>
      <c r="D1681" s="102" t="str">
        <f>IFERROR(__xludf.DUMMYFUNCTION("""COMPUTED_VALUE"""),"Scope Accessory")</f>
        <v>Scope Accessory</v>
      </c>
      <c r="E1681" s="102" t="str">
        <f>IFERROR(__xludf.DUMMYFUNCTION("""COMPUTED_VALUE"""),"TOR_SG.part_scope_acc_s01_l01_b")</f>
        <v>TOR_SG.part_scope_acc_s01_l01_b</v>
      </c>
      <c r="F1681" s="102"/>
      <c r="G1681" s="102" t="str">
        <f>IFERROR(__xludf.DUMMYFUNCTION("""COMPUTED_VALUE"""),"-Reload Speed")</f>
        <v>-Reload Speed</v>
      </c>
      <c r="H1681" s="102" t="str">
        <f>IFERROR(__xludf.DUMMYFUNCTION("""COMPUTED_VALUE"""),"Mag/Ammo Counter")</f>
        <v>Mag/Ammo Counter</v>
      </c>
      <c r="I1681" s="102"/>
      <c r="J1681" s="102"/>
      <c r="K1681" s="102"/>
      <c r="L1681" s="102"/>
    </row>
    <row r="1682">
      <c r="A1682" s="102" t="str">
        <f>IFERROR(__xludf.DUMMYFUNCTION("""COMPUTED_VALUE"""),"Torgue")</f>
        <v>Torgue</v>
      </c>
      <c r="B1682" s="102" t="str">
        <f>IFERROR(__xludf.DUMMYFUNCTION("""COMPUTED_VALUE"""),"Shotgun")</f>
        <v>Shotgun</v>
      </c>
      <c r="C1682" s="103">
        <f>IFERROR(__xludf.DUMMYFUNCTION("""COMPUTED_VALUE"""),28.0)</f>
        <v>28</v>
      </c>
      <c r="D1682" s="102" t="str">
        <f>IFERROR(__xludf.DUMMYFUNCTION("""COMPUTED_VALUE"""),"Scope Accessory")</f>
        <v>Scope Accessory</v>
      </c>
      <c r="E1682" s="102" t="str">
        <f>IFERROR(__xludf.DUMMYFUNCTION("""COMPUTED_VALUE"""),"TOR_SG.part_scope_acc_s02_l01_a")</f>
        <v>TOR_SG.part_scope_acc_s02_l01_a</v>
      </c>
      <c r="F1682" s="102"/>
      <c r="G1682" s="102" t="str">
        <f>IFERROR(__xludf.DUMMYFUNCTION("""COMPUTED_VALUE"""),"No Stat Changes")</f>
        <v>No Stat Changes</v>
      </c>
      <c r="H1682" s="102" t="str">
        <f>IFERROR(__xludf.DUMMYFUNCTION("""COMPUTED_VALUE"""),"HUD Elements")</f>
        <v>HUD Elements</v>
      </c>
      <c r="I1682" s="102"/>
      <c r="J1682" s="102"/>
      <c r="K1682" s="102"/>
      <c r="L1682" s="102"/>
    </row>
    <row r="1683">
      <c r="A1683" s="102" t="str">
        <f>IFERROR(__xludf.DUMMYFUNCTION("""COMPUTED_VALUE"""),"Torgue")</f>
        <v>Torgue</v>
      </c>
      <c r="B1683" s="102" t="str">
        <f>IFERROR(__xludf.DUMMYFUNCTION("""COMPUTED_VALUE"""),"Shotgun")</f>
        <v>Shotgun</v>
      </c>
      <c r="C1683" s="103">
        <f>IFERROR(__xludf.DUMMYFUNCTION("""COMPUTED_VALUE"""),29.0)</f>
        <v>29</v>
      </c>
      <c r="D1683" s="102" t="str">
        <f>IFERROR(__xludf.DUMMYFUNCTION("""COMPUTED_VALUE"""),"Scope Accessory")</f>
        <v>Scope Accessory</v>
      </c>
      <c r="E1683" s="102" t="str">
        <f>IFERROR(__xludf.DUMMYFUNCTION("""COMPUTED_VALUE"""),"TOR_SG.part_scope_acc_s02_l01_b")</f>
        <v>TOR_SG.part_scope_acc_s02_l01_b</v>
      </c>
      <c r="F1683" s="102"/>
      <c r="G1683" s="102" t="str">
        <f>IFERROR(__xludf.DUMMYFUNCTION("""COMPUTED_VALUE"""),"+Blast Radius")</f>
        <v>+Blast Radius</v>
      </c>
      <c r="H1683" s="102" t="str">
        <f>IFERROR(__xludf.DUMMYFUNCTION("""COMPUTED_VALUE"""),"Bullet Drop Gauge")</f>
        <v>Bullet Drop Gauge</v>
      </c>
      <c r="I1683" s="102"/>
      <c r="J1683" s="102"/>
      <c r="K1683" s="102"/>
      <c r="L1683" s="102"/>
    </row>
    <row r="1684">
      <c r="A1684" s="102" t="str">
        <f>IFERROR(__xludf.DUMMYFUNCTION("""COMPUTED_VALUE"""),"Torgue")</f>
        <v>Torgue</v>
      </c>
      <c r="B1684" s="102" t="str">
        <f>IFERROR(__xludf.DUMMYFUNCTION("""COMPUTED_VALUE"""),"Shotgun")</f>
        <v>Shotgun</v>
      </c>
      <c r="C1684" s="103">
        <f>IFERROR(__xludf.DUMMYFUNCTION("""COMPUTED_VALUE"""),30.0)</f>
        <v>30</v>
      </c>
      <c r="D1684" s="102" t="str">
        <f>IFERROR(__xludf.DUMMYFUNCTION("""COMPUTED_VALUE"""),"Scope Accessory")</f>
        <v>Scope Accessory</v>
      </c>
      <c r="E1684" s="102" t="str">
        <f>IFERROR(__xludf.DUMMYFUNCTION("""COMPUTED_VALUE"""),"TOR_SG.part_scope_acc_s01_l02_a")</f>
        <v>TOR_SG.part_scope_acc_s01_l02_a</v>
      </c>
      <c r="F1684" s="102"/>
      <c r="G1684" s="102" t="str">
        <f>IFERROR(__xludf.DUMMYFUNCTION("""COMPUTED_VALUE"""),"+Damage")</f>
        <v>+Damage</v>
      </c>
      <c r="H1684" s="102" t="str">
        <f>IFERROR(__xludf.DUMMYFUNCTION("""COMPUTED_VALUE"""),"HUD Elements")</f>
        <v>HUD Elements</v>
      </c>
      <c r="I1684" s="102"/>
      <c r="J1684" s="102"/>
      <c r="K1684" s="102"/>
      <c r="L1684" s="102"/>
    </row>
    <row r="1685">
      <c r="A1685" s="102" t="str">
        <f>IFERROR(__xludf.DUMMYFUNCTION("""COMPUTED_VALUE"""),"Torgue")</f>
        <v>Torgue</v>
      </c>
      <c r="B1685" s="102" t="str">
        <f>IFERROR(__xludf.DUMMYFUNCTION("""COMPUTED_VALUE"""),"Shotgun")</f>
        <v>Shotgun</v>
      </c>
      <c r="C1685" s="103">
        <f>IFERROR(__xludf.DUMMYFUNCTION("""COMPUTED_VALUE"""),31.0)</f>
        <v>31</v>
      </c>
      <c r="D1685" s="102" t="str">
        <f>IFERROR(__xludf.DUMMYFUNCTION("""COMPUTED_VALUE"""),"Scope Accessory")</f>
        <v>Scope Accessory</v>
      </c>
      <c r="E1685" s="102" t="str">
        <f>IFERROR(__xludf.DUMMYFUNCTION("""COMPUTED_VALUE"""),"TOR_SG.part_scope_acc_s01_l02_b")</f>
        <v>TOR_SG.part_scope_acc_s01_l02_b</v>
      </c>
      <c r="F1685" s="102"/>
      <c r="G1685" s="102" t="str">
        <f>IFERROR(__xludf.DUMMYFUNCTION("""COMPUTED_VALUE"""),"-Reload Speed")</f>
        <v>-Reload Speed</v>
      </c>
      <c r="H1685" s="102" t="str">
        <f>IFERROR(__xludf.DUMMYFUNCTION("""COMPUTED_VALUE"""),"Mag/Ammo Counter")</f>
        <v>Mag/Ammo Counter</v>
      </c>
      <c r="I1685" s="102"/>
      <c r="J1685" s="102"/>
      <c r="K1685" s="102"/>
      <c r="L1685" s="102"/>
    </row>
    <row r="1686">
      <c r="A1686" s="102" t="str">
        <f>IFERROR(__xludf.DUMMYFUNCTION("""COMPUTED_VALUE"""),"Torgue")</f>
        <v>Torgue</v>
      </c>
      <c r="B1686" s="102" t="str">
        <f>IFERROR(__xludf.DUMMYFUNCTION("""COMPUTED_VALUE"""),"Shotgun")</f>
        <v>Shotgun</v>
      </c>
      <c r="C1686" s="103">
        <f>IFERROR(__xludf.DUMMYFUNCTION("""COMPUTED_VALUE"""),32.0)</f>
        <v>32</v>
      </c>
      <c r="D1686" s="102" t="str">
        <f>IFERROR(__xludf.DUMMYFUNCTION("""COMPUTED_VALUE"""),"Scope Accessory")</f>
        <v>Scope Accessory</v>
      </c>
      <c r="E1686" s="102" t="str">
        <f>IFERROR(__xludf.DUMMYFUNCTION("""COMPUTED_VALUE"""),"TOR_SG.part_scope_acc_s02_l02_a")</f>
        <v>TOR_SG.part_scope_acc_s02_l02_a</v>
      </c>
      <c r="F1686" s="102"/>
      <c r="G1686" s="102" t="str">
        <f>IFERROR(__xludf.DUMMYFUNCTION("""COMPUTED_VALUE"""),"No Stat Changes")</f>
        <v>No Stat Changes</v>
      </c>
      <c r="H1686" s="102" t="str">
        <f>IFERROR(__xludf.DUMMYFUNCTION("""COMPUTED_VALUE"""),"Bullet Drop Gauge")</f>
        <v>Bullet Drop Gauge</v>
      </c>
      <c r="I1686" s="102"/>
      <c r="J1686" s="102"/>
      <c r="K1686" s="102"/>
      <c r="L1686" s="102"/>
    </row>
    <row r="1687">
      <c r="A1687" s="102" t="str">
        <f>IFERROR(__xludf.DUMMYFUNCTION("""COMPUTED_VALUE"""),"Torgue")</f>
        <v>Torgue</v>
      </c>
      <c r="B1687" s="102" t="str">
        <f>IFERROR(__xludf.DUMMYFUNCTION("""COMPUTED_VALUE"""),"Shotgun")</f>
        <v>Shotgun</v>
      </c>
      <c r="C1687" s="103">
        <f>IFERROR(__xludf.DUMMYFUNCTION("""COMPUTED_VALUE"""),33.0)</f>
        <v>33</v>
      </c>
      <c r="D1687" s="102" t="str">
        <f>IFERROR(__xludf.DUMMYFUNCTION("""COMPUTED_VALUE"""),"Scope Accessory")</f>
        <v>Scope Accessory</v>
      </c>
      <c r="E1687" s="102" t="str">
        <f>IFERROR(__xludf.DUMMYFUNCTION("""COMPUTED_VALUE"""),"TOR_SG.part_scope_acc_s02_l02_b")</f>
        <v>TOR_SG.part_scope_acc_s02_l02_b</v>
      </c>
      <c r="F1687" s="102"/>
      <c r="G1687" s="102" t="str">
        <f>IFERROR(__xludf.DUMMYFUNCTION("""COMPUTED_VALUE"""),"+Blast Radius")</f>
        <v>+Blast Radius</v>
      </c>
      <c r="H1687" s="102" t="str">
        <f>IFERROR(__xludf.DUMMYFUNCTION("""COMPUTED_VALUE"""),"Mag Counter, Distance")</f>
        <v>Mag Counter, Distance</v>
      </c>
      <c r="I1687" s="102"/>
      <c r="J1687" s="102"/>
      <c r="K1687" s="102"/>
      <c r="L1687" s="102"/>
    </row>
    <row r="1688">
      <c r="A1688" s="102" t="str">
        <f>IFERROR(__xludf.DUMMYFUNCTION("""COMPUTED_VALUE"""),"Torgue")</f>
        <v>Torgue</v>
      </c>
      <c r="B1688" s="102" t="str">
        <f>IFERROR(__xludf.DUMMYFUNCTION("""COMPUTED_VALUE"""),"Shotgun")</f>
        <v>Shotgun</v>
      </c>
      <c r="C1688" s="103">
        <f>IFERROR(__xludf.DUMMYFUNCTION("""COMPUTED_VALUE"""),34.0)</f>
        <v>34</v>
      </c>
      <c r="D1688" s="102" t="str">
        <f>IFERROR(__xludf.DUMMYFUNCTION("""COMPUTED_VALUE"""),"Grip")</f>
        <v>Grip</v>
      </c>
      <c r="E1688" s="102" t="str">
        <f>IFERROR(__xludf.DUMMYFUNCTION("""COMPUTED_VALUE"""),"TOR_SG.part_grip_05c_ted_jav")</f>
        <v>TOR_SG.part_grip_05c_ted_jav</v>
      </c>
      <c r="F1688" s="102"/>
      <c r="G1688" s="102" t="str">
        <f>IFERROR(__xludf.DUMMYFUNCTION("""COMPUTED_VALUE"""),"Tediore reload modifier: Javelin, no stat changes")</f>
        <v>Tediore reload modifier: Javelin, no stat changes</v>
      </c>
      <c r="H1688" s="102"/>
      <c r="I1688" s="102"/>
      <c r="J1688" s="102"/>
      <c r="K1688" s="102"/>
      <c r="L1688" s="102"/>
    </row>
    <row r="1689">
      <c r="A1689" s="102" t="str">
        <f>IFERROR(__xludf.DUMMYFUNCTION("""COMPUTED_VALUE"""),"Torgue")</f>
        <v>Torgue</v>
      </c>
      <c r="B1689" s="102" t="str">
        <f>IFERROR(__xludf.DUMMYFUNCTION("""COMPUTED_VALUE"""),"Shotgun")</f>
        <v>Shotgun</v>
      </c>
      <c r="C1689" s="103">
        <f>IFERROR(__xludf.DUMMYFUNCTION("""COMPUTED_VALUE"""),35.0)</f>
        <v>35</v>
      </c>
      <c r="D1689" s="102" t="str">
        <f>IFERROR(__xludf.DUMMYFUNCTION("""COMPUTED_VALUE"""),"Grip")</f>
        <v>Grip</v>
      </c>
      <c r="E1689" s="102" t="str">
        <f>IFERROR(__xludf.DUMMYFUNCTION("""COMPUTED_VALUE"""),"TOR_SG.part_grip_05b_ted_homing")</f>
        <v>TOR_SG.part_grip_05b_ted_homing</v>
      </c>
      <c r="F1689" s="102"/>
      <c r="G1689" s="102" t="str">
        <f>IFERROR(__xludf.DUMMYFUNCTION("""COMPUTED_VALUE"""),"Tediore reload modifier: Homing, no stat changes")</f>
        <v>Tediore reload modifier: Homing, no stat changes</v>
      </c>
      <c r="H1689" s="102"/>
      <c r="I1689" s="102"/>
      <c r="J1689" s="102"/>
      <c r="K1689" s="102"/>
      <c r="L1689" s="102"/>
    </row>
    <row r="1690">
      <c r="A1690" s="102" t="str">
        <f>IFERROR(__xludf.DUMMYFUNCTION("""COMPUTED_VALUE"""),"Torgue")</f>
        <v>Torgue</v>
      </c>
      <c r="B1690" s="102" t="str">
        <f>IFERROR(__xludf.DUMMYFUNCTION("""COMPUTED_VALUE"""),"Shotgun")</f>
        <v>Shotgun</v>
      </c>
      <c r="C1690" s="103">
        <f>IFERROR(__xludf.DUMMYFUNCTION("""COMPUTED_VALUE"""),36.0)</f>
        <v>36</v>
      </c>
      <c r="D1690" s="102" t="str">
        <f>IFERROR(__xludf.DUMMYFUNCTION("""COMPUTED_VALUE"""),"Grip")</f>
        <v>Grip</v>
      </c>
      <c r="E1690" s="102" t="str">
        <f>IFERROR(__xludf.DUMMYFUNCTION("""COMPUTED_VALUE"""),"TOR_SG.part_grip_05a_ted_legs")</f>
        <v>TOR_SG.part_grip_05a_ted_legs</v>
      </c>
      <c r="F1690" s="102"/>
      <c r="G1690" s="102" t="str">
        <f>IFERROR(__xludf.DUMMYFUNCTION("""COMPUTED_VALUE"""),"Tediore reload modifier: Legs, no stat changes")</f>
        <v>Tediore reload modifier: Legs, no stat changes</v>
      </c>
      <c r="H1690" s="102"/>
      <c r="I1690" s="102"/>
      <c r="J1690" s="102"/>
      <c r="K1690" s="102"/>
      <c r="L1690" s="102"/>
    </row>
    <row r="1691">
      <c r="A1691" s="102" t="str">
        <f>IFERROR(__xludf.DUMMYFUNCTION("""COMPUTED_VALUE"""),"Torgue")</f>
        <v>Torgue</v>
      </c>
      <c r="B1691" s="102" t="str">
        <f>IFERROR(__xludf.DUMMYFUNCTION("""COMPUTED_VALUE"""),"Shotgun")</f>
        <v>Shotgun</v>
      </c>
      <c r="C1691" s="103">
        <f>IFERROR(__xludf.DUMMYFUNCTION("""COMPUTED_VALUE"""),37.0)</f>
        <v>37</v>
      </c>
      <c r="D1691" s="102" t="str">
        <f>IFERROR(__xludf.DUMMYFUNCTION("""COMPUTED_VALUE"""),"Grip")</f>
        <v>Grip</v>
      </c>
      <c r="E1691" s="102" t="str">
        <f>IFERROR(__xludf.DUMMYFUNCTION("""COMPUTED_VALUE"""),"TOR_SG.part_grip_01")</f>
        <v>TOR_SG.part_grip_01</v>
      </c>
      <c r="F1691" s="102"/>
      <c r="G1691" s="102" t="str">
        <f>IFERROR(__xludf.DUMMYFUNCTION("""COMPUTED_VALUE"""),"+Damage")</f>
        <v>+Damage</v>
      </c>
      <c r="H1691" s="102"/>
      <c r="I1691" s="102"/>
      <c r="J1691" s="102"/>
      <c r="K1691" s="102"/>
      <c r="L1691" s="102"/>
    </row>
    <row r="1692">
      <c r="A1692" s="102" t="str">
        <f>IFERROR(__xludf.DUMMYFUNCTION("""COMPUTED_VALUE"""),"Torgue")</f>
        <v>Torgue</v>
      </c>
      <c r="B1692" s="102" t="str">
        <f>IFERROR(__xludf.DUMMYFUNCTION("""COMPUTED_VALUE"""),"Shotgun")</f>
        <v>Shotgun</v>
      </c>
      <c r="C1692" s="103">
        <f>IFERROR(__xludf.DUMMYFUNCTION("""COMPUTED_VALUE"""),38.0)</f>
        <v>38</v>
      </c>
      <c r="D1692" s="102" t="str">
        <f>IFERROR(__xludf.DUMMYFUNCTION("""COMPUTED_VALUE"""),"Grip")</f>
        <v>Grip</v>
      </c>
      <c r="E1692" s="102" t="str">
        <f>IFERROR(__xludf.DUMMYFUNCTION("""COMPUTED_VALUE"""),"TOR_SG.part_grip_02")</f>
        <v>TOR_SG.part_grip_02</v>
      </c>
      <c r="F1692" s="102"/>
      <c r="G1692" s="102" t="str">
        <f>IFERROR(__xludf.DUMMYFUNCTION("""COMPUTED_VALUE"""),"+Fire Rate")</f>
        <v>+Fire Rate</v>
      </c>
      <c r="H1692" s="102"/>
      <c r="I1692" s="102"/>
      <c r="J1692" s="102"/>
      <c r="K1692" s="102"/>
      <c r="L1692" s="102"/>
    </row>
    <row r="1693">
      <c r="A1693" s="102" t="str">
        <f>IFERROR(__xludf.DUMMYFUNCTION("""COMPUTED_VALUE"""),"Torgue")</f>
        <v>Torgue</v>
      </c>
      <c r="B1693" s="102" t="str">
        <f>IFERROR(__xludf.DUMMYFUNCTION("""COMPUTED_VALUE"""),"Shotgun")</f>
        <v>Shotgun</v>
      </c>
      <c r="C1693" s="103">
        <f>IFERROR(__xludf.DUMMYFUNCTION("""COMPUTED_VALUE"""),39.0)</f>
        <v>39</v>
      </c>
      <c r="D1693" s="102" t="str">
        <f>IFERROR(__xludf.DUMMYFUNCTION("""COMPUTED_VALUE"""),"Grip")</f>
        <v>Grip</v>
      </c>
      <c r="E1693" s="102" t="str">
        <f>IFERROR(__xludf.DUMMYFUNCTION("""COMPUTED_VALUE"""),"TOR_SG.part_grip_03")</f>
        <v>TOR_SG.part_grip_03</v>
      </c>
      <c r="F1693" s="102"/>
      <c r="G1693" s="102" t="str">
        <f>IFERROR(__xludf.DUMMYFUNCTION("""COMPUTED_VALUE"""),"-Reload Speed")</f>
        <v>-Reload Speed</v>
      </c>
      <c r="H1693" s="102"/>
      <c r="I1693" s="102"/>
      <c r="J1693" s="102"/>
      <c r="K1693" s="102"/>
      <c r="L1693" s="102"/>
    </row>
    <row r="1694">
      <c r="A1694" s="102" t="str">
        <f>IFERROR(__xludf.DUMMYFUNCTION("""COMPUTED_VALUE"""),"Torgue")</f>
        <v>Torgue</v>
      </c>
      <c r="B1694" s="102" t="str">
        <f>IFERROR(__xludf.DUMMYFUNCTION("""COMPUTED_VALUE"""),"Shotgun")</f>
        <v>Shotgun</v>
      </c>
      <c r="C1694" s="103">
        <f>IFERROR(__xludf.DUMMYFUNCTION("""COMPUTED_VALUE"""),40.0)</f>
        <v>40</v>
      </c>
      <c r="D1694" s="102" t="str">
        <f>IFERROR(__xludf.DUMMYFUNCTION("""COMPUTED_VALUE"""),"Grip")</f>
        <v>Grip</v>
      </c>
      <c r="E1694" s="102" t="str">
        <f>IFERROR(__xludf.DUMMYFUNCTION("""COMPUTED_VALUE"""),"TOR_SG.part_grip_04_hyp")</f>
        <v>TOR_SG.part_grip_04_hyp</v>
      </c>
      <c r="F1694" s="102"/>
      <c r="G1694" s="102" t="str">
        <f>IFERROR(__xludf.DUMMYFUNCTION("""COMPUTED_VALUE"""),"Hyperion Grip, -Acc, Acc increases with continuous fire")</f>
        <v>Hyperion Grip, -Acc, Acc increases with continuous fire</v>
      </c>
      <c r="H1694" s="102"/>
      <c r="I1694" s="102"/>
      <c r="J1694" s="102"/>
      <c r="K1694" s="102"/>
      <c r="L1694" s="102"/>
    </row>
    <row r="1695">
      <c r="A1695" s="102" t="str">
        <f>IFERROR(__xludf.DUMMYFUNCTION("""COMPUTED_VALUE"""),"Torgue")</f>
        <v>Torgue</v>
      </c>
      <c r="B1695" s="102" t="str">
        <f>IFERROR(__xludf.DUMMYFUNCTION("""COMPUTED_VALUE"""),"Shotgun")</f>
        <v>Shotgun</v>
      </c>
      <c r="C1695" s="103">
        <f>IFERROR(__xludf.DUMMYFUNCTION("""COMPUTED_VALUE"""),41.0)</f>
        <v>41</v>
      </c>
      <c r="D1695" s="102" t="str">
        <f>IFERROR(__xludf.DUMMYFUNCTION("""COMPUTED_VALUE"""),"Underbarrel")</f>
        <v>Underbarrel</v>
      </c>
      <c r="E1695" s="102" t="str">
        <f>IFERROR(__xludf.DUMMYFUNCTION("""COMPUTED_VALUE"""),"TOR_SG.part_underbarrel_05_ammoswitcher")</f>
        <v>TOR_SG.part_underbarrel_05_ammoswitcher</v>
      </c>
      <c r="F1695" s="102"/>
      <c r="G1695" s="102" t="str">
        <f>IFERROR(__xludf.DUMMYFUNCTION("""COMPUTED_VALUE"""),"Daedalus Ammo Switch")</f>
        <v>Daedalus Ammo Switch</v>
      </c>
      <c r="H1695" s="102" t="str">
        <f>IFERROR(__xludf.DUMMYFUNCTION("""COMPUTED_VALUE"""),"Used for Daedalus Ammo switch")</f>
        <v>Used for Daedalus Ammo switch</v>
      </c>
      <c r="I1695" s="102"/>
      <c r="J1695" s="102"/>
      <c r="K1695" s="102"/>
      <c r="L1695" s="102"/>
    </row>
    <row r="1696">
      <c r="A1696" s="102" t="str">
        <f>IFERROR(__xludf.DUMMYFUNCTION("""COMPUTED_VALUE"""),"Torgue")</f>
        <v>Torgue</v>
      </c>
      <c r="B1696" s="102" t="str">
        <f>IFERROR(__xludf.DUMMYFUNCTION("""COMPUTED_VALUE"""),"Shotgun")</f>
        <v>Shotgun</v>
      </c>
      <c r="C1696" s="103">
        <f>IFERROR(__xludf.DUMMYFUNCTION("""COMPUTED_VALUE"""),42.0)</f>
        <v>42</v>
      </c>
      <c r="D1696" s="102" t="str">
        <f>IFERROR(__xludf.DUMMYFUNCTION("""COMPUTED_VALUE"""),"Underbarrel")</f>
        <v>Underbarrel</v>
      </c>
      <c r="E1696" s="102" t="str">
        <f>IFERROR(__xludf.DUMMYFUNCTION("""COMPUTED_VALUE"""),"TOR_SG.part_underbarrel_06_malswitch")</f>
        <v>TOR_SG.part_underbarrel_06_malswitch</v>
      </c>
      <c r="F1696" s="102"/>
      <c r="G1696" s="102" t="str">
        <f>IFERROR(__xludf.DUMMYFUNCTION("""COMPUTED_VALUE"""),"Maliwan Element Switch")</f>
        <v>Maliwan Element Switch</v>
      </c>
      <c r="H1696" s="102" t="str">
        <f>IFERROR(__xludf.DUMMYFUNCTION("""COMPUTED_VALUE"""),"Used for Maliwan elemental switch")</f>
        <v>Used for Maliwan elemental switch</v>
      </c>
      <c r="I1696" s="102"/>
      <c r="J1696" s="102"/>
      <c r="K1696" s="102"/>
      <c r="L1696" s="102"/>
    </row>
    <row r="1697">
      <c r="A1697" s="102" t="str">
        <f>IFERROR(__xludf.DUMMYFUNCTION("""COMPUTED_VALUE"""),"Torgue")</f>
        <v>Torgue</v>
      </c>
      <c r="B1697" s="102" t="str">
        <f>IFERROR(__xludf.DUMMYFUNCTION("""COMPUTED_VALUE"""),"Shotgun")</f>
        <v>Shotgun</v>
      </c>
      <c r="C1697" s="103">
        <f>IFERROR(__xludf.DUMMYFUNCTION("""COMPUTED_VALUE"""),43.0)</f>
        <v>43</v>
      </c>
      <c r="D1697" s="102" t="str">
        <f>IFERROR(__xludf.DUMMYFUNCTION("""COMPUTED_VALUE"""),"Underbarrel")</f>
        <v>Underbarrel</v>
      </c>
      <c r="E1697" s="102" t="str">
        <f>IFERROR(__xludf.DUMMYFUNCTION("""COMPUTED_VALUE"""),"TOR_SG.part_underbarrel_01_seeker_missiles")</f>
        <v>TOR_SG.part_underbarrel_01_seeker_missiles</v>
      </c>
      <c r="F1697" s="102"/>
      <c r="G1697" s="102" t="str">
        <f>IFERROR(__xludf.DUMMYFUNCTION("""COMPUTED_VALUE"""),"Alt Fire - Seeker Missles")</f>
        <v>Alt Fire - Seeker Missles</v>
      </c>
      <c r="H1697" s="102"/>
      <c r="I1697" s="102"/>
      <c r="J1697" s="102"/>
      <c r="K1697" s="102"/>
      <c r="L1697" s="102"/>
    </row>
    <row r="1698">
      <c r="A1698" s="102" t="str">
        <f>IFERROR(__xludf.DUMMYFUNCTION("""COMPUTED_VALUE"""),"Torgue")</f>
        <v>Torgue</v>
      </c>
      <c r="B1698" s="102" t="str">
        <f>IFERROR(__xludf.DUMMYFUNCTION("""COMPUTED_VALUE"""),"Shotgun")</f>
        <v>Shotgun</v>
      </c>
      <c r="C1698" s="103">
        <f>IFERROR(__xludf.DUMMYFUNCTION("""COMPUTED_VALUE"""),44.0)</f>
        <v>44</v>
      </c>
      <c r="D1698" s="102" t="str">
        <f>IFERROR(__xludf.DUMMYFUNCTION("""COMPUTED_VALUE"""),"Underbarrel")</f>
        <v>Underbarrel</v>
      </c>
      <c r="E1698" s="102" t="str">
        <f>IFERROR(__xludf.DUMMYFUNCTION("""COMPUTED_VALUE"""),"TOR_SG.part_underbarrel_03_bounce_grenade")</f>
        <v>TOR_SG.part_underbarrel_03_bounce_grenade</v>
      </c>
      <c r="F1698" s="102"/>
      <c r="G1698" s="102" t="str">
        <f>IFERROR(__xludf.DUMMYFUNCTION("""COMPUTED_VALUE"""),"Alt Fire - Rolling Thunder Grenades")</f>
        <v>Alt Fire - Rolling Thunder Grenades</v>
      </c>
      <c r="H1698" s="102"/>
      <c r="I1698" s="102"/>
      <c r="J1698" s="102"/>
      <c r="K1698" s="102"/>
      <c r="L1698" s="102"/>
    </row>
    <row r="1699">
      <c r="A1699" s="102" t="str">
        <f>IFERROR(__xludf.DUMMYFUNCTION("""COMPUTED_VALUE"""),"Torgue")</f>
        <v>Torgue</v>
      </c>
      <c r="B1699" s="102" t="str">
        <f>IFERROR(__xludf.DUMMYFUNCTION("""COMPUTED_VALUE"""),"Shotgun")</f>
        <v>Shotgun</v>
      </c>
      <c r="C1699" s="103">
        <f>IFERROR(__xludf.DUMMYFUNCTION("""COMPUTED_VALUE"""),45.0)</f>
        <v>45</v>
      </c>
      <c r="D1699" s="102" t="str">
        <f>IFERROR(__xludf.DUMMYFUNCTION("""COMPUTED_VALUE"""),"Underbarrel")</f>
        <v>Underbarrel</v>
      </c>
      <c r="E1699" s="102" t="str">
        <f>IFERROR(__xludf.DUMMYFUNCTION("""COMPUTED_VALUE"""),"TOR_SG.part_underbarrel_04_atlas")</f>
        <v>TOR_SG.part_underbarrel_04_atlas</v>
      </c>
      <c r="F1699" s="102"/>
      <c r="G1699" s="102" t="str">
        <f>IFERROR(__xludf.DUMMYFUNCTION("""COMPUTED_VALUE"""),"Atlas Tracker Darts")</f>
        <v>Atlas Tracker Darts</v>
      </c>
      <c r="H1699" s="102"/>
      <c r="I1699" s="102"/>
      <c r="J1699" s="102"/>
      <c r="K1699" s="102"/>
      <c r="L1699" s="102"/>
    </row>
    <row r="1700">
      <c r="A1700" s="102" t="str">
        <f>IFERROR(__xludf.DUMMYFUNCTION("""COMPUTED_VALUE"""),"Torgue")</f>
        <v>Torgue</v>
      </c>
      <c r="B1700" s="102" t="str">
        <f>IFERROR(__xludf.DUMMYFUNCTION("""COMPUTED_VALUE"""),"Shotgun")</f>
        <v>Shotgun</v>
      </c>
      <c r="C1700" s="103">
        <f>IFERROR(__xludf.DUMMYFUNCTION("""COMPUTED_VALUE"""),46.0)</f>
        <v>46</v>
      </c>
      <c r="D1700" s="102" t="str">
        <f>IFERROR(__xludf.DUMMYFUNCTION("""COMPUTED_VALUE"""),"Foregrip")</f>
        <v>Foregrip</v>
      </c>
      <c r="E1700" s="102" t="str">
        <f>IFERROR(__xludf.DUMMYFUNCTION("""COMPUTED_VALUE"""),"TOR_SG.part_foregrip_02")</f>
        <v>TOR_SG.part_foregrip_02</v>
      </c>
      <c r="F1700" s="102"/>
      <c r="G1700" s="102" t="str">
        <f>IFERROR(__xludf.DUMMYFUNCTION("""COMPUTED_VALUE"""),"+Fire Rate")</f>
        <v>+Fire Rate</v>
      </c>
      <c r="H1700" s="102"/>
      <c r="I1700" s="102"/>
      <c r="J1700" s="102"/>
      <c r="K1700" s="102"/>
      <c r="L1700" s="102"/>
    </row>
    <row r="1701">
      <c r="A1701" s="102" t="str">
        <f>IFERROR(__xludf.DUMMYFUNCTION("""COMPUTED_VALUE"""),"Torgue")</f>
        <v>Torgue</v>
      </c>
      <c r="B1701" s="102" t="str">
        <f>IFERROR(__xludf.DUMMYFUNCTION("""COMPUTED_VALUE"""),"Shotgun")</f>
        <v>Shotgun</v>
      </c>
      <c r="C1701" s="103">
        <f>IFERROR(__xludf.DUMMYFUNCTION("""COMPUTED_VALUE"""),47.0)</f>
        <v>47</v>
      </c>
      <c r="D1701" s="102" t="str">
        <f>IFERROR(__xludf.DUMMYFUNCTION("""COMPUTED_VALUE"""),"Foregrip")</f>
        <v>Foregrip</v>
      </c>
      <c r="E1701" s="102" t="str">
        <f>IFERROR(__xludf.DUMMYFUNCTION("""COMPUTED_VALUE"""),"TOR_SG.part_foregrip_03")</f>
        <v>TOR_SG.part_foregrip_03</v>
      </c>
      <c r="F1701" s="102"/>
      <c r="G1701" s="102" t="str">
        <f>IFERROR(__xludf.DUMMYFUNCTION("""COMPUTED_VALUE"""),"+Blast Radius")</f>
        <v>+Blast Radius</v>
      </c>
      <c r="H1701" s="102"/>
      <c r="I1701" s="102"/>
      <c r="J1701" s="102"/>
      <c r="K1701" s="102"/>
      <c r="L1701" s="102"/>
    </row>
    <row r="1702">
      <c r="A1702" s="102" t="str">
        <f>IFERROR(__xludf.DUMMYFUNCTION("""COMPUTED_VALUE"""),"Torgue")</f>
        <v>Torgue</v>
      </c>
      <c r="B1702" s="102" t="str">
        <f>IFERROR(__xludf.DUMMYFUNCTION("""COMPUTED_VALUE"""),"Shotgun")</f>
        <v>Shotgun</v>
      </c>
      <c r="C1702" s="103">
        <f>IFERROR(__xludf.DUMMYFUNCTION("""COMPUTED_VALUE"""),48.0)</f>
        <v>48</v>
      </c>
      <c r="D1702" s="102" t="str">
        <f>IFERROR(__xludf.DUMMYFUNCTION("""COMPUTED_VALUE"""),"Foregrip")</f>
        <v>Foregrip</v>
      </c>
      <c r="E1702" s="102" t="str">
        <f>IFERROR(__xludf.DUMMYFUNCTION("""COMPUTED_VALUE"""),"TOR_SG.part_foregrip_01")</f>
        <v>TOR_SG.part_foregrip_01</v>
      </c>
      <c r="F1702" s="102"/>
      <c r="G1702" s="102" t="str">
        <f>IFERROR(__xludf.DUMMYFUNCTION("""COMPUTED_VALUE"""),"+Damage")</f>
        <v>+Damage</v>
      </c>
      <c r="H1702" s="102"/>
      <c r="I1702" s="102"/>
      <c r="J1702" s="102"/>
      <c r="K1702" s="102"/>
      <c r="L1702" s="102"/>
    </row>
    <row r="1703">
      <c r="A1703" s="102" t="str">
        <f>IFERROR(__xludf.DUMMYFUNCTION("""COMPUTED_VALUE"""),"Torgue")</f>
        <v>Torgue</v>
      </c>
      <c r="B1703" s="102" t="str">
        <f>IFERROR(__xludf.DUMMYFUNCTION("""COMPUTED_VALUE"""),"Shotgun")</f>
        <v>Shotgun</v>
      </c>
      <c r="C1703" s="103">
        <f>IFERROR(__xludf.DUMMYFUNCTION("""COMPUTED_VALUE"""),49.0)</f>
        <v>49</v>
      </c>
      <c r="D1703" s="102" t="str">
        <f>IFERROR(__xludf.DUMMYFUNCTION("""COMPUTED_VALUE"""),"Underbarrel")</f>
        <v>Underbarrel</v>
      </c>
      <c r="E1703" s="102" t="str">
        <f>IFERROR(__xludf.DUMMYFUNCTION("""COMPUTED_VALUE"""),"TOR_SG.part_underbarrel_04_atlas_ball")</f>
        <v>TOR_SG.part_underbarrel_04_atlas_ball</v>
      </c>
      <c r="F1703" s="102"/>
      <c r="G1703" s="102" t="str">
        <f>IFERROR(__xludf.DUMMYFUNCTION("""COMPUTED_VALUE"""),"Atlas Tracker Grenades")</f>
        <v>Atlas Tracker Grenades</v>
      </c>
      <c r="H1703" s="102"/>
      <c r="I1703" s="102"/>
      <c r="J1703" s="102"/>
      <c r="K1703" s="102"/>
      <c r="L1703" s="102"/>
    </row>
    <row r="1704">
      <c r="A1704" s="102" t="str">
        <f>IFERROR(__xludf.DUMMYFUNCTION("""COMPUTED_VALUE"""),"Torgue")</f>
        <v>Torgue</v>
      </c>
      <c r="B1704" s="102" t="str">
        <f>IFERROR(__xludf.DUMMYFUNCTION("""COMPUTED_VALUE"""),"Shotgun")</f>
        <v>Shotgun</v>
      </c>
      <c r="C1704" s="103">
        <f>IFERROR(__xludf.DUMMYFUNCTION("""COMPUTED_VALUE"""),50.0)</f>
        <v>50</v>
      </c>
      <c r="D1704" s="102" t="str">
        <f>IFERROR(__xludf.DUMMYFUNCTION("""COMPUTED_VALUE"""),"Underbarrel")</f>
        <v>Underbarrel</v>
      </c>
      <c r="E1704" s="102" t="str">
        <f>IFERROR(__xludf.DUMMYFUNCTION("""COMPUTED_VALUE"""),"TOR_SG.part_underbarrel_02_flameblast")</f>
        <v>TOR_SG.part_underbarrel_02_flameblast</v>
      </c>
      <c r="F1704" s="102"/>
      <c r="G1704" s="102" t="str">
        <f>IFERROR(__xludf.DUMMYFUNCTION("""COMPUTED_VALUE"""),"Alt Fire - Flame Blast")</f>
        <v>Alt Fire - Flame Blast</v>
      </c>
      <c r="H1704" s="102"/>
      <c r="I1704" s="102"/>
      <c r="J1704" s="102"/>
      <c r="K1704" s="102"/>
      <c r="L1704" s="102"/>
    </row>
    <row r="1705">
      <c r="A1705" s="102" t="str">
        <f>IFERROR(__xludf.DUMMYFUNCTION("""COMPUTED_VALUE"""),"Torgue")</f>
        <v>Torgue</v>
      </c>
      <c r="B1705" s="102" t="str">
        <f>IFERROR(__xludf.DUMMYFUNCTION("""COMPUTED_VALUE"""),"Shotgun")</f>
        <v>Shotgun</v>
      </c>
      <c r="C1705" s="103">
        <f>IFERROR(__xludf.DUMMYFUNCTION("""COMPUTED_VALUE"""),51.0)</f>
        <v>51</v>
      </c>
      <c r="D1705" s="102" t="str">
        <f>IFERROR(__xludf.DUMMYFUNCTION("""COMPUTED_VALUE"""),"Manufacturer Part")</f>
        <v>Manufacturer Part</v>
      </c>
      <c r="E1705" s="102" t="str">
        <f>IFERROR(__xludf.DUMMYFUNCTION("""COMPUTED_VALUE"""),"TOR_SG.part_secondary_ammo_smg")</f>
        <v>TOR_SG.part_secondary_ammo_smg</v>
      </c>
      <c r="F1705" s="102"/>
      <c r="G1705" s="102" t="str">
        <f>IFERROR(__xludf.DUMMYFUNCTION("""COMPUTED_VALUE"""),"Daedalus SMG Ammo")</f>
        <v>Daedalus SMG Ammo</v>
      </c>
      <c r="H1705" s="102"/>
      <c r="I1705" s="102"/>
      <c r="J1705" s="102"/>
      <c r="K1705" s="102"/>
      <c r="L1705" s="102"/>
    </row>
    <row r="1706">
      <c r="A1706" s="102" t="str">
        <f>IFERROR(__xludf.DUMMYFUNCTION("""COMPUTED_VALUE"""),"Torgue")</f>
        <v>Torgue</v>
      </c>
      <c r="B1706" s="102" t="str">
        <f>IFERROR(__xludf.DUMMYFUNCTION("""COMPUTED_VALUE"""),"Shotgun")</f>
        <v>Shotgun</v>
      </c>
      <c r="C1706" s="103">
        <f>IFERROR(__xludf.DUMMYFUNCTION("""COMPUTED_VALUE"""),52.0)</f>
        <v>52</v>
      </c>
      <c r="D1706" s="102" t="str">
        <f>IFERROR(__xludf.DUMMYFUNCTION("""COMPUTED_VALUE"""),"Manufacturer Part")</f>
        <v>Manufacturer Part</v>
      </c>
      <c r="E1706" s="102" t="str">
        <f>IFERROR(__xludf.DUMMYFUNCTION("""COMPUTED_VALUE"""),"TOR_SG.part_secondary_ammo_ps")</f>
        <v>TOR_SG.part_secondary_ammo_ps</v>
      </c>
      <c r="F1706" s="102"/>
      <c r="G1706" s="102" t="str">
        <f>IFERROR(__xludf.DUMMYFUNCTION("""COMPUTED_VALUE"""),"Daedalus Pistol Ammo")</f>
        <v>Daedalus Pistol Ammo</v>
      </c>
      <c r="H1706" s="102"/>
      <c r="I1706" s="102"/>
      <c r="J1706" s="102"/>
      <c r="K1706" s="102"/>
      <c r="L1706" s="102"/>
    </row>
    <row r="1707">
      <c r="A1707" s="102" t="str">
        <f>IFERROR(__xludf.DUMMYFUNCTION("""COMPUTED_VALUE"""),"Torgue")</f>
        <v>Torgue</v>
      </c>
      <c r="B1707" s="102" t="str">
        <f>IFERROR(__xludf.DUMMYFUNCTION("""COMPUTED_VALUE"""),"Shotgun")</f>
        <v>Shotgun</v>
      </c>
      <c r="C1707" s="103">
        <f>IFERROR(__xludf.DUMMYFUNCTION("""COMPUTED_VALUE"""),53.0)</f>
        <v>53</v>
      </c>
      <c r="D1707" s="102" t="str">
        <f>IFERROR(__xludf.DUMMYFUNCTION("""COMPUTED_VALUE"""),"Manufacturer Part")</f>
        <v>Manufacturer Part</v>
      </c>
      <c r="E1707" s="102" t="str">
        <f>IFERROR(__xludf.DUMMYFUNCTION("""COMPUTED_VALUE"""),"TOR_SG.part_secondary_ammo_ar")</f>
        <v>TOR_SG.part_secondary_ammo_ar</v>
      </c>
      <c r="F1707" s="102"/>
      <c r="G1707" s="102" t="str">
        <f>IFERROR(__xludf.DUMMYFUNCTION("""COMPUTED_VALUE"""),"Daedalus AR Ammo")</f>
        <v>Daedalus AR Ammo</v>
      </c>
      <c r="H1707" s="102"/>
      <c r="I1707" s="102"/>
      <c r="J1707" s="102"/>
      <c r="K1707" s="102"/>
      <c r="L1707" s="102"/>
    </row>
    <row r="1708">
      <c r="A1708" s="102" t="str">
        <f>IFERROR(__xludf.DUMMYFUNCTION("""COMPUTED_VALUE"""),"Torgue")</f>
        <v>Torgue</v>
      </c>
      <c r="B1708" s="102" t="str">
        <f>IFERROR(__xludf.DUMMYFUNCTION("""COMPUTED_VALUE"""),"Shotgun")</f>
        <v>Shotgun</v>
      </c>
      <c r="C1708" s="103">
        <f>IFERROR(__xludf.DUMMYFUNCTION("""COMPUTED_VALUE"""),54.0)</f>
        <v>54</v>
      </c>
      <c r="D1708" s="102" t="str">
        <f>IFERROR(__xludf.DUMMYFUNCTION("""COMPUTED_VALUE"""),"Manufacturer Part")</f>
        <v>Manufacturer Part</v>
      </c>
      <c r="E1708" s="102" t="str">
        <f>IFERROR(__xludf.DUMMYFUNCTION("""COMPUTED_VALUE"""),"TOR_SG.part_secondary_ammo_sr")</f>
        <v>TOR_SG.part_secondary_ammo_sr</v>
      </c>
      <c r="F1708" s="102"/>
      <c r="G1708" s="102" t="str">
        <f>IFERROR(__xludf.DUMMYFUNCTION("""COMPUTED_VALUE"""),"Daedalus SR Ammo")</f>
        <v>Daedalus SR Ammo</v>
      </c>
      <c r="H1708" s="102"/>
      <c r="I1708" s="102"/>
      <c r="J1708" s="102"/>
      <c r="K1708" s="102"/>
      <c r="L1708" s="102"/>
    </row>
    <row r="1709">
      <c r="A1709" s="102" t="str">
        <f>IFERROR(__xludf.DUMMYFUNCTION("""COMPUTED_VALUE"""),"Torgue")</f>
        <v>Torgue</v>
      </c>
      <c r="B1709" s="102" t="str">
        <f>IFERROR(__xludf.DUMMYFUNCTION("""COMPUTED_VALUE"""),"Shotgun")</f>
        <v>Shotgun</v>
      </c>
      <c r="C1709" s="103">
        <f>IFERROR(__xludf.DUMMYFUNCTION("""COMPUTED_VALUE"""),56.0)</f>
        <v>56</v>
      </c>
      <c r="D1709" s="102" t="str">
        <f>IFERROR(__xludf.DUMMYFUNCTION("""COMPUTED_VALUE"""),"Barrel")</f>
        <v>Barrel</v>
      </c>
      <c r="E1709" s="102" t="str">
        <f>IFERROR(__xludf.DUMMYFUNCTION("""COMPUTED_VALUE"""),"TOR_SG.part_barrel_02_leadballoon")</f>
        <v>TOR_SG.part_barrel_02_leadballoon</v>
      </c>
      <c r="F1709" s="102"/>
      <c r="G1709" s="102" t="str">
        <f>IFERROR(__xludf.DUMMYFUNCTION("""COMPUTED_VALUE"""),"Lead Balloon, 1255 x 3 Damage, 70% Acc, 1.8/s FR - 2 Shot")</f>
        <v>Lead Balloon, 1255 x 3 Damage, 70% Acc, 1.8/s FR - 2 Shot</v>
      </c>
      <c r="H1709" s="102" t="str">
        <f>IFERROR(__xludf.DUMMYFUNCTION("""COMPUTED_VALUE"""),"Lightweight - Projectiles float upward and spawn child Projectiles upon exploding")</f>
        <v>Lightweight - Projectiles float upward and spawn child Projectiles upon exploding</v>
      </c>
      <c r="I1709" s="102"/>
      <c r="J1709" s="102"/>
      <c r="K1709" s="102"/>
      <c r="L1709" s="102"/>
    </row>
    <row r="1710">
      <c r="A1710" s="102" t="str">
        <f>IFERROR(__xludf.DUMMYFUNCTION("""COMPUTED_VALUE"""),"Torgue")</f>
        <v>Torgue</v>
      </c>
      <c r="B1710" s="102" t="str">
        <f>IFERROR(__xludf.DUMMYFUNCTION("""COMPUTED_VALUE"""),"Shotgun")</f>
        <v>Shotgun</v>
      </c>
      <c r="C1710" s="103">
        <f>IFERROR(__xludf.DUMMYFUNCTION("""COMPUTED_VALUE"""),58.0)</f>
        <v>58</v>
      </c>
      <c r="D1710" s="102" t="str">
        <f>IFERROR(__xludf.DUMMYFUNCTION("""COMPUTED_VALUE"""),"Barrel")</f>
        <v>Barrel</v>
      </c>
      <c r="E1710" s="102" t="str">
        <f>IFERROR(__xludf.DUMMYFUNCTION("""COMPUTED_VALUE"""),"TOR_SG.part_barrel_01_linebacker")</f>
        <v>TOR_SG.part_barrel_01_linebacker</v>
      </c>
      <c r="F1710" s="102"/>
      <c r="G1710" s="102" t="str">
        <f>IFERROR(__xludf.DUMMYFUNCTION("""COMPUTED_VALUE"""),"Linebacker, 781 x 4 Damage, 67% Acc, 1.0/s FR")</f>
        <v>Linebacker, 781 x 4 Damage, 67% Acc, 1.0/s FR</v>
      </c>
      <c r="H1710" s="102" t="str">
        <f>IFERROR(__xludf.DUMMYFUNCTION("""COMPUTED_VALUE"""),"Full Coverage - Bouncing Projectiles increase Damage by 25% and Damage Radius by 35% per bounce")</f>
        <v>Full Coverage - Bouncing Projectiles increase Damage by 25% and Damage Radius by 35% per bounce</v>
      </c>
      <c r="I1710" s="102"/>
      <c r="J1710" s="102"/>
      <c r="K1710" s="102"/>
      <c r="L1710" s="102"/>
    </row>
    <row r="1711">
      <c r="A1711" s="102" t="str">
        <f>IFERROR(__xludf.DUMMYFUNCTION("""COMPUTED_VALUE"""),"Torgue")</f>
        <v>Torgue</v>
      </c>
      <c r="B1711" s="102" t="str">
        <f>IFERROR(__xludf.DUMMYFUNCTION("""COMPUTED_VALUE"""),"Shotgun")</f>
        <v>Shotgun</v>
      </c>
      <c r="C1711" s="103">
        <f>IFERROR(__xludf.DUMMYFUNCTION("""COMPUTED_VALUE"""),61.0)</f>
        <v>61</v>
      </c>
      <c r="D1711" s="102" t="str">
        <f>IFERROR(__xludf.DUMMYFUNCTION("""COMPUTED_VALUE"""),"Barrel Accessory")</f>
        <v>Barrel Accessory</v>
      </c>
      <c r="E1711" s="102" t="str">
        <f>IFERROR(__xludf.DUMMYFUNCTION("""COMPUTED_VALUE"""),"TOR_SG.part_barrel_01_a")</f>
        <v>TOR_SG.part_barrel_01_a</v>
      </c>
      <c r="F1711" s="102"/>
      <c r="G1711" s="102" t="str">
        <f>IFERROR(__xludf.DUMMYFUNCTION("""COMPUTED_VALUE"""),"+Damage")</f>
        <v>+Damage</v>
      </c>
      <c r="H1711" s="102"/>
      <c r="I1711" s="102"/>
      <c r="J1711" s="102"/>
      <c r="K1711" s="102"/>
      <c r="L1711" s="102"/>
    </row>
    <row r="1712">
      <c r="A1712" s="102" t="str">
        <f>IFERROR(__xludf.DUMMYFUNCTION("""COMPUTED_VALUE"""),"Torgue")</f>
        <v>Torgue</v>
      </c>
      <c r="B1712" s="102" t="str">
        <f>IFERROR(__xludf.DUMMYFUNCTION("""COMPUTED_VALUE"""),"Shotgun")</f>
        <v>Shotgun</v>
      </c>
      <c r="C1712" s="103">
        <f>IFERROR(__xludf.DUMMYFUNCTION("""COMPUTED_VALUE"""),62.0)</f>
        <v>62</v>
      </c>
      <c r="D1712" s="102" t="str">
        <f>IFERROR(__xludf.DUMMYFUNCTION("""COMPUTED_VALUE"""),"Barrel Accessory")</f>
        <v>Barrel Accessory</v>
      </c>
      <c r="E1712" s="102" t="str">
        <f>IFERROR(__xludf.DUMMYFUNCTION("""COMPUTED_VALUE"""),"TOR_SG.part_barrel_01_b")</f>
        <v>TOR_SG.part_barrel_01_b</v>
      </c>
      <c r="F1712" s="102"/>
      <c r="G1712" s="102" t="str">
        <f>IFERROR(__xludf.DUMMYFUNCTION("""COMPUTED_VALUE"""),"+Damage")</f>
        <v>+Damage</v>
      </c>
      <c r="H1712" s="102"/>
      <c r="I1712" s="102"/>
      <c r="J1712" s="102"/>
      <c r="K1712" s="102"/>
      <c r="L1712" s="102"/>
    </row>
    <row r="1713">
      <c r="A1713" s="102" t="str">
        <f>IFERROR(__xludf.DUMMYFUNCTION("""COMPUTED_VALUE"""),"Torgue")</f>
        <v>Torgue</v>
      </c>
      <c r="B1713" s="102" t="str">
        <f>IFERROR(__xludf.DUMMYFUNCTION("""COMPUTED_VALUE"""),"Shotgun")</f>
        <v>Shotgun</v>
      </c>
      <c r="C1713" s="103">
        <f>IFERROR(__xludf.DUMMYFUNCTION("""COMPUTED_VALUE"""),63.0)</f>
        <v>63</v>
      </c>
      <c r="D1713" s="102" t="str">
        <f>IFERROR(__xludf.DUMMYFUNCTION("""COMPUTED_VALUE"""),"Barrel Accessory")</f>
        <v>Barrel Accessory</v>
      </c>
      <c r="E1713" s="102" t="str">
        <f>IFERROR(__xludf.DUMMYFUNCTION("""COMPUTED_VALUE"""),"TOR_SG.part_barrel_01_c")</f>
        <v>TOR_SG.part_barrel_01_c</v>
      </c>
      <c r="F1713" s="102"/>
      <c r="G1713" s="102" t="str">
        <f>IFERROR(__xludf.DUMMYFUNCTION("""COMPUTED_VALUE"""),"+Blast Radius")</f>
        <v>+Blast Radius</v>
      </c>
      <c r="H1713" s="102"/>
      <c r="I1713" s="102"/>
      <c r="J1713" s="102"/>
      <c r="K1713" s="102"/>
      <c r="L1713" s="102"/>
    </row>
    <row r="1714">
      <c r="A1714" s="102" t="str">
        <f>IFERROR(__xludf.DUMMYFUNCTION("""COMPUTED_VALUE"""),"Torgue")</f>
        <v>Torgue</v>
      </c>
      <c r="B1714" s="102" t="str">
        <f>IFERROR(__xludf.DUMMYFUNCTION("""COMPUTED_VALUE"""),"Shotgun")</f>
        <v>Shotgun</v>
      </c>
      <c r="C1714" s="103">
        <f>IFERROR(__xludf.DUMMYFUNCTION("""COMPUTED_VALUE"""),64.0)</f>
        <v>64</v>
      </c>
      <c r="D1714" s="102" t="str">
        <f>IFERROR(__xludf.DUMMYFUNCTION("""COMPUTED_VALUE"""),"Barrel Accessory")</f>
        <v>Barrel Accessory</v>
      </c>
      <c r="E1714" s="102" t="str">
        <f>IFERROR(__xludf.DUMMYFUNCTION("""COMPUTED_VALUE"""),"TOR_SG.part_barrel_01_d")</f>
        <v>TOR_SG.part_barrel_01_d</v>
      </c>
      <c r="F1714" s="102"/>
      <c r="G1714" s="102" t="str">
        <f>IFERROR(__xludf.DUMMYFUNCTION("""COMPUTED_VALUE"""),"+Accuracy")</f>
        <v>+Accuracy</v>
      </c>
      <c r="H1714" s="102"/>
      <c r="I1714" s="102"/>
      <c r="J1714" s="102"/>
      <c r="K1714" s="102"/>
      <c r="L1714" s="102"/>
    </row>
    <row r="1715">
      <c r="A1715" s="102" t="str">
        <f>IFERROR(__xludf.DUMMYFUNCTION("""COMPUTED_VALUE"""),"Torgue")</f>
        <v>Torgue</v>
      </c>
      <c r="B1715" s="102" t="str">
        <f>IFERROR(__xludf.DUMMYFUNCTION("""COMPUTED_VALUE"""),"Shotgun")</f>
        <v>Shotgun</v>
      </c>
      <c r="C1715" s="103">
        <f>IFERROR(__xludf.DUMMYFUNCTION("""COMPUTED_VALUE"""),65.0)</f>
        <v>65</v>
      </c>
      <c r="D1715" s="102" t="str">
        <f>IFERROR(__xludf.DUMMYFUNCTION("""COMPUTED_VALUE"""),"Barrel Accessory")</f>
        <v>Barrel Accessory</v>
      </c>
      <c r="E1715" s="102" t="str">
        <f>IFERROR(__xludf.DUMMYFUNCTION("""COMPUTED_VALUE"""),"TOR_SG.part_barrel_02_a")</f>
        <v>TOR_SG.part_barrel_02_a</v>
      </c>
      <c r="F1715" s="102"/>
      <c r="G1715" s="102" t="str">
        <f>IFERROR(__xludf.DUMMYFUNCTION("""COMPUTED_VALUE"""),"+Damage")</f>
        <v>+Damage</v>
      </c>
      <c r="H1715" s="102"/>
      <c r="I1715" s="102"/>
      <c r="J1715" s="102"/>
      <c r="K1715" s="102"/>
      <c r="L1715" s="102"/>
    </row>
    <row r="1716">
      <c r="A1716" s="102" t="str">
        <f>IFERROR(__xludf.DUMMYFUNCTION("""COMPUTED_VALUE"""),"Torgue")</f>
        <v>Torgue</v>
      </c>
      <c r="B1716" s="102" t="str">
        <f>IFERROR(__xludf.DUMMYFUNCTION("""COMPUTED_VALUE"""),"Shotgun")</f>
        <v>Shotgun</v>
      </c>
      <c r="C1716" s="103">
        <f>IFERROR(__xludf.DUMMYFUNCTION("""COMPUTED_VALUE"""),66.0)</f>
        <v>66</v>
      </c>
      <c r="D1716" s="102" t="str">
        <f>IFERROR(__xludf.DUMMYFUNCTION("""COMPUTED_VALUE"""),"Barrel Accessory")</f>
        <v>Barrel Accessory</v>
      </c>
      <c r="E1716" s="102" t="str">
        <f>IFERROR(__xludf.DUMMYFUNCTION("""COMPUTED_VALUE"""),"TOR_SG.part_barrel_02_b")</f>
        <v>TOR_SG.part_barrel_02_b</v>
      </c>
      <c r="F1716" s="102"/>
      <c r="G1716" s="102" t="str">
        <f>IFERROR(__xludf.DUMMYFUNCTION("""COMPUTED_VALUE"""),"+Accuracy")</f>
        <v>+Accuracy</v>
      </c>
      <c r="H1716" s="102"/>
      <c r="I1716" s="102"/>
      <c r="J1716" s="102"/>
      <c r="K1716" s="102"/>
      <c r="L1716" s="102"/>
    </row>
    <row r="1717">
      <c r="A1717" s="102" t="str">
        <f>IFERROR(__xludf.DUMMYFUNCTION("""COMPUTED_VALUE"""),"Torgue")</f>
        <v>Torgue</v>
      </c>
      <c r="B1717" s="102" t="str">
        <f>IFERROR(__xludf.DUMMYFUNCTION("""COMPUTED_VALUE"""),"Shotgun")</f>
        <v>Shotgun</v>
      </c>
      <c r="C1717" s="103">
        <f>IFERROR(__xludf.DUMMYFUNCTION("""COMPUTED_VALUE"""),67.0)</f>
        <v>67</v>
      </c>
      <c r="D1717" s="102" t="str">
        <f>IFERROR(__xludf.DUMMYFUNCTION("""COMPUTED_VALUE"""),"Barrel Accessory")</f>
        <v>Barrel Accessory</v>
      </c>
      <c r="E1717" s="102" t="str">
        <f>IFERROR(__xludf.DUMMYFUNCTION("""COMPUTED_VALUE"""),"TOR_SG.part_barrel_02_c")</f>
        <v>TOR_SG.part_barrel_02_c</v>
      </c>
      <c r="F1717" s="102"/>
      <c r="G1717" s="102" t="str">
        <f>IFERROR(__xludf.DUMMYFUNCTION("""COMPUTED_VALUE"""),"+Fire Rate")</f>
        <v>+Fire Rate</v>
      </c>
      <c r="H1717" s="102"/>
      <c r="I1717" s="102"/>
      <c r="J1717" s="102"/>
      <c r="K1717" s="102"/>
      <c r="L1717" s="102"/>
    </row>
    <row r="1718">
      <c r="A1718" s="102" t="str">
        <f>IFERROR(__xludf.DUMMYFUNCTION("""COMPUTED_VALUE"""),"Torgue")</f>
        <v>Torgue</v>
      </c>
      <c r="B1718" s="102" t="str">
        <f>IFERROR(__xludf.DUMMYFUNCTION("""COMPUTED_VALUE"""),"Shotgun")</f>
        <v>Shotgun</v>
      </c>
      <c r="C1718" s="103">
        <f>IFERROR(__xludf.DUMMYFUNCTION("""COMPUTED_VALUE"""),68.0)</f>
        <v>68</v>
      </c>
      <c r="D1718" s="102" t="str">
        <f>IFERROR(__xludf.DUMMYFUNCTION("""COMPUTED_VALUE"""),"Barrel Accessory")</f>
        <v>Barrel Accessory</v>
      </c>
      <c r="E1718" s="102" t="str">
        <f>IFERROR(__xludf.DUMMYFUNCTION("""COMPUTED_VALUE"""),"TOR_SG.part_barrel_02_d")</f>
        <v>TOR_SG.part_barrel_02_d</v>
      </c>
      <c r="F1718" s="102"/>
      <c r="G1718" s="102" t="str">
        <f>IFERROR(__xludf.DUMMYFUNCTION("""COMPUTED_VALUE"""),"+Fire Rate")</f>
        <v>+Fire Rate</v>
      </c>
      <c r="H1718" s="102"/>
      <c r="I1718" s="102"/>
      <c r="J1718" s="102"/>
      <c r="K1718" s="102"/>
      <c r="L1718" s="102"/>
    </row>
    <row r="1719">
      <c r="A1719" s="102" t="str">
        <f>IFERROR(__xludf.DUMMYFUNCTION("""COMPUTED_VALUE"""),"Torgue")</f>
        <v>Torgue</v>
      </c>
      <c r="B1719" s="102" t="str">
        <f>IFERROR(__xludf.DUMMYFUNCTION("""COMPUTED_VALUE"""),"Shotgun")</f>
        <v>Shotgun</v>
      </c>
      <c r="C1719" s="103">
        <f>IFERROR(__xludf.DUMMYFUNCTION("""COMPUTED_VALUE"""),69.0)</f>
        <v>69</v>
      </c>
      <c r="D1719" s="102" t="str">
        <f>IFERROR(__xludf.DUMMYFUNCTION("""COMPUTED_VALUE"""),"Manufacturer Part")</f>
        <v>Manufacturer Part</v>
      </c>
      <c r="E1719" s="102" t="str">
        <f>IFERROR(__xludf.DUMMYFUNCTION("""COMPUTED_VALUE"""),"TOR_SG.part_barrel_licensed_jak")</f>
        <v>TOR_SG.part_barrel_licensed_jak</v>
      </c>
      <c r="F1719" s="102"/>
      <c r="G1719" s="102" t="str">
        <f>IFERROR(__xludf.DUMMYFUNCTION("""COMPUTED_VALUE"""),"Jakobs Ricochet")</f>
        <v>Jakobs Ricochet</v>
      </c>
      <c r="H1719" s="102"/>
      <c r="I1719" s="102"/>
      <c r="J1719" s="102"/>
      <c r="K1719" s="102"/>
      <c r="L1719" s="102"/>
    </row>
    <row r="1720">
      <c r="A1720" s="102" t="str">
        <f>IFERROR(__xludf.DUMMYFUNCTION("""COMPUTED_VALUE"""),"Torgue")</f>
        <v>Torgue</v>
      </c>
      <c r="B1720" s="102" t="str">
        <f>IFERROR(__xludf.DUMMYFUNCTION("""COMPUTED_VALUE"""),"Shotgun")</f>
        <v>Shotgun</v>
      </c>
      <c r="C1720" s="103">
        <f>IFERROR(__xludf.DUMMYFUNCTION("""COMPUTED_VALUE"""),70.0)</f>
        <v>70</v>
      </c>
      <c r="D1720" s="102" t="str">
        <f>IFERROR(__xludf.DUMMYFUNCTION("""COMPUTED_VALUE"""),"Manufacturer Part")</f>
        <v>Manufacturer Part</v>
      </c>
      <c r="E1720" s="102" t="str">
        <f>IFERROR(__xludf.DUMMYFUNCTION("""COMPUTED_VALUE"""),"TOR_SG.part_barrel_licensed_ted")</f>
        <v>TOR_SG.part_barrel_licensed_ted</v>
      </c>
      <c r="F1720" s="102"/>
      <c r="G1720" s="102" t="str">
        <f>IFERROR(__xludf.DUMMYFUNCTION("""COMPUTED_VALUE"""),"Tediore Reload, no stat changes")</f>
        <v>Tediore Reload, no stat changes</v>
      </c>
      <c r="H1720" s="102"/>
      <c r="I1720" s="102"/>
      <c r="J1720" s="102"/>
      <c r="K1720" s="102"/>
      <c r="L1720" s="102"/>
    </row>
    <row r="1721">
      <c r="A1721" s="102" t="str">
        <f>IFERROR(__xludf.DUMMYFUNCTION("""COMPUTED_VALUE"""),"Torgue")</f>
        <v>Torgue</v>
      </c>
      <c r="B1721" s="102" t="str">
        <f>IFERROR(__xludf.DUMMYFUNCTION("""COMPUTED_VALUE"""),"Shotgun")</f>
        <v>Shotgun</v>
      </c>
      <c r="C1721" s="103">
        <f>IFERROR(__xludf.DUMMYFUNCTION("""COMPUTED_VALUE"""),71.0)</f>
        <v>71</v>
      </c>
      <c r="D1721" s="102" t="str">
        <f>IFERROR(__xludf.DUMMYFUNCTION("""COMPUTED_VALUE"""),"Manufacturer Part")</f>
        <v>Manufacturer Part</v>
      </c>
      <c r="E1721" s="102" t="str">
        <f>IFERROR(__xludf.DUMMYFUNCTION("""COMPUTED_VALUE"""),"TOR_SG.part_barrel_licensed_ted_shooting")</f>
        <v>TOR_SG.part_barrel_licensed_ted_shooting</v>
      </c>
      <c r="F1721" s="102"/>
      <c r="G1721" s="104" t="str">
        <f>IFERROR(__xludf.DUMMYFUNCTION("""COMPUTED_VALUE"""),"Tediore Shooting, no stat changes")</f>
        <v>Tediore Shooting, no stat changes</v>
      </c>
      <c r="H1721" s="102"/>
      <c r="I1721" s="102"/>
      <c r="J1721" s="102"/>
      <c r="K1721" s="102"/>
      <c r="L1721" s="102"/>
    </row>
    <row r="1722">
      <c r="A1722" s="102" t="str">
        <f>IFERROR(__xludf.DUMMYFUNCTION("""COMPUTED_VALUE"""),"Torgue")</f>
        <v>Torgue</v>
      </c>
      <c r="B1722" s="102" t="str">
        <f>IFERROR(__xludf.DUMMYFUNCTION("""COMPUTED_VALUE"""),"Shotgun")</f>
        <v>Shotgun</v>
      </c>
      <c r="C1722" s="103">
        <f>IFERROR(__xludf.DUMMYFUNCTION("""COMPUTED_VALUE"""),72.0)</f>
        <v>72</v>
      </c>
      <c r="D1722" s="102" t="str">
        <f>IFERROR(__xludf.DUMMYFUNCTION("""COMPUTED_VALUE"""),"Manufacturer Part")</f>
        <v>Manufacturer Part</v>
      </c>
      <c r="E1722" s="102" t="str">
        <f>IFERROR(__xludf.DUMMYFUNCTION("""COMPUTED_VALUE"""),"TOR_SG.part_barrel_licensed_ted_mirv")</f>
        <v>TOR_SG.part_barrel_licensed_ted_mirv</v>
      </c>
      <c r="F1722" s="102"/>
      <c r="G1722" s="102" t="str">
        <f>IFERROR(__xludf.DUMMYFUNCTION("""COMPUTED_VALUE"""),"Tediore MIRV, no stat changes")</f>
        <v>Tediore MIRV, no stat changes</v>
      </c>
      <c r="H1722" s="102"/>
      <c r="I1722" s="102"/>
      <c r="J1722" s="102"/>
      <c r="K1722" s="102"/>
      <c r="L1722" s="102"/>
    </row>
    <row r="1723">
      <c r="A1723" s="102" t="str">
        <f>IFERROR(__xludf.DUMMYFUNCTION("""COMPUTED_VALUE"""),"Torgue")</f>
        <v>Torgue</v>
      </c>
      <c r="B1723" s="102" t="str">
        <f>IFERROR(__xludf.DUMMYFUNCTION("""COMPUTED_VALUE"""),"Shotgun")</f>
        <v>Shotgun</v>
      </c>
      <c r="C1723" s="103">
        <f>IFERROR(__xludf.DUMMYFUNCTION("""COMPUTED_VALUE"""),73.0)</f>
        <v>73</v>
      </c>
      <c r="D1723" s="102" t="str">
        <f>IFERROR(__xludf.DUMMYFUNCTION("""COMPUTED_VALUE"""),"Manufacturer Part")</f>
        <v>Manufacturer Part</v>
      </c>
      <c r="E1723" s="102" t="str">
        <f>IFERROR(__xludf.DUMMYFUNCTION("""COMPUTED_VALUE"""),"TOR_SG.part_barrel_licensed_ted_combo")</f>
        <v>TOR_SG.part_barrel_licensed_ted_combo</v>
      </c>
      <c r="F1723" s="102"/>
      <c r="G1723" s="102" t="str">
        <f>IFERROR(__xludf.DUMMYFUNCTION("""COMPUTED_VALUE"""),"Tediore Combo, no stat changes")</f>
        <v>Tediore Combo, no stat changes</v>
      </c>
      <c r="H1723" s="102"/>
      <c r="I1723" s="102"/>
      <c r="J1723" s="102"/>
      <c r="K1723" s="102"/>
      <c r="L1723" s="102"/>
    </row>
    <row r="1724">
      <c r="A1724" s="102" t="str">
        <f>IFERROR(__xludf.DUMMYFUNCTION("""COMPUTED_VALUE"""),"Torgue")</f>
        <v>Torgue</v>
      </c>
      <c r="B1724" s="102" t="str">
        <f>IFERROR(__xludf.DUMMYFUNCTION("""COMPUTED_VALUE"""),"Shotgun")</f>
        <v>Shotgun</v>
      </c>
      <c r="C1724" s="103">
        <f>IFERROR(__xludf.DUMMYFUNCTION("""COMPUTED_VALUE"""),74.0)</f>
        <v>74</v>
      </c>
      <c r="D1724" s="102" t="str">
        <f>IFERROR(__xludf.DUMMYFUNCTION("""COMPUTED_VALUE"""),"Manufacturer Part")</f>
        <v>Manufacturer Part</v>
      </c>
      <c r="E1724" s="102" t="str">
        <f>IFERROR(__xludf.DUMMYFUNCTION("""COMPUTED_VALUE"""),"TOR_SG.part_barrel_licensed_hyp")</f>
        <v>TOR_SG.part_barrel_licensed_hyp</v>
      </c>
      <c r="F1724" s="102"/>
      <c r="G1724" s="102" t="str">
        <f>IFERROR(__xludf.DUMMYFUNCTION("""COMPUTED_VALUE"""),"Hyperion Shield visual accessory, no stat changes")</f>
        <v>Hyperion Shield visual accessory, no stat changes</v>
      </c>
      <c r="H1724" s="102"/>
      <c r="I1724" s="102"/>
      <c r="J1724" s="102"/>
      <c r="K1724" s="102"/>
      <c r="L1724" s="102"/>
    </row>
    <row r="1725">
      <c r="A1725" s="102" t="str">
        <f>IFERROR(__xludf.DUMMYFUNCTION("""COMPUTED_VALUE"""),"Vladof")</f>
        <v>Vladof</v>
      </c>
      <c r="B1725" s="102" t="str">
        <f>IFERROR(__xludf.DUMMYFUNCTION("""COMPUTED_VALUE"""),"Assault Rifle")</f>
        <v>Assault Rifle</v>
      </c>
      <c r="C1725" s="103">
        <f>IFERROR(__xludf.DUMMYFUNCTION("""COMPUTED_VALUE"""),1.0)</f>
        <v>1</v>
      </c>
      <c r="D1725" s="102" t="str">
        <f>IFERROR(__xludf.DUMMYFUNCTION("""COMPUTED_VALUE"""),"Barrel")</f>
        <v>Barrel</v>
      </c>
      <c r="E1725" s="102" t="str">
        <f>IFERROR(__xludf.DUMMYFUNCTION("""COMPUTED_VALUE"""),"VLA_AR.part_barrel_01_lucian")</f>
        <v>VLA_AR.part_barrel_01_lucian</v>
      </c>
      <c r="F1725" s="102"/>
      <c r="G1725" s="102" t="str">
        <f>IFERROR(__xludf.DUMMYFUNCTION("""COMPUTED_VALUE"""),"Lucian's Flank, 647 Damage, 76% Acc, 11.5/s FR")</f>
        <v>Lucian's Flank, 647 Damage, 76% Acc, 11.5/s FR</v>
      </c>
      <c r="H1725" s="102" t="str">
        <f>IFERROR(__xludf.DUMMYFUNCTION("""COMPUTED_VALUE"""),"Trample - Critical Hits refill up to 2 Ammo to the Gun's Magazine")</f>
        <v>Trample - Critical Hits refill up to 2 Ammo to the Gun's Magazine</v>
      </c>
      <c r="I1725" s="102"/>
      <c r="J1725" s="102"/>
      <c r="K1725" s="102"/>
      <c r="L1725" s="102"/>
    </row>
    <row r="1726">
      <c r="A1726" s="102" t="str">
        <f>IFERROR(__xludf.DUMMYFUNCTION("""COMPUTED_VALUE"""),"Vladof")</f>
        <v>Vladof</v>
      </c>
      <c r="B1726" s="102" t="str">
        <f>IFERROR(__xludf.DUMMYFUNCTION("""COMPUTED_VALUE"""),"Assault Rifle")</f>
        <v>Assault Rifle</v>
      </c>
      <c r="C1726" s="103">
        <f>IFERROR(__xludf.DUMMYFUNCTION("""COMPUTED_VALUE"""),2.0)</f>
        <v>2</v>
      </c>
      <c r="D1726" s="102" t="str">
        <f>IFERROR(__xludf.DUMMYFUNCTION("""COMPUTED_VALUE"""),"Body")</f>
        <v>Body</v>
      </c>
      <c r="E1726" s="102" t="str">
        <f>IFERROR(__xludf.DUMMYFUNCTION("""COMPUTED_VALUE"""),"VLA_AR.part_body")</f>
        <v>VLA_AR.part_body</v>
      </c>
      <c r="F1726" s="102"/>
      <c r="G1726" s="102" t="str">
        <f>IFERROR(__xludf.DUMMYFUNCTION("""COMPUTED_VALUE"""),"No Stat Changes, always present")</f>
        <v>No Stat Changes, always present</v>
      </c>
      <c r="H1726" s="102"/>
      <c r="I1726" s="102"/>
      <c r="J1726" s="102"/>
      <c r="K1726" s="102"/>
      <c r="L1726" s="102"/>
    </row>
    <row r="1727">
      <c r="A1727" s="102" t="str">
        <f>IFERROR(__xludf.DUMMYFUNCTION("""COMPUTED_VALUE"""),"Vladof")</f>
        <v>Vladof</v>
      </c>
      <c r="B1727" s="102" t="str">
        <f>IFERROR(__xludf.DUMMYFUNCTION("""COMPUTED_VALUE"""),"Assault Rifle")</f>
        <v>Assault Rifle</v>
      </c>
      <c r="C1727" s="103">
        <f>IFERROR(__xludf.DUMMYFUNCTION("""COMPUTED_VALUE"""),3.0)</f>
        <v>3</v>
      </c>
      <c r="D1727" s="102" t="str">
        <f>IFERROR(__xludf.DUMMYFUNCTION("""COMPUTED_VALUE"""),"Body Accessory")</f>
        <v>Body Accessory</v>
      </c>
      <c r="E1727" s="102" t="str">
        <f>IFERROR(__xludf.DUMMYFUNCTION("""COMPUTED_VALUE"""),"VLA_AR.part_body_a")</f>
        <v>VLA_AR.part_body_a</v>
      </c>
      <c r="F1727" s="102"/>
      <c r="G1727" s="104" t="str">
        <f>IFERROR(__xludf.DUMMYFUNCTION("""COMPUTED_VALUE"""),"-Reload Speed")</f>
        <v>-Reload Speed</v>
      </c>
      <c r="H1727" s="102"/>
      <c r="I1727" s="102"/>
      <c r="J1727" s="102"/>
      <c r="K1727" s="102"/>
      <c r="L1727" s="102"/>
    </row>
    <row r="1728">
      <c r="A1728" s="102" t="str">
        <f>IFERROR(__xludf.DUMMYFUNCTION("""COMPUTED_VALUE"""),"Vladof")</f>
        <v>Vladof</v>
      </c>
      <c r="B1728" s="102" t="str">
        <f>IFERROR(__xludf.DUMMYFUNCTION("""COMPUTED_VALUE"""),"Assault Rifle")</f>
        <v>Assault Rifle</v>
      </c>
      <c r="C1728" s="103">
        <f>IFERROR(__xludf.DUMMYFUNCTION("""COMPUTED_VALUE"""),4.0)</f>
        <v>4</v>
      </c>
      <c r="D1728" s="102" t="str">
        <f>IFERROR(__xludf.DUMMYFUNCTION("""COMPUTED_VALUE"""),"Body Accessory")</f>
        <v>Body Accessory</v>
      </c>
      <c r="E1728" s="102" t="str">
        <f>IFERROR(__xludf.DUMMYFUNCTION("""COMPUTED_VALUE"""),"VLA_AR.part_body_b")</f>
        <v>VLA_AR.part_body_b</v>
      </c>
      <c r="F1728" s="102"/>
      <c r="G1728" s="104" t="str">
        <f>IFERROR(__xludf.DUMMYFUNCTION("""COMPUTED_VALUE"""),"+Ammo")</f>
        <v>+Ammo</v>
      </c>
      <c r="H1728" s="102"/>
      <c r="I1728" s="102"/>
      <c r="J1728" s="102"/>
      <c r="K1728" s="102"/>
      <c r="L1728" s="102"/>
    </row>
    <row r="1729">
      <c r="A1729" s="102" t="str">
        <f>IFERROR(__xludf.DUMMYFUNCTION("""COMPUTED_VALUE"""),"Vladof")</f>
        <v>Vladof</v>
      </c>
      <c r="B1729" s="102" t="str">
        <f>IFERROR(__xludf.DUMMYFUNCTION("""COMPUTED_VALUE"""),"Assault Rifle")</f>
        <v>Assault Rifle</v>
      </c>
      <c r="C1729" s="103">
        <f>IFERROR(__xludf.DUMMYFUNCTION("""COMPUTED_VALUE"""),5.0)</f>
        <v>5</v>
      </c>
      <c r="D1729" s="102" t="str">
        <f>IFERROR(__xludf.DUMMYFUNCTION("""COMPUTED_VALUE"""),"Body Accessory")</f>
        <v>Body Accessory</v>
      </c>
      <c r="E1729" s="102" t="str">
        <f>IFERROR(__xludf.DUMMYFUNCTION("""COMPUTED_VALUE"""),"VLA_AR.part_body_c")</f>
        <v>VLA_AR.part_body_c</v>
      </c>
      <c r="F1729" s="102"/>
      <c r="G1729" s="102" t="str">
        <f>IFERROR(__xludf.DUMMYFUNCTION("""COMPUTED_VALUE"""),"+Accuracy")</f>
        <v>+Accuracy</v>
      </c>
      <c r="H1729" s="102"/>
      <c r="I1729" s="102"/>
      <c r="J1729" s="102"/>
      <c r="K1729" s="102"/>
      <c r="L1729" s="102"/>
    </row>
    <row r="1730">
      <c r="A1730" s="102" t="str">
        <f>IFERROR(__xludf.DUMMYFUNCTION("""COMPUTED_VALUE"""),"Vladof")</f>
        <v>Vladof</v>
      </c>
      <c r="B1730" s="102" t="str">
        <f>IFERROR(__xludf.DUMMYFUNCTION("""COMPUTED_VALUE"""),"Assault Rifle")</f>
        <v>Assault Rifle</v>
      </c>
      <c r="C1730" s="103">
        <f>IFERROR(__xludf.DUMMYFUNCTION("""COMPUTED_VALUE"""),6.0)</f>
        <v>6</v>
      </c>
      <c r="D1730" s="102" t="str">
        <f>IFERROR(__xludf.DUMMYFUNCTION("""COMPUTED_VALUE"""),"Body Accessory")</f>
        <v>Body Accessory</v>
      </c>
      <c r="E1730" s="102" t="str">
        <f>IFERROR(__xludf.DUMMYFUNCTION("""COMPUTED_VALUE"""),"VLA_AR.part_body_d")</f>
        <v>VLA_AR.part_body_d</v>
      </c>
      <c r="F1730" s="102"/>
      <c r="G1730" s="102" t="str">
        <f>IFERROR(__xludf.DUMMYFUNCTION("""COMPUTED_VALUE"""),"No Stat Changes")</f>
        <v>No Stat Changes</v>
      </c>
      <c r="H1730" s="102"/>
      <c r="I1730" s="102"/>
      <c r="J1730" s="102"/>
      <c r="K1730" s="102"/>
      <c r="L1730" s="102"/>
    </row>
    <row r="1731">
      <c r="A1731" s="102" t="str">
        <f>IFERROR(__xludf.DUMMYFUNCTION("""COMPUTED_VALUE"""),"Vladof")</f>
        <v>Vladof</v>
      </c>
      <c r="B1731" s="102" t="str">
        <f>IFERROR(__xludf.DUMMYFUNCTION("""COMPUTED_VALUE"""),"Assault Rifle")</f>
        <v>Assault Rifle</v>
      </c>
      <c r="C1731" s="103">
        <f>IFERROR(__xludf.DUMMYFUNCTION("""COMPUTED_VALUE"""),7.0)</f>
        <v>7</v>
      </c>
      <c r="D1731" s="102" t="str">
        <f>IFERROR(__xludf.DUMMYFUNCTION("""COMPUTED_VALUE"""),"Barrel")</f>
        <v>Barrel</v>
      </c>
      <c r="E1731" s="102" t="str">
        <f>IFERROR(__xludf.DUMMYFUNCTION("""COMPUTED_VALUE"""),"VLA_AR.part_barrel_01")</f>
        <v>VLA_AR.part_barrel_01</v>
      </c>
      <c r="F1731" s="102"/>
      <c r="G1731" s="102" t="str">
        <f>IFERROR(__xludf.DUMMYFUNCTION("""COMPUTED_VALUE"""),"Buzzymuzz, 435 Damage, 78% Acc, 11.5/s FR")</f>
        <v>Buzzymuzz, 435 Damage, 78% Acc, 11.5/s FR</v>
      </c>
      <c r="H1731" s="102"/>
      <c r="I1731" s="102"/>
      <c r="J1731" s="102"/>
      <c r="K1731" s="102"/>
      <c r="L1731" s="102"/>
    </row>
    <row r="1732">
      <c r="A1732" s="102" t="str">
        <f>IFERROR(__xludf.DUMMYFUNCTION("""COMPUTED_VALUE"""),"Vladof")</f>
        <v>Vladof</v>
      </c>
      <c r="B1732" s="102" t="str">
        <f>IFERROR(__xludf.DUMMYFUNCTION("""COMPUTED_VALUE"""),"Assault Rifle")</f>
        <v>Assault Rifle</v>
      </c>
      <c r="C1732" s="103">
        <f>IFERROR(__xludf.DUMMYFUNCTION("""COMPUTED_VALUE"""),8.0)</f>
        <v>8</v>
      </c>
      <c r="D1732" s="102" t="str">
        <f>IFERROR(__xludf.DUMMYFUNCTION("""COMPUTED_VALUE"""),"Barrel")</f>
        <v>Barrel</v>
      </c>
      <c r="E1732" s="102" t="str">
        <f>IFERROR(__xludf.DUMMYFUNCTION("""COMPUTED_VALUE"""),"VLA_AR.part_barrel_02")</f>
        <v>VLA_AR.part_barrel_02</v>
      </c>
      <c r="F1732" s="102"/>
      <c r="G1732" s="102" t="str">
        <f>IFERROR(__xludf.DUMMYFUNCTION("""COMPUTED_VALUE"""),"Gruppagrak, 468 Damage, 82% Acc, 9.9/s FR")</f>
        <v>Gruppagrak, 468 Damage, 82% Acc, 9.9/s FR</v>
      </c>
      <c r="H1732" s="102"/>
      <c r="I1732" s="102"/>
      <c r="J1732" s="102"/>
      <c r="K1732" s="102"/>
      <c r="L1732" s="102"/>
    </row>
    <row r="1733">
      <c r="A1733" s="102" t="str">
        <f>IFERROR(__xludf.DUMMYFUNCTION("""COMPUTED_VALUE"""),"Vladof")</f>
        <v>Vladof</v>
      </c>
      <c r="B1733" s="102" t="str">
        <f>IFERROR(__xludf.DUMMYFUNCTION("""COMPUTED_VALUE"""),"Assault Rifle")</f>
        <v>Assault Rifle</v>
      </c>
      <c r="C1733" s="103">
        <f>IFERROR(__xludf.DUMMYFUNCTION("""COMPUTED_VALUE"""),9.0)</f>
        <v>9</v>
      </c>
      <c r="D1733" s="102" t="str">
        <f>IFERROR(__xludf.DUMMYFUNCTION("""COMPUTED_VALUE"""),"Manufacturer Part")</f>
        <v>Manufacturer Part</v>
      </c>
      <c r="E1733" s="102" t="str">
        <f>IFERROR(__xludf.DUMMYFUNCTION("""COMPUTED_VALUE"""),"VLA_AR.part_shield_default")</f>
        <v>VLA_AR.part_shield_default</v>
      </c>
      <c r="F1733" s="102"/>
      <c r="G1733" s="102" t="str">
        <f>IFERROR(__xludf.DUMMYFUNCTION("""COMPUTED_VALUE"""),"Hyperion Shield")</f>
        <v>Hyperion Shield</v>
      </c>
      <c r="H1733" s="102"/>
      <c r="I1733" s="102"/>
      <c r="J1733" s="102"/>
      <c r="K1733" s="102"/>
      <c r="L1733" s="102"/>
    </row>
    <row r="1734">
      <c r="A1734" s="102" t="str">
        <f>IFERROR(__xludf.DUMMYFUNCTION("""COMPUTED_VALUE"""),"Vladof")</f>
        <v>Vladof</v>
      </c>
      <c r="B1734" s="102" t="str">
        <f>IFERROR(__xludf.DUMMYFUNCTION("""COMPUTED_VALUE"""),"Assault Rifle")</f>
        <v>Assault Rifle</v>
      </c>
      <c r="C1734" s="103">
        <f>IFERROR(__xludf.DUMMYFUNCTION("""COMPUTED_VALUE"""),10.0)</f>
        <v>10</v>
      </c>
      <c r="D1734" s="102" t="str">
        <f>IFERROR(__xludf.DUMMYFUNCTION("""COMPUTED_VALUE"""),"Manufacturer Part")</f>
        <v>Manufacturer Part</v>
      </c>
      <c r="E1734" s="102" t="str">
        <f>IFERROR(__xludf.DUMMYFUNCTION("""COMPUTED_VALUE"""),"VLA_AR.part_shield_ricochet")</f>
        <v>VLA_AR.part_shield_ricochet</v>
      </c>
      <c r="F1734" s="102"/>
      <c r="G1734" s="102" t="str">
        <f>IFERROR(__xludf.DUMMYFUNCTION("""COMPUTED_VALUE"""),"Hyperion Ricochet Shield")</f>
        <v>Hyperion Ricochet Shield</v>
      </c>
      <c r="H1734" s="102"/>
      <c r="I1734" s="102"/>
      <c r="J1734" s="102"/>
      <c r="K1734" s="102"/>
      <c r="L1734" s="102"/>
    </row>
    <row r="1735">
      <c r="A1735" s="102" t="str">
        <f>IFERROR(__xludf.DUMMYFUNCTION("""COMPUTED_VALUE"""),"Vladof")</f>
        <v>Vladof</v>
      </c>
      <c r="B1735" s="102" t="str">
        <f>IFERROR(__xludf.DUMMYFUNCTION("""COMPUTED_VALUE"""),"Assault Rifle")</f>
        <v>Assault Rifle</v>
      </c>
      <c r="C1735" s="103">
        <f>IFERROR(__xludf.DUMMYFUNCTION("""COMPUTED_VALUE"""),11.0)</f>
        <v>11</v>
      </c>
      <c r="D1735" s="102" t="str">
        <f>IFERROR(__xludf.DUMMYFUNCTION("""COMPUTED_VALUE"""),"Manufacturer Part")</f>
        <v>Manufacturer Part</v>
      </c>
      <c r="E1735" s="102" t="str">
        <f>IFERROR(__xludf.DUMMYFUNCTION("""COMPUTED_VALUE"""),"VLA_AR.part_shield_ammo")</f>
        <v>VLA_AR.part_shield_ammo</v>
      </c>
      <c r="F1735" s="102"/>
      <c r="G1735" s="102" t="str">
        <f>IFERROR(__xludf.DUMMYFUNCTION("""COMPUTED_VALUE"""),"Hyperion Absorb Shield")</f>
        <v>Hyperion Absorb Shield</v>
      </c>
      <c r="H1735" s="102"/>
      <c r="I1735" s="102"/>
      <c r="J1735" s="102"/>
      <c r="K1735" s="102"/>
      <c r="L1735" s="102"/>
    </row>
    <row r="1736">
      <c r="A1736" s="102" t="str">
        <f>IFERROR(__xludf.DUMMYFUNCTION("""COMPUTED_VALUE"""),"Vladof")</f>
        <v>Vladof</v>
      </c>
      <c r="B1736" s="102" t="str">
        <f>IFERROR(__xludf.DUMMYFUNCTION("""COMPUTED_VALUE"""),"Assault Rifle")</f>
        <v>Assault Rifle</v>
      </c>
      <c r="C1736" s="103">
        <f>IFERROR(__xludf.DUMMYFUNCTION("""COMPUTED_VALUE"""),12.0)</f>
        <v>12</v>
      </c>
      <c r="D1736" s="102" t="str">
        <f>IFERROR(__xludf.DUMMYFUNCTION("""COMPUTED_VALUE"""),"Manufacturer Part")</f>
        <v>Manufacturer Part</v>
      </c>
      <c r="E1736" s="102" t="str">
        <f>IFERROR(__xludf.DUMMYFUNCTION("""COMPUTED_VALUE"""),"VLA_AR.part_shield_amp")</f>
        <v>VLA_AR.part_shield_amp</v>
      </c>
      <c r="F1736" s="102"/>
      <c r="G1736" s="102" t="str">
        <f>IFERROR(__xludf.DUMMYFUNCTION("""COMPUTED_VALUE"""),"Hyperion Amp Shield")</f>
        <v>Hyperion Amp Shield</v>
      </c>
      <c r="H1736" s="102"/>
      <c r="I1736" s="102"/>
      <c r="J1736" s="102"/>
      <c r="K1736" s="102"/>
      <c r="L1736" s="102"/>
    </row>
    <row r="1737">
      <c r="A1737" s="102" t="str">
        <f>IFERROR(__xludf.DUMMYFUNCTION("""COMPUTED_VALUE"""),"Vladof")</f>
        <v>Vladof</v>
      </c>
      <c r="B1737" s="102" t="str">
        <f>IFERROR(__xludf.DUMMYFUNCTION("""COMPUTED_VALUE"""),"Assault Rifle")</f>
        <v>Assault Rifle</v>
      </c>
      <c r="C1737" s="103">
        <f>IFERROR(__xludf.DUMMYFUNCTION("""COMPUTED_VALUE"""),13.0)</f>
        <v>13</v>
      </c>
      <c r="D1737" s="102" t="str">
        <f>IFERROR(__xludf.DUMMYFUNCTION("""COMPUTED_VALUE"""),"Magazine")</f>
        <v>Magazine</v>
      </c>
      <c r="E1737" s="102" t="str">
        <f>IFERROR(__xludf.DUMMYFUNCTION("""COMPUTED_VALUE"""),"VLA_AR.part_mag_01")</f>
        <v>VLA_AR.part_mag_01</v>
      </c>
      <c r="F1737" s="102"/>
      <c r="G1737" s="102" t="str">
        <f>IFERROR(__xludf.DUMMYFUNCTION("""COMPUTED_VALUE"""),"2.9s Reload, 40 Shots")</f>
        <v>2.9s Reload, 40 Shots</v>
      </c>
      <c r="H1737" s="102"/>
      <c r="I1737" s="102"/>
      <c r="J1737" s="102"/>
      <c r="K1737" s="102"/>
      <c r="L1737" s="102"/>
    </row>
    <row r="1738">
      <c r="A1738" s="102" t="str">
        <f>IFERROR(__xludf.DUMMYFUNCTION("""COMPUTED_VALUE"""),"Vladof")</f>
        <v>Vladof</v>
      </c>
      <c r="B1738" s="102" t="str">
        <f>IFERROR(__xludf.DUMMYFUNCTION("""COMPUTED_VALUE"""),"Assault Rifle")</f>
        <v>Assault Rifle</v>
      </c>
      <c r="C1738" s="103">
        <f>IFERROR(__xludf.DUMMYFUNCTION("""COMPUTED_VALUE"""),14.0)</f>
        <v>14</v>
      </c>
      <c r="D1738" s="102" t="str">
        <f>IFERROR(__xludf.DUMMYFUNCTION("""COMPUTED_VALUE"""),"Magazine")</f>
        <v>Magazine</v>
      </c>
      <c r="E1738" s="102" t="str">
        <f>IFERROR(__xludf.DUMMYFUNCTION("""COMPUTED_VALUE"""),"VLA_AR.part_mag_02")</f>
        <v>VLA_AR.part_mag_02</v>
      </c>
      <c r="F1738" s="102"/>
      <c r="G1738" s="102" t="str">
        <f>IFERROR(__xludf.DUMMYFUNCTION("""COMPUTED_VALUE"""),"3.4s Reload, 50 Shots")</f>
        <v>3.4s Reload, 50 Shots</v>
      </c>
      <c r="H1738" s="102"/>
      <c r="I1738" s="102"/>
      <c r="J1738" s="102"/>
      <c r="K1738" s="102"/>
      <c r="L1738" s="102"/>
    </row>
    <row r="1739">
      <c r="A1739" s="102" t="str">
        <f>IFERROR(__xludf.DUMMYFUNCTION("""COMPUTED_VALUE"""),"Vladof")</f>
        <v>Vladof</v>
      </c>
      <c r="B1739" s="102" t="str">
        <f>IFERROR(__xludf.DUMMYFUNCTION("""COMPUTED_VALUE"""),"Assault Rifle")</f>
        <v>Assault Rifle</v>
      </c>
      <c r="C1739" s="103">
        <f>IFERROR(__xludf.DUMMYFUNCTION("""COMPUTED_VALUE"""),15.0)</f>
        <v>15</v>
      </c>
      <c r="D1739" s="102" t="str">
        <f>IFERROR(__xludf.DUMMYFUNCTION("""COMPUTED_VALUE"""),"Magazine")</f>
        <v>Magazine</v>
      </c>
      <c r="E1739" s="102" t="str">
        <f>IFERROR(__xludf.DUMMYFUNCTION("""COMPUTED_VALUE"""),"VLA_AR.part_mag_03_tor")</f>
        <v>VLA_AR.part_mag_03_tor</v>
      </c>
      <c r="F1739" s="102"/>
      <c r="G1739" s="102" t="str">
        <f>IFERROR(__xludf.DUMMYFUNCTION("""COMPUTED_VALUE"""),"2.8s Reload, +Damage, +Acc, -Fire Rate, 30 Shots, Torgue")</f>
        <v>2.8s Reload, +Damage, +Acc, -Fire Rate, 30 Shots, Torgue</v>
      </c>
      <c r="H1739" s="102"/>
      <c r="I1739" s="102"/>
      <c r="J1739" s="102"/>
      <c r="K1739" s="102"/>
      <c r="L1739" s="102"/>
    </row>
    <row r="1740">
      <c r="A1740" s="102" t="str">
        <f>IFERROR(__xludf.DUMMYFUNCTION("""COMPUTED_VALUE"""),"Vladof")</f>
        <v>Vladof</v>
      </c>
      <c r="B1740" s="102" t="str">
        <f>IFERROR(__xludf.DUMMYFUNCTION("""COMPUTED_VALUE"""),"Assault Rifle")</f>
        <v>Assault Rifle</v>
      </c>
      <c r="C1740" s="103">
        <f>IFERROR(__xludf.DUMMYFUNCTION("""COMPUTED_VALUE"""),16.0)</f>
        <v>16</v>
      </c>
      <c r="D1740" s="102" t="str">
        <f>IFERROR(__xludf.DUMMYFUNCTION("""COMPUTED_VALUE"""),"Magazine")</f>
        <v>Magazine</v>
      </c>
      <c r="E1740" s="102" t="str">
        <f>IFERROR(__xludf.DUMMYFUNCTION("""COMPUTED_VALUE"""),"VLA_AR.part_mag_04_cov")</f>
        <v>VLA_AR.part_mag_04_cov</v>
      </c>
      <c r="F1740" s="102"/>
      <c r="G1740" s="102" t="str">
        <f>IFERROR(__xludf.DUMMYFUNCTION("""COMPUTED_VALUE"""),"5.5s Reload, -Damage, -Acc, 61 Shots, CoV Mag")</f>
        <v>5.5s Reload, -Damage, -Acc, 61 Shots, CoV Mag</v>
      </c>
      <c r="H1740" s="102"/>
      <c r="I1740" s="102"/>
      <c r="J1740" s="102"/>
      <c r="K1740" s="102"/>
      <c r="L1740" s="102"/>
    </row>
    <row r="1741">
      <c r="A1741" s="102" t="str">
        <f>IFERROR(__xludf.DUMMYFUNCTION("""COMPUTED_VALUE"""),"Vladof")</f>
        <v>Vladof</v>
      </c>
      <c r="B1741" s="102" t="str">
        <f>IFERROR(__xludf.DUMMYFUNCTION("""COMPUTED_VALUE"""),"Assault Rifle")</f>
        <v>Assault Rifle</v>
      </c>
      <c r="C1741" s="103">
        <f>IFERROR(__xludf.DUMMYFUNCTION("""COMPUTED_VALUE"""),17.0)</f>
        <v>17</v>
      </c>
      <c r="D1741" s="102" t="str">
        <f>IFERROR(__xludf.DUMMYFUNCTION("""COMPUTED_VALUE"""),"Magazine")</f>
        <v>Magazine</v>
      </c>
      <c r="E1741" s="102" t="str">
        <f>IFERROR(__xludf.DUMMYFUNCTION("""COMPUTED_VALUE"""),"VLA_AR.part_mag_05_borg")</f>
        <v>VLA_AR.part_mag_05_borg</v>
      </c>
      <c r="F1741" s="102"/>
      <c r="G1741" s="102" t="str">
        <f>IFERROR(__xludf.DUMMYFUNCTION("""COMPUTED_VALUE"""),"3.7s Reload, -Damage, +Fire Rate, 60 Shots, RIpper Mag")</f>
        <v>3.7s Reload, -Damage, +Fire Rate, 60 Shots, RIpper Mag</v>
      </c>
      <c r="H1741" s="102"/>
      <c r="I1741" s="102"/>
      <c r="J1741" s="102"/>
      <c r="K1741" s="102"/>
      <c r="L1741" s="102"/>
    </row>
    <row r="1742">
      <c r="A1742" s="102" t="str">
        <f>IFERROR(__xludf.DUMMYFUNCTION("""COMPUTED_VALUE"""),"Vladof")</f>
        <v>Vladof</v>
      </c>
      <c r="B1742" s="102" t="str">
        <f>IFERROR(__xludf.DUMMYFUNCTION("""COMPUTED_VALUE"""),"Assault Rifle")</f>
        <v>Assault Rifle</v>
      </c>
      <c r="C1742" s="103">
        <f>IFERROR(__xludf.DUMMYFUNCTION("""COMPUTED_VALUE"""),18.0)</f>
        <v>18</v>
      </c>
      <c r="D1742" s="102" t="str">
        <f>IFERROR(__xludf.DUMMYFUNCTION("""COMPUTED_VALUE"""),"Manufacturer Part")</f>
        <v>Manufacturer Part</v>
      </c>
      <c r="E1742" s="102" t="str">
        <f>IFERROR(__xludf.DUMMYFUNCTION("""COMPUTED_VALUE"""),"VLA_AR.part_mag_torgue_normal")</f>
        <v>VLA_AR.part_mag_torgue_normal</v>
      </c>
      <c r="F1742" s="102"/>
      <c r="G1742" s="102" t="str">
        <f>IFERROR(__xludf.DUMMYFUNCTION("""COMPUTED_VALUE"""),"Torgue Impact Gyrojets")</f>
        <v>Torgue Impact Gyrojets</v>
      </c>
      <c r="H1742" s="102"/>
      <c r="I1742" s="102"/>
      <c r="J1742" s="102"/>
      <c r="K1742" s="102"/>
      <c r="L1742" s="102"/>
    </row>
    <row r="1743">
      <c r="A1743" s="102" t="str">
        <f>IFERROR(__xludf.DUMMYFUNCTION("""COMPUTED_VALUE"""),"Vladof")</f>
        <v>Vladof</v>
      </c>
      <c r="B1743" s="102" t="str">
        <f>IFERROR(__xludf.DUMMYFUNCTION("""COMPUTED_VALUE"""),"Assault Rifle")</f>
        <v>Assault Rifle</v>
      </c>
      <c r="C1743" s="103">
        <f>IFERROR(__xludf.DUMMYFUNCTION("""COMPUTED_VALUE"""),19.0)</f>
        <v>19</v>
      </c>
      <c r="D1743" s="102" t="str">
        <f>IFERROR(__xludf.DUMMYFUNCTION("""COMPUTED_VALUE"""),"Manufacturer Part")</f>
        <v>Manufacturer Part</v>
      </c>
      <c r="E1743" s="102" t="str">
        <f>IFERROR(__xludf.DUMMYFUNCTION("""COMPUTED_VALUE"""),"VLA_AR.part_mag_torgue_sticky")</f>
        <v>VLA_AR.part_mag_torgue_sticky</v>
      </c>
      <c r="F1743" s="102"/>
      <c r="G1743" s="102" t="str">
        <f>IFERROR(__xludf.DUMMYFUNCTION("""COMPUTED_VALUE"""),"Torgue Sticky Gyrojets")</f>
        <v>Torgue Sticky Gyrojets</v>
      </c>
      <c r="H1743" s="102"/>
      <c r="I1743" s="102"/>
      <c r="J1743" s="102"/>
      <c r="K1743" s="102"/>
      <c r="L1743" s="102"/>
    </row>
    <row r="1744">
      <c r="A1744" s="102" t="str">
        <f>IFERROR(__xludf.DUMMYFUNCTION("""COMPUTED_VALUE"""),"Vladof")</f>
        <v>Vladof</v>
      </c>
      <c r="B1744" s="102" t="str">
        <f>IFERROR(__xludf.DUMMYFUNCTION("""COMPUTED_VALUE"""),"Assault Rifle")</f>
        <v>Assault Rifle</v>
      </c>
      <c r="C1744" s="103">
        <f>IFERROR(__xludf.DUMMYFUNCTION("""COMPUTED_VALUE"""),20.0)</f>
        <v>20</v>
      </c>
      <c r="D1744" s="102" t="str">
        <f>IFERROR(__xludf.DUMMYFUNCTION("""COMPUTED_VALUE"""),"Stat Modifier")</f>
        <v>Stat Modifier</v>
      </c>
      <c r="E1744" s="102" t="str">
        <f>IFERROR(__xludf.DUMMYFUNCTION("""COMPUTED_VALUE"""),"VLA_AR.part_mag_ted_thrown_01")</f>
        <v>VLA_AR.part_mag_ted_thrown_01</v>
      </c>
      <c r="F1744" s="102"/>
      <c r="G1744" s="102" t="str">
        <f>IFERROR(__xludf.DUMMYFUNCTION("""COMPUTED_VALUE"""),"2.0s Reload")</f>
        <v>2.0s Reload</v>
      </c>
      <c r="H1744" s="102"/>
      <c r="I1744" s="102"/>
      <c r="J1744" s="102"/>
      <c r="K1744" s="102"/>
      <c r="L1744" s="102"/>
    </row>
    <row r="1745">
      <c r="A1745" s="102" t="str">
        <f>IFERROR(__xludf.DUMMYFUNCTION("""COMPUTED_VALUE"""),"Vladof")</f>
        <v>Vladof</v>
      </c>
      <c r="B1745" s="102" t="str">
        <f>IFERROR(__xludf.DUMMYFUNCTION("""COMPUTED_VALUE"""),"Assault Rifle")</f>
        <v>Assault Rifle</v>
      </c>
      <c r="C1745" s="103">
        <f>IFERROR(__xludf.DUMMYFUNCTION("""COMPUTED_VALUE"""),21.0)</f>
        <v>21</v>
      </c>
      <c r="D1745" s="102" t="str">
        <f>IFERROR(__xludf.DUMMYFUNCTION("""COMPUTED_VALUE"""),"Stat Modifier")</f>
        <v>Stat Modifier</v>
      </c>
      <c r="E1745" s="102" t="str">
        <f>IFERROR(__xludf.DUMMYFUNCTION("""COMPUTED_VALUE"""),"VLA_AR.part_mag_ted_thrown_02")</f>
        <v>VLA_AR.part_mag_ted_thrown_02</v>
      </c>
      <c r="F1745" s="102"/>
      <c r="G1745" s="102" t="str">
        <f>IFERROR(__xludf.DUMMYFUNCTION("""COMPUTED_VALUE"""),"2.0s Reload")</f>
        <v>2.0s Reload</v>
      </c>
      <c r="H1745" s="102"/>
      <c r="I1745" s="102"/>
      <c r="J1745" s="102"/>
      <c r="K1745" s="102"/>
      <c r="L1745" s="102"/>
    </row>
    <row r="1746">
      <c r="A1746" s="102" t="str">
        <f>IFERROR(__xludf.DUMMYFUNCTION("""COMPUTED_VALUE"""),"Vladof")</f>
        <v>Vladof</v>
      </c>
      <c r="B1746" s="102" t="str">
        <f>IFERROR(__xludf.DUMMYFUNCTION("""COMPUTED_VALUE"""),"Assault Rifle")</f>
        <v>Assault Rifle</v>
      </c>
      <c r="C1746" s="103">
        <f>IFERROR(__xludf.DUMMYFUNCTION("""COMPUTED_VALUE"""),22.0)</f>
        <v>22</v>
      </c>
      <c r="D1746" s="102" t="str">
        <f>IFERROR(__xludf.DUMMYFUNCTION("""COMPUTED_VALUE"""),"Stat Modifier")</f>
        <v>Stat Modifier</v>
      </c>
      <c r="E1746" s="102" t="str">
        <f>IFERROR(__xludf.DUMMYFUNCTION("""COMPUTED_VALUE"""),"VLA_AR.part_mag_ted_thrown_03_tor")</f>
        <v>VLA_AR.part_mag_ted_thrown_03_tor</v>
      </c>
      <c r="F1746" s="102"/>
      <c r="G1746" s="102" t="str">
        <f>IFERROR(__xludf.DUMMYFUNCTION("""COMPUTED_VALUE"""),"2.0s Reload")</f>
        <v>2.0s Reload</v>
      </c>
      <c r="H1746" s="102"/>
      <c r="I1746" s="102"/>
      <c r="J1746" s="102"/>
      <c r="K1746" s="102"/>
      <c r="L1746" s="102"/>
    </row>
    <row r="1747">
      <c r="A1747" s="102" t="str">
        <f>IFERROR(__xludf.DUMMYFUNCTION("""COMPUTED_VALUE"""),"Vladof")</f>
        <v>Vladof</v>
      </c>
      <c r="B1747" s="102" t="str">
        <f>IFERROR(__xludf.DUMMYFUNCTION("""COMPUTED_VALUE"""),"Assault Rifle")</f>
        <v>Assault Rifle</v>
      </c>
      <c r="C1747" s="103">
        <f>IFERROR(__xludf.DUMMYFUNCTION("""COMPUTED_VALUE"""),23.0)</f>
        <v>23</v>
      </c>
      <c r="D1747" s="102" t="str">
        <f>IFERROR(__xludf.DUMMYFUNCTION("""COMPUTED_VALUE"""),"Stat Modifier")</f>
        <v>Stat Modifier</v>
      </c>
      <c r="E1747" s="102" t="str">
        <f>IFERROR(__xludf.DUMMYFUNCTION("""COMPUTED_VALUE"""),"VLA_AR.part_mag_ted_thrown_04_cov")</f>
        <v>VLA_AR.part_mag_ted_thrown_04_cov</v>
      </c>
      <c r="F1747" s="102"/>
      <c r="G1747" s="102" t="str">
        <f>IFERROR(__xludf.DUMMYFUNCTION("""COMPUTED_VALUE"""),"3.0s Reload")</f>
        <v>3.0s Reload</v>
      </c>
      <c r="H1747" s="102"/>
      <c r="I1747" s="102"/>
      <c r="J1747" s="102"/>
      <c r="K1747" s="102"/>
      <c r="L1747" s="102"/>
    </row>
    <row r="1748">
      <c r="A1748" s="102" t="str">
        <f>IFERROR(__xludf.DUMMYFUNCTION("""COMPUTED_VALUE"""),"Vladof")</f>
        <v>Vladof</v>
      </c>
      <c r="B1748" s="102" t="str">
        <f>IFERROR(__xludf.DUMMYFUNCTION("""COMPUTED_VALUE"""),"Assault Rifle")</f>
        <v>Assault Rifle</v>
      </c>
      <c r="C1748" s="103">
        <f>IFERROR(__xludf.DUMMYFUNCTION("""COMPUTED_VALUE"""),24.0)</f>
        <v>24</v>
      </c>
      <c r="D1748" s="102" t="str">
        <f>IFERROR(__xludf.DUMMYFUNCTION("""COMPUTED_VALUE"""),"Stat Modifier")</f>
        <v>Stat Modifier</v>
      </c>
      <c r="E1748" s="102" t="str">
        <f>IFERROR(__xludf.DUMMYFUNCTION("""COMPUTED_VALUE"""),"VLA_AR.part_mag_ted_thrown_05_bor")</f>
        <v>VLA_AR.part_mag_ted_thrown_05_bor</v>
      </c>
      <c r="F1748" s="102"/>
      <c r="G1748" s="102" t="str">
        <f>IFERROR(__xludf.DUMMYFUNCTION("""COMPUTED_VALUE"""),"3.0s Reload")</f>
        <v>3.0s Reload</v>
      </c>
      <c r="H1748" s="102"/>
      <c r="I1748" s="102"/>
      <c r="J1748" s="102"/>
      <c r="K1748" s="102"/>
      <c r="L1748" s="102"/>
    </row>
    <row r="1749">
      <c r="A1749" s="102" t="str">
        <f>IFERROR(__xludf.DUMMYFUNCTION("""COMPUTED_VALUE"""),"Vladof")</f>
        <v>Vladof</v>
      </c>
      <c r="B1749" s="102" t="str">
        <f>IFERROR(__xludf.DUMMYFUNCTION("""COMPUTED_VALUE"""),"Assault Rifle")</f>
        <v>Assault Rifle</v>
      </c>
      <c r="C1749" s="103">
        <f>IFERROR(__xludf.DUMMYFUNCTION("""COMPUTED_VALUE"""),25.0)</f>
        <v>25</v>
      </c>
      <c r="D1749" s="102" t="str">
        <f>IFERROR(__xludf.DUMMYFUNCTION("""COMPUTED_VALUE"""),"Scope")</f>
        <v>Scope</v>
      </c>
      <c r="E1749" s="102" t="str">
        <f>IFERROR(__xludf.DUMMYFUNCTION("""COMPUTED_VALUE"""),"VLA_AR.part_scope_ironsight")</f>
        <v>VLA_AR.part_scope_ironsight</v>
      </c>
      <c r="F1749" s="102"/>
      <c r="G1749" s="102" t="str">
        <f>IFERROR(__xludf.DUMMYFUNCTION("""COMPUTED_VALUE"""),"ADS")</f>
        <v>ADS</v>
      </c>
      <c r="H1749" s="102"/>
      <c r="I1749" s="102"/>
      <c r="J1749" s="102"/>
      <c r="K1749" s="102"/>
      <c r="L1749" s="102"/>
    </row>
    <row r="1750">
      <c r="A1750" s="102" t="str">
        <f>IFERROR(__xludf.DUMMYFUNCTION("""COMPUTED_VALUE"""),"Vladof")</f>
        <v>Vladof</v>
      </c>
      <c r="B1750" s="102" t="str">
        <f>IFERROR(__xludf.DUMMYFUNCTION("""COMPUTED_VALUE"""),"Assault Rifle")</f>
        <v>Assault Rifle</v>
      </c>
      <c r="C1750" s="103">
        <f>IFERROR(__xludf.DUMMYFUNCTION("""COMPUTED_VALUE"""),26.0)</f>
        <v>26</v>
      </c>
      <c r="D1750" s="102" t="str">
        <f>IFERROR(__xludf.DUMMYFUNCTION("""COMPUTED_VALUE"""),"Scope")</f>
        <v>Scope</v>
      </c>
      <c r="E1750" s="102" t="str">
        <f>IFERROR(__xludf.DUMMYFUNCTION("""COMPUTED_VALUE"""),"VLA_AR.part_scope_01_lens_01")</f>
        <v>VLA_AR.part_scope_01_lens_01</v>
      </c>
      <c r="F1750" s="102"/>
      <c r="G1750" s="102" t="str">
        <f>IFERROR(__xludf.DUMMYFUNCTION("""COMPUTED_VALUE"""),"ADS +Zoom")</f>
        <v>ADS +Zoom</v>
      </c>
      <c r="H1750" s="102"/>
      <c r="I1750" s="102"/>
      <c r="J1750" s="102"/>
      <c r="K1750" s="102"/>
      <c r="L1750" s="102"/>
    </row>
    <row r="1751">
      <c r="A1751" s="102" t="str">
        <f>IFERROR(__xludf.DUMMYFUNCTION("""COMPUTED_VALUE"""),"Vladof")</f>
        <v>Vladof</v>
      </c>
      <c r="B1751" s="102" t="str">
        <f>IFERROR(__xludf.DUMMYFUNCTION("""COMPUTED_VALUE"""),"Assault Rifle")</f>
        <v>Assault Rifle</v>
      </c>
      <c r="C1751" s="103">
        <f>IFERROR(__xludf.DUMMYFUNCTION("""COMPUTED_VALUE"""),27.0)</f>
        <v>27</v>
      </c>
      <c r="D1751" s="102" t="str">
        <f>IFERROR(__xludf.DUMMYFUNCTION("""COMPUTED_VALUE"""),"Scope")</f>
        <v>Scope</v>
      </c>
      <c r="E1751" s="102" t="str">
        <f>IFERROR(__xludf.DUMMYFUNCTION("""COMPUTED_VALUE"""),"VLA_AR.part_scope_01_lens_02")</f>
        <v>VLA_AR.part_scope_01_lens_02</v>
      </c>
      <c r="F1751" s="102"/>
      <c r="G1751" s="102" t="str">
        <f>IFERROR(__xludf.DUMMYFUNCTION("""COMPUTED_VALUE"""),"ADS +Zoom")</f>
        <v>ADS +Zoom</v>
      </c>
      <c r="H1751" s="102"/>
      <c r="I1751" s="102"/>
      <c r="J1751" s="102"/>
      <c r="K1751" s="102"/>
      <c r="L1751" s="102"/>
    </row>
    <row r="1752">
      <c r="A1752" s="102" t="str">
        <f>IFERROR(__xludf.DUMMYFUNCTION("""COMPUTED_VALUE"""),"Vladof")</f>
        <v>Vladof</v>
      </c>
      <c r="B1752" s="102" t="str">
        <f>IFERROR(__xludf.DUMMYFUNCTION("""COMPUTED_VALUE"""),"Assault Rifle")</f>
        <v>Assault Rifle</v>
      </c>
      <c r="C1752" s="103">
        <f>IFERROR(__xludf.DUMMYFUNCTION("""COMPUTED_VALUE"""),28.0)</f>
        <v>28</v>
      </c>
      <c r="D1752" s="102" t="str">
        <f>IFERROR(__xludf.DUMMYFUNCTION("""COMPUTED_VALUE"""),"Scope")</f>
        <v>Scope</v>
      </c>
      <c r="E1752" s="102" t="str">
        <f>IFERROR(__xludf.DUMMYFUNCTION("""COMPUTED_VALUE"""),"VLA_AR.part_scope_02_lens_01")</f>
        <v>VLA_AR.part_scope_02_lens_01</v>
      </c>
      <c r="F1752" s="102"/>
      <c r="G1752" s="102" t="str">
        <f>IFERROR(__xludf.DUMMYFUNCTION("""COMPUTED_VALUE"""),"ADS +++Zoom")</f>
        <v>ADS +++Zoom</v>
      </c>
      <c r="H1752" s="102"/>
      <c r="I1752" s="102"/>
      <c r="J1752" s="102"/>
      <c r="K1752" s="102"/>
      <c r="L1752" s="102"/>
    </row>
    <row r="1753">
      <c r="A1753" s="102" t="str">
        <f>IFERROR(__xludf.DUMMYFUNCTION("""COMPUTED_VALUE"""),"Vladof")</f>
        <v>Vladof</v>
      </c>
      <c r="B1753" s="102" t="str">
        <f>IFERROR(__xludf.DUMMYFUNCTION("""COMPUTED_VALUE"""),"Assault Rifle")</f>
        <v>Assault Rifle</v>
      </c>
      <c r="C1753" s="103">
        <f>IFERROR(__xludf.DUMMYFUNCTION("""COMPUTED_VALUE"""),29.0)</f>
        <v>29</v>
      </c>
      <c r="D1753" s="102" t="str">
        <f>IFERROR(__xludf.DUMMYFUNCTION("""COMPUTED_VALUE"""),"Scope")</f>
        <v>Scope</v>
      </c>
      <c r="E1753" s="102" t="str">
        <f>IFERROR(__xludf.DUMMYFUNCTION("""COMPUTED_VALUE"""),"VLA_AR.part_scope_02_lens_02")</f>
        <v>VLA_AR.part_scope_02_lens_02</v>
      </c>
      <c r="F1753" s="102"/>
      <c r="G1753" s="102" t="str">
        <f>IFERROR(__xludf.DUMMYFUNCTION("""COMPUTED_VALUE"""),"ADS ++Zoom")</f>
        <v>ADS ++Zoom</v>
      </c>
      <c r="H1753" s="102"/>
      <c r="I1753" s="102"/>
      <c r="J1753" s="102"/>
      <c r="K1753" s="102"/>
      <c r="L1753" s="102"/>
    </row>
    <row r="1754">
      <c r="A1754" s="102" t="str">
        <f>IFERROR(__xludf.DUMMYFUNCTION("""COMPUTED_VALUE"""),"Vladof")</f>
        <v>Vladof</v>
      </c>
      <c r="B1754" s="102" t="str">
        <f>IFERROR(__xludf.DUMMYFUNCTION("""COMPUTED_VALUE"""),"Assault Rifle")</f>
        <v>Assault Rifle</v>
      </c>
      <c r="C1754" s="103">
        <f>IFERROR(__xludf.DUMMYFUNCTION("""COMPUTED_VALUE"""),30.0)</f>
        <v>30</v>
      </c>
      <c r="D1754" s="102" t="str">
        <f>IFERROR(__xludf.DUMMYFUNCTION("""COMPUTED_VALUE"""),"Scope Accessory")</f>
        <v>Scope Accessory</v>
      </c>
      <c r="E1754" s="102" t="str">
        <f>IFERROR(__xludf.DUMMYFUNCTION("""COMPUTED_VALUE"""),"VLA_AR.part_scope_acc_s01_l01_a")</f>
        <v>VLA_AR.part_scope_acc_s01_l01_a</v>
      </c>
      <c r="F1754" s="102"/>
      <c r="G1754" s="102" t="str">
        <f>IFERROR(__xludf.DUMMYFUNCTION("""COMPUTED_VALUE"""),"+Damage")</f>
        <v>+Damage</v>
      </c>
      <c r="H1754" s="102"/>
      <c r="I1754" s="102"/>
      <c r="J1754" s="102"/>
      <c r="K1754" s="102"/>
      <c r="L1754" s="102"/>
    </row>
    <row r="1755">
      <c r="A1755" s="102" t="str">
        <f>IFERROR(__xludf.DUMMYFUNCTION("""COMPUTED_VALUE"""),"Vladof")</f>
        <v>Vladof</v>
      </c>
      <c r="B1755" s="102" t="str">
        <f>IFERROR(__xludf.DUMMYFUNCTION("""COMPUTED_VALUE"""),"Assault Rifle")</f>
        <v>Assault Rifle</v>
      </c>
      <c r="C1755" s="103">
        <f>IFERROR(__xludf.DUMMYFUNCTION("""COMPUTED_VALUE"""),31.0)</f>
        <v>31</v>
      </c>
      <c r="D1755" s="102" t="str">
        <f>IFERROR(__xludf.DUMMYFUNCTION("""COMPUTED_VALUE"""),"Scope Accessory")</f>
        <v>Scope Accessory</v>
      </c>
      <c r="E1755" s="102" t="str">
        <f>IFERROR(__xludf.DUMMYFUNCTION("""COMPUTED_VALUE"""),"VLA_AR.part_scope_acc_s01_l01_b")</f>
        <v>VLA_AR.part_scope_acc_s01_l01_b</v>
      </c>
      <c r="F1755" s="102"/>
      <c r="G1755" s="102" t="str">
        <f>IFERROR(__xludf.DUMMYFUNCTION("""COMPUTED_VALUE"""),"-Reload Speed")</f>
        <v>-Reload Speed</v>
      </c>
      <c r="H1755" s="102"/>
      <c r="I1755" s="102"/>
      <c r="J1755" s="102"/>
      <c r="K1755" s="102"/>
      <c r="L1755" s="102"/>
    </row>
    <row r="1756">
      <c r="A1756" s="102" t="str">
        <f>IFERROR(__xludf.DUMMYFUNCTION("""COMPUTED_VALUE"""),"Vladof")</f>
        <v>Vladof</v>
      </c>
      <c r="B1756" s="102" t="str">
        <f>IFERROR(__xludf.DUMMYFUNCTION("""COMPUTED_VALUE"""),"Assault Rifle")</f>
        <v>Assault Rifle</v>
      </c>
      <c r="C1756" s="103">
        <f>IFERROR(__xludf.DUMMYFUNCTION("""COMPUTED_VALUE"""),32.0)</f>
        <v>32</v>
      </c>
      <c r="D1756" s="102" t="str">
        <f>IFERROR(__xludf.DUMMYFUNCTION("""COMPUTED_VALUE"""),"Scope Accessory")</f>
        <v>Scope Accessory</v>
      </c>
      <c r="E1756" s="102" t="str">
        <f>IFERROR(__xludf.DUMMYFUNCTION("""COMPUTED_VALUE"""),"VLA_AR.part_scope_acc_s02_l01_a")</f>
        <v>VLA_AR.part_scope_acc_s02_l01_a</v>
      </c>
      <c r="F1756" s="102"/>
      <c r="G1756" s="102" t="str">
        <f>IFERROR(__xludf.DUMMYFUNCTION("""COMPUTED_VALUE"""),"No Stat Changes")</f>
        <v>No Stat Changes</v>
      </c>
      <c r="H1756" s="102"/>
      <c r="I1756" s="102"/>
      <c r="J1756" s="102"/>
      <c r="K1756" s="102"/>
      <c r="L1756" s="102"/>
    </row>
    <row r="1757">
      <c r="A1757" s="102" t="str">
        <f>IFERROR(__xludf.DUMMYFUNCTION("""COMPUTED_VALUE"""),"Vladof")</f>
        <v>Vladof</v>
      </c>
      <c r="B1757" s="102" t="str">
        <f>IFERROR(__xludf.DUMMYFUNCTION("""COMPUTED_VALUE"""),"Assault Rifle")</f>
        <v>Assault Rifle</v>
      </c>
      <c r="C1757" s="103">
        <f>IFERROR(__xludf.DUMMYFUNCTION("""COMPUTED_VALUE"""),33.0)</f>
        <v>33</v>
      </c>
      <c r="D1757" s="102" t="str">
        <f>IFERROR(__xludf.DUMMYFUNCTION("""COMPUTED_VALUE"""),"Scope Accessory")</f>
        <v>Scope Accessory</v>
      </c>
      <c r="E1757" s="102" t="str">
        <f>IFERROR(__xludf.DUMMYFUNCTION("""COMPUTED_VALUE"""),"VLA_AR.part_scope_acc_s02_l01_b")</f>
        <v>VLA_AR.part_scope_acc_s02_l01_b</v>
      </c>
      <c r="F1757" s="102"/>
      <c r="G1757" s="102" t="str">
        <f>IFERROR(__xludf.DUMMYFUNCTION("""COMPUTED_VALUE"""),"+Ammo")</f>
        <v>+Ammo</v>
      </c>
      <c r="H1757" s="102"/>
      <c r="I1757" s="102"/>
      <c r="J1757" s="102"/>
      <c r="K1757" s="102"/>
      <c r="L1757" s="102"/>
    </row>
    <row r="1758">
      <c r="A1758" s="102" t="str">
        <f>IFERROR(__xludf.DUMMYFUNCTION("""COMPUTED_VALUE"""),"Vladof")</f>
        <v>Vladof</v>
      </c>
      <c r="B1758" s="102" t="str">
        <f>IFERROR(__xludf.DUMMYFUNCTION("""COMPUTED_VALUE"""),"Assault Rifle")</f>
        <v>Assault Rifle</v>
      </c>
      <c r="C1758" s="103">
        <f>IFERROR(__xludf.DUMMYFUNCTION("""COMPUTED_VALUE"""),34.0)</f>
        <v>34</v>
      </c>
      <c r="D1758" s="102" t="str">
        <f>IFERROR(__xludf.DUMMYFUNCTION("""COMPUTED_VALUE"""),"Scope Accessory")</f>
        <v>Scope Accessory</v>
      </c>
      <c r="E1758" s="102" t="str">
        <f>IFERROR(__xludf.DUMMYFUNCTION("""COMPUTED_VALUE"""),"VLA_AR.part_scope_acc_s01_l02_a")</f>
        <v>VLA_AR.part_scope_acc_s01_l02_a</v>
      </c>
      <c r="F1758" s="102"/>
      <c r="G1758" s="102" t="str">
        <f>IFERROR(__xludf.DUMMYFUNCTION("""COMPUTED_VALUE"""),"+Damage")</f>
        <v>+Damage</v>
      </c>
      <c r="H1758" s="102"/>
      <c r="I1758" s="102"/>
      <c r="J1758" s="102"/>
      <c r="K1758" s="102"/>
      <c r="L1758" s="102"/>
    </row>
    <row r="1759">
      <c r="A1759" s="102" t="str">
        <f>IFERROR(__xludf.DUMMYFUNCTION("""COMPUTED_VALUE"""),"Vladof")</f>
        <v>Vladof</v>
      </c>
      <c r="B1759" s="102" t="str">
        <f>IFERROR(__xludf.DUMMYFUNCTION("""COMPUTED_VALUE"""),"Assault Rifle")</f>
        <v>Assault Rifle</v>
      </c>
      <c r="C1759" s="103">
        <f>IFERROR(__xludf.DUMMYFUNCTION("""COMPUTED_VALUE"""),35.0)</f>
        <v>35</v>
      </c>
      <c r="D1759" s="102" t="str">
        <f>IFERROR(__xludf.DUMMYFUNCTION("""COMPUTED_VALUE"""),"Scope Accessory")</f>
        <v>Scope Accessory</v>
      </c>
      <c r="E1759" s="102" t="str">
        <f>IFERROR(__xludf.DUMMYFUNCTION("""COMPUTED_VALUE"""),"VLA_AR.part_scope_acc_s01_l02_b")</f>
        <v>VLA_AR.part_scope_acc_s01_l02_b</v>
      </c>
      <c r="F1759" s="102"/>
      <c r="G1759" s="102" t="str">
        <f>IFERROR(__xludf.DUMMYFUNCTION("""COMPUTED_VALUE"""),"-Reload Speed")</f>
        <v>-Reload Speed</v>
      </c>
      <c r="H1759" s="102"/>
      <c r="I1759" s="102"/>
      <c r="J1759" s="102"/>
      <c r="K1759" s="102"/>
      <c r="L1759" s="102"/>
    </row>
    <row r="1760">
      <c r="A1760" s="102" t="str">
        <f>IFERROR(__xludf.DUMMYFUNCTION("""COMPUTED_VALUE"""),"Vladof")</f>
        <v>Vladof</v>
      </c>
      <c r="B1760" s="102" t="str">
        <f>IFERROR(__xludf.DUMMYFUNCTION("""COMPUTED_VALUE"""),"Assault Rifle")</f>
        <v>Assault Rifle</v>
      </c>
      <c r="C1760" s="103">
        <f>IFERROR(__xludf.DUMMYFUNCTION("""COMPUTED_VALUE"""),36.0)</f>
        <v>36</v>
      </c>
      <c r="D1760" s="102" t="str">
        <f>IFERROR(__xludf.DUMMYFUNCTION("""COMPUTED_VALUE"""),"Scope Accessory")</f>
        <v>Scope Accessory</v>
      </c>
      <c r="E1760" s="102" t="str">
        <f>IFERROR(__xludf.DUMMYFUNCTION("""COMPUTED_VALUE"""),"VLA_AR.part_scope_acc_s02_l02_a")</f>
        <v>VLA_AR.part_scope_acc_s02_l02_a</v>
      </c>
      <c r="F1760" s="102"/>
      <c r="G1760" s="102" t="str">
        <f>IFERROR(__xludf.DUMMYFUNCTION("""COMPUTED_VALUE"""),"No Stat Changes")</f>
        <v>No Stat Changes</v>
      </c>
      <c r="H1760" s="102"/>
      <c r="I1760" s="102"/>
      <c r="J1760" s="102"/>
      <c r="K1760" s="102"/>
      <c r="L1760" s="102"/>
    </row>
    <row r="1761">
      <c r="A1761" s="102" t="str">
        <f>IFERROR(__xludf.DUMMYFUNCTION("""COMPUTED_VALUE"""),"Vladof")</f>
        <v>Vladof</v>
      </c>
      <c r="B1761" s="102" t="str">
        <f>IFERROR(__xludf.DUMMYFUNCTION("""COMPUTED_VALUE"""),"Assault Rifle")</f>
        <v>Assault Rifle</v>
      </c>
      <c r="C1761" s="103">
        <f>IFERROR(__xludf.DUMMYFUNCTION("""COMPUTED_VALUE"""),37.0)</f>
        <v>37</v>
      </c>
      <c r="D1761" s="102" t="str">
        <f>IFERROR(__xludf.DUMMYFUNCTION("""COMPUTED_VALUE"""),"Scope Accessory")</f>
        <v>Scope Accessory</v>
      </c>
      <c r="E1761" s="102" t="str">
        <f>IFERROR(__xludf.DUMMYFUNCTION("""COMPUTED_VALUE"""),"VLA_AR.part_scope_acc_s02_l02_b")</f>
        <v>VLA_AR.part_scope_acc_s02_l02_b</v>
      </c>
      <c r="F1761" s="102"/>
      <c r="G1761" s="102" t="str">
        <f>IFERROR(__xludf.DUMMYFUNCTION("""COMPUTED_VALUE"""),"+Ammo")</f>
        <v>+Ammo</v>
      </c>
      <c r="H1761" s="102"/>
      <c r="I1761" s="102"/>
      <c r="J1761" s="102"/>
      <c r="K1761" s="102"/>
      <c r="L1761" s="102"/>
    </row>
    <row r="1762">
      <c r="A1762" s="102" t="str">
        <f>IFERROR(__xludf.DUMMYFUNCTION("""COMPUTED_VALUE"""),"Vladof")</f>
        <v>Vladof</v>
      </c>
      <c r="B1762" s="102" t="str">
        <f>IFERROR(__xludf.DUMMYFUNCTION("""COMPUTED_VALUE"""),"Assault Rifle")</f>
        <v>Assault Rifle</v>
      </c>
      <c r="C1762" s="103">
        <f>IFERROR(__xludf.DUMMYFUNCTION("""COMPUTED_VALUE"""),38.0)</f>
        <v>38</v>
      </c>
      <c r="D1762" s="102" t="str">
        <f>IFERROR(__xludf.DUMMYFUNCTION("""COMPUTED_VALUE"""),"Grip")</f>
        <v>Grip</v>
      </c>
      <c r="E1762" s="102" t="str">
        <f>IFERROR(__xludf.DUMMYFUNCTION("""COMPUTED_VALUE"""),"VLA_AR.part_grip_05a_ted_legs")</f>
        <v>VLA_AR.part_grip_05a_ted_legs</v>
      </c>
      <c r="F1762" s="102"/>
      <c r="G1762" s="102" t="str">
        <f>IFERROR(__xludf.DUMMYFUNCTION("""COMPUTED_VALUE"""),"Tediore reload modifier: Legs, no stat changes")</f>
        <v>Tediore reload modifier: Legs, no stat changes</v>
      </c>
      <c r="H1762" s="102"/>
      <c r="I1762" s="102"/>
      <c r="J1762" s="102"/>
      <c r="K1762" s="102"/>
      <c r="L1762" s="102"/>
    </row>
    <row r="1763">
      <c r="A1763" s="102" t="str">
        <f>IFERROR(__xludf.DUMMYFUNCTION("""COMPUTED_VALUE"""),"Vladof")</f>
        <v>Vladof</v>
      </c>
      <c r="B1763" s="102" t="str">
        <f>IFERROR(__xludf.DUMMYFUNCTION("""COMPUTED_VALUE"""),"Assault Rifle")</f>
        <v>Assault Rifle</v>
      </c>
      <c r="C1763" s="103">
        <f>IFERROR(__xludf.DUMMYFUNCTION("""COMPUTED_VALUE"""),39.0)</f>
        <v>39</v>
      </c>
      <c r="D1763" s="102" t="str">
        <f>IFERROR(__xludf.DUMMYFUNCTION("""COMPUTED_VALUE"""),"Grip")</f>
        <v>Grip</v>
      </c>
      <c r="E1763" s="102" t="str">
        <f>IFERROR(__xludf.DUMMYFUNCTION("""COMPUTED_VALUE"""),"VLA_AR.part_grip_05c_ted_jav")</f>
        <v>VLA_AR.part_grip_05c_ted_jav</v>
      </c>
      <c r="F1763" s="102"/>
      <c r="G1763" s="102" t="str">
        <f>IFERROR(__xludf.DUMMYFUNCTION("""COMPUTED_VALUE"""),"Tediore reload modifier: Javelin, no stat changes")</f>
        <v>Tediore reload modifier: Javelin, no stat changes</v>
      </c>
      <c r="H1763" s="102"/>
      <c r="I1763" s="102"/>
      <c r="J1763" s="102"/>
      <c r="K1763" s="102"/>
      <c r="L1763" s="102"/>
    </row>
    <row r="1764">
      <c r="A1764" s="102" t="str">
        <f>IFERROR(__xludf.DUMMYFUNCTION("""COMPUTED_VALUE"""),"Vladof")</f>
        <v>Vladof</v>
      </c>
      <c r="B1764" s="102" t="str">
        <f>IFERROR(__xludf.DUMMYFUNCTION("""COMPUTED_VALUE"""),"Assault Rifle")</f>
        <v>Assault Rifle</v>
      </c>
      <c r="C1764" s="103">
        <f>IFERROR(__xludf.DUMMYFUNCTION("""COMPUTED_VALUE"""),40.0)</f>
        <v>40</v>
      </c>
      <c r="D1764" s="102" t="str">
        <f>IFERROR(__xludf.DUMMYFUNCTION("""COMPUTED_VALUE"""),"Grip")</f>
        <v>Grip</v>
      </c>
      <c r="E1764" s="102" t="str">
        <f>IFERROR(__xludf.DUMMYFUNCTION("""COMPUTED_VALUE"""),"VLA_AR.part_grip_05b_ted_homing")</f>
        <v>VLA_AR.part_grip_05b_ted_homing</v>
      </c>
      <c r="F1764" s="102"/>
      <c r="G1764" s="102" t="str">
        <f>IFERROR(__xludf.DUMMYFUNCTION("""COMPUTED_VALUE"""),"Tediore reload modifier: Homing, no stat changes")</f>
        <v>Tediore reload modifier: Homing, no stat changes</v>
      </c>
      <c r="H1764" s="102"/>
      <c r="I1764" s="102"/>
      <c r="J1764" s="102"/>
      <c r="K1764" s="102"/>
      <c r="L1764" s="102"/>
    </row>
    <row r="1765">
      <c r="A1765" s="102" t="str">
        <f>IFERROR(__xludf.DUMMYFUNCTION("""COMPUTED_VALUE"""),"Vladof")</f>
        <v>Vladof</v>
      </c>
      <c r="B1765" s="102" t="str">
        <f>IFERROR(__xludf.DUMMYFUNCTION("""COMPUTED_VALUE"""),"Assault Rifle")</f>
        <v>Assault Rifle</v>
      </c>
      <c r="C1765" s="103">
        <f>IFERROR(__xludf.DUMMYFUNCTION("""COMPUTED_VALUE"""),41.0)</f>
        <v>41</v>
      </c>
      <c r="D1765" s="102" t="str">
        <f>IFERROR(__xludf.DUMMYFUNCTION("""COMPUTED_VALUE"""),"Grip")</f>
        <v>Grip</v>
      </c>
      <c r="E1765" s="102" t="str">
        <f>IFERROR(__xludf.DUMMYFUNCTION("""COMPUTED_VALUE"""),"VLA_AR.part_grip_01")</f>
        <v>VLA_AR.part_grip_01</v>
      </c>
      <c r="F1765" s="102"/>
      <c r="G1765" s="102" t="str">
        <f>IFERROR(__xludf.DUMMYFUNCTION("""COMPUTED_VALUE"""),"+Damage")</f>
        <v>+Damage</v>
      </c>
      <c r="H1765" s="102"/>
      <c r="I1765" s="102"/>
      <c r="J1765" s="102"/>
      <c r="K1765" s="102"/>
      <c r="L1765" s="102"/>
    </row>
    <row r="1766">
      <c r="A1766" s="102" t="str">
        <f>IFERROR(__xludf.DUMMYFUNCTION("""COMPUTED_VALUE"""),"Vladof")</f>
        <v>Vladof</v>
      </c>
      <c r="B1766" s="102" t="str">
        <f>IFERROR(__xludf.DUMMYFUNCTION("""COMPUTED_VALUE"""),"Assault Rifle")</f>
        <v>Assault Rifle</v>
      </c>
      <c r="C1766" s="103">
        <f>IFERROR(__xludf.DUMMYFUNCTION("""COMPUTED_VALUE"""),42.0)</f>
        <v>42</v>
      </c>
      <c r="D1766" s="102" t="str">
        <f>IFERROR(__xludf.DUMMYFUNCTION("""COMPUTED_VALUE"""),"Grip")</f>
        <v>Grip</v>
      </c>
      <c r="E1766" s="102" t="str">
        <f>IFERROR(__xludf.DUMMYFUNCTION("""COMPUTED_VALUE"""),"VLA_AR.part_grip_02")</f>
        <v>VLA_AR.part_grip_02</v>
      </c>
      <c r="F1766" s="102"/>
      <c r="G1766" s="102" t="str">
        <f>IFERROR(__xludf.DUMMYFUNCTION("""COMPUTED_VALUE"""),"+Fire Rate")</f>
        <v>+Fire Rate</v>
      </c>
      <c r="H1766" s="102"/>
      <c r="I1766" s="102"/>
      <c r="J1766" s="102"/>
      <c r="K1766" s="102"/>
      <c r="L1766" s="102"/>
    </row>
    <row r="1767">
      <c r="A1767" s="102" t="str">
        <f>IFERROR(__xludf.DUMMYFUNCTION("""COMPUTED_VALUE"""),"Vladof")</f>
        <v>Vladof</v>
      </c>
      <c r="B1767" s="102" t="str">
        <f>IFERROR(__xludf.DUMMYFUNCTION("""COMPUTED_VALUE"""),"Assault Rifle")</f>
        <v>Assault Rifle</v>
      </c>
      <c r="C1767" s="103">
        <f>IFERROR(__xludf.DUMMYFUNCTION("""COMPUTED_VALUE"""),43.0)</f>
        <v>43</v>
      </c>
      <c r="D1767" s="102" t="str">
        <f>IFERROR(__xludf.DUMMYFUNCTION("""COMPUTED_VALUE"""),"Grip")</f>
        <v>Grip</v>
      </c>
      <c r="E1767" s="102" t="str">
        <f>IFERROR(__xludf.DUMMYFUNCTION("""COMPUTED_VALUE"""),"VLA_AR.part_grip_03")</f>
        <v>VLA_AR.part_grip_03</v>
      </c>
      <c r="F1767" s="102"/>
      <c r="G1767" s="102" t="str">
        <f>IFERROR(__xludf.DUMMYFUNCTION("""COMPUTED_VALUE"""),"-Reload Speed")</f>
        <v>-Reload Speed</v>
      </c>
      <c r="H1767" s="102"/>
      <c r="I1767" s="102"/>
      <c r="J1767" s="102"/>
      <c r="K1767" s="102"/>
      <c r="L1767" s="102"/>
    </row>
    <row r="1768">
      <c r="A1768" s="102" t="str">
        <f>IFERROR(__xludf.DUMMYFUNCTION("""COMPUTED_VALUE"""),"Vladof")</f>
        <v>Vladof</v>
      </c>
      <c r="B1768" s="102" t="str">
        <f>IFERROR(__xludf.DUMMYFUNCTION("""COMPUTED_VALUE"""),"Assault Rifle")</f>
        <v>Assault Rifle</v>
      </c>
      <c r="C1768" s="103">
        <f>IFERROR(__xludf.DUMMYFUNCTION("""COMPUTED_VALUE"""),44.0)</f>
        <v>44</v>
      </c>
      <c r="D1768" s="102" t="str">
        <f>IFERROR(__xludf.DUMMYFUNCTION("""COMPUTED_VALUE"""),"Grip")</f>
        <v>Grip</v>
      </c>
      <c r="E1768" s="102" t="str">
        <f>IFERROR(__xludf.DUMMYFUNCTION("""COMPUTED_VALUE"""),"VLA_AR.part_grip_04_hyp")</f>
        <v>VLA_AR.part_grip_04_hyp</v>
      </c>
      <c r="F1768" s="102"/>
      <c r="G1768" s="102" t="str">
        <f>IFERROR(__xludf.DUMMYFUNCTION("""COMPUTED_VALUE"""),"Hyperion Grip, -Acc, Acc increases with continuous fire")</f>
        <v>Hyperion Grip, -Acc, Acc increases with continuous fire</v>
      </c>
      <c r="H1768" s="102"/>
      <c r="I1768" s="102"/>
      <c r="J1768" s="102"/>
      <c r="K1768" s="102"/>
      <c r="L1768" s="102"/>
    </row>
    <row r="1769">
      <c r="A1769" s="102" t="str">
        <f>IFERROR(__xludf.DUMMYFUNCTION("""COMPUTED_VALUE"""),"Vladof")</f>
        <v>Vladof</v>
      </c>
      <c r="B1769" s="102" t="str">
        <f>IFERROR(__xludf.DUMMYFUNCTION("""COMPUTED_VALUE"""),"Assault Rifle")</f>
        <v>Assault Rifle</v>
      </c>
      <c r="C1769" s="103">
        <f>IFERROR(__xludf.DUMMYFUNCTION("""COMPUTED_VALUE"""),45.0)</f>
        <v>45</v>
      </c>
      <c r="D1769" s="102" t="str">
        <f>IFERROR(__xludf.DUMMYFUNCTION("""COMPUTED_VALUE"""),"Underbarrel")</f>
        <v>Underbarrel</v>
      </c>
      <c r="E1769" s="102" t="str">
        <f>IFERROR(__xludf.DUMMYFUNCTION("""COMPUTED_VALUE"""),"VLA_AR.part_underbarrel_05_ammoswitcher")</f>
        <v>VLA_AR.part_underbarrel_05_ammoswitcher</v>
      </c>
      <c r="F1769" s="102"/>
      <c r="G1769" s="102" t="str">
        <f>IFERROR(__xludf.DUMMYFUNCTION("""COMPUTED_VALUE"""),"Daedalus Ammo Switch")</f>
        <v>Daedalus Ammo Switch</v>
      </c>
      <c r="H1769" s="102" t="str">
        <f>IFERROR(__xludf.DUMMYFUNCTION("""COMPUTED_VALUE"""),"Used for Daedalus Ammo switch")</f>
        <v>Used for Daedalus Ammo switch</v>
      </c>
      <c r="I1769" s="102"/>
      <c r="J1769" s="102"/>
      <c r="K1769" s="102"/>
      <c r="L1769" s="102"/>
    </row>
    <row r="1770">
      <c r="A1770" s="102" t="str">
        <f>IFERROR(__xludf.DUMMYFUNCTION("""COMPUTED_VALUE"""),"Vladof")</f>
        <v>Vladof</v>
      </c>
      <c r="B1770" s="102" t="str">
        <f>IFERROR(__xludf.DUMMYFUNCTION("""COMPUTED_VALUE"""),"Assault Rifle")</f>
        <v>Assault Rifle</v>
      </c>
      <c r="C1770" s="103">
        <f>IFERROR(__xludf.DUMMYFUNCTION("""COMPUTED_VALUE"""),46.0)</f>
        <v>46</v>
      </c>
      <c r="D1770" s="102" t="str">
        <f>IFERROR(__xludf.DUMMYFUNCTION("""COMPUTED_VALUE"""),"Underbarrel")</f>
        <v>Underbarrel</v>
      </c>
      <c r="E1770" s="102" t="str">
        <f>IFERROR(__xludf.DUMMYFUNCTION("""COMPUTED_VALUE"""),"VLA_AR.part_underbarrel_04_atlas_ball")</f>
        <v>VLA_AR.part_underbarrel_04_atlas_ball</v>
      </c>
      <c r="F1770" s="102"/>
      <c r="G1770" s="102" t="str">
        <f>IFERROR(__xludf.DUMMYFUNCTION("""COMPUTED_VALUE"""),"Atlas Tracker Grenades")</f>
        <v>Atlas Tracker Grenades</v>
      </c>
      <c r="H1770" s="102"/>
      <c r="I1770" s="102"/>
      <c r="J1770" s="102"/>
      <c r="K1770" s="102"/>
      <c r="L1770" s="102"/>
    </row>
    <row r="1771">
      <c r="A1771" s="102" t="str">
        <f>IFERROR(__xludf.DUMMYFUNCTION("""COMPUTED_VALUE"""),"Vladof")</f>
        <v>Vladof</v>
      </c>
      <c r="B1771" s="102" t="str">
        <f>IFERROR(__xludf.DUMMYFUNCTION("""COMPUTED_VALUE"""),"Assault Rifle")</f>
        <v>Assault Rifle</v>
      </c>
      <c r="C1771" s="103">
        <f>IFERROR(__xludf.DUMMYFUNCTION("""COMPUTED_VALUE"""),47.0)</f>
        <v>47</v>
      </c>
      <c r="D1771" s="102" t="str">
        <f>IFERROR(__xludf.DUMMYFUNCTION("""COMPUTED_VALUE"""),"Underbarrel")</f>
        <v>Underbarrel</v>
      </c>
      <c r="E1771" s="102" t="str">
        <f>IFERROR(__xludf.DUMMYFUNCTION("""COMPUTED_VALUE"""),"VLA_AR.part_underbarrel_04_atlas")</f>
        <v>VLA_AR.part_underbarrel_04_atlas</v>
      </c>
      <c r="F1771" s="102"/>
      <c r="G1771" s="102" t="str">
        <f>IFERROR(__xludf.DUMMYFUNCTION("""COMPUTED_VALUE"""),"Atlas Tracker Darts")</f>
        <v>Atlas Tracker Darts</v>
      </c>
      <c r="H1771" s="102"/>
      <c r="I1771" s="102"/>
      <c r="J1771" s="102"/>
      <c r="K1771" s="102"/>
      <c r="L1771" s="102"/>
    </row>
    <row r="1772">
      <c r="A1772" s="102" t="str">
        <f>IFERROR(__xludf.DUMMYFUNCTION("""COMPUTED_VALUE"""),"Vladof")</f>
        <v>Vladof</v>
      </c>
      <c r="B1772" s="102" t="str">
        <f>IFERROR(__xludf.DUMMYFUNCTION("""COMPUTED_VALUE"""),"Assault Rifle")</f>
        <v>Assault Rifle</v>
      </c>
      <c r="C1772" s="103">
        <f>IFERROR(__xludf.DUMMYFUNCTION("""COMPUTED_VALUE"""),48.0)</f>
        <v>48</v>
      </c>
      <c r="D1772" s="102" t="str">
        <f>IFERROR(__xludf.DUMMYFUNCTION("""COMPUTED_VALUE"""),"Underbarrel")</f>
        <v>Underbarrel</v>
      </c>
      <c r="E1772" s="102" t="str">
        <f>IFERROR(__xludf.DUMMYFUNCTION("""COMPUTED_VALUE"""),"VLA_AR.part_underbarrel_03_bipod")</f>
        <v>VLA_AR.part_underbarrel_03_bipod</v>
      </c>
      <c r="F1772" s="102"/>
      <c r="G1772" s="102" t="str">
        <f>IFERROR(__xludf.DUMMYFUNCTION("""COMPUTED_VALUE"""),"Alt Fire - Bipod")</f>
        <v>Alt Fire - Bipod</v>
      </c>
      <c r="H1772" s="102"/>
      <c r="I1772" s="102"/>
      <c r="J1772" s="102"/>
      <c r="K1772" s="102"/>
      <c r="L1772" s="102"/>
    </row>
    <row r="1773">
      <c r="A1773" s="102" t="str">
        <f>IFERROR(__xludf.DUMMYFUNCTION("""COMPUTED_VALUE"""),"Vladof")</f>
        <v>Vladof</v>
      </c>
      <c r="B1773" s="102" t="str">
        <f>IFERROR(__xludf.DUMMYFUNCTION("""COMPUTED_VALUE"""),"Assault Rifle")</f>
        <v>Assault Rifle</v>
      </c>
      <c r="C1773" s="103">
        <f>IFERROR(__xludf.DUMMYFUNCTION("""COMPUTED_VALUE"""),49.0)</f>
        <v>49</v>
      </c>
      <c r="D1773" s="102" t="str">
        <f>IFERROR(__xludf.DUMMYFUNCTION("""COMPUTED_VALUE"""),"Underbarrel")</f>
        <v>Underbarrel</v>
      </c>
      <c r="E1773" s="102" t="str">
        <f>IFERROR(__xludf.DUMMYFUNCTION("""COMPUTED_VALUE"""),"VLA_AR.part_underbarrel_01_grenadelauncher")</f>
        <v>VLA_AR.part_underbarrel_01_grenadelauncher</v>
      </c>
      <c r="F1773" s="102"/>
      <c r="G1773" s="102" t="str">
        <f>IFERROR(__xludf.DUMMYFUNCTION("""COMPUTED_VALUE"""),"Alt Fire - Grenade Launcher")</f>
        <v>Alt Fire - Grenade Launcher</v>
      </c>
      <c r="H1773" s="102"/>
      <c r="I1773" s="102"/>
      <c r="J1773" s="102"/>
      <c r="K1773" s="102"/>
      <c r="L1773" s="102"/>
    </row>
    <row r="1774">
      <c r="A1774" s="102" t="str">
        <f>IFERROR(__xludf.DUMMYFUNCTION("""COMPUTED_VALUE"""),"Vladof")</f>
        <v>Vladof</v>
      </c>
      <c r="B1774" s="102" t="str">
        <f>IFERROR(__xludf.DUMMYFUNCTION("""COMPUTED_VALUE"""),"Assault Rifle")</f>
        <v>Assault Rifle</v>
      </c>
      <c r="C1774" s="103">
        <f>IFERROR(__xludf.DUMMYFUNCTION("""COMPUTED_VALUE"""),50.0)</f>
        <v>50</v>
      </c>
      <c r="D1774" s="102" t="str">
        <f>IFERROR(__xludf.DUMMYFUNCTION("""COMPUTED_VALUE"""),"Underbarrel Accessory")</f>
        <v>Underbarrel Accessory</v>
      </c>
      <c r="E1774" s="102" t="str">
        <f>IFERROR(__xludf.DUMMYFUNCTION("""COMPUTED_VALUE"""),"VLA_AR.part_underbarrel_grenade_acc")</f>
        <v>VLA_AR.part_underbarrel_grenade_acc</v>
      </c>
      <c r="F1774" s="102"/>
      <c r="G1774" s="102" t="str">
        <f>IFERROR(__xludf.DUMMYFUNCTION("""COMPUTED_VALUE"""),"Grenade Launcher Acc - No Stat Changes")</f>
        <v>Grenade Launcher Acc - No Stat Changes</v>
      </c>
      <c r="H1774" s="102"/>
      <c r="I1774" s="102"/>
      <c r="J1774" s="102"/>
      <c r="K1774" s="102"/>
      <c r="L1774" s="102"/>
    </row>
    <row r="1775">
      <c r="A1775" s="102" t="str">
        <f>IFERROR(__xludf.DUMMYFUNCTION("""COMPUTED_VALUE"""),"Vladof")</f>
        <v>Vladof</v>
      </c>
      <c r="B1775" s="102" t="str">
        <f>IFERROR(__xludf.DUMMYFUNCTION("""COMPUTED_VALUE"""),"Assault Rifle")</f>
        <v>Assault Rifle</v>
      </c>
      <c r="C1775" s="103">
        <f>IFERROR(__xludf.DUMMYFUNCTION("""COMPUTED_VALUE"""),51.0)</f>
        <v>51</v>
      </c>
      <c r="D1775" s="102" t="str">
        <f>IFERROR(__xludf.DUMMYFUNCTION("""COMPUTED_VALUE"""),"Underbarrel Accessory")</f>
        <v>Underbarrel Accessory</v>
      </c>
      <c r="E1775" s="102" t="str">
        <f>IFERROR(__xludf.DUMMYFUNCTION("""COMPUTED_VALUE"""),"VLA_AR.part_underbarrel_shotgun_acc")</f>
        <v>VLA_AR.part_underbarrel_shotgun_acc</v>
      </c>
      <c r="F1775" s="102"/>
      <c r="G1775" s="102" t="str">
        <f>IFERROR(__xludf.DUMMYFUNCTION("""COMPUTED_VALUE"""),"Increases Shotgun Damage")</f>
        <v>Increases Shotgun Damage</v>
      </c>
      <c r="H1775" s="102"/>
      <c r="I1775" s="102"/>
      <c r="J1775" s="102"/>
      <c r="K1775" s="102"/>
      <c r="L1775" s="102"/>
    </row>
    <row r="1776">
      <c r="A1776" s="102" t="str">
        <f>IFERROR(__xludf.DUMMYFUNCTION("""COMPUTED_VALUE"""),"Vladof")</f>
        <v>Vladof</v>
      </c>
      <c r="B1776" s="102" t="str">
        <f>IFERROR(__xludf.DUMMYFUNCTION("""COMPUTED_VALUE"""),"Assault Rifle")</f>
        <v>Assault Rifle</v>
      </c>
      <c r="C1776" s="103">
        <f>IFERROR(__xludf.DUMMYFUNCTION("""COMPUTED_VALUE"""),52.0)</f>
        <v>52</v>
      </c>
      <c r="D1776" s="102" t="str">
        <f>IFERROR(__xludf.DUMMYFUNCTION("""COMPUTED_VALUE"""),"Underbarrel Accessory")</f>
        <v>Underbarrel Accessory</v>
      </c>
      <c r="E1776" s="102" t="str">
        <f>IFERROR(__xludf.DUMMYFUNCTION("""COMPUTED_VALUE"""),"VLA_AR.part_underbarrel_bipod_acc")</f>
        <v>VLA_AR.part_underbarrel_bipod_acc</v>
      </c>
      <c r="F1776" s="102"/>
      <c r="G1776" s="102" t="str">
        <f>IFERROR(__xludf.DUMMYFUNCTION("""COMPUTED_VALUE"""),"Alt Fire - Motile Bipod")</f>
        <v>Alt Fire - Motile Bipod</v>
      </c>
      <c r="H1776" s="102"/>
      <c r="I1776" s="102"/>
      <c r="J1776" s="102"/>
      <c r="K1776" s="102"/>
      <c r="L1776" s="102"/>
    </row>
    <row r="1777">
      <c r="A1777" s="102" t="str">
        <f>IFERROR(__xludf.DUMMYFUNCTION("""COMPUTED_VALUE"""),"Vladof")</f>
        <v>Vladof</v>
      </c>
      <c r="B1777" s="102" t="str">
        <f>IFERROR(__xludf.DUMMYFUNCTION("""COMPUTED_VALUE"""),"Assault Rifle")</f>
        <v>Assault Rifle</v>
      </c>
      <c r="C1777" s="103">
        <f>IFERROR(__xludf.DUMMYFUNCTION("""COMPUTED_VALUE"""),53.0)</f>
        <v>53</v>
      </c>
      <c r="D1777" s="102" t="str">
        <f>IFERROR(__xludf.DUMMYFUNCTION("""COMPUTED_VALUE"""),"Underbarrel Accessory")</f>
        <v>Underbarrel Accessory</v>
      </c>
      <c r="E1777" s="102" t="str">
        <f>IFERROR(__xludf.DUMMYFUNCTION("""COMPUTED_VALUE"""),"VLA_AR.part_underbarrel_secondbarrel_acc_a")</f>
        <v>VLA_AR.part_underbarrel_secondbarrel_acc_a</v>
      </c>
      <c r="F1777" s="102"/>
      <c r="G1777" s="102" t="str">
        <f>IFERROR(__xludf.DUMMYFUNCTION("""COMPUTED_VALUE"""),"Extra Barrel Acc - No Stat Changes")</f>
        <v>Extra Barrel Acc - No Stat Changes</v>
      </c>
      <c r="H1777" s="102"/>
      <c r="I1777" s="102"/>
      <c r="J1777" s="102"/>
      <c r="K1777" s="102"/>
      <c r="L1777" s="102"/>
    </row>
    <row r="1778">
      <c r="A1778" s="102" t="str">
        <f>IFERROR(__xludf.DUMMYFUNCTION("""COMPUTED_VALUE"""),"Vladof")</f>
        <v>Vladof</v>
      </c>
      <c r="B1778" s="102" t="str">
        <f>IFERROR(__xludf.DUMMYFUNCTION("""COMPUTED_VALUE"""),"Assault Rifle")</f>
        <v>Assault Rifle</v>
      </c>
      <c r="C1778" s="103">
        <f>IFERROR(__xludf.DUMMYFUNCTION("""COMPUTED_VALUE"""),54.0)</f>
        <v>54</v>
      </c>
      <c r="D1778" s="102" t="str">
        <f>IFERROR(__xludf.DUMMYFUNCTION("""COMPUTED_VALUE"""),"Underbarrel Accessory")</f>
        <v>Underbarrel Accessory</v>
      </c>
      <c r="E1778" s="102" t="str">
        <f>IFERROR(__xludf.DUMMYFUNCTION("""COMPUTED_VALUE"""),"VLA_AR.part_underbarrel_secondbarrel_acc_b")</f>
        <v>VLA_AR.part_underbarrel_secondbarrel_acc_b</v>
      </c>
      <c r="F1778" s="102"/>
      <c r="G1778" s="102" t="str">
        <f>IFERROR(__xludf.DUMMYFUNCTION("""COMPUTED_VALUE"""),"Extra Barrel Acc - +Ammo")</f>
        <v>Extra Barrel Acc - +Ammo</v>
      </c>
      <c r="H1778" s="102"/>
      <c r="I1778" s="102"/>
      <c r="J1778" s="102"/>
      <c r="K1778" s="102"/>
      <c r="L1778" s="102"/>
    </row>
    <row r="1779">
      <c r="A1779" s="102" t="str">
        <f>IFERROR(__xludf.DUMMYFUNCTION("""COMPUTED_VALUE"""),"Vladof")</f>
        <v>Vladof</v>
      </c>
      <c r="B1779" s="102" t="str">
        <f>IFERROR(__xludf.DUMMYFUNCTION("""COMPUTED_VALUE"""),"Assault Rifle")</f>
        <v>Assault Rifle</v>
      </c>
      <c r="C1779" s="103">
        <f>IFERROR(__xludf.DUMMYFUNCTION("""COMPUTED_VALUE"""),55.0)</f>
        <v>55</v>
      </c>
      <c r="D1779" s="102" t="str">
        <f>IFERROR(__xludf.DUMMYFUNCTION("""COMPUTED_VALUE"""),"Underbarrel Accessory")</f>
        <v>Underbarrel Accessory</v>
      </c>
      <c r="E1779" s="102" t="str">
        <f>IFERROR(__xludf.DUMMYFUNCTION("""COMPUTED_VALUE"""),"VLA_AR.part_underbarrel_secondbarrel_acc_c")</f>
        <v>VLA_AR.part_underbarrel_secondbarrel_acc_c</v>
      </c>
      <c r="F1779" s="102"/>
      <c r="G1779" s="102" t="str">
        <f>IFERROR(__xludf.DUMMYFUNCTION("""COMPUTED_VALUE"""),"Extra Barrel Acc - No Stat Changes")</f>
        <v>Extra Barrel Acc - No Stat Changes</v>
      </c>
      <c r="H1779" s="102"/>
      <c r="I1779" s="102"/>
      <c r="J1779" s="102"/>
      <c r="K1779" s="102"/>
      <c r="L1779" s="102"/>
    </row>
    <row r="1780">
      <c r="A1780" s="102" t="str">
        <f>IFERROR(__xludf.DUMMYFUNCTION("""COMPUTED_VALUE"""),"Vladof")</f>
        <v>Vladof</v>
      </c>
      <c r="B1780" s="102" t="str">
        <f>IFERROR(__xludf.DUMMYFUNCTION("""COMPUTED_VALUE"""),"Assault Rifle")</f>
        <v>Assault Rifle</v>
      </c>
      <c r="C1780" s="103">
        <f>IFERROR(__xludf.DUMMYFUNCTION("""COMPUTED_VALUE"""),56.0)</f>
        <v>56</v>
      </c>
      <c r="D1780" s="102" t="str">
        <f>IFERROR(__xludf.DUMMYFUNCTION("""COMPUTED_VALUE"""),"Foregrip")</f>
        <v>Foregrip</v>
      </c>
      <c r="E1780" s="102" t="str">
        <f>IFERROR(__xludf.DUMMYFUNCTION("""COMPUTED_VALUE"""),"VLA_AR.part_foregrip_01")</f>
        <v>VLA_AR.part_foregrip_01</v>
      </c>
      <c r="F1780" s="102"/>
      <c r="G1780" s="102" t="str">
        <f>IFERROR(__xludf.DUMMYFUNCTION("""COMPUTED_VALUE"""),"+Damage")</f>
        <v>+Damage</v>
      </c>
      <c r="H1780" s="102"/>
      <c r="I1780" s="102"/>
      <c r="J1780" s="102"/>
      <c r="K1780" s="102"/>
      <c r="L1780" s="102"/>
    </row>
    <row r="1781">
      <c r="A1781" s="102" t="str">
        <f>IFERROR(__xludf.DUMMYFUNCTION("""COMPUTED_VALUE"""),"Vladof")</f>
        <v>Vladof</v>
      </c>
      <c r="B1781" s="102" t="str">
        <f>IFERROR(__xludf.DUMMYFUNCTION("""COMPUTED_VALUE"""),"Assault Rifle")</f>
        <v>Assault Rifle</v>
      </c>
      <c r="C1781" s="103">
        <f>IFERROR(__xludf.DUMMYFUNCTION("""COMPUTED_VALUE"""),57.0)</f>
        <v>57</v>
      </c>
      <c r="D1781" s="102" t="str">
        <f>IFERROR(__xludf.DUMMYFUNCTION("""COMPUTED_VALUE"""),"Foregrip")</f>
        <v>Foregrip</v>
      </c>
      <c r="E1781" s="102" t="str">
        <f>IFERROR(__xludf.DUMMYFUNCTION("""COMPUTED_VALUE"""),"VLA_AR.part_foregrip_02")</f>
        <v>VLA_AR.part_foregrip_02</v>
      </c>
      <c r="F1781" s="102"/>
      <c r="G1781" s="102" t="str">
        <f>IFERROR(__xludf.DUMMYFUNCTION("""COMPUTED_VALUE"""),"+Fire Rate")</f>
        <v>+Fire Rate</v>
      </c>
      <c r="H1781" s="102"/>
      <c r="I1781" s="102"/>
      <c r="J1781" s="102"/>
      <c r="K1781" s="102"/>
      <c r="L1781" s="102"/>
    </row>
    <row r="1782">
      <c r="A1782" s="102" t="str">
        <f>IFERROR(__xludf.DUMMYFUNCTION("""COMPUTED_VALUE"""),"Vladof")</f>
        <v>Vladof</v>
      </c>
      <c r="B1782" s="102" t="str">
        <f>IFERROR(__xludf.DUMMYFUNCTION("""COMPUTED_VALUE"""),"Assault Rifle")</f>
        <v>Assault Rifle</v>
      </c>
      <c r="C1782" s="103">
        <f>IFERROR(__xludf.DUMMYFUNCTION("""COMPUTED_VALUE"""),58.0)</f>
        <v>58</v>
      </c>
      <c r="D1782" s="102" t="str">
        <f>IFERROR(__xludf.DUMMYFUNCTION("""COMPUTED_VALUE"""),"Foregrip")</f>
        <v>Foregrip</v>
      </c>
      <c r="E1782" s="102" t="str">
        <f>IFERROR(__xludf.DUMMYFUNCTION("""COMPUTED_VALUE"""),"VLA_AR.part_foregrip_03")</f>
        <v>VLA_AR.part_foregrip_03</v>
      </c>
      <c r="F1782" s="102"/>
      <c r="G1782" s="102" t="str">
        <f>IFERROR(__xludf.DUMMYFUNCTION("""COMPUTED_VALUE"""),"+Accuracy")</f>
        <v>+Accuracy</v>
      </c>
      <c r="H1782" s="102"/>
      <c r="I1782" s="102"/>
      <c r="J1782" s="102"/>
      <c r="K1782" s="102"/>
      <c r="L1782" s="102"/>
    </row>
    <row r="1783">
      <c r="A1783" s="102" t="str">
        <f>IFERROR(__xludf.DUMMYFUNCTION("""COMPUTED_VALUE"""),"Vladof")</f>
        <v>Vladof</v>
      </c>
      <c r="B1783" s="102" t="str">
        <f>IFERROR(__xludf.DUMMYFUNCTION("""COMPUTED_VALUE"""),"Assault Rifle")</f>
        <v>Assault Rifle</v>
      </c>
      <c r="C1783" s="103">
        <f>IFERROR(__xludf.DUMMYFUNCTION("""COMPUTED_VALUE"""),59.0)</f>
        <v>59</v>
      </c>
      <c r="D1783" s="102" t="str">
        <f>IFERROR(__xludf.DUMMYFUNCTION("""COMPUTED_VALUE"""),"Manufacturer Part")</f>
        <v>Manufacturer Part</v>
      </c>
      <c r="E1783" s="102" t="str">
        <f>IFERROR(__xludf.DUMMYFUNCTION("""COMPUTED_VALUE"""),"VLA_AR.part_secondary_ammo_ps")</f>
        <v>VLA_AR.part_secondary_ammo_ps</v>
      </c>
      <c r="F1783" s="102"/>
      <c r="G1783" s="104" t="str">
        <f>IFERROR(__xludf.DUMMYFUNCTION("""COMPUTED_VALUE"""),"Daedalus Pistol Ammo")</f>
        <v>Daedalus Pistol Ammo</v>
      </c>
      <c r="H1783" s="102"/>
      <c r="I1783" s="102"/>
      <c r="J1783" s="102"/>
      <c r="K1783" s="102"/>
      <c r="L1783" s="102"/>
    </row>
    <row r="1784">
      <c r="A1784" s="102" t="str">
        <f>IFERROR(__xludf.DUMMYFUNCTION("""COMPUTED_VALUE"""),"Vladof")</f>
        <v>Vladof</v>
      </c>
      <c r="B1784" s="102" t="str">
        <f>IFERROR(__xludf.DUMMYFUNCTION("""COMPUTED_VALUE"""),"Assault Rifle")</f>
        <v>Assault Rifle</v>
      </c>
      <c r="C1784" s="103">
        <f>IFERROR(__xludf.DUMMYFUNCTION("""COMPUTED_VALUE"""),60.0)</f>
        <v>60</v>
      </c>
      <c r="D1784" s="102" t="str">
        <f>IFERROR(__xludf.DUMMYFUNCTION("""COMPUTED_VALUE"""),"Manufacturer Part")</f>
        <v>Manufacturer Part</v>
      </c>
      <c r="E1784" s="102" t="str">
        <f>IFERROR(__xludf.DUMMYFUNCTION("""COMPUTED_VALUE"""),"VLA_AR.part_secondary_ammo_sg")</f>
        <v>VLA_AR.part_secondary_ammo_sg</v>
      </c>
      <c r="F1784" s="102"/>
      <c r="G1784" s="102" t="str">
        <f>IFERROR(__xludf.DUMMYFUNCTION("""COMPUTED_VALUE"""),"Daedalus Shotgun Ammo")</f>
        <v>Daedalus Shotgun Ammo</v>
      </c>
      <c r="H1784" s="102"/>
      <c r="I1784" s="102"/>
      <c r="J1784" s="102"/>
      <c r="K1784" s="102"/>
      <c r="L1784" s="102"/>
    </row>
    <row r="1785">
      <c r="A1785" s="102" t="str">
        <f>IFERROR(__xludf.DUMMYFUNCTION("""COMPUTED_VALUE"""),"Vladof")</f>
        <v>Vladof</v>
      </c>
      <c r="B1785" s="102" t="str">
        <f>IFERROR(__xludf.DUMMYFUNCTION("""COMPUTED_VALUE"""),"Assault Rifle")</f>
        <v>Assault Rifle</v>
      </c>
      <c r="C1785" s="103">
        <f>IFERROR(__xludf.DUMMYFUNCTION("""COMPUTED_VALUE"""),61.0)</f>
        <v>61</v>
      </c>
      <c r="D1785" s="102" t="str">
        <f>IFERROR(__xludf.DUMMYFUNCTION("""COMPUTED_VALUE"""),"Manufacturer Part")</f>
        <v>Manufacturer Part</v>
      </c>
      <c r="E1785" s="102" t="str">
        <f>IFERROR(__xludf.DUMMYFUNCTION("""COMPUTED_VALUE"""),"VLA_AR.part_secondary_ammo_sm")</f>
        <v>VLA_AR.part_secondary_ammo_sm</v>
      </c>
      <c r="F1785" s="102"/>
      <c r="G1785" s="102" t="str">
        <f>IFERROR(__xludf.DUMMYFUNCTION("""COMPUTED_VALUE"""),"Daedalus SMG Ammo")</f>
        <v>Daedalus SMG Ammo</v>
      </c>
      <c r="H1785" s="102"/>
      <c r="I1785" s="102"/>
      <c r="J1785" s="102"/>
      <c r="K1785" s="102"/>
      <c r="L1785" s="102"/>
    </row>
    <row r="1786">
      <c r="A1786" s="102" t="str">
        <f>IFERROR(__xludf.DUMMYFUNCTION("""COMPUTED_VALUE"""),"Vladof")</f>
        <v>Vladof</v>
      </c>
      <c r="B1786" s="102" t="str">
        <f>IFERROR(__xludf.DUMMYFUNCTION("""COMPUTED_VALUE"""),"Assault Rifle")</f>
        <v>Assault Rifle</v>
      </c>
      <c r="C1786" s="103">
        <f>IFERROR(__xludf.DUMMYFUNCTION("""COMPUTED_VALUE"""),62.0)</f>
        <v>62</v>
      </c>
      <c r="D1786" s="102" t="str">
        <f>IFERROR(__xludf.DUMMYFUNCTION("""COMPUTED_VALUE"""),"Manufacturer Part")</f>
        <v>Manufacturer Part</v>
      </c>
      <c r="E1786" s="102" t="str">
        <f>IFERROR(__xludf.DUMMYFUNCTION("""COMPUTED_VALUE"""),"VLA_AR.part_secondary_ammo_sr")</f>
        <v>VLA_AR.part_secondary_ammo_sr</v>
      </c>
      <c r="F1786" s="102"/>
      <c r="G1786" s="102" t="str">
        <f>IFERROR(__xludf.DUMMYFUNCTION("""COMPUTED_VALUE"""),"Daedalus SR Ammo")</f>
        <v>Daedalus SR Ammo</v>
      </c>
      <c r="H1786" s="102"/>
      <c r="I1786" s="102"/>
      <c r="J1786" s="102"/>
      <c r="K1786" s="102"/>
      <c r="L1786" s="102"/>
    </row>
    <row r="1787">
      <c r="A1787" s="102" t="str">
        <f>IFERROR(__xludf.DUMMYFUNCTION("""COMPUTED_VALUE"""),"Vladof")</f>
        <v>Vladof</v>
      </c>
      <c r="B1787" s="102" t="str">
        <f>IFERROR(__xludf.DUMMYFUNCTION("""COMPUTED_VALUE"""),"Assault Rifle")</f>
        <v>Assault Rifle</v>
      </c>
      <c r="C1787" s="103">
        <f>IFERROR(__xludf.DUMMYFUNCTION("""COMPUTED_VALUE"""),64.0)</f>
        <v>64</v>
      </c>
      <c r="D1787" s="102" t="str">
        <f>IFERROR(__xludf.DUMMYFUNCTION("""COMPUTED_VALUE"""),"Barrel")</f>
        <v>Barrel</v>
      </c>
      <c r="E1787" s="102" t="str">
        <f>IFERROR(__xludf.DUMMYFUNCTION("""COMPUTED_VALUE"""),"VLA_AR.part_barrel_01_wombocombo")</f>
        <v>VLA_AR.part_barrel_01_wombocombo</v>
      </c>
      <c r="F1787" s="102"/>
      <c r="G1787" s="104" t="str">
        <f>IFERROR(__xludf.DUMMYFUNCTION("""COMPUTED_VALUE"""),"Wombo Combo, 580 Damage, 78% Acc, 12.0/s FR")</f>
        <v>Wombo Combo, 580 Damage, 78% Acc, 12.0/s FR</v>
      </c>
      <c r="H1787" s="102" t="str">
        <f>IFERROR(__xludf.DUMMYFUNCTION("""COMPUTED_VALUE"""),"Rip Rockets - Rockets automatically fire from the Underbarrel")</f>
        <v>Rip Rockets - Rockets automatically fire from the Underbarrel</v>
      </c>
      <c r="I1787" s="102"/>
      <c r="J1787" s="102"/>
      <c r="K1787" s="102"/>
      <c r="L1787" s="102"/>
    </row>
    <row r="1788">
      <c r="A1788" s="102" t="str">
        <f>IFERROR(__xludf.DUMMYFUNCTION("""COMPUTED_VALUE"""),"Vladof")</f>
        <v>Vladof</v>
      </c>
      <c r="B1788" s="102" t="str">
        <f>IFERROR(__xludf.DUMMYFUNCTION("""COMPUTED_VALUE"""),"Assault Rifle")</f>
        <v>Assault Rifle</v>
      </c>
      <c r="C1788" s="103">
        <f>IFERROR(__xludf.DUMMYFUNCTION("""COMPUTED_VALUE"""),66.0)</f>
        <v>66</v>
      </c>
      <c r="D1788" s="102" t="str">
        <f>IFERROR(__xludf.DUMMYFUNCTION("""COMPUTED_VALUE"""),"Underbarrel Accessory")</f>
        <v>Underbarrel Accessory</v>
      </c>
      <c r="E1788" s="102" t="str">
        <f>IFERROR(__xludf.DUMMYFUNCTION("""COMPUTED_VALUE"""),"VLA_AR.part_underbarrel_07_acc_vis")</f>
        <v>VLA_AR.part_underbarrel_07_acc_vis</v>
      </c>
      <c r="F1788" s="102"/>
      <c r="G1788" s="102" t="str">
        <f>IFERROR(__xludf.DUMMYFUNCTION("""COMPUTED_VALUE"""),"Dual Damage Acc - No Stat Changes")</f>
        <v>Dual Damage Acc - No Stat Changes</v>
      </c>
      <c r="H1788" s="102"/>
      <c r="I1788" s="102"/>
      <c r="J1788" s="102"/>
      <c r="K1788" s="102"/>
      <c r="L1788" s="102"/>
    </row>
    <row r="1789">
      <c r="A1789" s="102" t="str">
        <f>IFERROR(__xludf.DUMMYFUNCTION("""COMPUTED_VALUE"""),"Vladof")</f>
        <v>Vladof</v>
      </c>
      <c r="B1789" s="102" t="str">
        <f>IFERROR(__xludf.DUMMYFUNCTION("""COMPUTED_VALUE"""),"Assault Rifle")</f>
        <v>Assault Rifle</v>
      </c>
      <c r="C1789" s="103">
        <f>IFERROR(__xludf.DUMMYFUNCTION("""COMPUTED_VALUE"""),67.0)</f>
        <v>67</v>
      </c>
      <c r="D1789" s="102" t="str">
        <f>IFERROR(__xludf.DUMMYFUNCTION("""COMPUTED_VALUE"""),"Underbarrel Accessory")</f>
        <v>Underbarrel Accessory</v>
      </c>
      <c r="E1789" s="102" t="str">
        <f>IFERROR(__xludf.DUMMYFUNCTION("""COMPUTED_VALUE"""),"VLA_AR.part_underbarrel_07_b")</f>
        <v>VLA_AR.part_underbarrel_07_b</v>
      </c>
      <c r="F1789" s="102"/>
      <c r="G1789" s="102" t="str">
        <f>IFERROR(__xludf.DUMMYFUNCTION("""COMPUTED_VALUE"""),"Dual Damage Acc - No Stat Changes")</f>
        <v>Dual Damage Acc - No Stat Changes</v>
      </c>
      <c r="H1789" s="102"/>
      <c r="I1789" s="102"/>
      <c r="J1789" s="102"/>
      <c r="K1789" s="102"/>
      <c r="L1789" s="102"/>
    </row>
    <row r="1790">
      <c r="A1790" s="102" t="str">
        <f>IFERROR(__xludf.DUMMYFUNCTION("""COMPUTED_VALUE"""),"Vladof")</f>
        <v>Vladof</v>
      </c>
      <c r="B1790" s="102" t="str">
        <f>IFERROR(__xludf.DUMMYFUNCTION("""COMPUTED_VALUE"""),"Assault Rifle")</f>
        <v>Assault Rifle</v>
      </c>
      <c r="C1790" s="103">
        <f>IFERROR(__xludf.DUMMYFUNCTION("""COMPUTED_VALUE"""),69.0)</f>
        <v>69</v>
      </c>
      <c r="D1790" s="102" t="str">
        <f>IFERROR(__xludf.DUMMYFUNCTION("""COMPUTED_VALUE"""),"Underbarrel")</f>
        <v>Underbarrel</v>
      </c>
      <c r="E1790" s="102" t="str">
        <f>IFERROR(__xludf.DUMMYFUNCTION("""COMPUTED_VALUE"""),"VLA_AR.part_underbarrel_07_dualdamage")</f>
        <v>VLA_AR.part_underbarrel_07_dualdamage</v>
      </c>
      <c r="F1790" s="102"/>
      <c r="G1790" s="102" t="str">
        <f>IFERROR(__xludf.DUMMYFUNCTION("""COMPUTED_VALUE"""),"Aegon's Dream Alt Fire - Extra Barrel")</f>
        <v>Aegon's Dream Alt Fire - Extra Barrel</v>
      </c>
      <c r="H1790" s="102"/>
      <c r="I1790" s="102"/>
      <c r="J1790" s="102"/>
      <c r="K1790" s="102"/>
      <c r="L1790" s="102"/>
    </row>
    <row r="1791">
      <c r="A1791" s="102" t="str">
        <f>IFERROR(__xludf.DUMMYFUNCTION("""COMPUTED_VALUE"""),"Vladof")</f>
        <v>Vladof</v>
      </c>
      <c r="B1791" s="102" t="str">
        <f>IFERROR(__xludf.DUMMYFUNCTION("""COMPUTED_VALUE"""),"Assault Rifle")</f>
        <v>Assault Rifle</v>
      </c>
      <c r="C1791" s="103">
        <f>IFERROR(__xludf.DUMMYFUNCTION("""COMPUTED_VALUE"""),70.0)</f>
        <v>70</v>
      </c>
      <c r="D1791" s="102" t="str">
        <f>IFERROR(__xludf.DUMMYFUNCTION("""COMPUTED_VALUE"""),"Barrel")</f>
        <v>Barrel</v>
      </c>
      <c r="E1791" s="102" t="str">
        <f>IFERROR(__xludf.DUMMYFUNCTION("""COMPUTED_VALUE"""),"VLA_AR.part_barrel_01_dualdamage")</f>
        <v>VLA_AR.part_barrel_01_dualdamage</v>
      </c>
      <c r="F1791" s="102"/>
      <c r="G1791" s="102" t="str">
        <f>IFERROR(__xludf.DUMMYFUNCTION("""COMPUTED_VALUE"""),"Aegon's Dream, 482 Damage, 76% Acc, 12.5/s FR")</f>
        <v>Aegon's Dream, 482 Damage, 76% Acc, 12.5/s FR</v>
      </c>
      <c r="H1791" s="102" t="str">
        <f>IFERROR(__xludf.DUMMYFUNCTION("""COMPUTED_VALUE"""),"Prophetic")</f>
        <v>Prophetic</v>
      </c>
      <c r="I1791" s="102"/>
      <c r="J1791" s="102"/>
      <c r="K1791" s="102"/>
      <c r="L1791" s="102"/>
    </row>
    <row r="1792">
      <c r="A1792" s="102" t="str">
        <f>IFERROR(__xludf.DUMMYFUNCTION("""COMPUTED_VALUE"""),"Vladof")</f>
        <v>Vladof</v>
      </c>
      <c r="B1792" s="102" t="str">
        <f>IFERROR(__xludf.DUMMYFUNCTION("""COMPUTED_VALUE"""),"Assault Rifle")</f>
        <v>Assault Rifle</v>
      </c>
      <c r="C1792" s="103">
        <f>IFERROR(__xludf.DUMMYFUNCTION("""COMPUTED_VALUE"""),71.0)</f>
        <v>71</v>
      </c>
      <c r="D1792" s="102" t="str">
        <f>IFERROR(__xludf.DUMMYFUNCTION("""COMPUTED_VALUE"""),"Manufacturer Part")</f>
        <v>Manufacturer Part</v>
      </c>
      <c r="E1792" s="102" t="str">
        <f>IFERROR(__xludf.DUMMYFUNCTION("""COMPUTED_VALUE"""),"VLA_AR.part_barrel_licensed_ted_combo")</f>
        <v>VLA_AR.part_barrel_licensed_ted_combo</v>
      </c>
      <c r="F1792" s="102"/>
      <c r="G1792" s="102" t="str">
        <f>IFERROR(__xludf.DUMMYFUNCTION("""COMPUTED_VALUE"""),"Tediore Combo, no stat changes")</f>
        <v>Tediore Combo, no stat changes</v>
      </c>
      <c r="H1792" s="102"/>
      <c r="I1792" s="102"/>
      <c r="J1792" s="102"/>
      <c r="K1792" s="102"/>
      <c r="L1792" s="102"/>
    </row>
    <row r="1793">
      <c r="A1793" s="102" t="str">
        <f>IFERROR(__xludf.DUMMYFUNCTION("""COMPUTED_VALUE"""),"Vladof")</f>
        <v>Vladof</v>
      </c>
      <c r="B1793" s="102" t="str">
        <f>IFERROR(__xludf.DUMMYFUNCTION("""COMPUTED_VALUE"""),"Assault Rifle")</f>
        <v>Assault Rifle</v>
      </c>
      <c r="C1793" s="103">
        <f>IFERROR(__xludf.DUMMYFUNCTION("""COMPUTED_VALUE"""),72.0)</f>
        <v>72</v>
      </c>
      <c r="D1793" s="102" t="str">
        <f>IFERROR(__xludf.DUMMYFUNCTION("""COMPUTED_VALUE"""),"Barrel Accessory")</f>
        <v>Barrel Accessory</v>
      </c>
      <c r="E1793" s="102" t="str">
        <f>IFERROR(__xludf.DUMMYFUNCTION("""COMPUTED_VALUE"""),"VLA_AR.part_barrel_01_a")</f>
        <v>VLA_AR.part_barrel_01_a</v>
      </c>
      <c r="F1793" s="102"/>
      <c r="G1793" s="102" t="str">
        <f>IFERROR(__xludf.DUMMYFUNCTION("""COMPUTED_VALUE"""),"+Damage")</f>
        <v>+Damage</v>
      </c>
      <c r="H1793" s="102"/>
      <c r="I1793" s="102"/>
      <c r="J1793" s="102"/>
      <c r="K1793" s="102"/>
      <c r="L1793" s="102"/>
    </row>
    <row r="1794">
      <c r="A1794" s="102" t="str">
        <f>IFERROR(__xludf.DUMMYFUNCTION("""COMPUTED_VALUE"""),"Vladof")</f>
        <v>Vladof</v>
      </c>
      <c r="B1794" s="102" t="str">
        <f>IFERROR(__xludf.DUMMYFUNCTION("""COMPUTED_VALUE"""),"Assault Rifle")</f>
        <v>Assault Rifle</v>
      </c>
      <c r="C1794" s="103">
        <f>IFERROR(__xludf.DUMMYFUNCTION("""COMPUTED_VALUE"""),73.0)</f>
        <v>73</v>
      </c>
      <c r="D1794" s="102" t="str">
        <f>IFERROR(__xludf.DUMMYFUNCTION("""COMPUTED_VALUE"""),"Barrel Accessory")</f>
        <v>Barrel Accessory</v>
      </c>
      <c r="E1794" s="102" t="str">
        <f>IFERROR(__xludf.DUMMYFUNCTION("""COMPUTED_VALUE"""),"VLA_AR.part_barrel_01_b")</f>
        <v>VLA_AR.part_barrel_01_b</v>
      </c>
      <c r="F1794" s="102"/>
      <c r="G1794" s="102" t="str">
        <f>IFERROR(__xludf.DUMMYFUNCTION("""COMPUTED_VALUE"""),"+Crit Damage")</f>
        <v>+Crit Damage</v>
      </c>
      <c r="H1794" s="102"/>
      <c r="I1794" s="102"/>
      <c r="J1794" s="102"/>
      <c r="K1794" s="102"/>
      <c r="L1794" s="102"/>
    </row>
    <row r="1795">
      <c r="A1795" s="102" t="str">
        <f>IFERROR(__xludf.DUMMYFUNCTION("""COMPUTED_VALUE"""),"Vladof")</f>
        <v>Vladof</v>
      </c>
      <c r="B1795" s="102" t="str">
        <f>IFERROR(__xludf.DUMMYFUNCTION("""COMPUTED_VALUE"""),"Assault Rifle")</f>
        <v>Assault Rifle</v>
      </c>
      <c r="C1795" s="103">
        <f>IFERROR(__xludf.DUMMYFUNCTION("""COMPUTED_VALUE"""),74.0)</f>
        <v>74</v>
      </c>
      <c r="D1795" s="102" t="str">
        <f>IFERROR(__xludf.DUMMYFUNCTION("""COMPUTED_VALUE"""),"Barrel Accessory")</f>
        <v>Barrel Accessory</v>
      </c>
      <c r="E1795" s="102" t="str">
        <f>IFERROR(__xludf.DUMMYFUNCTION("""COMPUTED_VALUE"""),"VLA_AR.part_barrel_01_c")</f>
        <v>VLA_AR.part_barrel_01_c</v>
      </c>
      <c r="F1795" s="102"/>
      <c r="G1795" s="102" t="str">
        <f>IFERROR(__xludf.DUMMYFUNCTION("""COMPUTED_VALUE"""),"+Ammo")</f>
        <v>+Ammo</v>
      </c>
      <c r="H1795" s="102"/>
      <c r="I1795" s="102"/>
      <c r="J1795" s="102"/>
      <c r="K1795" s="102"/>
      <c r="L1795" s="102"/>
    </row>
    <row r="1796">
      <c r="A1796" s="102" t="str">
        <f>IFERROR(__xludf.DUMMYFUNCTION("""COMPUTED_VALUE"""),"Vladof")</f>
        <v>Vladof</v>
      </c>
      <c r="B1796" s="102" t="str">
        <f>IFERROR(__xludf.DUMMYFUNCTION("""COMPUTED_VALUE"""),"Assault Rifle")</f>
        <v>Assault Rifle</v>
      </c>
      <c r="C1796" s="103">
        <f>IFERROR(__xludf.DUMMYFUNCTION("""COMPUTED_VALUE"""),75.0)</f>
        <v>75</v>
      </c>
      <c r="D1796" s="102" t="str">
        <f>IFERROR(__xludf.DUMMYFUNCTION("""COMPUTED_VALUE"""),"Barrel Accessory")</f>
        <v>Barrel Accessory</v>
      </c>
      <c r="E1796" s="102" t="str">
        <f>IFERROR(__xludf.DUMMYFUNCTION("""COMPUTED_VALUE"""),"VLA_AR.part_barrel_01_d")</f>
        <v>VLA_AR.part_barrel_01_d</v>
      </c>
      <c r="F1796" s="102"/>
      <c r="G1796" s="102" t="str">
        <f>IFERROR(__xludf.DUMMYFUNCTION("""COMPUTED_VALUE"""),"+Accuracy")</f>
        <v>+Accuracy</v>
      </c>
      <c r="H1796" s="102"/>
      <c r="I1796" s="102"/>
      <c r="J1796" s="102"/>
      <c r="K1796" s="102"/>
      <c r="L1796" s="102"/>
    </row>
    <row r="1797">
      <c r="A1797" s="102" t="str">
        <f>IFERROR(__xludf.DUMMYFUNCTION("""COMPUTED_VALUE"""),"Vladof")</f>
        <v>Vladof</v>
      </c>
      <c r="B1797" s="102" t="str">
        <f>IFERROR(__xludf.DUMMYFUNCTION("""COMPUTED_VALUE"""),"Assault Rifle")</f>
        <v>Assault Rifle</v>
      </c>
      <c r="C1797" s="103">
        <f>IFERROR(__xludf.DUMMYFUNCTION("""COMPUTED_VALUE"""),76.0)</f>
        <v>76</v>
      </c>
      <c r="D1797" s="102" t="str">
        <f>IFERROR(__xludf.DUMMYFUNCTION("""COMPUTED_VALUE"""),"Barrel Accessory")</f>
        <v>Barrel Accessory</v>
      </c>
      <c r="E1797" s="102" t="str">
        <f>IFERROR(__xludf.DUMMYFUNCTION("""COMPUTED_VALUE"""),"VLA_AR.part_barrel_02_a")</f>
        <v>VLA_AR.part_barrel_02_a</v>
      </c>
      <c r="F1797" s="102"/>
      <c r="G1797" s="102" t="str">
        <f>IFERROR(__xludf.DUMMYFUNCTION("""COMPUTED_VALUE"""),"+Damage")</f>
        <v>+Damage</v>
      </c>
      <c r="H1797" s="102"/>
      <c r="I1797" s="102"/>
      <c r="J1797" s="102"/>
      <c r="K1797" s="102"/>
      <c r="L1797" s="102"/>
    </row>
    <row r="1798">
      <c r="A1798" s="102" t="str">
        <f>IFERROR(__xludf.DUMMYFUNCTION("""COMPUTED_VALUE"""),"Vladof")</f>
        <v>Vladof</v>
      </c>
      <c r="B1798" s="102" t="str">
        <f>IFERROR(__xludf.DUMMYFUNCTION("""COMPUTED_VALUE"""),"Assault Rifle")</f>
        <v>Assault Rifle</v>
      </c>
      <c r="C1798" s="103">
        <f>IFERROR(__xludf.DUMMYFUNCTION("""COMPUTED_VALUE"""),77.0)</f>
        <v>77</v>
      </c>
      <c r="D1798" s="102" t="str">
        <f>IFERROR(__xludf.DUMMYFUNCTION("""COMPUTED_VALUE"""),"Barrel Accessory")</f>
        <v>Barrel Accessory</v>
      </c>
      <c r="E1798" s="102" t="str">
        <f>IFERROR(__xludf.DUMMYFUNCTION("""COMPUTED_VALUE"""),"VLA_AR.part_barrel_02_b")</f>
        <v>VLA_AR.part_barrel_02_b</v>
      </c>
      <c r="F1798" s="102"/>
      <c r="G1798" s="102" t="str">
        <f>IFERROR(__xludf.DUMMYFUNCTION("""COMPUTED_VALUE"""),"+Accuracy")</f>
        <v>+Accuracy</v>
      </c>
      <c r="H1798" s="102"/>
      <c r="I1798" s="102"/>
      <c r="J1798" s="102"/>
      <c r="K1798" s="102"/>
      <c r="L1798" s="102"/>
    </row>
    <row r="1799">
      <c r="A1799" s="102" t="str">
        <f>IFERROR(__xludf.DUMMYFUNCTION("""COMPUTED_VALUE"""),"Vladof")</f>
        <v>Vladof</v>
      </c>
      <c r="B1799" s="102" t="str">
        <f>IFERROR(__xludf.DUMMYFUNCTION("""COMPUTED_VALUE"""),"Assault Rifle")</f>
        <v>Assault Rifle</v>
      </c>
      <c r="C1799" s="103">
        <f>IFERROR(__xludf.DUMMYFUNCTION("""COMPUTED_VALUE"""),78.0)</f>
        <v>78</v>
      </c>
      <c r="D1799" s="102" t="str">
        <f>IFERROR(__xludf.DUMMYFUNCTION("""COMPUTED_VALUE"""),"Barrel Accessory")</f>
        <v>Barrel Accessory</v>
      </c>
      <c r="E1799" s="102" t="str">
        <f>IFERROR(__xludf.DUMMYFUNCTION("""COMPUTED_VALUE"""),"VLA_AR.part_barrel_02_c")</f>
        <v>VLA_AR.part_barrel_02_c</v>
      </c>
      <c r="F1799" s="102"/>
      <c r="G1799" s="102" t="str">
        <f>IFERROR(__xludf.DUMMYFUNCTION("""COMPUTED_VALUE"""),"+Fire Rate")</f>
        <v>+Fire Rate</v>
      </c>
      <c r="H1799" s="102"/>
      <c r="I1799" s="102"/>
      <c r="J1799" s="102"/>
      <c r="K1799" s="102"/>
      <c r="L1799" s="102"/>
    </row>
    <row r="1800">
      <c r="A1800" s="102" t="str">
        <f>IFERROR(__xludf.DUMMYFUNCTION("""COMPUTED_VALUE"""),"Vladof")</f>
        <v>Vladof</v>
      </c>
      <c r="B1800" s="102" t="str">
        <f>IFERROR(__xludf.DUMMYFUNCTION("""COMPUTED_VALUE"""),"Assault Rifle")</f>
        <v>Assault Rifle</v>
      </c>
      <c r="C1800" s="103">
        <f>IFERROR(__xludf.DUMMYFUNCTION("""COMPUTED_VALUE"""),79.0)</f>
        <v>79</v>
      </c>
      <c r="D1800" s="102" t="str">
        <f>IFERROR(__xludf.DUMMYFUNCTION("""COMPUTED_VALUE"""),"Barrel Accessory")</f>
        <v>Barrel Accessory</v>
      </c>
      <c r="E1800" s="102" t="str">
        <f>IFERROR(__xludf.DUMMYFUNCTION("""COMPUTED_VALUE"""),"VLA_AR.part_barrel_02_d")</f>
        <v>VLA_AR.part_barrel_02_d</v>
      </c>
      <c r="F1800" s="102"/>
      <c r="G1800" s="102" t="str">
        <f>IFERROR(__xludf.DUMMYFUNCTION("""COMPUTED_VALUE"""),"+Fire Rate")</f>
        <v>+Fire Rate</v>
      </c>
      <c r="H1800" s="102"/>
      <c r="I1800" s="102"/>
      <c r="J1800" s="102"/>
      <c r="K1800" s="102"/>
      <c r="L1800" s="102"/>
    </row>
    <row r="1801">
      <c r="A1801" s="102" t="str">
        <f>IFERROR(__xludf.DUMMYFUNCTION("""COMPUTED_VALUE"""),"Vladof")</f>
        <v>Vladof</v>
      </c>
      <c r="B1801" s="102" t="str">
        <f>IFERROR(__xludf.DUMMYFUNCTION("""COMPUTED_VALUE"""),"Assault Rifle")</f>
        <v>Assault Rifle</v>
      </c>
      <c r="C1801" s="103">
        <f>IFERROR(__xludf.DUMMYFUNCTION("""COMPUTED_VALUE"""),80.0)</f>
        <v>80</v>
      </c>
      <c r="D1801" s="102" t="str">
        <f>IFERROR(__xludf.DUMMYFUNCTION("""COMPUTED_VALUE"""),"Manufacturer Part")</f>
        <v>Manufacturer Part</v>
      </c>
      <c r="E1801" s="102" t="str">
        <f>IFERROR(__xludf.DUMMYFUNCTION("""COMPUTED_VALUE"""),"VLA_AR.part_barrel_licensed_jak")</f>
        <v>VLA_AR.part_barrel_licensed_jak</v>
      </c>
      <c r="F1801" s="102"/>
      <c r="G1801" s="102" t="str">
        <f>IFERROR(__xludf.DUMMYFUNCTION("""COMPUTED_VALUE"""),"Jakobs Ricochet")</f>
        <v>Jakobs Ricochet</v>
      </c>
      <c r="H1801" s="102"/>
      <c r="I1801" s="102"/>
      <c r="J1801" s="102"/>
      <c r="K1801" s="102"/>
      <c r="L1801" s="102"/>
    </row>
    <row r="1802">
      <c r="A1802" s="102" t="str">
        <f>IFERROR(__xludf.DUMMYFUNCTION("""COMPUTED_VALUE"""),"Vladof")</f>
        <v>Vladof</v>
      </c>
      <c r="B1802" s="102" t="str">
        <f>IFERROR(__xludf.DUMMYFUNCTION("""COMPUTED_VALUE"""),"Assault Rifle")</f>
        <v>Assault Rifle</v>
      </c>
      <c r="C1802" s="103">
        <f>IFERROR(__xludf.DUMMYFUNCTION("""COMPUTED_VALUE"""),81.0)</f>
        <v>81</v>
      </c>
      <c r="D1802" s="102" t="str">
        <f>IFERROR(__xludf.DUMMYFUNCTION("""COMPUTED_VALUE"""),"Manufacturer Part")</f>
        <v>Manufacturer Part</v>
      </c>
      <c r="E1802" s="102" t="str">
        <f>IFERROR(__xludf.DUMMYFUNCTION("""COMPUTED_VALUE"""),"VLA_AR.part_barrel_licensed_ted")</f>
        <v>VLA_AR.part_barrel_licensed_ted</v>
      </c>
      <c r="F1802" s="102"/>
      <c r="G1802" s="102" t="str">
        <f>IFERROR(__xludf.DUMMYFUNCTION("""COMPUTED_VALUE"""),"Tediore Reload, no stat changes")</f>
        <v>Tediore Reload, no stat changes</v>
      </c>
      <c r="H1802" s="102"/>
      <c r="I1802" s="102"/>
      <c r="J1802" s="102"/>
      <c r="K1802" s="102"/>
      <c r="L1802" s="102"/>
    </row>
    <row r="1803">
      <c r="A1803" s="102" t="str">
        <f>IFERROR(__xludf.DUMMYFUNCTION("""COMPUTED_VALUE"""),"Vladof")</f>
        <v>Vladof</v>
      </c>
      <c r="B1803" s="102" t="str">
        <f>IFERROR(__xludf.DUMMYFUNCTION("""COMPUTED_VALUE"""),"Assault Rifle")</f>
        <v>Assault Rifle</v>
      </c>
      <c r="C1803" s="103">
        <f>IFERROR(__xludf.DUMMYFUNCTION("""COMPUTED_VALUE"""),82.0)</f>
        <v>82</v>
      </c>
      <c r="D1803" s="102" t="str">
        <f>IFERROR(__xludf.DUMMYFUNCTION("""COMPUTED_VALUE"""),"Manufacturer Part")</f>
        <v>Manufacturer Part</v>
      </c>
      <c r="E1803" s="102" t="str">
        <f>IFERROR(__xludf.DUMMYFUNCTION("""COMPUTED_VALUE"""),"VLA_AR.part_barrel_licensed_ted_shooting")</f>
        <v>VLA_AR.part_barrel_licensed_ted_shooting</v>
      </c>
      <c r="F1803" s="102"/>
      <c r="G1803" s="102" t="str">
        <f>IFERROR(__xludf.DUMMYFUNCTION("""COMPUTED_VALUE"""),"Tediore Shooting, no stat changes")</f>
        <v>Tediore Shooting, no stat changes</v>
      </c>
      <c r="H1803" s="102"/>
      <c r="I1803" s="102"/>
      <c r="J1803" s="102"/>
      <c r="K1803" s="102"/>
      <c r="L1803" s="102"/>
    </row>
    <row r="1804">
      <c r="A1804" s="102" t="str">
        <f>IFERROR(__xludf.DUMMYFUNCTION("""COMPUTED_VALUE"""),"Vladof")</f>
        <v>Vladof</v>
      </c>
      <c r="B1804" s="102" t="str">
        <f>IFERROR(__xludf.DUMMYFUNCTION("""COMPUTED_VALUE"""),"Assault Rifle")</f>
        <v>Assault Rifle</v>
      </c>
      <c r="C1804" s="103">
        <f>IFERROR(__xludf.DUMMYFUNCTION("""COMPUTED_VALUE"""),83.0)</f>
        <v>83</v>
      </c>
      <c r="D1804" s="102" t="str">
        <f>IFERROR(__xludf.DUMMYFUNCTION("""COMPUTED_VALUE"""),"Manufacturer Part")</f>
        <v>Manufacturer Part</v>
      </c>
      <c r="E1804" s="102" t="str">
        <f>IFERROR(__xludf.DUMMYFUNCTION("""COMPUTED_VALUE"""),"VLA_AR.part_barrel_licensed_ted_mirv")</f>
        <v>VLA_AR.part_barrel_licensed_ted_mirv</v>
      </c>
      <c r="F1804" s="102"/>
      <c r="G1804" s="102" t="str">
        <f>IFERROR(__xludf.DUMMYFUNCTION("""COMPUTED_VALUE"""),"Tediore MIRV, no stat changes")</f>
        <v>Tediore MIRV, no stat changes</v>
      </c>
      <c r="H1804" s="102"/>
      <c r="I1804" s="102"/>
      <c r="J1804" s="102"/>
      <c r="K1804" s="102"/>
      <c r="L1804" s="102"/>
    </row>
    <row r="1805">
      <c r="A1805" s="102" t="str">
        <f>IFERROR(__xludf.DUMMYFUNCTION("""COMPUTED_VALUE"""),"Vladof")</f>
        <v>Vladof</v>
      </c>
      <c r="B1805" s="102" t="str">
        <f>IFERROR(__xludf.DUMMYFUNCTION("""COMPUTED_VALUE"""),"Assault Rifle")</f>
        <v>Assault Rifle</v>
      </c>
      <c r="C1805" s="103">
        <f>IFERROR(__xludf.DUMMYFUNCTION("""COMPUTED_VALUE"""),84.0)</f>
        <v>84</v>
      </c>
      <c r="D1805" s="102" t="str">
        <f>IFERROR(__xludf.DUMMYFUNCTION("""COMPUTED_VALUE"""),"Manufacturer Part")</f>
        <v>Manufacturer Part</v>
      </c>
      <c r="E1805" s="102" t="str">
        <f>IFERROR(__xludf.DUMMYFUNCTION("""COMPUTED_VALUE"""),"VLA_AR.part_barrel_licensed_hyp")</f>
        <v>VLA_AR.part_barrel_licensed_hyp</v>
      </c>
      <c r="F1805" s="102"/>
      <c r="G1805" s="102" t="str">
        <f>IFERROR(__xludf.DUMMYFUNCTION("""COMPUTED_VALUE"""),"Hyperion Shield visual accessory, no stat changes")</f>
        <v>Hyperion Shield visual accessory, no stat changes</v>
      </c>
      <c r="H1805" s="102"/>
      <c r="I1805" s="102"/>
      <c r="J1805" s="102"/>
      <c r="K1805" s="102"/>
      <c r="L1805" s="102"/>
    </row>
    <row r="1806">
      <c r="A1806" s="102" t="str">
        <f>IFERROR(__xludf.DUMMYFUNCTION("""COMPUTED_VALUE"""),"Vladof")</f>
        <v>Vladof</v>
      </c>
      <c r="B1806" s="102" t="str">
        <f>IFERROR(__xludf.DUMMYFUNCTION("""COMPUTED_VALUE"""),"Assault Rifle")</f>
        <v>Assault Rifle</v>
      </c>
      <c r="C1806" s="103">
        <f>IFERROR(__xludf.DUMMYFUNCTION("""COMPUTED_VALUE"""),85.0)</f>
        <v>85</v>
      </c>
      <c r="D1806" s="102" t="str">
        <f>IFERROR(__xludf.DUMMYFUNCTION("""COMPUTED_VALUE"""),"Underbarrel")</f>
        <v>Underbarrel</v>
      </c>
      <c r="E1806" s="102" t="str">
        <f>IFERROR(__xludf.DUMMYFUNCTION("""COMPUTED_VALUE"""),"VLA_AR.part_underbarrel_06_malswitch")</f>
        <v>VLA_AR.part_underbarrel_06_malswitch</v>
      </c>
      <c r="F1806" s="102"/>
      <c r="G1806" s="102" t="str">
        <f>IFERROR(__xludf.DUMMYFUNCTION("""COMPUTED_VALUE"""),"Maliwan Element Switch")</f>
        <v>Maliwan Element Switch</v>
      </c>
      <c r="H1806" s="102" t="str">
        <f>IFERROR(__xludf.DUMMYFUNCTION("""COMPUTED_VALUE"""),"Used for Maliwan elemental switch")</f>
        <v>Used for Maliwan elemental switch</v>
      </c>
      <c r="I1806" s="102"/>
      <c r="J1806" s="102"/>
      <c r="K1806" s="102"/>
      <c r="L1806" s="102"/>
    </row>
    <row r="1807">
      <c r="A1807" s="102" t="str">
        <f>IFERROR(__xludf.DUMMYFUNCTION("""COMPUTED_VALUE"""),"Vladof")</f>
        <v>Vladof</v>
      </c>
      <c r="B1807" s="102" t="str">
        <f>IFERROR(__xludf.DUMMYFUNCTION("""COMPUTED_VALUE"""),"Assault Rifle")</f>
        <v>Assault Rifle</v>
      </c>
      <c r="C1807" s="103">
        <f>IFERROR(__xludf.DUMMYFUNCTION("""COMPUTED_VALUE"""),86.0)</f>
        <v>86</v>
      </c>
      <c r="D1807" s="102" t="str">
        <f>IFERROR(__xludf.DUMMYFUNCTION("""COMPUTED_VALUE"""),"Underbarrel")</f>
        <v>Underbarrel</v>
      </c>
      <c r="E1807" s="102" t="str">
        <f>IFERROR(__xludf.DUMMYFUNCTION("""COMPUTED_VALUE"""),"VLA_AR.part_underbarrel_07_secondbarrel")</f>
        <v>VLA_AR.part_underbarrel_07_secondbarrel</v>
      </c>
      <c r="F1807" s="102"/>
      <c r="G1807" s="102" t="str">
        <f>IFERROR(__xludf.DUMMYFUNCTION("""COMPUTED_VALUE"""),"Alt Fire - Extra Barrel")</f>
        <v>Alt Fire - Extra Barrel</v>
      </c>
      <c r="H1807" s="102"/>
      <c r="I1807" s="102"/>
      <c r="J1807" s="102"/>
      <c r="K1807" s="102"/>
      <c r="L1807" s="102"/>
    </row>
    <row r="1808">
      <c r="A1808" s="102" t="str">
        <f>IFERROR(__xludf.DUMMYFUNCTION("""COMPUTED_VALUE"""),"Vladof")</f>
        <v>Vladof</v>
      </c>
      <c r="B1808" s="102" t="str">
        <f>IFERROR(__xludf.DUMMYFUNCTION("""COMPUTED_VALUE"""),"Assault Rifle")</f>
        <v>Assault Rifle</v>
      </c>
      <c r="C1808" s="103">
        <f>IFERROR(__xludf.DUMMYFUNCTION("""COMPUTED_VALUE"""),87.0)</f>
        <v>87</v>
      </c>
      <c r="D1808" s="102" t="str">
        <f>IFERROR(__xludf.DUMMYFUNCTION("""COMPUTED_VALUE"""),"Underbarrel")</f>
        <v>Underbarrel</v>
      </c>
      <c r="E1808" s="102" t="str">
        <f>IFERROR(__xludf.DUMMYFUNCTION("""COMPUTED_VALUE"""),"VLA_AR.part_underbarrel_02_shotgun")</f>
        <v>VLA_AR.part_underbarrel_02_shotgun</v>
      </c>
      <c r="F1808" s="102"/>
      <c r="G1808" s="102" t="str">
        <f>IFERROR(__xludf.DUMMYFUNCTION("""COMPUTED_VALUE"""),"Alt Fire - Shotgun")</f>
        <v>Alt Fire - Shotgun</v>
      </c>
      <c r="H1808" s="102"/>
      <c r="I1808" s="102"/>
      <c r="J1808" s="102"/>
      <c r="K1808" s="102"/>
      <c r="L1808" s="102"/>
    </row>
    <row r="1809">
      <c r="A1809" s="102" t="str">
        <f>IFERROR(__xludf.DUMMYFUNCTION("""COMPUTED_VALUE"""),"Vladof")</f>
        <v>Vladof</v>
      </c>
      <c r="B1809" s="102" t="str">
        <f>IFERROR(__xludf.DUMMYFUNCTION("""COMPUTED_VALUE"""),"Assault Rifle")</f>
        <v>Assault Rifle</v>
      </c>
      <c r="C1809" s="103">
        <f>IFERROR(__xludf.DUMMYFUNCTION("""COMPUTED_VALUE"""),89.0)</f>
        <v>89</v>
      </c>
      <c r="D1809" s="102" t="str">
        <f>IFERROR(__xludf.DUMMYFUNCTION("""COMPUTED_VALUE"""),"Underbarrel Accessory")</f>
        <v>Underbarrel Accessory</v>
      </c>
      <c r="E1809" s="102" t="str">
        <f>IFERROR(__xludf.DUMMYFUNCTION("""COMPUTED_VALUE"""),"VLA_AR.part_underbarrel_overdrive_acc")</f>
        <v>VLA_AR.part_underbarrel_overdrive_acc</v>
      </c>
      <c r="F1809" s="102"/>
      <c r="G1809" s="104" t="str">
        <f>IFERROR(__xludf.DUMMYFUNCTION("""COMPUTED_VALUE"""),"Overdrive Acc - No Stat Changes")</f>
        <v>Overdrive Acc - No Stat Changes</v>
      </c>
      <c r="H1809" s="102"/>
      <c r="I1809" s="102"/>
      <c r="J1809" s="102"/>
      <c r="K1809" s="102"/>
      <c r="L1809" s="102"/>
    </row>
    <row r="1810">
      <c r="A1810" s="102" t="str">
        <f>IFERROR(__xludf.DUMMYFUNCTION("""COMPUTED_VALUE"""),"Vladof")</f>
        <v>Vladof</v>
      </c>
      <c r="B1810" s="102" t="str">
        <f>IFERROR(__xludf.DUMMYFUNCTION("""COMPUTED_VALUE"""),"Assault Rifle")</f>
        <v>Assault Rifle</v>
      </c>
      <c r="C1810" s="103">
        <f>IFERROR(__xludf.DUMMYFUNCTION("""COMPUTED_VALUE"""),90.0)</f>
        <v>90</v>
      </c>
      <c r="D1810" s="102" t="str">
        <f>IFERROR(__xludf.DUMMYFUNCTION("""COMPUTED_VALUE"""),"Underbarrel")</f>
        <v>Underbarrel</v>
      </c>
      <c r="E1810" s="102" t="str">
        <f>IFERROR(__xludf.DUMMYFUNCTION("""COMPUTED_VALUE"""),"VLA_AR.part_underbarrel_wf_overdrive")</f>
        <v>VLA_AR.part_underbarrel_wf_overdrive</v>
      </c>
      <c r="F1810" s="102"/>
      <c r="G1810" s="102" t="str">
        <f>IFERROR(__xludf.DUMMYFUNCTION("""COMPUTED_VALUE"""),"Overdrive - Switches to a secondary Magazine that can be fired on Full Auto")</f>
        <v>Overdrive - Switches to a secondary Magazine that can be fired on Full Auto</v>
      </c>
      <c r="H1810" s="102"/>
      <c r="I1810" s="102"/>
      <c r="J1810" s="102"/>
      <c r="K1810" s="102"/>
      <c r="L1810" s="102"/>
    </row>
    <row r="1811">
      <c r="A1811" s="102" t="str">
        <f>IFERROR(__xludf.DUMMYFUNCTION("""COMPUTED_VALUE"""),"Vladof")</f>
        <v>Vladof</v>
      </c>
      <c r="B1811" s="102" t="str">
        <f>IFERROR(__xludf.DUMMYFUNCTION("""COMPUTED_VALUE"""),"Assault Rifle")</f>
        <v>Assault Rifle</v>
      </c>
      <c r="C1811" s="103">
        <f>IFERROR(__xludf.DUMMYFUNCTION("""COMPUTED_VALUE"""),91.0)</f>
        <v>91</v>
      </c>
      <c r="D1811" s="102" t="str">
        <f>IFERROR(__xludf.DUMMYFUNCTION("""COMPUTED_VALUE"""),"Underbarrel Accessory")</f>
        <v>Underbarrel Accessory</v>
      </c>
      <c r="E1811" s="102" t="str">
        <f>IFERROR(__xludf.DUMMYFUNCTION("""COMPUTED_VALUE"""),"VLA_AR.part_underbarrel_scrap_acc")</f>
        <v>VLA_AR.part_underbarrel_scrap_acc</v>
      </c>
      <c r="F1811" s="102"/>
      <c r="G1811" s="102" t="str">
        <f>IFERROR(__xludf.DUMMYFUNCTION("""COMPUTED_VALUE"""),"Increases Scrap Cannon Damage")</f>
        <v>Increases Scrap Cannon Damage</v>
      </c>
      <c r="H1811" s="102"/>
      <c r="I1811" s="102"/>
      <c r="J1811" s="102"/>
      <c r="K1811" s="102"/>
      <c r="L1811" s="102"/>
    </row>
    <row r="1812">
      <c r="A1812" s="102" t="str">
        <f>IFERROR(__xludf.DUMMYFUNCTION("""COMPUTED_VALUE"""),"Vladof")</f>
        <v>Vladof</v>
      </c>
      <c r="B1812" s="102" t="str">
        <f>IFERROR(__xludf.DUMMYFUNCTION("""COMPUTED_VALUE"""),"Assault Rifle")</f>
        <v>Assault Rifle</v>
      </c>
      <c r="C1812" s="103">
        <f>IFERROR(__xludf.DUMMYFUNCTION("""COMPUTED_VALUE"""),92.0)</f>
        <v>92</v>
      </c>
      <c r="D1812" s="102" t="str">
        <f>IFERROR(__xludf.DUMMYFUNCTION("""COMPUTED_VALUE"""),"Underbarrel")</f>
        <v>Underbarrel</v>
      </c>
      <c r="E1812" s="102" t="str">
        <f>IFERROR(__xludf.DUMMYFUNCTION("""COMPUTED_VALUE"""),"VLA_AR.part_underbarrel_02_wf_scrapcannon")</f>
        <v>VLA_AR.part_underbarrel_02_wf_scrapcannon</v>
      </c>
      <c r="F1812" s="102"/>
      <c r="G1812" s="102" t="str">
        <f>IFERROR(__xludf.DUMMYFUNCTION("""COMPUTED_VALUE"""),"Scrap Cannon - Fires a spread of shrapnel from teh Underbarrel")</f>
        <v>Scrap Cannon - Fires a spread of shrapnel from teh Underbarrel</v>
      </c>
      <c r="H1812" s="102"/>
      <c r="I1812" s="102"/>
      <c r="J1812" s="102"/>
      <c r="K1812" s="102"/>
      <c r="L1812" s="102"/>
    </row>
    <row r="1813">
      <c r="A1813" s="102" t="str">
        <f>IFERROR(__xludf.DUMMYFUNCTION("""COMPUTED_VALUE"""),"Vladof")</f>
        <v>Vladof</v>
      </c>
      <c r="B1813" s="102" t="str">
        <f>IFERROR(__xludf.DUMMYFUNCTION("""COMPUTED_VALUE"""),"Assault Rifle")</f>
        <v>Assault Rifle</v>
      </c>
      <c r="C1813" s="103">
        <f>IFERROR(__xludf.DUMMYFUNCTION("""COMPUTED_VALUE"""),94.0)</f>
        <v>94</v>
      </c>
      <c r="D1813" s="102" t="str">
        <f>IFERROR(__xludf.DUMMYFUNCTION("""COMPUTED_VALUE"""),"Barrel")</f>
        <v>Barrel</v>
      </c>
      <c r="E1813" s="102" t="str">
        <f>IFERROR(__xludf.DUMMYFUNCTION("""COMPUTED_VALUE"""),"VLA_AR.part_barrel_wf")</f>
        <v>VLA_AR.part_barrel_wf</v>
      </c>
      <c r="F1813" s="102"/>
      <c r="G1813" s="102" t="str">
        <f>IFERROR(__xludf.DUMMYFUNCTION("""COMPUTED_VALUE"""),"Whiskey Foxtrot, 848 Damage, 84% Acc, 6.1/s FR")</f>
        <v>Whiskey Foxtrot, 848 Damage, 84% Acc, 6.1/s FR</v>
      </c>
      <c r="H1813" s="102"/>
      <c r="I1813" s="102"/>
      <c r="J1813" s="102"/>
      <c r="K1813" s="102"/>
      <c r="L1813" s="102"/>
    </row>
    <row r="1814">
      <c r="A1814" s="102" t="str">
        <f>IFERROR(__xludf.DUMMYFUNCTION("""COMPUTED_VALUE"""),"Vladof")</f>
        <v>Vladof</v>
      </c>
      <c r="B1814" s="102" t="str">
        <f>IFERROR(__xludf.DUMMYFUNCTION("""COMPUTED_VALUE"""),"SMG")</f>
        <v>SMG</v>
      </c>
      <c r="C1814" s="103">
        <f>IFERROR(__xludf.DUMMYFUNCTION("""COMPUTED_VALUE"""),2.0)</f>
        <v>2</v>
      </c>
      <c r="D1814" s="102" t="str">
        <f>IFERROR(__xludf.DUMMYFUNCTION("""COMPUTED_VALUE"""),"Body")</f>
        <v>Body</v>
      </c>
      <c r="E1814" s="102" t="str">
        <f>IFERROR(__xludf.DUMMYFUNCTION("""COMPUTED_VALUE"""),"VLA_SM.part_body")</f>
        <v>VLA_SM.part_body</v>
      </c>
      <c r="F1814" s="102"/>
      <c r="G1814" s="102" t="str">
        <f>IFERROR(__xludf.DUMMYFUNCTION("""COMPUTED_VALUE"""),"No Stat Changes, always present")</f>
        <v>No Stat Changes, always present</v>
      </c>
      <c r="H1814" s="102"/>
      <c r="I1814" s="102"/>
      <c r="J1814" s="102"/>
      <c r="K1814" s="102"/>
      <c r="L1814" s="102"/>
    </row>
    <row r="1815">
      <c r="A1815" s="102" t="str">
        <f>IFERROR(__xludf.DUMMYFUNCTION("""COMPUTED_VALUE"""),"Vladof")</f>
        <v>Vladof</v>
      </c>
      <c r="B1815" s="102" t="str">
        <f>IFERROR(__xludf.DUMMYFUNCTION("""COMPUTED_VALUE"""),"SMG")</f>
        <v>SMG</v>
      </c>
      <c r="C1815" s="103">
        <f>IFERROR(__xludf.DUMMYFUNCTION("""COMPUTED_VALUE"""),3.0)</f>
        <v>3</v>
      </c>
      <c r="D1815" s="102" t="str">
        <f>IFERROR(__xludf.DUMMYFUNCTION("""COMPUTED_VALUE"""),"Body Accessory")</f>
        <v>Body Accessory</v>
      </c>
      <c r="E1815" s="102" t="str">
        <f>IFERROR(__xludf.DUMMYFUNCTION("""COMPUTED_VALUE"""),"VLA_SM.part_body_a")</f>
        <v>VLA_SM.part_body_a</v>
      </c>
      <c r="F1815" s="102"/>
      <c r="G1815" s="102" t="str">
        <f>IFERROR(__xludf.DUMMYFUNCTION("""COMPUTED_VALUE"""),"-Reload Speed")</f>
        <v>-Reload Speed</v>
      </c>
      <c r="H1815" s="102"/>
      <c r="I1815" s="102"/>
      <c r="J1815" s="102"/>
      <c r="K1815" s="102"/>
      <c r="L1815" s="102"/>
    </row>
    <row r="1816">
      <c r="A1816" s="102" t="str">
        <f>IFERROR(__xludf.DUMMYFUNCTION("""COMPUTED_VALUE"""),"Vladof")</f>
        <v>Vladof</v>
      </c>
      <c r="B1816" s="102" t="str">
        <f>IFERROR(__xludf.DUMMYFUNCTION("""COMPUTED_VALUE"""),"SMG")</f>
        <v>SMG</v>
      </c>
      <c r="C1816" s="103">
        <f>IFERROR(__xludf.DUMMYFUNCTION("""COMPUTED_VALUE"""),4.0)</f>
        <v>4</v>
      </c>
      <c r="D1816" s="102" t="str">
        <f>IFERROR(__xludf.DUMMYFUNCTION("""COMPUTED_VALUE"""),"Body Accessory")</f>
        <v>Body Accessory</v>
      </c>
      <c r="E1816" s="102" t="str">
        <f>IFERROR(__xludf.DUMMYFUNCTION("""COMPUTED_VALUE"""),"VLA_SM.part_body_b")</f>
        <v>VLA_SM.part_body_b</v>
      </c>
      <c r="F1816" s="102"/>
      <c r="G1816" s="102" t="str">
        <f>IFERROR(__xludf.DUMMYFUNCTION("""COMPUTED_VALUE"""),"+Ammo")</f>
        <v>+Ammo</v>
      </c>
      <c r="H1816" s="102"/>
      <c r="I1816" s="102"/>
      <c r="J1816" s="102"/>
      <c r="K1816" s="102"/>
      <c r="L1816" s="102"/>
    </row>
    <row r="1817">
      <c r="A1817" s="102" t="str">
        <f>IFERROR(__xludf.DUMMYFUNCTION("""COMPUTED_VALUE"""),"Vladof")</f>
        <v>Vladof</v>
      </c>
      <c r="B1817" s="102" t="str">
        <f>IFERROR(__xludf.DUMMYFUNCTION("""COMPUTED_VALUE"""),"SMG")</f>
        <v>SMG</v>
      </c>
      <c r="C1817" s="103">
        <f>IFERROR(__xludf.DUMMYFUNCTION("""COMPUTED_VALUE"""),5.0)</f>
        <v>5</v>
      </c>
      <c r="D1817" s="102" t="str">
        <f>IFERROR(__xludf.DUMMYFUNCTION("""COMPUTED_VALUE"""),"Body Accessory")</f>
        <v>Body Accessory</v>
      </c>
      <c r="E1817" s="102" t="str">
        <f>IFERROR(__xludf.DUMMYFUNCTION("""COMPUTED_VALUE"""),"VLA_SM.part_body_c")</f>
        <v>VLA_SM.part_body_c</v>
      </c>
      <c r="F1817" s="102"/>
      <c r="G1817" s="102" t="str">
        <f>IFERROR(__xludf.DUMMYFUNCTION("""COMPUTED_VALUE"""),"+Accuracy")</f>
        <v>+Accuracy</v>
      </c>
      <c r="H1817" s="102"/>
      <c r="I1817" s="102"/>
      <c r="J1817" s="102"/>
      <c r="K1817" s="102"/>
      <c r="L1817" s="102"/>
    </row>
    <row r="1818">
      <c r="A1818" s="102" t="str">
        <f>IFERROR(__xludf.DUMMYFUNCTION("""COMPUTED_VALUE"""),"Vladof")</f>
        <v>Vladof</v>
      </c>
      <c r="B1818" s="102" t="str">
        <f>IFERROR(__xludf.DUMMYFUNCTION("""COMPUTED_VALUE"""),"SMG")</f>
        <v>SMG</v>
      </c>
      <c r="C1818" s="103">
        <f>IFERROR(__xludf.DUMMYFUNCTION("""COMPUTED_VALUE"""),6.0)</f>
        <v>6</v>
      </c>
      <c r="D1818" s="102" t="str">
        <f>IFERROR(__xludf.DUMMYFUNCTION("""COMPUTED_VALUE"""),"Body Accessory")</f>
        <v>Body Accessory</v>
      </c>
      <c r="E1818" s="102" t="str">
        <f>IFERROR(__xludf.DUMMYFUNCTION("""COMPUTED_VALUE"""),"VLA_SM.part_body_d")</f>
        <v>VLA_SM.part_body_d</v>
      </c>
      <c r="F1818" s="102"/>
      <c r="G1818" s="102" t="str">
        <f>IFERROR(__xludf.DUMMYFUNCTION("""COMPUTED_VALUE"""),"No Stat Changes")</f>
        <v>No Stat Changes</v>
      </c>
      <c r="H1818" s="102"/>
      <c r="I1818" s="102"/>
      <c r="J1818" s="102"/>
      <c r="K1818" s="102"/>
      <c r="L1818" s="102"/>
    </row>
    <row r="1819">
      <c r="A1819" s="102" t="str">
        <f>IFERROR(__xludf.DUMMYFUNCTION("""COMPUTED_VALUE"""),"Vladof")</f>
        <v>Vladof</v>
      </c>
      <c r="B1819" s="102" t="str">
        <f>IFERROR(__xludf.DUMMYFUNCTION("""COMPUTED_VALUE"""),"SMG")</f>
        <v>SMG</v>
      </c>
      <c r="C1819" s="103">
        <f>IFERROR(__xludf.DUMMYFUNCTION("""COMPUTED_VALUE"""),7.0)</f>
        <v>7</v>
      </c>
      <c r="D1819" s="102" t="str">
        <f>IFERROR(__xludf.DUMMYFUNCTION("""COMPUTED_VALUE"""),"Barrel")</f>
        <v>Barrel</v>
      </c>
      <c r="E1819" s="102" t="str">
        <f>IFERROR(__xludf.DUMMYFUNCTION("""COMPUTED_VALUE"""),"VLA_SM.part_barrel_01")</f>
        <v>VLA_SM.part_barrel_01</v>
      </c>
      <c r="F1819" s="102"/>
      <c r="G1819" s="102" t="str">
        <f>IFERROR(__xludf.DUMMYFUNCTION("""COMPUTED_VALUE"""),"Boory, 424 Damage, 66% Acc, 12.3/s FR")</f>
        <v>Boory, 424 Damage, 66% Acc, 12.3/s FR</v>
      </c>
      <c r="H1819" s="102"/>
      <c r="I1819" s="102"/>
      <c r="J1819" s="102"/>
      <c r="K1819" s="102"/>
      <c r="L1819" s="102"/>
    </row>
    <row r="1820">
      <c r="A1820" s="102" t="str">
        <f>IFERROR(__xludf.DUMMYFUNCTION("""COMPUTED_VALUE"""),"Vladof")</f>
        <v>Vladof</v>
      </c>
      <c r="B1820" s="102" t="str">
        <f>IFERROR(__xludf.DUMMYFUNCTION("""COMPUTED_VALUE"""),"SMG")</f>
        <v>SMG</v>
      </c>
      <c r="C1820" s="103">
        <f>IFERROR(__xludf.DUMMYFUNCTION("""COMPUTED_VALUE"""),8.0)</f>
        <v>8</v>
      </c>
      <c r="D1820" s="102" t="str">
        <f>IFERROR(__xludf.DUMMYFUNCTION("""COMPUTED_VALUE"""),"Barrel")</f>
        <v>Barrel</v>
      </c>
      <c r="E1820" s="102" t="str">
        <f>IFERROR(__xludf.DUMMYFUNCTION("""COMPUTED_VALUE"""),"VLA_SM.part_barrel_02")</f>
        <v>VLA_SM.part_barrel_02</v>
      </c>
      <c r="F1820" s="102"/>
      <c r="G1820" s="102" t="str">
        <f>IFERROR(__xludf.DUMMYFUNCTION("""COMPUTED_VALUE"""),"Flewdy, 491 Damage, 73% Acc, 9.2/s FR")</f>
        <v>Flewdy, 491 Damage, 73% Acc, 9.2/s FR</v>
      </c>
      <c r="H1820" s="102"/>
      <c r="I1820" s="102"/>
      <c r="J1820" s="102"/>
      <c r="K1820" s="102"/>
      <c r="L1820" s="102"/>
    </row>
    <row r="1821">
      <c r="A1821" s="102" t="str">
        <f>IFERROR(__xludf.DUMMYFUNCTION("""COMPUTED_VALUE"""),"Vladof")</f>
        <v>Vladof</v>
      </c>
      <c r="B1821" s="102" t="str">
        <f>IFERROR(__xludf.DUMMYFUNCTION("""COMPUTED_VALUE"""),"SMG")</f>
        <v>SMG</v>
      </c>
      <c r="C1821" s="103">
        <f>IFERROR(__xludf.DUMMYFUNCTION("""COMPUTED_VALUE"""),9.0)</f>
        <v>9</v>
      </c>
      <c r="D1821" s="102" t="str">
        <f>IFERROR(__xludf.DUMMYFUNCTION("""COMPUTED_VALUE"""),"Manufacturer Part")</f>
        <v>Manufacturer Part</v>
      </c>
      <c r="E1821" s="102" t="str">
        <f>IFERROR(__xludf.DUMMYFUNCTION("""COMPUTED_VALUE"""),"VLA_SM.part_shield_default")</f>
        <v>VLA_SM.part_shield_default</v>
      </c>
      <c r="F1821" s="102"/>
      <c r="G1821" s="102" t="str">
        <f>IFERROR(__xludf.DUMMYFUNCTION("""COMPUTED_VALUE"""),"Hyperion Shield")</f>
        <v>Hyperion Shield</v>
      </c>
      <c r="H1821" s="102"/>
      <c r="I1821" s="102"/>
      <c r="J1821" s="102"/>
      <c r="K1821" s="102"/>
      <c r="L1821" s="102"/>
    </row>
    <row r="1822">
      <c r="A1822" s="102" t="str">
        <f>IFERROR(__xludf.DUMMYFUNCTION("""COMPUTED_VALUE"""),"Vladof")</f>
        <v>Vladof</v>
      </c>
      <c r="B1822" s="102" t="str">
        <f>IFERROR(__xludf.DUMMYFUNCTION("""COMPUTED_VALUE"""),"SMG")</f>
        <v>SMG</v>
      </c>
      <c r="C1822" s="103">
        <f>IFERROR(__xludf.DUMMYFUNCTION("""COMPUTED_VALUE"""),10.0)</f>
        <v>10</v>
      </c>
      <c r="D1822" s="102" t="str">
        <f>IFERROR(__xludf.DUMMYFUNCTION("""COMPUTED_VALUE"""),"Manufacturer Part")</f>
        <v>Manufacturer Part</v>
      </c>
      <c r="E1822" s="102" t="str">
        <f>IFERROR(__xludf.DUMMYFUNCTION("""COMPUTED_VALUE"""),"VLA_SM.part_shield_ricochet")</f>
        <v>VLA_SM.part_shield_ricochet</v>
      </c>
      <c r="F1822" s="102"/>
      <c r="G1822" s="102" t="str">
        <f>IFERROR(__xludf.DUMMYFUNCTION("""COMPUTED_VALUE"""),"Hyperion Ricochet Shield")</f>
        <v>Hyperion Ricochet Shield</v>
      </c>
      <c r="H1822" s="102"/>
      <c r="I1822" s="102"/>
      <c r="J1822" s="102"/>
      <c r="K1822" s="102"/>
      <c r="L1822" s="102"/>
    </row>
    <row r="1823">
      <c r="A1823" s="102" t="str">
        <f>IFERROR(__xludf.DUMMYFUNCTION("""COMPUTED_VALUE"""),"Vladof")</f>
        <v>Vladof</v>
      </c>
      <c r="B1823" s="102" t="str">
        <f>IFERROR(__xludf.DUMMYFUNCTION("""COMPUTED_VALUE"""),"SMG")</f>
        <v>SMG</v>
      </c>
      <c r="C1823" s="103">
        <f>IFERROR(__xludf.DUMMYFUNCTION("""COMPUTED_VALUE"""),11.0)</f>
        <v>11</v>
      </c>
      <c r="D1823" s="102" t="str">
        <f>IFERROR(__xludf.DUMMYFUNCTION("""COMPUTED_VALUE"""),"Manufacturer Part")</f>
        <v>Manufacturer Part</v>
      </c>
      <c r="E1823" s="102" t="str">
        <f>IFERROR(__xludf.DUMMYFUNCTION("""COMPUTED_VALUE"""),"VLA_SM.part_shield_ammo")</f>
        <v>VLA_SM.part_shield_ammo</v>
      </c>
      <c r="F1823" s="102"/>
      <c r="G1823" s="102" t="str">
        <f>IFERROR(__xludf.DUMMYFUNCTION("""COMPUTED_VALUE"""),"Hyperion Absorb Shield")</f>
        <v>Hyperion Absorb Shield</v>
      </c>
      <c r="H1823" s="102"/>
      <c r="I1823" s="102"/>
      <c r="J1823" s="102"/>
      <c r="K1823" s="102"/>
      <c r="L1823" s="102"/>
    </row>
    <row r="1824">
      <c r="A1824" s="102" t="str">
        <f>IFERROR(__xludf.DUMMYFUNCTION("""COMPUTED_VALUE"""),"Vladof")</f>
        <v>Vladof</v>
      </c>
      <c r="B1824" s="102" t="str">
        <f>IFERROR(__xludf.DUMMYFUNCTION("""COMPUTED_VALUE"""),"SMG")</f>
        <v>SMG</v>
      </c>
      <c r="C1824" s="103">
        <f>IFERROR(__xludf.DUMMYFUNCTION("""COMPUTED_VALUE"""),12.0)</f>
        <v>12</v>
      </c>
      <c r="D1824" s="102" t="str">
        <f>IFERROR(__xludf.DUMMYFUNCTION("""COMPUTED_VALUE"""),"Manufacturer Part")</f>
        <v>Manufacturer Part</v>
      </c>
      <c r="E1824" s="102" t="str">
        <f>IFERROR(__xludf.DUMMYFUNCTION("""COMPUTED_VALUE"""),"VLA_SM.part_shield_amp")</f>
        <v>VLA_SM.part_shield_amp</v>
      </c>
      <c r="F1824" s="102"/>
      <c r="G1824" s="102" t="str">
        <f>IFERROR(__xludf.DUMMYFUNCTION("""COMPUTED_VALUE"""),"Hyperion Amp Shield")</f>
        <v>Hyperion Amp Shield</v>
      </c>
      <c r="H1824" s="102"/>
      <c r="I1824" s="102"/>
      <c r="J1824" s="102"/>
      <c r="K1824" s="102"/>
      <c r="L1824" s="102"/>
    </row>
    <row r="1825">
      <c r="A1825" s="102" t="str">
        <f>IFERROR(__xludf.DUMMYFUNCTION("""COMPUTED_VALUE"""),"Vladof")</f>
        <v>Vladof</v>
      </c>
      <c r="B1825" s="102" t="str">
        <f>IFERROR(__xludf.DUMMYFUNCTION("""COMPUTED_VALUE"""),"SMG")</f>
        <v>SMG</v>
      </c>
      <c r="C1825" s="103">
        <f>IFERROR(__xludf.DUMMYFUNCTION("""COMPUTED_VALUE"""),13.0)</f>
        <v>13</v>
      </c>
      <c r="D1825" s="102" t="str">
        <f>IFERROR(__xludf.DUMMYFUNCTION("""COMPUTED_VALUE"""),"Magazine")</f>
        <v>Magazine</v>
      </c>
      <c r="E1825" s="102" t="str">
        <f>IFERROR(__xludf.DUMMYFUNCTION("""COMPUTED_VALUE"""),"VLA_SM.part_mag_01")</f>
        <v>VLA_SM.part_mag_01</v>
      </c>
      <c r="F1825" s="102"/>
      <c r="G1825" s="102" t="str">
        <f>IFERROR(__xludf.DUMMYFUNCTION("""COMPUTED_VALUE"""),"2.4s Reload, 30 Shots")</f>
        <v>2.4s Reload, 30 Shots</v>
      </c>
      <c r="H1825" s="102"/>
      <c r="I1825" s="102"/>
      <c r="J1825" s="102"/>
      <c r="K1825" s="102"/>
      <c r="L1825" s="102"/>
    </row>
    <row r="1826">
      <c r="A1826" s="102" t="str">
        <f>IFERROR(__xludf.DUMMYFUNCTION("""COMPUTED_VALUE"""),"Vladof")</f>
        <v>Vladof</v>
      </c>
      <c r="B1826" s="102" t="str">
        <f>IFERROR(__xludf.DUMMYFUNCTION("""COMPUTED_VALUE"""),"SMG")</f>
        <v>SMG</v>
      </c>
      <c r="C1826" s="103">
        <f>IFERROR(__xludf.DUMMYFUNCTION("""COMPUTED_VALUE"""),14.0)</f>
        <v>14</v>
      </c>
      <c r="D1826" s="102" t="str">
        <f>IFERROR(__xludf.DUMMYFUNCTION("""COMPUTED_VALUE"""),"Magazine")</f>
        <v>Magazine</v>
      </c>
      <c r="E1826" s="102" t="str">
        <f>IFERROR(__xludf.DUMMYFUNCTION("""COMPUTED_VALUE"""),"VLA_SM.part_mag_02")</f>
        <v>VLA_SM.part_mag_02</v>
      </c>
      <c r="F1826" s="102"/>
      <c r="G1826" s="102" t="str">
        <f>IFERROR(__xludf.DUMMYFUNCTION("""COMPUTED_VALUE"""),"3.5s Reload, +Damage, 35 Shots")</f>
        <v>3.5s Reload, +Damage, 35 Shots</v>
      </c>
      <c r="H1826" s="102"/>
      <c r="I1826" s="102"/>
      <c r="J1826" s="102"/>
      <c r="K1826" s="102"/>
      <c r="L1826" s="102"/>
    </row>
    <row r="1827">
      <c r="A1827" s="102" t="str">
        <f>IFERROR(__xludf.DUMMYFUNCTION("""COMPUTED_VALUE"""),"Vladof")</f>
        <v>Vladof</v>
      </c>
      <c r="B1827" s="102" t="str">
        <f>IFERROR(__xludf.DUMMYFUNCTION("""COMPUTED_VALUE"""),"SMG")</f>
        <v>SMG</v>
      </c>
      <c r="C1827" s="103">
        <f>IFERROR(__xludf.DUMMYFUNCTION("""COMPUTED_VALUE"""),15.0)</f>
        <v>15</v>
      </c>
      <c r="D1827" s="102" t="str">
        <f>IFERROR(__xludf.DUMMYFUNCTION("""COMPUTED_VALUE"""),"Magazine")</f>
        <v>Magazine</v>
      </c>
      <c r="E1827" s="102" t="str">
        <f>IFERROR(__xludf.DUMMYFUNCTION("""COMPUTED_VALUE"""),"VLA_SM.part_mag_03_tor")</f>
        <v>VLA_SM.part_mag_03_tor</v>
      </c>
      <c r="F1827" s="102"/>
      <c r="G1827" s="102" t="str">
        <f>IFERROR(__xludf.DUMMYFUNCTION("""COMPUTED_VALUE"""),"2.2s Reload, -Damage, +Acc, -Fire Rate, 25 Shots, Torgue")</f>
        <v>2.2s Reload, -Damage, +Acc, -Fire Rate, 25 Shots, Torgue</v>
      </c>
      <c r="H1827" s="102"/>
      <c r="I1827" s="102"/>
      <c r="J1827" s="102"/>
      <c r="K1827" s="102"/>
      <c r="L1827" s="102"/>
    </row>
    <row r="1828">
      <c r="A1828" s="102" t="str">
        <f>IFERROR(__xludf.DUMMYFUNCTION("""COMPUTED_VALUE"""),"Vladof")</f>
        <v>Vladof</v>
      </c>
      <c r="B1828" s="102" t="str">
        <f>IFERROR(__xludf.DUMMYFUNCTION("""COMPUTED_VALUE"""),"SMG")</f>
        <v>SMG</v>
      </c>
      <c r="C1828" s="103">
        <f>IFERROR(__xludf.DUMMYFUNCTION("""COMPUTED_VALUE"""),16.0)</f>
        <v>16</v>
      </c>
      <c r="D1828" s="102" t="str">
        <f>IFERROR(__xludf.DUMMYFUNCTION("""COMPUTED_VALUE"""),"Magazine")</f>
        <v>Magazine</v>
      </c>
      <c r="E1828" s="102" t="str">
        <f>IFERROR(__xludf.DUMMYFUNCTION("""COMPUTED_VALUE"""),"VLA_SM.part_mag_04_cov")</f>
        <v>VLA_SM.part_mag_04_cov</v>
      </c>
      <c r="F1828" s="102"/>
      <c r="G1828" s="102" t="str">
        <f>IFERROR(__xludf.DUMMYFUNCTION("""COMPUTED_VALUE"""),"4.4s Reload, +Damage, -Acc, 40 Shots, CoV Mag")</f>
        <v>4.4s Reload, +Damage, -Acc, 40 Shots, CoV Mag</v>
      </c>
      <c r="H1828" s="102"/>
      <c r="I1828" s="102"/>
      <c r="J1828" s="102"/>
      <c r="K1828" s="102"/>
      <c r="L1828" s="102"/>
    </row>
    <row r="1829">
      <c r="A1829" s="102" t="str">
        <f>IFERROR(__xludf.DUMMYFUNCTION("""COMPUTED_VALUE"""),"Vladof")</f>
        <v>Vladof</v>
      </c>
      <c r="B1829" s="102" t="str">
        <f>IFERROR(__xludf.DUMMYFUNCTION("""COMPUTED_VALUE"""),"SMG")</f>
        <v>SMG</v>
      </c>
      <c r="C1829" s="103">
        <f>IFERROR(__xludf.DUMMYFUNCTION("""COMPUTED_VALUE"""),17.0)</f>
        <v>17</v>
      </c>
      <c r="D1829" s="102" t="str">
        <f>IFERROR(__xludf.DUMMYFUNCTION("""COMPUTED_VALUE"""),"Magazine")</f>
        <v>Magazine</v>
      </c>
      <c r="E1829" s="102" t="str">
        <f>IFERROR(__xludf.DUMMYFUNCTION("""COMPUTED_VALUE"""),"VLA_SM.part_mag_05_borg")</f>
        <v>VLA_SM.part_mag_05_borg</v>
      </c>
      <c r="F1829" s="102"/>
      <c r="G1829" s="102" t="str">
        <f>IFERROR(__xludf.DUMMYFUNCTION("""COMPUTED_VALUE"""),"2.3s Reload, +Fire Rate, 40 Shots, Ripper Mag")</f>
        <v>2.3s Reload, +Fire Rate, 40 Shots, Ripper Mag</v>
      </c>
      <c r="H1829" s="102"/>
      <c r="I1829" s="102"/>
      <c r="J1829" s="102"/>
      <c r="K1829" s="102"/>
      <c r="L1829" s="102"/>
    </row>
    <row r="1830">
      <c r="A1830" s="102" t="str">
        <f>IFERROR(__xludf.DUMMYFUNCTION("""COMPUTED_VALUE"""),"Vladof")</f>
        <v>Vladof</v>
      </c>
      <c r="B1830" s="102" t="str">
        <f>IFERROR(__xludf.DUMMYFUNCTION("""COMPUTED_VALUE"""),"SMG")</f>
        <v>SMG</v>
      </c>
      <c r="C1830" s="103">
        <f>IFERROR(__xludf.DUMMYFUNCTION("""COMPUTED_VALUE"""),18.0)</f>
        <v>18</v>
      </c>
      <c r="D1830" s="102" t="str">
        <f>IFERROR(__xludf.DUMMYFUNCTION("""COMPUTED_VALUE"""),"Manufacturer Part")</f>
        <v>Manufacturer Part</v>
      </c>
      <c r="E1830" s="102" t="str">
        <f>IFERROR(__xludf.DUMMYFUNCTION("""COMPUTED_VALUE"""),"VLA_SM.part_mag_torgue_normal")</f>
        <v>VLA_SM.part_mag_torgue_normal</v>
      </c>
      <c r="F1830" s="102"/>
      <c r="G1830" s="102" t="str">
        <f>IFERROR(__xludf.DUMMYFUNCTION("""COMPUTED_VALUE"""),"Torgue Impact Gyrojets")</f>
        <v>Torgue Impact Gyrojets</v>
      </c>
      <c r="H1830" s="102"/>
      <c r="I1830" s="102"/>
      <c r="J1830" s="102"/>
      <c r="K1830" s="102"/>
      <c r="L1830" s="102"/>
    </row>
    <row r="1831">
      <c r="A1831" s="102" t="str">
        <f>IFERROR(__xludf.DUMMYFUNCTION("""COMPUTED_VALUE"""),"Vladof")</f>
        <v>Vladof</v>
      </c>
      <c r="B1831" s="102" t="str">
        <f>IFERROR(__xludf.DUMMYFUNCTION("""COMPUTED_VALUE"""),"SMG")</f>
        <v>SMG</v>
      </c>
      <c r="C1831" s="103">
        <f>IFERROR(__xludf.DUMMYFUNCTION("""COMPUTED_VALUE"""),19.0)</f>
        <v>19</v>
      </c>
      <c r="D1831" s="102" t="str">
        <f>IFERROR(__xludf.DUMMYFUNCTION("""COMPUTED_VALUE"""),"Manufacturer Part")</f>
        <v>Manufacturer Part</v>
      </c>
      <c r="E1831" s="102" t="str">
        <f>IFERROR(__xludf.DUMMYFUNCTION("""COMPUTED_VALUE"""),"VLA_SM.part_mag_torgue_sticky")</f>
        <v>VLA_SM.part_mag_torgue_sticky</v>
      </c>
      <c r="F1831" s="102"/>
      <c r="G1831" s="102" t="str">
        <f>IFERROR(__xludf.DUMMYFUNCTION("""COMPUTED_VALUE"""),"Torgue Sticky Gyrojets")</f>
        <v>Torgue Sticky Gyrojets</v>
      </c>
      <c r="H1831" s="102"/>
      <c r="I1831" s="102"/>
      <c r="J1831" s="102"/>
      <c r="K1831" s="102"/>
      <c r="L1831" s="102"/>
    </row>
    <row r="1832">
      <c r="A1832" s="102" t="str">
        <f>IFERROR(__xludf.DUMMYFUNCTION("""COMPUTED_VALUE"""),"Vladof")</f>
        <v>Vladof</v>
      </c>
      <c r="B1832" s="102" t="str">
        <f>IFERROR(__xludf.DUMMYFUNCTION("""COMPUTED_VALUE"""),"SMG")</f>
        <v>SMG</v>
      </c>
      <c r="C1832" s="103">
        <f>IFERROR(__xludf.DUMMYFUNCTION("""COMPUTED_VALUE"""),20.0)</f>
        <v>20</v>
      </c>
      <c r="D1832" s="102" t="str">
        <f>IFERROR(__xludf.DUMMYFUNCTION("""COMPUTED_VALUE"""),"Stat Modifier")</f>
        <v>Stat Modifier</v>
      </c>
      <c r="E1832" s="102" t="str">
        <f>IFERROR(__xludf.DUMMYFUNCTION("""COMPUTED_VALUE"""),"VLA_SM.part_mag_ted_thrown_01")</f>
        <v>VLA_SM.part_mag_ted_thrown_01</v>
      </c>
      <c r="F1832" s="102"/>
      <c r="G1832" s="102" t="str">
        <f>IFERROR(__xludf.DUMMYFUNCTION("""COMPUTED_VALUE"""),"1.6s Reload")</f>
        <v>1.6s Reload</v>
      </c>
      <c r="H1832" s="102"/>
      <c r="I1832" s="102"/>
      <c r="J1832" s="102"/>
      <c r="K1832" s="102"/>
      <c r="L1832" s="102"/>
    </row>
    <row r="1833">
      <c r="A1833" s="102" t="str">
        <f>IFERROR(__xludf.DUMMYFUNCTION("""COMPUTED_VALUE"""),"Vladof")</f>
        <v>Vladof</v>
      </c>
      <c r="B1833" s="102" t="str">
        <f>IFERROR(__xludf.DUMMYFUNCTION("""COMPUTED_VALUE"""),"SMG")</f>
        <v>SMG</v>
      </c>
      <c r="C1833" s="103">
        <f>IFERROR(__xludf.DUMMYFUNCTION("""COMPUTED_VALUE"""),21.0)</f>
        <v>21</v>
      </c>
      <c r="D1833" s="102" t="str">
        <f>IFERROR(__xludf.DUMMYFUNCTION("""COMPUTED_VALUE"""),"Stat Modifier")</f>
        <v>Stat Modifier</v>
      </c>
      <c r="E1833" s="102" t="str">
        <f>IFERROR(__xludf.DUMMYFUNCTION("""COMPUTED_VALUE"""),"VLA_SM.part_mag_ted_thrown_02")</f>
        <v>VLA_SM.part_mag_ted_thrown_02</v>
      </c>
      <c r="F1833" s="102"/>
      <c r="G1833" s="102" t="str">
        <f>IFERROR(__xludf.DUMMYFUNCTION("""COMPUTED_VALUE"""),"1.6s Reload")</f>
        <v>1.6s Reload</v>
      </c>
      <c r="H1833" s="102"/>
      <c r="I1833" s="102"/>
      <c r="J1833" s="102"/>
      <c r="K1833" s="102"/>
      <c r="L1833" s="102"/>
    </row>
    <row r="1834">
      <c r="A1834" s="102" t="str">
        <f>IFERROR(__xludf.DUMMYFUNCTION("""COMPUTED_VALUE"""),"Vladof")</f>
        <v>Vladof</v>
      </c>
      <c r="B1834" s="102" t="str">
        <f>IFERROR(__xludf.DUMMYFUNCTION("""COMPUTED_VALUE"""),"SMG")</f>
        <v>SMG</v>
      </c>
      <c r="C1834" s="103">
        <f>IFERROR(__xludf.DUMMYFUNCTION("""COMPUTED_VALUE"""),22.0)</f>
        <v>22</v>
      </c>
      <c r="D1834" s="102" t="str">
        <f>IFERROR(__xludf.DUMMYFUNCTION("""COMPUTED_VALUE"""),"Stat Modifier")</f>
        <v>Stat Modifier</v>
      </c>
      <c r="E1834" s="102" t="str">
        <f>IFERROR(__xludf.DUMMYFUNCTION("""COMPUTED_VALUE"""),"VLA_SM.part_mag_ted_thrown_03_tor")</f>
        <v>VLA_SM.part_mag_ted_thrown_03_tor</v>
      </c>
      <c r="F1834" s="102"/>
      <c r="G1834" s="102" t="str">
        <f>IFERROR(__xludf.DUMMYFUNCTION("""COMPUTED_VALUE"""),"1.6s Reload")</f>
        <v>1.6s Reload</v>
      </c>
      <c r="H1834" s="102"/>
      <c r="I1834" s="102"/>
      <c r="J1834" s="102"/>
      <c r="K1834" s="102"/>
      <c r="L1834" s="102"/>
    </row>
    <row r="1835">
      <c r="A1835" s="102" t="str">
        <f>IFERROR(__xludf.DUMMYFUNCTION("""COMPUTED_VALUE"""),"Vladof")</f>
        <v>Vladof</v>
      </c>
      <c r="B1835" s="102" t="str">
        <f>IFERROR(__xludf.DUMMYFUNCTION("""COMPUTED_VALUE"""),"SMG")</f>
        <v>SMG</v>
      </c>
      <c r="C1835" s="103">
        <f>IFERROR(__xludf.DUMMYFUNCTION("""COMPUTED_VALUE"""),23.0)</f>
        <v>23</v>
      </c>
      <c r="D1835" s="102" t="str">
        <f>IFERROR(__xludf.DUMMYFUNCTION("""COMPUTED_VALUE"""),"Stat Modifier")</f>
        <v>Stat Modifier</v>
      </c>
      <c r="E1835" s="102" t="str">
        <f>IFERROR(__xludf.DUMMYFUNCTION("""COMPUTED_VALUE"""),"VLA_SM.part_mag_ted_thrown_04_cov")</f>
        <v>VLA_SM.part_mag_ted_thrown_04_cov</v>
      </c>
      <c r="F1835" s="102"/>
      <c r="G1835" s="102" t="str">
        <f>IFERROR(__xludf.DUMMYFUNCTION("""COMPUTED_VALUE"""),"3.0s Reload")</f>
        <v>3.0s Reload</v>
      </c>
      <c r="H1835" s="102"/>
      <c r="I1835" s="102"/>
      <c r="J1835" s="102"/>
      <c r="K1835" s="102"/>
      <c r="L1835" s="102"/>
    </row>
    <row r="1836">
      <c r="A1836" s="102" t="str">
        <f>IFERROR(__xludf.DUMMYFUNCTION("""COMPUTED_VALUE"""),"Vladof")</f>
        <v>Vladof</v>
      </c>
      <c r="B1836" s="102" t="str">
        <f>IFERROR(__xludf.DUMMYFUNCTION("""COMPUTED_VALUE"""),"SMG")</f>
        <v>SMG</v>
      </c>
      <c r="C1836" s="103">
        <f>IFERROR(__xludf.DUMMYFUNCTION("""COMPUTED_VALUE"""),24.0)</f>
        <v>24</v>
      </c>
      <c r="D1836" s="102" t="str">
        <f>IFERROR(__xludf.DUMMYFUNCTION("""COMPUTED_VALUE"""),"Stat Modifier")</f>
        <v>Stat Modifier</v>
      </c>
      <c r="E1836" s="102" t="str">
        <f>IFERROR(__xludf.DUMMYFUNCTION("""COMPUTED_VALUE"""),"VLA_SM.part_mag_ted_thrown_05_bor")</f>
        <v>VLA_SM.part_mag_ted_thrown_05_bor</v>
      </c>
      <c r="F1836" s="102"/>
      <c r="G1836" s="102" t="str">
        <f>IFERROR(__xludf.DUMMYFUNCTION("""COMPUTED_VALUE"""),"2.5s Reload")</f>
        <v>2.5s Reload</v>
      </c>
      <c r="H1836" s="102"/>
      <c r="I1836" s="102"/>
      <c r="J1836" s="102"/>
      <c r="K1836" s="102"/>
      <c r="L1836" s="102"/>
    </row>
    <row r="1837">
      <c r="A1837" s="102" t="str">
        <f>IFERROR(__xludf.DUMMYFUNCTION("""COMPUTED_VALUE"""),"Vladof")</f>
        <v>Vladof</v>
      </c>
      <c r="B1837" s="102" t="str">
        <f>IFERROR(__xludf.DUMMYFUNCTION("""COMPUTED_VALUE"""),"SMG")</f>
        <v>SMG</v>
      </c>
      <c r="C1837" s="103">
        <f>IFERROR(__xludf.DUMMYFUNCTION("""COMPUTED_VALUE"""),25.0)</f>
        <v>25</v>
      </c>
      <c r="D1837" s="102" t="str">
        <f>IFERROR(__xludf.DUMMYFUNCTION("""COMPUTED_VALUE"""),"Body Accessory")</f>
        <v>Body Accessory</v>
      </c>
      <c r="E1837" s="102" t="str">
        <f>IFERROR(__xludf.DUMMYFUNCTION("""COMPUTED_VALUE"""),"VLA_SM.part_body_flap")</f>
        <v>VLA_SM.part_body_flap</v>
      </c>
      <c r="F1837" s="102"/>
      <c r="G1837" s="102" t="str">
        <f>IFERROR(__xludf.DUMMYFUNCTION("""COMPUTED_VALUE"""),"No Stat Changes")</f>
        <v>No Stat Changes</v>
      </c>
      <c r="H1837" s="102"/>
      <c r="I1837" s="102"/>
      <c r="J1837" s="102"/>
      <c r="K1837" s="102"/>
      <c r="L1837" s="102"/>
    </row>
    <row r="1838">
      <c r="A1838" s="102" t="str">
        <f>IFERROR(__xludf.DUMMYFUNCTION("""COMPUTED_VALUE"""),"Vladof")</f>
        <v>Vladof</v>
      </c>
      <c r="B1838" s="102" t="str">
        <f>IFERROR(__xludf.DUMMYFUNCTION("""COMPUTED_VALUE"""),"SMG")</f>
        <v>SMG</v>
      </c>
      <c r="C1838" s="103">
        <f>IFERROR(__xludf.DUMMYFUNCTION("""COMPUTED_VALUE"""),26.0)</f>
        <v>26</v>
      </c>
      <c r="D1838" s="102" t="str">
        <f>IFERROR(__xludf.DUMMYFUNCTION("""COMPUTED_VALUE"""),"Scope")</f>
        <v>Scope</v>
      </c>
      <c r="E1838" s="102" t="str">
        <f>IFERROR(__xludf.DUMMYFUNCTION("""COMPUTED_VALUE"""),"VLA_SM.part_scope_ironsight")</f>
        <v>VLA_SM.part_scope_ironsight</v>
      </c>
      <c r="F1838" s="102"/>
      <c r="G1838" s="102" t="str">
        <f>IFERROR(__xludf.DUMMYFUNCTION("""COMPUTED_VALUE"""),"ADS")</f>
        <v>ADS</v>
      </c>
      <c r="H1838" s="102"/>
      <c r="I1838" s="102"/>
      <c r="J1838" s="102"/>
      <c r="K1838" s="102"/>
      <c r="L1838" s="102"/>
    </row>
    <row r="1839">
      <c r="A1839" s="102" t="str">
        <f>IFERROR(__xludf.DUMMYFUNCTION("""COMPUTED_VALUE"""),"Vladof")</f>
        <v>Vladof</v>
      </c>
      <c r="B1839" s="102" t="str">
        <f>IFERROR(__xludf.DUMMYFUNCTION("""COMPUTED_VALUE"""),"SMG")</f>
        <v>SMG</v>
      </c>
      <c r="C1839" s="103">
        <f>IFERROR(__xludf.DUMMYFUNCTION("""COMPUTED_VALUE"""),27.0)</f>
        <v>27</v>
      </c>
      <c r="D1839" s="102" t="str">
        <f>IFERROR(__xludf.DUMMYFUNCTION("""COMPUTED_VALUE"""),"Scope")</f>
        <v>Scope</v>
      </c>
      <c r="E1839" s="102" t="str">
        <f>IFERROR(__xludf.DUMMYFUNCTION("""COMPUTED_VALUE"""),"VLA_SM.part_scope_01_lens_01")</f>
        <v>VLA_SM.part_scope_01_lens_01</v>
      </c>
      <c r="F1839" s="102"/>
      <c r="G1839" s="102" t="str">
        <f>IFERROR(__xludf.DUMMYFUNCTION("""COMPUTED_VALUE"""),"ADS +Zoom")</f>
        <v>ADS +Zoom</v>
      </c>
      <c r="H1839" s="102"/>
      <c r="I1839" s="102"/>
      <c r="J1839" s="102"/>
      <c r="K1839" s="102"/>
      <c r="L1839" s="102"/>
    </row>
    <row r="1840">
      <c r="A1840" s="102" t="str">
        <f>IFERROR(__xludf.DUMMYFUNCTION("""COMPUTED_VALUE"""),"Vladof")</f>
        <v>Vladof</v>
      </c>
      <c r="B1840" s="102" t="str">
        <f>IFERROR(__xludf.DUMMYFUNCTION("""COMPUTED_VALUE"""),"SMG")</f>
        <v>SMG</v>
      </c>
      <c r="C1840" s="103">
        <f>IFERROR(__xludf.DUMMYFUNCTION("""COMPUTED_VALUE"""),28.0)</f>
        <v>28</v>
      </c>
      <c r="D1840" s="102" t="str">
        <f>IFERROR(__xludf.DUMMYFUNCTION("""COMPUTED_VALUE"""),"Scope")</f>
        <v>Scope</v>
      </c>
      <c r="E1840" s="102" t="str">
        <f>IFERROR(__xludf.DUMMYFUNCTION("""COMPUTED_VALUE"""),"VLA_SM.part_scope_01_lens_02")</f>
        <v>VLA_SM.part_scope_01_lens_02</v>
      </c>
      <c r="F1840" s="102"/>
      <c r="G1840" s="102" t="str">
        <f>IFERROR(__xludf.DUMMYFUNCTION("""COMPUTED_VALUE"""),"ADS")</f>
        <v>ADS</v>
      </c>
      <c r="H1840" s="102"/>
      <c r="I1840" s="102"/>
      <c r="J1840" s="102"/>
      <c r="K1840" s="102"/>
      <c r="L1840" s="102"/>
    </row>
    <row r="1841">
      <c r="A1841" s="102" t="str">
        <f>IFERROR(__xludf.DUMMYFUNCTION("""COMPUTED_VALUE"""),"Vladof")</f>
        <v>Vladof</v>
      </c>
      <c r="B1841" s="102" t="str">
        <f>IFERROR(__xludf.DUMMYFUNCTION("""COMPUTED_VALUE"""),"SMG")</f>
        <v>SMG</v>
      </c>
      <c r="C1841" s="103">
        <f>IFERROR(__xludf.DUMMYFUNCTION("""COMPUTED_VALUE"""),29.0)</f>
        <v>29</v>
      </c>
      <c r="D1841" s="102" t="str">
        <f>IFERROR(__xludf.DUMMYFUNCTION("""COMPUTED_VALUE"""),"Scope")</f>
        <v>Scope</v>
      </c>
      <c r="E1841" s="102" t="str">
        <f>IFERROR(__xludf.DUMMYFUNCTION("""COMPUTED_VALUE"""),"VLA_SM.part_scope_02_lens_01")</f>
        <v>VLA_SM.part_scope_02_lens_01</v>
      </c>
      <c r="F1841" s="102"/>
      <c r="G1841" s="102" t="str">
        <f>IFERROR(__xludf.DUMMYFUNCTION("""COMPUTED_VALUE"""),"ADS ++Zoom")</f>
        <v>ADS ++Zoom</v>
      </c>
      <c r="H1841" s="102"/>
      <c r="I1841" s="102"/>
      <c r="J1841" s="102"/>
      <c r="K1841" s="102"/>
      <c r="L1841" s="102"/>
    </row>
    <row r="1842">
      <c r="A1842" s="102" t="str">
        <f>IFERROR(__xludf.DUMMYFUNCTION("""COMPUTED_VALUE"""),"Vladof")</f>
        <v>Vladof</v>
      </c>
      <c r="B1842" s="102" t="str">
        <f>IFERROR(__xludf.DUMMYFUNCTION("""COMPUTED_VALUE"""),"SMG")</f>
        <v>SMG</v>
      </c>
      <c r="C1842" s="103">
        <f>IFERROR(__xludf.DUMMYFUNCTION("""COMPUTED_VALUE"""),30.0)</f>
        <v>30</v>
      </c>
      <c r="D1842" s="102" t="str">
        <f>IFERROR(__xludf.DUMMYFUNCTION("""COMPUTED_VALUE"""),"Scope")</f>
        <v>Scope</v>
      </c>
      <c r="E1842" s="102" t="str">
        <f>IFERROR(__xludf.DUMMYFUNCTION("""COMPUTED_VALUE"""),"VLA_SM.part_scope_02_lens_02")</f>
        <v>VLA_SM.part_scope_02_lens_02</v>
      </c>
      <c r="F1842" s="102"/>
      <c r="G1842" s="102" t="str">
        <f>IFERROR(__xludf.DUMMYFUNCTION("""COMPUTED_VALUE"""),"ADS ++Zoom")</f>
        <v>ADS ++Zoom</v>
      </c>
      <c r="H1842" s="102"/>
      <c r="I1842" s="102"/>
      <c r="J1842" s="102"/>
      <c r="K1842" s="102"/>
      <c r="L1842" s="102"/>
    </row>
    <row r="1843">
      <c r="A1843" s="102" t="str">
        <f>IFERROR(__xludf.DUMMYFUNCTION("""COMPUTED_VALUE"""),"Vladof")</f>
        <v>Vladof</v>
      </c>
      <c r="B1843" s="102" t="str">
        <f>IFERROR(__xludf.DUMMYFUNCTION("""COMPUTED_VALUE"""),"SMG")</f>
        <v>SMG</v>
      </c>
      <c r="C1843" s="103">
        <f>IFERROR(__xludf.DUMMYFUNCTION("""COMPUTED_VALUE"""),31.0)</f>
        <v>31</v>
      </c>
      <c r="D1843" s="102" t="str">
        <f>IFERROR(__xludf.DUMMYFUNCTION("""COMPUTED_VALUE"""),"Scope Accessory")</f>
        <v>Scope Accessory</v>
      </c>
      <c r="E1843" s="102" t="str">
        <f>IFERROR(__xludf.DUMMYFUNCTION("""COMPUTED_VALUE"""),"VLA_SM.part_scope_acc_s01_l01_a")</f>
        <v>VLA_SM.part_scope_acc_s01_l01_a</v>
      </c>
      <c r="F1843" s="102"/>
      <c r="G1843" s="102" t="str">
        <f>IFERROR(__xludf.DUMMYFUNCTION("""COMPUTED_VALUE"""),"+Damage")</f>
        <v>+Damage</v>
      </c>
      <c r="H1843" s="102" t="str">
        <f>IFERROR(__xludf.DUMMYFUNCTION("""COMPUTED_VALUE"""),"Added something to left side")</f>
        <v>Added something to left side</v>
      </c>
      <c r="I1843" s="102"/>
      <c r="J1843" s="102"/>
      <c r="K1843" s="102"/>
      <c r="L1843" s="102"/>
    </row>
    <row r="1844">
      <c r="A1844" s="102" t="str">
        <f>IFERROR(__xludf.DUMMYFUNCTION("""COMPUTED_VALUE"""),"Vladof")</f>
        <v>Vladof</v>
      </c>
      <c r="B1844" s="102" t="str">
        <f>IFERROR(__xludf.DUMMYFUNCTION("""COMPUTED_VALUE"""),"SMG")</f>
        <v>SMG</v>
      </c>
      <c r="C1844" s="103">
        <f>IFERROR(__xludf.DUMMYFUNCTION("""COMPUTED_VALUE"""),32.0)</f>
        <v>32</v>
      </c>
      <c r="D1844" s="102" t="str">
        <f>IFERROR(__xludf.DUMMYFUNCTION("""COMPUTED_VALUE"""),"Scope Accessory")</f>
        <v>Scope Accessory</v>
      </c>
      <c r="E1844" s="102" t="str">
        <f>IFERROR(__xludf.DUMMYFUNCTION("""COMPUTED_VALUE"""),"VLA_SM.part_scope_acc_s01_l01_b")</f>
        <v>VLA_SM.part_scope_acc_s01_l01_b</v>
      </c>
      <c r="F1844" s="102"/>
      <c r="G1844" s="102" t="str">
        <f>IFERROR(__xludf.DUMMYFUNCTION("""COMPUTED_VALUE"""),"-Reload Speed")</f>
        <v>-Reload Speed</v>
      </c>
      <c r="H1844" s="102" t="str">
        <f>IFERROR(__xludf.DUMMYFUNCTION("""COMPUTED_VALUE"""),"Mag Counter")</f>
        <v>Mag Counter</v>
      </c>
      <c r="I1844" s="102"/>
      <c r="J1844" s="102"/>
      <c r="K1844" s="102"/>
      <c r="L1844" s="102"/>
    </row>
    <row r="1845">
      <c r="A1845" s="102" t="str">
        <f>IFERROR(__xludf.DUMMYFUNCTION("""COMPUTED_VALUE"""),"Vladof")</f>
        <v>Vladof</v>
      </c>
      <c r="B1845" s="102" t="str">
        <f>IFERROR(__xludf.DUMMYFUNCTION("""COMPUTED_VALUE"""),"SMG")</f>
        <v>SMG</v>
      </c>
      <c r="C1845" s="103">
        <f>IFERROR(__xludf.DUMMYFUNCTION("""COMPUTED_VALUE"""),33.0)</f>
        <v>33</v>
      </c>
      <c r="D1845" s="102" t="str">
        <f>IFERROR(__xludf.DUMMYFUNCTION("""COMPUTED_VALUE"""),"Scope Accessory")</f>
        <v>Scope Accessory</v>
      </c>
      <c r="E1845" s="102" t="str">
        <f>IFERROR(__xludf.DUMMYFUNCTION("""COMPUTED_VALUE"""),"VLA_SM.part_scope_acc_s02_l01_a")</f>
        <v>VLA_SM.part_scope_acc_s02_l01_a</v>
      </c>
      <c r="F1845" s="102"/>
      <c r="G1845" s="102" t="str">
        <f>IFERROR(__xludf.DUMMYFUNCTION("""COMPUTED_VALUE"""),"No Stat Changes")</f>
        <v>No Stat Changes</v>
      </c>
      <c r="H1845" s="102" t="str">
        <f>IFERROR(__xludf.DUMMYFUNCTION("""COMPUTED_VALUE"""),"HUD Elements")</f>
        <v>HUD Elements</v>
      </c>
      <c r="I1845" s="102"/>
      <c r="J1845" s="102"/>
      <c r="K1845" s="102"/>
      <c r="L1845" s="102"/>
    </row>
    <row r="1846">
      <c r="A1846" s="102" t="str">
        <f>IFERROR(__xludf.DUMMYFUNCTION("""COMPUTED_VALUE"""),"Vladof")</f>
        <v>Vladof</v>
      </c>
      <c r="B1846" s="102" t="str">
        <f>IFERROR(__xludf.DUMMYFUNCTION("""COMPUTED_VALUE"""),"SMG")</f>
        <v>SMG</v>
      </c>
      <c r="C1846" s="103">
        <f>IFERROR(__xludf.DUMMYFUNCTION("""COMPUTED_VALUE"""),34.0)</f>
        <v>34</v>
      </c>
      <c r="D1846" s="102" t="str">
        <f>IFERROR(__xludf.DUMMYFUNCTION("""COMPUTED_VALUE"""),"Scope Accessory")</f>
        <v>Scope Accessory</v>
      </c>
      <c r="E1846" s="102" t="str">
        <f>IFERROR(__xludf.DUMMYFUNCTION("""COMPUTED_VALUE"""),"VLA_SM.part_scope_acc_s02_l01_b")</f>
        <v>VLA_SM.part_scope_acc_s02_l01_b</v>
      </c>
      <c r="F1846" s="102"/>
      <c r="G1846" s="102" t="str">
        <f>IFERROR(__xludf.DUMMYFUNCTION("""COMPUTED_VALUE"""),"+Ammo")</f>
        <v>+Ammo</v>
      </c>
      <c r="H1846" s="102" t="str">
        <f>IFERROR(__xludf.DUMMYFUNCTION("""COMPUTED_VALUE"""),"Mag Counter, Distance, Compass")</f>
        <v>Mag Counter, Distance, Compass</v>
      </c>
      <c r="I1846" s="102"/>
      <c r="J1846" s="102"/>
      <c r="K1846" s="102"/>
      <c r="L1846" s="102"/>
    </row>
    <row r="1847">
      <c r="A1847" s="102" t="str">
        <f>IFERROR(__xludf.DUMMYFUNCTION("""COMPUTED_VALUE"""),"Vladof")</f>
        <v>Vladof</v>
      </c>
      <c r="B1847" s="102" t="str">
        <f>IFERROR(__xludf.DUMMYFUNCTION("""COMPUTED_VALUE"""),"SMG")</f>
        <v>SMG</v>
      </c>
      <c r="C1847" s="103">
        <f>IFERROR(__xludf.DUMMYFUNCTION("""COMPUTED_VALUE"""),35.0)</f>
        <v>35</v>
      </c>
      <c r="D1847" s="102" t="str">
        <f>IFERROR(__xludf.DUMMYFUNCTION("""COMPUTED_VALUE"""),"Scope Accessory")</f>
        <v>Scope Accessory</v>
      </c>
      <c r="E1847" s="102" t="str">
        <f>IFERROR(__xludf.DUMMYFUNCTION("""COMPUTED_VALUE"""),"VLA_SM.part_scope_acc_s01_l02_a")</f>
        <v>VLA_SM.part_scope_acc_s01_l02_a</v>
      </c>
      <c r="F1847" s="102"/>
      <c r="G1847" s="102" t="str">
        <f>IFERROR(__xludf.DUMMYFUNCTION("""COMPUTED_VALUE"""),"+Damage")</f>
        <v>+Damage</v>
      </c>
      <c r="H1847" s="102" t="str">
        <f>IFERROR(__xludf.DUMMYFUNCTION("""COMPUTED_VALUE"""),"Mag Counter")</f>
        <v>Mag Counter</v>
      </c>
      <c r="I1847" s="102"/>
      <c r="J1847" s="102"/>
      <c r="K1847" s="102"/>
      <c r="L1847" s="102"/>
    </row>
    <row r="1848">
      <c r="A1848" s="102" t="str">
        <f>IFERROR(__xludf.DUMMYFUNCTION("""COMPUTED_VALUE"""),"Vladof")</f>
        <v>Vladof</v>
      </c>
      <c r="B1848" s="102" t="str">
        <f>IFERROR(__xludf.DUMMYFUNCTION("""COMPUTED_VALUE"""),"SMG")</f>
        <v>SMG</v>
      </c>
      <c r="C1848" s="103">
        <f>IFERROR(__xludf.DUMMYFUNCTION("""COMPUTED_VALUE"""),36.0)</f>
        <v>36</v>
      </c>
      <c r="D1848" s="102" t="str">
        <f>IFERROR(__xludf.DUMMYFUNCTION("""COMPUTED_VALUE"""),"Scope Accessory")</f>
        <v>Scope Accessory</v>
      </c>
      <c r="E1848" s="102" t="str">
        <f>IFERROR(__xludf.DUMMYFUNCTION("""COMPUTED_VALUE"""),"VLA_SM.part_scope_acc_s01_l02_b")</f>
        <v>VLA_SM.part_scope_acc_s01_l02_b</v>
      </c>
      <c r="F1848" s="102"/>
      <c r="G1848" s="102" t="str">
        <f>IFERROR(__xludf.DUMMYFUNCTION("""COMPUTED_VALUE"""),"-Reload Speed")</f>
        <v>-Reload Speed</v>
      </c>
      <c r="H1848" s="102" t="str">
        <f>IFERROR(__xludf.DUMMYFUNCTION("""COMPUTED_VALUE"""),"HUD Elements")</f>
        <v>HUD Elements</v>
      </c>
      <c r="I1848" s="102"/>
      <c r="J1848" s="102"/>
      <c r="K1848" s="102"/>
      <c r="L1848" s="102"/>
    </row>
    <row r="1849">
      <c r="A1849" s="102" t="str">
        <f>IFERROR(__xludf.DUMMYFUNCTION("""COMPUTED_VALUE"""),"Vladof")</f>
        <v>Vladof</v>
      </c>
      <c r="B1849" s="102" t="str">
        <f>IFERROR(__xludf.DUMMYFUNCTION("""COMPUTED_VALUE"""),"SMG")</f>
        <v>SMG</v>
      </c>
      <c r="C1849" s="103">
        <f>IFERROR(__xludf.DUMMYFUNCTION("""COMPUTED_VALUE"""),37.0)</f>
        <v>37</v>
      </c>
      <c r="D1849" s="102" t="str">
        <f>IFERROR(__xludf.DUMMYFUNCTION("""COMPUTED_VALUE"""),"Scope Accessory")</f>
        <v>Scope Accessory</v>
      </c>
      <c r="E1849" s="102" t="str">
        <f>IFERROR(__xludf.DUMMYFUNCTION("""COMPUTED_VALUE"""),"VLA_SM.part_scope_acc_s02_l02_a")</f>
        <v>VLA_SM.part_scope_acc_s02_l02_a</v>
      </c>
      <c r="F1849" s="102"/>
      <c r="G1849" s="102" t="str">
        <f>IFERROR(__xludf.DUMMYFUNCTION("""COMPUTED_VALUE"""),"No Stat Changes")</f>
        <v>No Stat Changes</v>
      </c>
      <c r="H1849" s="102" t="str">
        <f>IFERROR(__xludf.DUMMYFUNCTION("""COMPUTED_VALUE"""),"HUD Elements")</f>
        <v>HUD Elements</v>
      </c>
      <c r="I1849" s="102"/>
      <c r="J1849" s="102"/>
      <c r="K1849" s="102"/>
      <c r="L1849" s="102"/>
    </row>
    <row r="1850">
      <c r="A1850" s="102" t="str">
        <f>IFERROR(__xludf.DUMMYFUNCTION("""COMPUTED_VALUE"""),"Vladof")</f>
        <v>Vladof</v>
      </c>
      <c r="B1850" s="102" t="str">
        <f>IFERROR(__xludf.DUMMYFUNCTION("""COMPUTED_VALUE"""),"SMG")</f>
        <v>SMG</v>
      </c>
      <c r="C1850" s="103">
        <f>IFERROR(__xludf.DUMMYFUNCTION("""COMPUTED_VALUE"""),38.0)</f>
        <v>38</v>
      </c>
      <c r="D1850" s="102" t="str">
        <f>IFERROR(__xludf.DUMMYFUNCTION("""COMPUTED_VALUE"""),"Scope Accessory")</f>
        <v>Scope Accessory</v>
      </c>
      <c r="E1850" s="102" t="str">
        <f>IFERROR(__xludf.DUMMYFUNCTION("""COMPUTED_VALUE"""),"VLA_SM.part_scope_acc_s02_l02_b")</f>
        <v>VLA_SM.part_scope_acc_s02_l02_b</v>
      </c>
      <c r="F1850" s="102"/>
      <c r="G1850" s="102" t="str">
        <f>IFERROR(__xludf.DUMMYFUNCTION("""COMPUTED_VALUE"""),"+Ammo")</f>
        <v>+Ammo</v>
      </c>
      <c r="H1850" s="102" t="str">
        <f>IFERROR(__xludf.DUMMYFUNCTION("""COMPUTED_VALUE"""),"Compass")</f>
        <v>Compass</v>
      </c>
      <c r="I1850" s="102"/>
      <c r="J1850" s="102"/>
      <c r="K1850" s="102"/>
      <c r="L1850" s="102"/>
    </row>
    <row r="1851">
      <c r="A1851" s="102" t="str">
        <f>IFERROR(__xludf.DUMMYFUNCTION("""COMPUTED_VALUE"""),"Vladof")</f>
        <v>Vladof</v>
      </c>
      <c r="B1851" s="102" t="str">
        <f>IFERROR(__xludf.DUMMYFUNCTION("""COMPUTED_VALUE"""),"SMG")</f>
        <v>SMG</v>
      </c>
      <c r="C1851" s="103">
        <f>IFERROR(__xludf.DUMMYFUNCTION("""COMPUTED_VALUE"""),40.0)</f>
        <v>40</v>
      </c>
      <c r="D1851" s="102" t="str">
        <f>IFERROR(__xludf.DUMMYFUNCTION("""COMPUTED_VALUE"""),"Grip")</f>
        <v>Grip</v>
      </c>
      <c r="E1851" s="102" t="str">
        <f>IFERROR(__xludf.DUMMYFUNCTION("""COMPUTED_VALUE"""),"VLA_SM.part_grip_05c_ted_jav")</f>
        <v>VLA_SM.part_grip_05c_ted_jav</v>
      </c>
      <c r="F1851" s="102"/>
      <c r="G1851" s="102" t="str">
        <f>IFERROR(__xludf.DUMMYFUNCTION("""COMPUTED_VALUE"""),"Tediore reload modifier: Javelin, no stat changes")</f>
        <v>Tediore reload modifier: Javelin, no stat changes</v>
      </c>
      <c r="H1851" s="102"/>
      <c r="I1851" s="102"/>
      <c r="J1851" s="102"/>
      <c r="K1851" s="102"/>
      <c r="L1851" s="102"/>
    </row>
    <row r="1852">
      <c r="A1852" s="102" t="str">
        <f>IFERROR(__xludf.DUMMYFUNCTION("""COMPUTED_VALUE"""),"Vladof")</f>
        <v>Vladof</v>
      </c>
      <c r="B1852" s="102" t="str">
        <f>IFERROR(__xludf.DUMMYFUNCTION("""COMPUTED_VALUE"""),"SMG")</f>
        <v>SMG</v>
      </c>
      <c r="C1852" s="103">
        <f>IFERROR(__xludf.DUMMYFUNCTION("""COMPUTED_VALUE"""),41.0)</f>
        <v>41</v>
      </c>
      <c r="D1852" s="102" t="str">
        <f>IFERROR(__xludf.DUMMYFUNCTION("""COMPUTED_VALUE"""),"Grip")</f>
        <v>Grip</v>
      </c>
      <c r="E1852" s="102" t="str">
        <f>IFERROR(__xludf.DUMMYFUNCTION("""COMPUTED_VALUE"""),"VLA_SM.part_grip_05b_ted_homing")</f>
        <v>VLA_SM.part_grip_05b_ted_homing</v>
      </c>
      <c r="F1852" s="102"/>
      <c r="G1852" s="102" t="str">
        <f>IFERROR(__xludf.DUMMYFUNCTION("""COMPUTED_VALUE"""),"Tediore reload modifier: Homing, no stat changes")</f>
        <v>Tediore reload modifier: Homing, no stat changes</v>
      </c>
      <c r="H1852" s="102"/>
      <c r="I1852" s="102"/>
      <c r="J1852" s="102"/>
      <c r="K1852" s="102"/>
      <c r="L1852" s="102"/>
    </row>
    <row r="1853">
      <c r="A1853" s="102" t="str">
        <f>IFERROR(__xludf.DUMMYFUNCTION("""COMPUTED_VALUE"""),"Vladof")</f>
        <v>Vladof</v>
      </c>
      <c r="B1853" s="102" t="str">
        <f>IFERROR(__xludf.DUMMYFUNCTION("""COMPUTED_VALUE"""),"SMG")</f>
        <v>SMG</v>
      </c>
      <c r="C1853" s="103">
        <f>IFERROR(__xludf.DUMMYFUNCTION("""COMPUTED_VALUE"""),42.0)</f>
        <v>42</v>
      </c>
      <c r="D1853" s="102" t="str">
        <f>IFERROR(__xludf.DUMMYFUNCTION("""COMPUTED_VALUE"""),"Grip")</f>
        <v>Grip</v>
      </c>
      <c r="E1853" s="102" t="str">
        <f>IFERROR(__xludf.DUMMYFUNCTION("""COMPUTED_VALUE"""),"VLA_SM.part_grip_05a_ted_legs")</f>
        <v>VLA_SM.part_grip_05a_ted_legs</v>
      </c>
      <c r="F1853" s="102"/>
      <c r="G1853" s="102" t="str">
        <f>IFERROR(__xludf.DUMMYFUNCTION("""COMPUTED_VALUE"""),"Tediore reload modifier: Legs, no stat changes")</f>
        <v>Tediore reload modifier: Legs, no stat changes</v>
      </c>
      <c r="H1853" s="102"/>
      <c r="I1853" s="102"/>
      <c r="J1853" s="102"/>
      <c r="K1853" s="102"/>
      <c r="L1853" s="102"/>
    </row>
    <row r="1854">
      <c r="A1854" s="102" t="str">
        <f>IFERROR(__xludf.DUMMYFUNCTION("""COMPUTED_VALUE"""),"Vladof")</f>
        <v>Vladof</v>
      </c>
      <c r="B1854" s="102" t="str">
        <f>IFERROR(__xludf.DUMMYFUNCTION("""COMPUTED_VALUE"""),"SMG")</f>
        <v>SMG</v>
      </c>
      <c r="C1854" s="103">
        <f>IFERROR(__xludf.DUMMYFUNCTION("""COMPUTED_VALUE"""),43.0)</f>
        <v>43</v>
      </c>
      <c r="D1854" s="102" t="str">
        <f>IFERROR(__xludf.DUMMYFUNCTION("""COMPUTED_VALUE"""),"Grip")</f>
        <v>Grip</v>
      </c>
      <c r="E1854" s="102" t="str">
        <f>IFERROR(__xludf.DUMMYFUNCTION("""COMPUTED_VALUE"""),"VLA_SM.part_grip_04_hyp")</f>
        <v>VLA_SM.part_grip_04_hyp</v>
      </c>
      <c r="F1854" s="102"/>
      <c r="G1854" s="102" t="str">
        <f>IFERROR(__xludf.DUMMYFUNCTION("""COMPUTED_VALUE"""),"Hyperion Grip, -Acc, Acc increases with continuous fire")</f>
        <v>Hyperion Grip, -Acc, Acc increases with continuous fire</v>
      </c>
      <c r="H1854" s="102"/>
      <c r="I1854" s="102"/>
      <c r="J1854" s="102"/>
      <c r="K1854" s="102"/>
      <c r="L1854" s="102"/>
    </row>
    <row r="1855">
      <c r="A1855" s="102" t="str">
        <f>IFERROR(__xludf.DUMMYFUNCTION("""COMPUTED_VALUE"""),"Vladof")</f>
        <v>Vladof</v>
      </c>
      <c r="B1855" s="102" t="str">
        <f>IFERROR(__xludf.DUMMYFUNCTION("""COMPUTED_VALUE"""),"SMG")</f>
        <v>SMG</v>
      </c>
      <c r="C1855" s="103">
        <f>IFERROR(__xludf.DUMMYFUNCTION("""COMPUTED_VALUE"""),44.0)</f>
        <v>44</v>
      </c>
      <c r="D1855" s="102" t="str">
        <f>IFERROR(__xludf.DUMMYFUNCTION("""COMPUTED_VALUE"""),"Grip")</f>
        <v>Grip</v>
      </c>
      <c r="E1855" s="102" t="str">
        <f>IFERROR(__xludf.DUMMYFUNCTION("""COMPUTED_VALUE"""),"VLA_SM.part_grip_01")</f>
        <v>VLA_SM.part_grip_01</v>
      </c>
      <c r="F1855" s="102"/>
      <c r="G1855" s="102" t="str">
        <f>IFERROR(__xludf.DUMMYFUNCTION("""COMPUTED_VALUE"""),"+Damage")</f>
        <v>+Damage</v>
      </c>
      <c r="H1855" s="102"/>
      <c r="I1855" s="102"/>
      <c r="J1855" s="102"/>
      <c r="K1855" s="102"/>
      <c r="L1855" s="102"/>
    </row>
    <row r="1856">
      <c r="A1856" s="102" t="str">
        <f>IFERROR(__xludf.DUMMYFUNCTION("""COMPUTED_VALUE"""),"Vladof")</f>
        <v>Vladof</v>
      </c>
      <c r="B1856" s="102" t="str">
        <f>IFERROR(__xludf.DUMMYFUNCTION("""COMPUTED_VALUE"""),"SMG")</f>
        <v>SMG</v>
      </c>
      <c r="C1856" s="103">
        <f>IFERROR(__xludf.DUMMYFUNCTION("""COMPUTED_VALUE"""),45.0)</f>
        <v>45</v>
      </c>
      <c r="D1856" s="102" t="str">
        <f>IFERROR(__xludf.DUMMYFUNCTION("""COMPUTED_VALUE"""),"Grip")</f>
        <v>Grip</v>
      </c>
      <c r="E1856" s="102" t="str">
        <f>IFERROR(__xludf.DUMMYFUNCTION("""COMPUTED_VALUE"""),"VLA_SM.part_grip_02")</f>
        <v>VLA_SM.part_grip_02</v>
      </c>
      <c r="F1856" s="102"/>
      <c r="G1856" s="102" t="str">
        <f>IFERROR(__xludf.DUMMYFUNCTION("""COMPUTED_VALUE"""),"+Fire Rate")</f>
        <v>+Fire Rate</v>
      </c>
      <c r="H1856" s="102"/>
      <c r="I1856" s="102"/>
      <c r="J1856" s="102"/>
      <c r="K1856" s="102"/>
      <c r="L1856" s="102"/>
    </row>
    <row r="1857">
      <c r="A1857" s="102" t="str">
        <f>IFERROR(__xludf.DUMMYFUNCTION("""COMPUTED_VALUE"""),"Vladof")</f>
        <v>Vladof</v>
      </c>
      <c r="B1857" s="102" t="str">
        <f>IFERROR(__xludf.DUMMYFUNCTION("""COMPUTED_VALUE"""),"SMG")</f>
        <v>SMG</v>
      </c>
      <c r="C1857" s="103">
        <f>IFERROR(__xludf.DUMMYFUNCTION("""COMPUTED_VALUE"""),46.0)</f>
        <v>46</v>
      </c>
      <c r="D1857" s="102" t="str">
        <f>IFERROR(__xludf.DUMMYFUNCTION("""COMPUTED_VALUE"""),"Grip")</f>
        <v>Grip</v>
      </c>
      <c r="E1857" s="102" t="str">
        <f>IFERROR(__xludf.DUMMYFUNCTION("""COMPUTED_VALUE"""),"VLA_SM.part_grip_03")</f>
        <v>VLA_SM.part_grip_03</v>
      </c>
      <c r="F1857" s="102"/>
      <c r="G1857" s="102" t="str">
        <f>IFERROR(__xludf.DUMMYFUNCTION("""COMPUTED_VALUE"""),"-Reload Speed")</f>
        <v>-Reload Speed</v>
      </c>
      <c r="H1857" s="102"/>
      <c r="I1857" s="102"/>
      <c r="J1857" s="102"/>
      <c r="K1857" s="102"/>
      <c r="L1857" s="102"/>
    </row>
    <row r="1858">
      <c r="A1858" s="102" t="str">
        <f>IFERROR(__xludf.DUMMYFUNCTION("""COMPUTED_VALUE"""),"Vladof")</f>
        <v>Vladof</v>
      </c>
      <c r="B1858" s="102" t="str">
        <f>IFERROR(__xludf.DUMMYFUNCTION("""COMPUTED_VALUE"""),"SMG")</f>
        <v>SMG</v>
      </c>
      <c r="C1858" s="103">
        <f>IFERROR(__xludf.DUMMYFUNCTION("""COMPUTED_VALUE"""),47.0)</f>
        <v>47</v>
      </c>
      <c r="D1858" s="102" t="str">
        <f>IFERROR(__xludf.DUMMYFUNCTION("""COMPUTED_VALUE"""),"Underbarrel")</f>
        <v>Underbarrel</v>
      </c>
      <c r="E1858" s="102" t="str">
        <f>IFERROR(__xludf.DUMMYFUNCTION("""COMPUTED_VALUE"""),"VLA_SM.part_underbarrel_05_ammoswitcher")</f>
        <v>VLA_SM.part_underbarrel_05_ammoswitcher</v>
      </c>
      <c r="F1858" s="102"/>
      <c r="G1858" s="102" t="str">
        <f>IFERROR(__xludf.DUMMYFUNCTION("""COMPUTED_VALUE"""),"Daedalus Ammo Switch")</f>
        <v>Daedalus Ammo Switch</v>
      </c>
      <c r="H1858" s="102" t="str">
        <f>IFERROR(__xludf.DUMMYFUNCTION("""COMPUTED_VALUE"""),"Used for Daedalus Ammo switch")</f>
        <v>Used for Daedalus Ammo switch</v>
      </c>
      <c r="I1858" s="102"/>
      <c r="J1858" s="102"/>
      <c r="K1858" s="102"/>
      <c r="L1858" s="102"/>
    </row>
    <row r="1859">
      <c r="A1859" s="102" t="str">
        <f>IFERROR(__xludf.DUMMYFUNCTION("""COMPUTED_VALUE"""),"Vladof")</f>
        <v>Vladof</v>
      </c>
      <c r="B1859" s="102" t="str">
        <f>IFERROR(__xludf.DUMMYFUNCTION("""COMPUTED_VALUE"""),"SMG")</f>
        <v>SMG</v>
      </c>
      <c r="C1859" s="103">
        <f>IFERROR(__xludf.DUMMYFUNCTION("""COMPUTED_VALUE"""),48.0)</f>
        <v>48</v>
      </c>
      <c r="D1859" s="102" t="str">
        <f>IFERROR(__xludf.DUMMYFUNCTION("""COMPUTED_VALUE"""),"Underbarrel")</f>
        <v>Underbarrel</v>
      </c>
      <c r="E1859" s="102" t="str">
        <f>IFERROR(__xludf.DUMMYFUNCTION("""COMPUTED_VALUE"""),"VLA_SM.part_underbarrel_04_atlas_ball")</f>
        <v>VLA_SM.part_underbarrel_04_atlas_ball</v>
      </c>
      <c r="F1859" s="102"/>
      <c r="G1859" s="102" t="str">
        <f>IFERROR(__xludf.DUMMYFUNCTION("""COMPUTED_VALUE"""),"Atlas Tracker Grenades")</f>
        <v>Atlas Tracker Grenades</v>
      </c>
      <c r="H1859" s="102"/>
      <c r="I1859" s="102"/>
      <c r="J1859" s="102"/>
      <c r="K1859" s="102"/>
      <c r="L1859" s="102"/>
    </row>
    <row r="1860">
      <c r="A1860" s="102" t="str">
        <f>IFERROR(__xludf.DUMMYFUNCTION("""COMPUTED_VALUE"""),"Vladof")</f>
        <v>Vladof</v>
      </c>
      <c r="B1860" s="102" t="str">
        <f>IFERROR(__xludf.DUMMYFUNCTION("""COMPUTED_VALUE"""),"SMG")</f>
        <v>SMG</v>
      </c>
      <c r="C1860" s="103">
        <f>IFERROR(__xludf.DUMMYFUNCTION("""COMPUTED_VALUE"""),49.0)</f>
        <v>49</v>
      </c>
      <c r="D1860" s="102" t="str">
        <f>IFERROR(__xludf.DUMMYFUNCTION("""COMPUTED_VALUE"""),"Underbarrel")</f>
        <v>Underbarrel</v>
      </c>
      <c r="E1860" s="102" t="str">
        <f>IFERROR(__xludf.DUMMYFUNCTION("""COMPUTED_VALUE"""),"VLA_SM.part_underbarrel_06_malswitch")</f>
        <v>VLA_SM.part_underbarrel_06_malswitch</v>
      </c>
      <c r="F1860" s="102"/>
      <c r="G1860" s="102" t="str">
        <f>IFERROR(__xludf.DUMMYFUNCTION("""COMPUTED_VALUE"""),"Maliwan Element Switch")</f>
        <v>Maliwan Element Switch</v>
      </c>
      <c r="H1860" s="102" t="str">
        <f>IFERROR(__xludf.DUMMYFUNCTION("""COMPUTED_VALUE"""),"Used for Maliwan elemental switch")</f>
        <v>Used for Maliwan elemental switch</v>
      </c>
      <c r="I1860" s="102"/>
      <c r="J1860" s="102"/>
      <c r="K1860" s="102"/>
      <c r="L1860" s="102"/>
    </row>
    <row r="1861">
      <c r="A1861" s="102" t="str">
        <f>IFERROR(__xludf.DUMMYFUNCTION("""COMPUTED_VALUE"""),"Vladof")</f>
        <v>Vladof</v>
      </c>
      <c r="B1861" s="102" t="str">
        <f>IFERROR(__xludf.DUMMYFUNCTION("""COMPUTED_VALUE"""),"SMG")</f>
        <v>SMG</v>
      </c>
      <c r="C1861" s="103">
        <f>IFERROR(__xludf.DUMMYFUNCTION("""COMPUTED_VALUE"""),50.0)</f>
        <v>50</v>
      </c>
      <c r="D1861" s="102" t="str">
        <f>IFERROR(__xludf.DUMMYFUNCTION("""COMPUTED_VALUE"""),"Underbarrel")</f>
        <v>Underbarrel</v>
      </c>
      <c r="E1861" s="102" t="str">
        <f>IFERROR(__xludf.DUMMYFUNCTION("""COMPUTED_VALUE"""),"VLA_SM.part_underbarrel_01_microrockets")</f>
        <v>VLA_SM.part_underbarrel_01_microrockets</v>
      </c>
      <c r="F1861" s="102"/>
      <c r="G1861" s="102" t="str">
        <f>IFERROR(__xludf.DUMMYFUNCTION("""COMPUTED_VALUE"""),"Alt Fire - Zip Rockets")</f>
        <v>Alt Fire - Zip Rockets</v>
      </c>
      <c r="H1861" s="102"/>
      <c r="I1861" s="102"/>
      <c r="J1861" s="102"/>
      <c r="K1861" s="102"/>
      <c r="L1861" s="102"/>
    </row>
    <row r="1862">
      <c r="A1862" s="102" t="str">
        <f>IFERROR(__xludf.DUMMYFUNCTION("""COMPUTED_VALUE"""),"Vladof")</f>
        <v>Vladof</v>
      </c>
      <c r="B1862" s="102" t="str">
        <f>IFERROR(__xludf.DUMMYFUNCTION("""COMPUTED_VALUE"""),"SMG")</f>
        <v>SMG</v>
      </c>
      <c r="C1862" s="103">
        <f>IFERROR(__xludf.DUMMYFUNCTION("""COMPUTED_VALUE"""),51.0)</f>
        <v>51</v>
      </c>
      <c r="D1862" s="102" t="str">
        <f>IFERROR(__xludf.DUMMYFUNCTION("""COMPUTED_VALUE"""),"Underbarrel")</f>
        <v>Underbarrel</v>
      </c>
      <c r="E1862" s="102" t="str">
        <f>IFERROR(__xludf.DUMMYFUNCTION("""COMPUTED_VALUE"""),"VLA_SM.part_underbarrel_02_taser")</f>
        <v>VLA_SM.part_underbarrel_02_taser</v>
      </c>
      <c r="F1862" s="102"/>
      <c r="G1862" s="102" t="str">
        <f>IFERROR(__xludf.DUMMYFUNCTION("""COMPUTED_VALUE"""),"Alt Fire - Taser")</f>
        <v>Alt Fire - Taser</v>
      </c>
      <c r="H1862" s="102"/>
      <c r="I1862" s="102"/>
      <c r="J1862" s="102"/>
      <c r="K1862" s="102"/>
      <c r="L1862" s="102"/>
    </row>
    <row r="1863">
      <c r="A1863" s="102" t="str">
        <f>IFERROR(__xludf.DUMMYFUNCTION("""COMPUTED_VALUE"""),"Vladof")</f>
        <v>Vladof</v>
      </c>
      <c r="B1863" s="102" t="str">
        <f>IFERROR(__xludf.DUMMYFUNCTION("""COMPUTED_VALUE"""),"SMG")</f>
        <v>SMG</v>
      </c>
      <c r="C1863" s="103">
        <f>IFERROR(__xludf.DUMMYFUNCTION("""COMPUTED_VALUE"""),52.0)</f>
        <v>52</v>
      </c>
      <c r="D1863" s="102" t="str">
        <f>IFERROR(__xludf.DUMMYFUNCTION("""COMPUTED_VALUE"""),"Underbarrel")</f>
        <v>Underbarrel</v>
      </c>
      <c r="E1863" s="102" t="str">
        <f>IFERROR(__xludf.DUMMYFUNCTION("""COMPUTED_VALUE"""),"VLA_SM.part_underbarrel_03_flamethrower")</f>
        <v>VLA_SM.part_underbarrel_03_flamethrower</v>
      </c>
      <c r="F1863" s="102"/>
      <c r="G1863" s="102" t="str">
        <f>IFERROR(__xludf.DUMMYFUNCTION("""COMPUTED_VALUE"""),"Alt Fire - Flamethrower")</f>
        <v>Alt Fire - Flamethrower</v>
      </c>
      <c r="H1863" s="102"/>
      <c r="I1863" s="102"/>
      <c r="J1863" s="102"/>
      <c r="K1863" s="102"/>
      <c r="L1863" s="102"/>
    </row>
    <row r="1864">
      <c r="A1864" s="102" t="str">
        <f>IFERROR(__xludf.DUMMYFUNCTION("""COMPUTED_VALUE"""),"Vladof")</f>
        <v>Vladof</v>
      </c>
      <c r="B1864" s="102" t="str">
        <f>IFERROR(__xludf.DUMMYFUNCTION("""COMPUTED_VALUE"""),"SMG")</f>
        <v>SMG</v>
      </c>
      <c r="C1864" s="103">
        <f>IFERROR(__xludf.DUMMYFUNCTION("""COMPUTED_VALUE"""),53.0)</f>
        <v>53</v>
      </c>
      <c r="D1864" s="102" t="str">
        <f>IFERROR(__xludf.DUMMYFUNCTION("""COMPUTED_VALUE"""),"Underbarrel")</f>
        <v>Underbarrel</v>
      </c>
      <c r="E1864" s="102" t="str">
        <f>IFERROR(__xludf.DUMMYFUNCTION("""COMPUTED_VALUE"""),"VLA_SM.part_underbarrel_07_secondbarrel")</f>
        <v>VLA_SM.part_underbarrel_07_secondbarrel</v>
      </c>
      <c r="F1864" s="102"/>
      <c r="G1864" s="102" t="str">
        <f>IFERROR(__xludf.DUMMYFUNCTION("""COMPUTED_VALUE"""),"Alt Fire - Extra Barrel")</f>
        <v>Alt Fire - Extra Barrel</v>
      </c>
      <c r="H1864" s="102" t="str">
        <f>IFERROR(__xludf.DUMMYFUNCTION("""COMPUTED_VALUE"""),"Secondary Barrel increases Fire Rate by 75%")</f>
        <v>Secondary Barrel increases Fire Rate by 75%</v>
      </c>
      <c r="I1864" s="102"/>
      <c r="J1864" s="102"/>
      <c r="K1864" s="102"/>
      <c r="L1864" s="102"/>
    </row>
    <row r="1865">
      <c r="A1865" s="102" t="str">
        <f>IFERROR(__xludf.DUMMYFUNCTION("""COMPUTED_VALUE"""),"Vladof")</f>
        <v>Vladof</v>
      </c>
      <c r="B1865" s="102" t="str">
        <f>IFERROR(__xludf.DUMMYFUNCTION("""COMPUTED_VALUE"""),"SMG")</f>
        <v>SMG</v>
      </c>
      <c r="C1865" s="103">
        <f>IFERROR(__xludf.DUMMYFUNCTION("""COMPUTED_VALUE"""),54.0)</f>
        <v>54</v>
      </c>
      <c r="D1865" s="102" t="str">
        <f>IFERROR(__xludf.DUMMYFUNCTION("""COMPUTED_VALUE"""),"Underbarrel")</f>
        <v>Underbarrel</v>
      </c>
      <c r="E1865" s="102" t="str">
        <f>IFERROR(__xludf.DUMMYFUNCTION("""COMPUTED_VALUE"""),"VLA_SM.part_underbarrel_04_atlas")</f>
        <v>VLA_SM.part_underbarrel_04_atlas</v>
      </c>
      <c r="F1865" s="102"/>
      <c r="G1865" s="102" t="str">
        <f>IFERROR(__xludf.DUMMYFUNCTION("""COMPUTED_VALUE"""),"Atlas Tracker Darts")</f>
        <v>Atlas Tracker Darts</v>
      </c>
      <c r="H1865" s="102"/>
      <c r="I1865" s="102"/>
      <c r="J1865" s="102"/>
      <c r="K1865" s="102"/>
      <c r="L1865" s="102"/>
    </row>
    <row r="1866">
      <c r="A1866" s="102" t="str">
        <f>IFERROR(__xludf.DUMMYFUNCTION("""COMPUTED_VALUE"""),"Vladof")</f>
        <v>Vladof</v>
      </c>
      <c r="B1866" s="102" t="str">
        <f>IFERROR(__xludf.DUMMYFUNCTION("""COMPUTED_VALUE"""),"SMG")</f>
        <v>SMG</v>
      </c>
      <c r="C1866" s="103">
        <f>IFERROR(__xludf.DUMMYFUNCTION("""COMPUTED_VALUE"""),55.0)</f>
        <v>55</v>
      </c>
      <c r="D1866" s="102" t="str">
        <f>IFERROR(__xludf.DUMMYFUNCTION("""COMPUTED_VALUE"""),"Underbarrel Accessory")</f>
        <v>Underbarrel Accessory</v>
      </c>
      <c r="E1866" s="102" t="str">
        <f>IFERROR(__xludf.DUMMYFUNCTION("""COMPUTED_VALUE"""),"VLA_SM.part_underbarrel_microrockets_acc")</f>
        <v>VLA_SM.part_underbarrel_microrockets_acc</v>
      </c>
      <c r="F1866" s="102"/>
      <c r="G1866" s="102" t="str">
        <f>IFERROR(__xludf.DUMMYFUNCTION("""COMPUTED_VALUE"""),"Zip Rockets Acc - No Stat Changes")</f>
        <v>Zip Rockets Acc - No Stat Changes</v>
      </c>
      <c r="H1866" s="102"/>
      <c r="I1866" s="102"/>
      <c r="J1866" s="102"/>
      <c r="K1866" s="102"/>
      <c r="L1866" s="102"/>
    </row>
    <row r="1867">
      <c r="A1867" s="102" t="str">
        <f>IFERROR(__xludf.DUMMYFUNCTION("""COMPUTED_VALUE"""),"Vladof")</f>
        <v>Vladof</v>
      </c>
      <c r="B1867" s="102" t="str">
        <f>IFERROR(__xludf.DUMMYFUNCTION("""COMPUTED_VALUE"""),"SMG")</f>
        <v>SMG</v>
      </c>
      <c r="C1867" s="103">
        <f>IFERROR(__xludf.DUMMYFUNCTION("""COMPUTED_VALUE"""),56.0)</f>
        <v>56</v>
      </c>
      <c r="D1867" s="102" t="str">
        <f>IFERROR(__xludf.DUMMYFUNCTION("""COMPUTED_VALUE"""),"Underbarrel Accessory")</f>
        <v>Underbarrel Accessory</v>
      </c>
      <c r="E1867" s="102" t="str">
        <f>IFERROR(__xludf.DUMMYFUNCTION("""COMPUTED_VALUE"""),"VLA_SM.part_underbarrel_taser_acc")</f>
        <v>VLA_SM.part_underbarrel_taser_acc</v>
      </c>
      <c r="F1867" s="102"/>
      <c r="G1867" s="102" t="str">
        <f>IFERROR(__xludf.DUMMYFUNCTION("""COMPUTED_VALUE"""),"Increase Taser Damage")</f>
        <v>Increase Taser Damage</v>
      </c>
      <c r="H1867" s="102"/>
      <c r="I1867" s="102"/>
      <c r="J1867" s="102"/>
      <c r="K1867" s="102"/>
      <c r="L1867" s="102"/>
    </row>
    <row r="1868">
      <c r="A1868" s="102" t="str">
        <f>IFERROR(__xludf.DUMMYFUNCTION("""COMPUTED_VALUE"""),"Vladof")</f>
        <v>Vladof</v>
      </c>
      <c r="B1868" s="102" t="str">
        <f>IFERROR(__xludf.DUMMYFUNCTION("""COMPUTED_VALUE"""),"SMG")</f>
        <v>SMG</v>
      </c>
      <c r="C1868" s="103">
        <f>IFERROR(__xludf.DUMMYFUNCTION("""COMPUTED_VALUE"""),57.0)</f>
        <v>57</v>
      </c>
      <c r="D1868" s="102" t="str">
        <f>IFERROR(__xludf.DUMMYFUNCTION("""COMPUTED_VALUE"""),"Underbarrel Accessory")</f>
        <v>Underbarrel Accessory</v>
      </c>
      <c r="E1868" s="102" t="str">
        <f>IFERROR(__xludf.DUMMYFUNCTION("""COMPUTED_VALUE"""),"VLA_SM.part_underbarrel_flamethrower_acc")</f>
        <v>VLA_SM.part_underbarrel_flamethrower_acc</v>
      </c>
      <c r="F1868" s="102"/>
      <c r="G1868" s="102" t="str">
        <f>IFERROR(__xludf.DUMMYFUNCTION("""COMPUTED_VALUE"""),"Increase Flamethrower Damage")</f>
        <v>Increase Flamethrower Damage</v>
      </c>
      <c r="H1868" s="102"/>
      <c r="I1868" s="102"/>
      <c r="J1868" s="102"/>
      <c r="K1868" s="102"/>
      <c r="L1868" s="102"/>
    </row>
    <row r="1869">
      <c r="A1869" s="102" t="str">
        <f>IFERROR(__xludf.DUMMYFUNCTION("""COMPUTED_VALUE"""),"Vladof")</f>
        <v>Vladof</v>
      </c>
      <c r="B1869" s="102" t="str">
        <f>IFERROR(__xludf.DUMMYFUNCTION("""COMPUTED_VALUE"""),"SMG")</f>
        <v>SMG</v>
      </c>
      <c r="C1869" s="103">
        <f>IFERROR(__xludf.DUMMYFUNCTION("""COMPUTED_VALUE"""),58.0)</f>
        <v>58</v>
      </c>
      <c r="D1869" s="102" t="str">
        <f>IFERROR(__xludf.DUMMYFUNCTION("""COMPUTED_VALUE"""),"Underbarrel Accessory")</f>
        <v>Underbarrel Accessory</v>
      </c>
      <c r="E1869" s="102" t="str">
        <f>IFERROR(__xludf.DUMMYFUNCTION("""COMPUTED_VALUE"""),"VLA_SM.part_underbarrel_secondbarrel_acc")</f>
        <v>VLA_SM.part_underbarrel_secondbarrel_acc</v>
      </c>
      <c r="F1869" s="102"/>
      <c r="G1869" s="102" t="str">
        <f>IFERROR(__xludf.DUMMYFUNCTION("""COMPUTED_VALUE"""),"Extra Barrel Acc - No Stat Changes")</f>
        <v>Extra Barrel Acc - No Stat Changes</v>
      </c>
      <c r="H1869" s="102"/>
      <c r="I1869" s="102"/>
      <c r="J1869" s="102"/>
      <c r="K1869" s="102"/>
      <c r="L1869" s="102"/>
    </row>
    <row r="1870">
      <c r="A1870" s="102" t="str">
        <f>IFERROR(__xludf.DUMMYFUNCTION("""COMPUTED_VALUE"""),"Vladof")</f>
        <v>Vladof</v>
      </c>
      <c r="B1870" s="102" t="str">
        <f>IFERROR(__xludf.DUMMYFUNCTION("""COMPUTED_VALUE"""),"SMG")</f>
        <v>SMG</v>
      </c>
      <c r="C1870" s="103">
        <f>IFERROR(__xludf.DUMMYFUNCTION("""COMPUTED_VALUE"""),59.0)</f>
        <v>59</v>
      </c>
      <c r="D1870" s="102" t="str">
        <f>IFERROR(__xludf.DUMMYFUNCTION("""COMPUTED_VALUE"""),"Foregrip")</f>
        <v>Foregrip</v>
      </c>
      <c r="E1870" s="102" t="str">
        <f>IFERROR(__xludf.DUMMYFUNCTION("""COMPUTED_VALUE"""),"VLA_SM.part_foregrip_01")</f>
        <v>VLA_SM.part_foregrip_01</v>
      </c>
      <c r="F1870" s="102"/>
      <c r="G1870" s="102" t="str">
        <f>IFERROR(__xludf.DUMMYFUNCTION("""COMPUTED_VALUE"""),"+Damage")</f>
        <v>+Damage</v>
      </c>
      <c r="H1870" s="102"/>
      <c r="I1870" s="102"/>
      <c r="J1870" s="102"/>
      <c r="K1870" s="102"/>
      <c r="L1870" s="102"/>
    </row>
    <row r="1871">
      <c r="A1871" s="102" t="str">
        <f>IFERROR(__xludf.DUMMYFUNCTION("""COMPUTED_VALUE"""),"Vladof")</f>
        <v>Vladof</v>
      </c>
      <c r="B1871" s="102" t="str">
        <f>IFERROR(__xludf.DUMMYFUNCTION("""COMPUTED_VALUE"""),"SMG")</f>
        <v>SMG</v>
      </c>
      <c r="C1871" s="103">
        <f>IFERROR(__xludf.DUMMYFUNCTION("""COMPUTED_VALUE"""),60.0)</f>
        <v>60</v>
      </c>
      <c r="D1871" s="102" t="str">
        <f>IFERROR(__xludf.DUMMYFUNCTION("""COMPUTED_VALUE"""),"Foregrip")</f>
        <v>Foregrip</v>
      </c>
      <c r="E1871" s="102" t="str">
        <f>IFERROR(__xludf.DUMMYFUNCTION("""COMPUTED_VALUE"""),"VLA_SM.part_foregrip_02")</f>
        <v>VLA_SM.part_foregrip_02</v>
      </c>
      <c r="F1871" s="102"/>
      <c r="G1871" s="102" t="str">
        <f>IFERROR(__xludf.DUMMYFUNCTION("""COMPUTED_VALUE"""),"+Fire Rate")</f>
        <v>+Fire Rate</v>
      </c>
      <c r="H1871" s="102"/>
      <c r="I1871" s="102"/>
      <c r="J1871" s="102"/>
      <c r="K1871" s="102"/>
      <c r="L1871" s="102"/>
    </row>
    <row r="1872">
      <c r="A1872" s="102" t="str">
        <f>IFERROR(__xludf.DUMMYFUNCTION("""COMPUTED_VALUE"""),"Vladof")</f>
        <v>Vladof</v>
      </c>
      <c r="B1872" s="102" t="str">
        <f>IFERROR(__xludf.DUMMYFUNCTION("""COMPUTED_VALUE"""),"SMG")</f>
        <v>SMG</v>
      </c>
      <c r="C1872" s="103">
        <f>IFERROR(__xludf.DUMMYFUNCTION("""COMPUTED_VALUE"""),61.0)</f>
        <v>61</v>
      </c>
      <c r="D1872" s="102" t="str">
        <f>IFERROR(__xludf.DUMMYFUNCTION("""COMPUTED_VALUE"""),"Foregrip")</f>
        <v>Foregrip</v>
      </c>
      <c r="E1872" s="102" t="str">
        <f>IFERROR(__xludf.DUMMYFUNCTION("""COMPUTED_VALUE"""),"VLA_SM.part_foregrip_03")</f>
        <v>VLA_SM.part_foregrip_03</v>
      </c>
      <c r="F1872" s="102"/>
      <c r="G1872" s="102" t="str">
        <f>IFERROR(__xludf.DUMMYFUNCTION("""COMPUTED_VALUE"""),"+Accuracy")</f>
        <v>+Accuracy</v>
      </c>
      <c r="H1872" s="102"/>
      <c r="I1872" s="102"/>
      <c r="J1872" s="102"/>
      <c r="K1872" s="102"/>
      <c r="L1872" s="102"/>
    </row>
    <row r="1873">
      <c r="A1873" s="102" t="str">
        <f>IFERROR(__xludf.DUMMYFUNCTION("""COMPUTED_VALUE"""),"Vladof")</f>
        <v>Vladof</v>
      </c>
      <c r="B1873" s="102" t="str">
        <f>IFERROR(__xludf.DUMMYFUNCTION("""COMPUTED_VALUE"""),"SMG")</f>
        <v>SMG</v>
      </c>
      <c r="C1873" s="103">
        <f>IFERROR(__xludf.DUMMYFUNCTION("""COMPUTED_VALUE"""),62.0)</f>
        <v>62</v>
      </c>
      <c r="D1873" s="102" t="str">
        <f>IFERROR(__xludf.DUMMYFUNCTION("""COMPUTED_VALUE"""),"Manufacturer Part")</f>
        <v>Manufacturer Part</v>
      </c>
      <c r="E1873" s="102" t="str">
        <f>IFERROR(__xludf.DUMMYFUNCTION("""COMPUTED_VALUE"""),"VLA_SM.part_secondary_ammo_ps")</f>
        <v>VLA_SM.part_secondary_ammo_ps</v>
      </c>
      <c r="F1873" s="102"/>
      <c r="G1873" s="102" t="str">
        <f>IFERROR(__xludf.DUMMYFUNCTION("""COMPUTED_VALUE"""),"Daedalus Pistol Ammo")</f>
        <v>Daedalus Pistol Ammo</v>
      </c>
      <c r="H1873" s="102"/>
      <c r="I1873" s="102"/>
      <c r="J1873" s="102"/>
      <c r="K1873" s="102"/>
      <c r="L1873" s="102"/>
    </row>
    <row r="1874">
      <c r="A1874" s="102" t="str">
        <f>IFERROR(__xludf.DUMMYFUNCTION("""COMPUTED_VALUE"""),"Vladof")</f>
        <v>Vladof</v>
      </c>
      <c r="B1874" s="102" t="str">
        <f>IFERROR(__xludf.DUMMYFUNCTION("""COMPUTED_VALUE"""),"SMG")</f>
        <v>SMG</v>
      </c>
      <c r="C1874" s="103">
        <f>IFERROR(__xludf.DUMMYFUNCTION("""COMPUTED_VALUE"""),63.0)</f>
        <v>63</v>
      </c>
      <c r="D1874" s="102" t="str">
        <f>IFERROR(__xludf.DUMMYFUNCTION("""COMPUTED_VALUE"""),"Manufacturer Part")</f>
        <v>Manufacturer Part</v>
      </c>
      <c r="E1874" s="102" t="str">
        <f>IFERROR(__xludf.DUMMYFUNCTION("""COMPUTED_VALUE"""),"VLA_SM.part_secondary_ammo_sg")</f>
        <v>VLA_SM.part_secondary_ammo_sg</v>
      </c>
      <c r="F1874" s="102"/>
      <c r="G1874" s="102" t="str">
        <f>IFERROR(__xludf.DUMMYFUNCTION("""COMPUTED_VALUE"""),"Daedalus Shotgun Ammo")</f>
        <v>Daedalus Shotgun Ammo</v>
      </c>
      <c r="H1874" s="102"/>
      <c r="I1874" s="102"/>
      <c r="J1874" s="102"/>
      <c r="K1874" s="102"/>
      <c r="L1874" s="102"/>
    </row>
    <row r="1875">
      <c r="A1875" s="102" t="str">
        <f>IFERROR(__xludf.DUMMYFUNCTION("""COMPUTED_VALUE"""),"Vladof")</f>
        <v>Vladof</v>
      </c>
      <c r="B1875" s="102" t="str">
        <f>IFERROR(__xludf.DUMMYFUNCTION("""COMPUTED_VALUE"""),"SMG")</f>
        <v>SMG</v>
      </c>
      <c r="C1875" s="103">
        <f>IFERROR(__xludf.DUMMYFUNCTION("""COMPUTED_VALUE"""),64.0)</f>
        <v>64</v>
      </c>
      <c r="D1875" s="102" t="str">
        <f>IFERROR(__xludf.DUMMYFUNCTION("""COMPUTED_VALUE"""),"Manufacturer Part")</f>
        <v>Manufacturer Part</v>
      </c>
      <c r="E1875" s="102" t="str">
        <f>IFERROR(__xludf.DUMMYFUNCTION("""COMPUTED_VALUE"""),"VLA_SM.part_secondary_ammo_ar")</f>
        <v>VLA_SM.part_secondary_ammo_ar</v>
      </c>
      <c r="F1875" s="102"/>
      <c r="G1875" s="102" t="str">
        <f>IFERROR(__xludf.DUMMYFUNCTION("""COMPUTED_VALUE"""),"Daedalus AR Ammo")</f>
        <v>Daedalus AR Ammo</v>
      </c>
      <c r="H1875" s="102"/>
      <c r="I1875" s="102"/>
      <c r="J1875" s="102"/>
      <c r="K1875" s="102"/>
      <c r="L1875" s="102"/>
    </row>
    <row r="1876">
      <c r="A1876" s="102" t="str">
        <f>IFERROR(__xludf.DUMMYFUNCTION("""COMPUTED_VALUE"""),"Vladof")</f>
        <v>Vladof</v>
      </c>
      <c r="B1876" s="102" t="str">
        <f>IFERROR(__xludf.DUMMYFUNCTION("""COMPUTED_VALUE"""),"SMG")</f>
        <v>SMG</v>
      </c>
      <c r="C1876" s="103">
        <f>IFERROR(__xludf.DUMMYFUNCTION("""COMPUTED_VALUE"""),65.0)</f>
        <v>65</v>
      </c>
      <c r="D1876" s="102" t="str">
        <f>IFERROR(__xludf.DUMMYFUNCTION("""COMPUTED_VALUE"""),"Manufacturer Part")</f>
        <v>Manufacturer Part</v>
      </c>
      <c r="E1876" s="102" t="str">
        <f>IFERROR(__xludf.DUMMYFUNCTION("""COMPUTED_VALUE"""),"VLA_SM.part_secondary_ammo_sr")</f>
        <v>VLA_SM.part_secondary_ammo_sr</v>
      </c>
      <c r="F1876" s="102"/>
      <c r="G1876" s="102" t="str">
        <f>IFERROR(__xludf.DUMMYFUNCTION("""COMPUTED_VALUE"""),"Daedalus SR Ammo")</f>
        <v>Daedalus SR Ammo</v>
      </c>
      <c r="H1876" s="102"/>
      <c r="I1876" s="102"/>
      <c r="J1876" s="102"/>
      <c r="K1876" s="102"/>
      <c r="L1876" s="102"/>
    </row>
    <row r="1877">
      <c r="A1877" s="102" t="str">
        <f>IFERROR(__xludf.DUMMYFUNCTION("""COMPUTED_VALUE"""),"Vladof")</f>
        <v>Vladof</v>
      </c>
      <c r="B1877" s="102" t="str">
        <f>IFERROR(__xludf.DUMMYFUNCTION("""COMPUTED_VALUE"""),"SMG")</f>
        <v>SMG</v>
      </c>
      <c r="C1877" s="103">
        <f>IFERROR(__xludf.DUMMYFUNCTION("""COMPUTED_VALUE"""),66.0)</f>
        <v>66</v>
      </c>
      <c r="D1877" s="102" t="str">
        <f>IFERROR(__xludf.DUMMYFUNCTION("""COMPUTED_VALUE"""),"Barrel")</f>
        <v>Barrel</v>
      </c>
      <c r="E1877" s="102" t="str">
        <f>IFERROR(__xludf.DUMMYFUNCTION("""COMPUTED_VALUE"""),"VLA_SM.part_barrel_01_kaoson")</f>
        <v>VLA_SM.part_barrel_01_kaoson</v>
      </c>
      <c r="F1877" s="102"/>
      <c r="G1877" s="102" t="str">
        <f>IFERROR(__xludf.DUMMYFUNCTION("""COMPUTED_VALUE"""),"Kaoson, 402 x 2 Damage, 83% Acc, 10.5/s FR")</f>
        <v>Kaoson, 402 x 2 Damage, 83% Acc, 10.5/s FR</v>
      </c>
      <c r="H1877" s="102" t="str">
        <f>IFERROR(__xludf.DUMMYFUNCTION("""COMPUTED_VALUE"""),"Granted")</f>
        <v>Granted</v>
      </c>
      <c r="I1877" s="102"/>
      <c r="J1877" s="102"/>
      <c r="K1877" s="102"/>
      <c r="L1877" s="102"/>
    </row>
    <row r="1878">
      <c r="A1878" s="102" t="str">
        <f>IFERROR(__xludf.DUMMYFUNCTION("""COMPUTED_VALUE"""),"Vladof")</f>
        <v>Vladof</v>
      </c>
      <c r="B1878" s="102" t="str">
        <f>IFERROR(__xludf.DUMMYFUNCTION("""COMPUTED_VALUE"""),"SMG")</f>
        <v>SMG</v>
      </c>
      <c r="C1878" s="103">
        <f>IFERROR(__xludf.DUMMYFUNCTION("""COMPUTED_VALUE"""),68.0)</f>
        <v>68</v>
      </c>
      <c r="D1878" s="102" t="str">
        <f>IFERROR(__xludf.DUMMYFUNCTION("""COMPUTED_VALUE"""),"Barrel")</f>
        <v>Barrel</v>
      </c>
      <c r="E1878" s="102" t="str">
        <f>IFERROR(__xludf.DUMMYFUNCTION("""COMPUTED_VALUE"""),"VLA_SM.part_barrel_01_onslaught")</f>
        <v>VLA_SM.part_barrel_01_onslaught</v>
      </c>
      <c r="F1878" s="102"/>
      <c r="G1878" s="102" t="str">
        <f>IFERROR(__xludf.DUMMYFUNCTION("""COMPUTED_VALUE"""),"Onslaught, 357 Damage, 76% Acc, 16.0/s FR")</f>
        <v>Onslaught, 357 Damage, 76% Acc, 16.0/s FR</v>
      </c>
      <c r="H1878" s="102" t="str">
        <f>IFERROR(__xludf.DUMMYFUNCTION("""COMPUTED_VALUE"""),"Keep It Coming - There's a 30% Chance for every bullet fired to deal extra Damage and not consume Ammo")</f>
        <v>Keep It Coming - There's a 30% Chance for every bullet fired to deal extra Damage and not consume Ammo</v>
      </c>
      <c r="I1878" s="102"/>
      <c r="J1878" s="102"/>
      <c r="K1878" s="102"/>
      <c r="L1878" s="102"/>
    </row>
    <row r="1879">
      <c r="A1879" s="102" t="str">
        <f>IFERROR(__xludf.DUMMYFUNCTION("""COMPUTED_VALUE"""),"Vladof")</f>
        <v>Vladof</v>
      </c>
      <c r="B1879" s="102" t="str">
        <f>IFERROR(__xludf.DUMMYFUNCTION("""COMPUTED_VALUE"""),"SMG")</f>
        <v>SMG</v>
      </c>
      <c r="C1879" s="103">
        <f>IFERROR(__xludf.DUMMYFUNCTION("""COMPUTED_VALUE"""),69.0)</f>
        <v>69</v>
      </c>
      <c r="D1879" s="102" t="str">
        <f>IFERROR(__xludf.DUMMYFUNCTION("""COMPUTED_VALUE"""),"Barrel Accessory")</f>
        <v>Barrel Accessory</v>
      </c>
      <c r="E1879" s="102" t="str">
        <f>IFERROR(__xludf.DUMMYFUNCTION("""COMPUTED_VALUE"""),"VLA_SM.part_barrel_02_d_c")</f>
        <v>VLA_SM.part_barrel_02_d_c</v>
      </c>
      <c r="F1879" s="102"/>
      <c r="G1879" s="102" t="str">
        <f>IFERROR(__xludf.DUMMYFUNCTION("""COMPUTED_VALUE"""),"+Fire Rate")</f>
        <v>+Fire Rate</v>
      </c>
      <c r="H1879" s="102"/>
      <c r="I1879" s="102"/>
      <c r="J1879" s="102"/>
      <c r="K1879" s="102"/>
      <c r="L1879" s="102"/>
    </row>
    <row r="1880">
      <c r="A1880" s="102" t="str">
        <f>IFERROR(__xludf.DUMMYFUNCTION("""COMPUTED_VALUE"""),"Vladof")</f>
        <v>Vladof</v>
      </c>
      <c r="B1880" s="102" t="str">
        <f>IFERROR(__xludf.DUMMYFUNCTION("""COMPUTED_VALUE"""),"SMG")</f>
        <v>SMG</v>
      </c>
      <c r="C1880" s="103">
        <f>IFERROR(__xludf.DUMMYFUNCTION("""COMPUTED_VALUE"""),70.0)</f>
        <v>70</v>
      </c>
      <c r="D1880" s="102" t="str">
        <f>IFERROR(__xludf.DUMMYFUNCTION("""COMPUTED_VALUE"""),"Barrel Accessory")</f>
        <v>Barrel Accessory</v>
      </c>
      <c r="E1880" s="102" t="str">
        <f>IFERROR(__xludf.DUMMYFUNCTION("""COMPUTED_VALUE"""),"VLA_SM.part_barrel_02_c_d")</f>
        <v>VLA_SM.part_barrel_02_c_d</v>
      </c>
      <c r="F1880" s="102"/>
      <c r="G1880" s="102" t="str">
        <f>IFERROR(__xludf.DUMMYFUNCTION("""COMPUTED_VALUE"""),"+Fire Rate")</f>
        <v>+Fire Rate</v>
      </c>
      <c r="H1880" s="102"/>
      <c r="I1880" s="102"/>
      <c r="J1880" s="102"/>
      <c r="K1880" s="102"/>
      <c r="L1880" s="102"/>
    </row>
    <row r="1881">
      <c r="A1881" s="102" t="str">
        <f>IFERROR(__xludf.DUMMYFUNCTION("""COMPUTED_VALUE"""),"Vladof")</f>
        <v>Vladof</v>
      </c>
      <c r="B1881" s="102" t="str">
        <f>IFERROR(__xludf.DUMMYFUNCTION("""COMPUTED_VALUE"""),"SMG")</f>
        <v>SMG</v>
      </c>
      <c r="C1881" s="103">
        <f>IFERROR(__xludf.DUMMYFUNCTION("""COMPUTED_VALUE"""),71.0)</f>
        <v>71</v>
      </c>
      <c r="D1881" s="102" t="str">
        <f>IFERROR(__xludf.DUMMYFUNCTION("""COMPUTED_VALUE"""),"Manufacturer Part")</f>
        <v>Manufacturer Part</v>
      </c>
      <c r="E1881" s="102" t="str">
        <f>IFERROR(__xludf.DUMMYFUNCTION("""COMPUTED_VALUE"""),"VLA_SM.part_mag_torgue_sticky_beegun")</f>
        <v>VLA_SM.part_mag_torgue_sticky_beegun</v>
      </c>
      <c r="F1881" s="102"/>
      <c r="G1881" s="102" t="str">
        <f>IFERROR(__xludf.DUMMYFUNCTION("""COMPUTED_VALUE"""),"Torgue Sticky Gyrojets, For Birt's Bees")</f>
        <v>Torgue Sticky Gyrojets, For Birt's Bees</v>
      </c>
      <c r="H1881" s="102"/>
      <c r="I1881" s="102"/>
      <c r="J1881" s="102"/>
      <c r="K1881" s="102"/>
      <c r="L1881" s="102"/>
    </row>
    <row r="1882">
      <c r="A1882" s="102" t="str">
        <f>IFERROR(__xludf.DUMMYFUNCTION("""COMPUTED_VALUE"""),"Vladof")</f>
        <v>Vladof</v>
      </c>
      <c r="B1882" s="102" t="str">
        <f>IFERROR(__xludf.DUMMYFUNCTION("""COMPUTED_VALUE"""),"SMG")</f>
        <v>SMG</v>
      </c>
      <c r="C1882" s="103">
        <f>IFERROR(__xludf.DUMMYFUNCTION("""COMPUTED_VALUE"""),72.0)</f>
        <v>72</v>
      </c>
      <c r="D1882" s="102" t="str">
        <f>IFERROR(__xludf.DUMMYFUNCTION("""COMPUTED_VALUE"""),"Barrel Accessory")</f>
        <v>Barrel Accessory</v>
      </c>
      <c r="E1882" s="102" t="str">
        <f>IFERROR(__xludf.DUMMYFUNCTION("""COMPUTED_VALUE"""),"VLA_SM.part_barrel_01_a")</f>
        <v>VLA_SM.part_barrel_01_a</v>
      </c>
      <c r="F1882" s="102"/>
      <c r="G1882" s="102" t="str">
        <f>IFERROR(__xludf.DUMMYFUNCTION("""COMPUTED_VALUE"""),"+Damage")</f>
        <v>+Damage</v>
      </c>
      <c r="H1882" s="102"/>
      <c r="I1882" s="102"/>
      <c r="J1882" s="102"/>
      <c r="K1882" s="102"/>
      <c r="L1882" s="102"/>
    </row>
    <row r="1883">
      <c r="A1883" s="102" t="str">
        <f>IFERROR(__xludf.DUMMYFUNCTION("""COMPUTED_VALUE"""),"Vladof")</f>
        <v>Vladof</v>
      </c>
      <c r="B1883" s="102" t="str">
        <f>IFERROR(__xludf.DUMMYFUNCTION("""COMPUTED_VALUE"""),"SMG")</f>
        <v>SMG</v>
      </c>
      <c r="C1883" s="103">
        <f>IFERROR(__xludf.DUMMYFUNCTION("""COMPUTED_VALUE"""),73.0)</f>
        <v>73</v>
      </c>
      <c r="D1883" s="102" t="str">
        <f>IFERROR(__xludf.DUMMYFUNCTION("""COMPUTED_VALUE"""),"Barrel Accessory")</f>
        <v>Barrel Accessory</v>
      </c>
      <c r="E1883" s="102" t="str">
        <f>IFERROR(__xludf.DUMMYFUNCTION("""COMPUTED_VALUE"""),"VLA_SM.part_barrel_01_b")</f>
        <v>VLA_SM.part_barrel_01_b</v>
      </c>
      <c r="F1883" s="102"/>
      <c r="G1883" s="102" t="str">
        <f>IFERROR(__xludf.DUMMYFUNCTION("""COMPUTED_VALUE"""),"No Stat Changes")</f>
        <v>No Stat Changes</v>
      </c>
      <c r="H1883" s="102"/>
      <c r="I1883" s="102"/>
      <c r="J1883" s="102"/>
      <c r="K1883" s="102"/>
      <c r="L1883" s="102"/>
    </row>
    <row r="1884">
      <c r="A1884" s="102" t="str">
        <f>IFERROR(__xludf.DUMMYFUNCTION("""COMPUTED_VALUE"""),"Vladof")</f>
        <v>Vladof</v>
      </c>
      <c r="B1884" s="102" t="str">
        <f>IFERROR(__xludf.DUMMYFUNCTION("""COMPUTED_VALUE"""),"SMG")</f>
        <v>SMG</v>
      </c>
      <c r="C1884" s="103">
        <f>IFERROR(__xludf.DUMMYFUNCTION("""COMPUTED_VALUE"""),74.0)</f>
        <v>74</v>
      </c>
      <c r="D1884" s="102" t="str">
        <f>IFERROR(__xludf.DUMMYFUNCTION("""COMPUTED_VALUE"""),"Barrel Accessory")</f>
        <v>Barrel Accessory</v>
      </c>
      <c r="E1884" s="102" t="str">
        <f>IFERROR(__xludf.DUMMYFUNCTION("""COMPUTED_VALUE"""),"VLA_SM.part_barrel_01_c")</f>
        <v>VLA_SM.part_barrel_01_c</v>
      </c>
      <c r="F1884" s="102"/>
      <c r="G1884" s="102" t="str">
        <f>IFERROR(__xludf.DUMMYFUNCTION("""COMPUTED_VALUE"""),"+Ammo")</f>
        <v>+Ammo</v>
      </c>
      <c r="H1884" s="102"/>
      <c r="I1884" s="102"/>
      <c r="J1884" s="102"/>
      <c r="K1884" s="102"/>
      <c r="L1884" s="102"/>
    </row>
    <row r="1885">
      <c r="A1885" s="102" t="str">
        <f>IFERROR(__xludf.DUMMYFUNCTION("""COMPUTED_VALUE"""),"Vladof")</f>
        <v>Vladof</v>
      </c>
      <c r="B1885" s="102" t="str">
        <f>IFERROR(__xludf.DUMMYFUNCTION("""COMPUTED_VALUE"""),"SMG")</f>
        <v>SMG</v>
      </c>
      <c r="C1885" s="103">
        <f>IFERROR(__xludf.DUMMYFUNCTION("""COMPUTED_VALUE"""),75.0)</f>
        <v>75</v>
      </c>
      <c r="D1885" s="102" t="str">
        <f>IFERROR(__xludf.DUMMYFUNCTION("""COMPUTED_VALUE"""),"Barrel Accessory")</f>
        <v>Barrel Accessory</v>
      </c>
      <c r="E1885" s="102" t="str">
        <f>IFERROR(__xludf.DUMMYFUNCTION("""COMPUTED_VALUE"""),"VLA_SM.part_barrel_01_d")</f>
        <v>VLA_SM.part_barrel_01_d</v>
      </c>
      <c r="F1885" s="102"/>
      <c r="G1885" s="102" t="str">
        <f>IFERROR(__xludf.DUMMYFUNCTION("""COMPUTED_VALUE"""),"+Ammo")</f>
        <v>+Ammo</v>
      </c>
      <c r="H1885" s="102"/>
      <c r="I1885" s="102"/>
      <c r="J1885" s="102"/>
      <c r="K1885" s="102"/>
      <c r="L1885" s="102"/>
    </row>
    <row r="1886">
      <c r="A1886" s="102" t="str">
        <f>IFERROR(__xludf.DUMMYFUNCTION("""COMPUTED_VALUE"""),"Vladof")</f>
        <v>Vladof</v>
      </c>
      <c r="B1886" s="102" t="str">
        <f>IFERROR(__xludf.DUMMYFUNCTION("""COMPUTED_VALUE"""),"SMG")</f>
        <v>SMG</v>
      </c>
      <c r="C1886" s="103">
        <f>IFERROR(__xludf.DUMMYFUNCTION("""COMPUTED_VALUE"""),76.0)</f>
        <v>76</v>
      </c>
      <c r="D1886" s="102" t="str">
        <f>IFERROR(__xludf.DUMMYFUNCTION("""COMPUTED_VALUE"""),"Barrel Accessory")</f>
        <v>Barrel Accessory</v>
      </c>
      <c r="E1886" s="102" t="str">
        <f>IFERROR(__xludf.DUMMYFUNCTION("""COMPUTED_VALUE"""),"VLA_SM.part_barrel_02_a")</f>
        <v>VLA_SM.part_barrel_02_a</v>
      </c>
      <c r="F1886" s="102"/>
      <c r="G1886" s="102" t="str">
        <f>IFERROR(__xludf.DUMMYFUNCTION("""COMPUTED_VALUE"""),"+Damage")</f>
        <v>+Damage</v>
      </c>
      <c r="H1886" s="102"/>
      <c r="I1886" s="102"/>
      <c r="J1886" s="102"/>
      <c r="K1886" s="102"/>
      <c r="L1886" s="102"/>
    </row>
    <row r="1887">
      <c r="A1887" s="102" t="str">
        <f>IFERROR(__xludf.DUMMYFUNCTION("""COMPUTED_VALUE"""),"Vladof")</f>
        <v>Vladof</v>
      </c>
      <c r="B1887" s="102" t="str">
        <f>IFERROR(__xludf.DUMMYFUNCTION("""COMPUTED_VALUE"""),"SMG")</f>
        <v>SMG</v>
      </c>
      <c r="C1887" s="103">
        <f>IFERROR(__xludf.DUMMYFUNCTION("""COMPUTED_VALUE"""),77.0)</f>
        <v>77</v>
      </c>
      <c r="D1887" s="102" t="str">
        <f>IFERROR(__xludf.DUMMYFUNCTION("""COMPUTED_VALUE"""),"Barrel Accessory")</f>
        <v>Barrel Accessory</v>
      </c>
      <c r="E1887" s="102" t="str">
        <f>IFERROR(__xludf.DUMMYFUNCTION("""COMPUTED_VALUE"""),"VLA_SM.part_barrel_02_b")</f>
        <v>VLA_SM.part_barrel_02_b</v>
      </c>
      <c r="F1887" s="102"/>
      <c r="G1887" s="102" t="str">
        <f>IFERROR(__xludf.DUMMYFUNCTION("""COMPUTED_VALUE"""),"+Accuracy")</f>
        <v>+Accuracy</v>
      </c>
      <c r="H1887" s="102"/>
      <c r="I1887" s="102"/>
      <c r="J1887" s="102"/>
      <c r="K1887" s="102"/>
      <c r="L1887" s="102"/>
    </row>
    <row r="1888">
      <c r="A1888" s="102" t="str">
        <f>IFERROR(__xludf.DUMMYFUNCTION("""COMPUTED_VALUE"""),"Vladof")</f>
        <v>Vladof</v>
      </c>
      <c r="B1888" s="102" t="str">
        <f>IFERROR(__xludf.DUMMYFUNCTION("""COMPUTED_VALUE"""),"SMG")</f>
        <v>SMG</v>
      </c>
      <c r="C1888" s="103">
        <f>IFERROR(__xludf.DUMMYFUNCTION("""COMPUTED_VALUE"""),78.0)</f>
        <v>78</v>
      </c>
      <c r="D1888" s="102" t="str">
        <f>IFERROR(__xludf.DUMMYFUNCTION("""COMPUTED_VALUE"""),"Barrel Accessory")</f>
        <v>Barrel Accessory</v>
      </c>
      <c r="E1888" s="102" t="str">
        <f>IFERROR(__xludf.DUMMYFUNCTION("""COMPUTED_VALUE"""),"VLA_SM.part_barrel_02_c")</f>
        <v>VLA_SM.part_barrel_02_c</v>
      </c>
      <c r="F1888" s="102"/>
      <c r="G1888" s="102" t="str">
        <f>IFERROR(__xludf.DUMMYFUNCTION("""COMPUTED_VALUE"""),"+Fire Rate")</f>
        <v>+Fire Rate</v>
      </c>
      <c r="H1888" s="102"/>
      <c r="I1888" s="102"/>
      <c r="J1888" s="102"/>
      <c r="K1888" s="102"/>
      <c r="L1888" s="102"/>
    </row>
    <row r="1889">
      <c r="A1889" s="102" t="str">
        <f>IFERROR(__xludf.DUMMYFUNCTION("""COMPUTED_VALUE"""),"Vladof")</f>
        <v>Vladof</v>
      </c>
      <c r="B1889" s="102" t="str">
        <f>IFERROR(__xludf.DUMMYFUNCTION("""COMPUTED_VALUE"""),"SMG")</f>
        <v>SMG</v>
      </c>
      <c r="C1889" s="103">
        <f>IFERROR(__xludf.DUMMYFUNCTION("""COMPUTED_VALUE"""),79.0)</f>
        <v>79</v>
      </c>
      <c r="D1889" s="102" t="str">
        <f>IFERROR(__xludf.DUMMYFUNCTION("""COMPUTED_VALUE"""),"Barrel Accessory")</f>
        <v>Barrel Accessory</v>
      </c>
      <c r="E1889" s="102" t="str">
        <f>IFERROR(__xludf.DUMMYFUNCTION("""COMPUTED_VALUE"""),"VLA_SM.part_barrel_02_d")</f>
        <v>VLA_SM.part_barrel_02_d</v>
      </c>
      <c r="F1889" s="102"/>
      <c r="G1889" s="102" t="str">
        <f>IFERROR(__xludf.DUMMYFUNCTION("""COMPUTED_VALUE"""),"+Fire Rate")</f>
        <v>+Fire Rate</v>
      </c>
      <c r="H1889" s="102"/>
      <c r="I1889" s="102"/>
      <c r="J1889" s="102"/>
      <c r="K1889" s="102"/>
      <c r="L1889" s="102"/>
    </row>
    <row r="1890">
      <c r="A1890" s="102" t="str">
        <f>IFERROR(__xludf.DUMMYFUNCTION("""COMPUTED_VALUE"""),"Vladof")</f>
        <v>Vladof</v>
      </c>
      <c r="B1890" s="102" t="str">
        <f>IFERROR(__xludf.DUMMYFUNCTION("""COMPUTED_VALUE"""),"SMG")</f>
        <v>SMG</v>
      </c>
      <c r="C1890" s="103">
        <f>IFERROR(__xludf.DUMMYFUNCTION("""COMPUTED_VALUE"""),80.0)</f>
        <v>80</v>
      </c>
      <c r="D1890" s="102" t="str">
        <f>IFERROR(__xludf.DUMMYFUNCTION("""COMPUTED_VALUE"""),"Manufacturer Part")</f>
        <v>Manufacturer Part</v>
      </c>
      <c r="E1890" s="102" t="str">
        <f>IFERROR(__xludf.DUMMYFUNCTION("""COMPUTED_VALUE"""),"VLA_SM.part_barrel_licensed_jak")</f>
        <v>VLA_SM.part_barrel_licensed_jak</v>
      </c>
      <c r="F1890" s="102"/>
      <c r="G1890" s="102" t="str">
        <f>IFERROR(__xludf.DUMMYFUNCTION("""COMPUTED_VALUE"""),"Jakobs Ricochet")</f>
        <v>Jakobs Ricochet</v>
      </c>
      <c r="H1890" s="102"/>
      <c r="I1890" s="102"/>
      <c r="J1890" s="102"/>
      <c r="K1890" s="102"/>
      <c r="L1890" s="102"/>
    </row>
    <row r="1891">
      <c r="A1891" s="102" t="str">
        <f>IFERROR(__xludf.DUMMYFUNCTION("""COMPUTED_VALUE"""),"Vladof")</f>
        <v>Vladof</v>
      </c>
      <c r="B1891" s="102" t="str">
        <f>IFERROR(__xludf.DUMMYFUNCTION("""COMPUTED_VALUE"""),"SMG")</f>
        <v>SMG</v>
      </c>
      <c r="C1891" s="103">
        <f>IFERROR(__xludf.DUMMYFUNCTION("""COMPUTED_VALUE"""),81.0)</f>
        <v>81</v>
      </c>
      <c r="D1891" s="102" t="str">
        <f>IFERROR(__xludf.DUMMYFUNCTION("""COMPUTED_VALUE"""),"Manufacturer Part")</f>
        <v>Manufacturer Part</v>
      </c>
      <c r="E1891" s="102" t="str">
        <f>IFERROR(__xludf.DUMMYFUNCTION("""COMPUTED_VALUE"""),"VLA_SM.part_barrel_licensed_ted")</f>
        <v>VLA_SM.part_barrel_licensed_ted</v>
      </c>
      <c r="F1891" s="102"/>
      <c r="G1891" s="102" t="str">
        <f>IFERROR(__xludf.DUMMYFUNCTION("""COMPUTED_VALUE"""),"Tediore Reload, no stat changes")</f>
        <v>Tediore Reload, no stat changes</v>
      </c>
      <c r="H1891" s="102"/>
      <c r="I1891" s="102"/>
      <c r="J1891" s="102"/>
      <c r="K1891" s="102"/>
      <c r="L1891" s="102"/>
    </row>
    <row r="1892">
      <c r="A1892" s="102" t="str">
        <f>IFERROR(__xludf.DUMMYFUNCTION("""COMPUTED_VALUE"""),"Vladof")</f>
        <v>Vladof</v>
      </c>
      <c r="B1892" s="102" t="str">
        <f>IFERROR(__xludf.DUMMYFUNCTION("""COMPUTED_VALUE"""),"SMG")</f>
        <v>SMG</v>
      </c>
      <c r="C1892" s="103">
        <f>IFERROR(__xludf.DUMMYFUNCTION("""COMPUTED_VALUE"""),82.0)</f>
        <v>82</v>
      </c>
      <c r="D1892" s="102" t="str">
        <f>IFERROR(__xludf.DUMMYFUNCTION("""COMPUTED_VALUE"""),"Manufacturer Part")</f>
        <v>Manufacturer Part</v>
      </c>
      <c r="E1892" s="102" t="str">
        <f>IFERROR(__xludf.DUMMYFUNCTION("""COMPUTED_VALUE"""),"VLA_SM.part_barrel_licensed_ted_shooting")</f>
        <v>VLA_SM.part_barrel_licensed_ted_shooting</v>
      </c>
      <c r="F1892" s="102"/>
      <c r="G1892" s="102" t="str">
        <f>IFERROR(__xludf.DUMMYFUNCTION("""COMPUTED_VALUE"""),"Tediore Shooting, no stat changes")</f>
        <v>Tediore Shooting, no stat changes</v>
      </c>
      <c r="H1892" s="102"/>
      <c r="I1892" s="102"/>
      <c r="J1892" s="102"/>
      <c r="K1892" s="102"/>
      <c r="L1892" s="102"/>
    </row>
    <row r="1893">
      <c r="A1893" s="102" t="str">
        <f>IFERROR(__xludf.DUMMYFUNCTION("""COMPUTED_VALUE"""),"Vladof")</f>
        <v>Vladof</v>
      </c>
      <c r="B1893" s="102" t="str">
        <f>IFERROR(__xludf.DUMMYFUNCTION("""COMPUTED_VALUE"""),"SMG")</f>
        <v>SMG</v>
      </c>
      <c r="C1893" s="103">
        <f>IFERROR(__xludf.DUMMYFUNCTION("""COMPUTED_VALUE"""),83.0)</f>
        <v>83</v>
      </c>
      <c r="D1893" s="102" t="str">
        <f>IFERROR(__xludf.DUMMYFUNCTION("""COMPUTED_VALUE"""),"Manufacturer Part")</f>
        <v>Manufacturer Part</v>
      </c>
      <c r="E1893" s="102" t="str">
        <f>IFERROR(__xludf.DUMMYFUNCTION("""COMPUTED_VALUE"""),"VLA_SM.part_barrel_licensed_ted_mirv")</f>
        <v>VLA_SM.part_barrel_licensed_ted_mirv</v>
      </c>
      <c r="F1893" s="102"/>
      <c r="G1893" s="102" t="str">
        <f>IFERROR(__xludf.DUMMYFUNCTION("""COMPUTED_VALUE"""),"Tediore MIRV, no stat changes")</f>
        <v>Tediore MIRV, no stat changes</v>
      </c>
      <c r="H1893" s="102"/>
      <c r="I1893" s="102"/>
      <c r="J1893" s="102"/>
      <c r="K1893" s="102"/>
      <c r="L1893" s="102"/>
    </row>
    <row r="1894">
      <c r="A1894" s="102" t="str">
        <f>IFERROR(__xludf.DUMMYFUNCTION("""COMPUTED_VALUE"""),"Vladof")</f>
        <v>Vladof</v>
      </c>
      <c r="B1894" s="102" t="str">
        <f>IFERROR(__xludf.DUMMYFUNCTION("""COMPUTED_VALUE"""),"SMG")</f>
        <v>SMG</v>
      </c>
      <c r="C1894" s="103">
        <f>IFERROR(__xludf.DUMMYFUNCTION("""COMPUTED_VALUE"""),84.0)</f>
        <v>84</v>
      </c>
      <c r="D1894" s="102" t="str">
        <f>IFERROR(__xludf.DUMMYFUNCTION("""COMPUTED_VALUE"""),"Manufacturer Part")</f>
        <v>Manufacturer Part</v>
      </c>
      <c r="E1894" s="102" t="str">
        <f>IFERROR(__xludf.DUMMYFUNCTION("""COMPUTED_VALUE"""),"VLA_SM.part_barrel_licensed_ted_combo")</f>
        <v>VLA_SM.part_barrel_licensed_ted_combo</v>
      </c>
      <c r="F1894" s="102"/>
      <c r="G1894" s="102" t="str">
        <f>IFERROR(__xludf.DUMMYFUNCTION("""COMPUTED_VALUE"""),"Tediore Combo, no stat changes")</f>
        <v>Tediore Combo, no stat changes</v>
      </c>
      <c r="H1894" s="102"/>
      <c r="I1894" s="102"/>
      <c r="J1894" s="102"/>
      <c r="K1894" s="102"/>
      <c r="L1894" s="102"/>
    </row>
    <row r="1895">
      <c r="A1895" s="102" t="str">
        <f>IFERROR(__xludf.DUMMYFUNCTION("""COMPUTED_VALUE"""),"Vladof")</f>
        <v>Vladof</v>
      </c>
      <c r="B1895" s="102" t="str">
        <f>IFERROR(__xludf.DUMMYFUNCTION("""COMPUTED_VALUE"""),"SMG")</f>
        <v>SMG</v>
      </c>
      <c r="C1895" s="103">
        <f>IFERROR(__xludf.DUMMYFUNCTION("""COMPUTED_VALUE"""),85.0)</f>
        <v>85</v>
      </c>
      <c r="D1895" s="102" t="str">
        <f>IFERROR(__xludf.DUMMYFUNCTION("""COMPUTED_VALUE"""),"Manufacturer Part")</f>
        <v>Manufacturer Part</v>
      </c>
      <c r="E1895" s="102" t="str">
        <f>IFERROR(__xludf.DUMMYFUNCTION("""COMPUTED_VALUE"""),"VLA_SM.part_barrel_licensed_hyp")</f>
        <v>VLA_SM.part_barrel_licensed_hyp</v>
      </c>
      <c r="F1895" s="102"/>
      <c r="G1895" s="102" t="str">
        <f>IFERROR(__xludf.DUMMYFUNCTION("""COMPUTED_VALUE"""),"Hyperion Shield visual accessory, no stat changes")</f>
        <v>Hyperion Shield visual accessory, no stat changes</v>
      </c>
      <c r="H1895" s="102"/>
      <c r="I1895" s="102"/>
      <c r="J1895" s="102"/>
      <c r="K1895" s="102"/>
      <c r="L1895" s="102"/>
    </row>
    <row r="1896">
      <c r="A1896" s="102" t="str">
        <f>IFERROR(__xludf.DUMMYFUNCTION("""COMPUTED_VALUE"""),"Vladof")</f>
        <v>Vladof</v>
      </c>
      <c r="B1896" s="102" t="str">
        <f>IFERROR(__xludf.DUMMYFUNCTION("""COMPUTED_VALUE"""),"SMG")</f>
        <v>SMG</v>
      </c>
      <c r="C1896" s="103">
        <f>IFERROR(__xludf.DUMMYFUNCTION("""COMPUTED_VALUE"""),86.0)</f>
        <v>86</v>
      </c>
      <c r="D1896" s="102" t="str">
        <f>IFERROR(__xludf.DUMMYFUNCTION("""COMPUTED_VALUE"""),"Manufacturer Part")</f>
        <v>Manufacturer Part</v>
      </c>
      <c r="E1896" s="102" t="str">
        <f>IFERROR(__xludf.DUMMYFUNCTION("""COMPUTED_VALUE"""),"VLA_SM.part_mag_torgue_normal_beegun")</f>
        <v>VLA_SM.part_mag_torgue_normal_beegun</v>
      </c>
      <c r="F1896" s="102"/>
      <c r="G1896" s="102" t="str">
        <f>IFERROR(__xludf.DUMMYFUNCTION("""COMPUTED_VALUE"""),"Torgue Impact Gyrojets, For Birt's Bees")</f>
        <v>Torgue Impact Gyrojets, For Birt's Bees</v>
      </c>
      <c r="H1896" s="102"/>
      <c r="I1896" s="102"/>
      <c r="J1896" s="102"/>
      <c r="K1896" s="102"/>
      <c r="L1896" s="102"/>
    </row>
    <row r="1897">
      <c r="A1897" s="102" t="str">
        <f>IFERROR(__xludf.DUMMYFUNCTION("""COMPUTED_VALUE"""),"Vladof")</f>
        <v>Vladof</v>
      </c>
      <c r="B1897" s="102" t="str">
        <f>IFERROR(__xludf.DUMMYFUNCTION("""COMPUTED_VALUE"""),"SMG")</f>
        <v>SMG</v>
      </c>
      <c r="C1897" s="103">
        <f>IFERROR(__xludf.DUMMYFUNCTION("""COMPUTED_VALUE"""),87.0)</f>
        <v>87</v>
      </c>
      <c r="D1897" s="102" t="str">
        <f>IFERROR(__xludf.DUMMYFUNCTION("""COMPUTED_VALUE"""),"Barrel")</f>
        <v>Barrel</v>
      </c>
      <c r="E1897" s="102" t="str">
        <f>IFERROR(__xludf.DUMMYFUNCTION("""COMPUTED_VALUE"""),"VLA_SM.part_barrel_beegun")</f>
        <v>VLA_SM.part_barrel_beegun</v>
      </c>
      <c r="F1897" s="102"/>
      <c r="G1897" s="102" t="str">
        <f>IFERROR(__xludf.DUMMYFUNCTION("""COMPUTED_VALUE"""),"Birt's Bees, 528 Damage, 73% Acc, 12.4/s FR")</f>
        <v>Birt's Bees, 528 Damage, 73% Acc, 12.4/s FR</v>
      </c>
      <c r="H1897" s="102" t="str">
        <f>IFERROR(__xludf.DUMMYFUNCTION("""COMPUTED_VALUE"""),"Hivemind")</f>
        <v>Hivemind</v>
      </c>
      <c r="I1897" s="102"/>
      <c r="J1897" s="102"/>
      <c r="K1897" s="102"/>
      <c r="L1897" s="102"/>
    </row>
    <row r="1898">
      <c r="A1898" s="102" t="str">
        <f>IFERROR(__xludf.DUMMYFUNCTION("""COMPUTED_VALUE"""),"Vladof")</f>
        <v>Vladof</v>
      </c>
      <c r="B1898" s="102" t="str">
        <f>IFERROR(__xludf.DUMMYFUNCTION("""COMPUTED_VALUE"""),"Sniper")</f>
        <v>Sniper</v>
      </c>
      <c r="C1898" s="103">
        <f>IFERROR(__xludf.DUMMYFUNCTION("""COMPUTED_VALUE"""),1.0)</f>
        <v>1</v>
      </c>
      <c r="D1898" s="102" t="str">
        <f>IFERROR(__xludf.DUMMYFUNCTION("""COMPUTED_VALUE"""),"Barrel")</f>
        <v>Barrel</v>
      </c>
      <c r="E1898" s="102" t="str">
        <f>IFERROR(__xludf.DUMMYFUNCTION("""COMPUTED_VALUE"""),"VLA_SR.part_barrel_02_finnty")</f>
        <v>VLA_SR.part_barrel_02_finnty</v>
      </c>
      <c r="F1898" s="102"/>
      <c r="G1898" s="102" t="str">
        <f>IFERROR(__xludf.DUMMYFUNCTION("""COMPUTED_VALUE"""),"Finnity XXX-L, 937 Damage, 94% Acc, 13.0/s FR, 50% Crit Damage")</f>
        <v>Finnity XXX-L, 937 Damage, 94% Acc, 13.0/s FR, 50% Crit Damage</v>
      </c>
      <c r="H1898" s="102" t="str">
        <f>IFERROR(__xludf.DUMMYFUNCTION("""COMPUTED_VALUE"""),"Pipin' Hot Barrels - Does not consume Ammo while Overheating")</f>
        <v>Pipin' Hot Barrels - Does not consume Ammo while Overheating</v>
      </c>
      <c r="I1898" s="102"/>
      <c r="J1898" s="102"/>
      <c r="K1898" s="102"/>
      <c r="L1898" s="102"/>
    </row>
    <row r="1899">
      <c r="A1899" s="102" t="str">
        <f>IFERROR(__xludf.DUMMYFUNCTION("""COMPUTED_VALUE"""),"Vladof")</f>
        <v>Vladof</v>
      </c>
      <c r="B1899" s="102" t="str">
        <f>IFERROR(__xludf.DUMMYFUNCTION("""COMPUTED_VALUE"""),"Sniper")</f>
        <v>Sniper</v>
      </c>
      <c r="C1899" s="103">
        <f>IFERROR(__xludf.DUMMYFUNCTION("""COMPUTED_VALUE"""),2.0)</f>
        <v>2</v>
      </c>
      <c r="D1899" s="102" t="str">
        <f>IFERROR(__xludf.DUMMYFUNCTION("""COMPUTED_VALUE"""),"Body")</f>
        <v>Body</v>
      </c>
      <c r="E1899" s="102" t="str">
        <f>IFERROR(__xludf.DUMMYFUNCTION("""COMPUTED_VALUE"""),"VLA_SR.part_body")</f>
        <v>VLA_SR.part_body</v>
      </c>
      <c r="F1899" s="102"/>
      <c r="G1899" s="102" t="str">
        <f>IFERROR(__xludf.DUMMYFUNCTION("""COMPUTED_VALUE"""),"No Stat Changes, always present")</f>
        <v>No Stat Changes, always present</v>
      </c>
      <c r="H1899" s="102"/>
      <c r="I1899" s="102"/>
      <c r="J1899" s="102"/>
      <c r="K1899" s="102"/>
      <c r="L1899" s="102"/>
    </row>
    <row r="1900">
      <c r="A1900" s="102" t="str">
        <f>IFERROR(__xludf.DUMMYFUNCTION("""COMPUTED_VALUE"""),"Vladof")</f>
        <v>Vladof</v>
      </c>
      <c r="B1900" s="102" t="str">
        <f>IFERROR(__xludf.DUMMYFUNCTION("""COMPUTED_VALUE"""),"Sniper")</f>
        <v>Sniper</v>
      </c>
      <c r="C1900" s="103">
        <f>IFERROR(__xludf.DUMMYFUNCTION("""COMPUTED_VALUE"""),3.0)</f>
        <v>3</v>
      </c>
      <c r="D1900" s="102" t="str">
        <f>IFERROR(__xludf.DUMMYFUNCTION("""COMPUTED_VALUE"""),"Body Accessory")</f>
        <v>Body Accessory</v>
      </c>
      <c r="E1900" s="102" t="str">
        <f>IFERROR(__xludf.DUMMYFUNCTION("""COMPUTED_VALUE"""),"VLA_SR.part_body_d")</f>
        <v>VLA_SR.part_body_d</v>
      </c>
      <c r="F1900" s="102"/>
      <c r="G1900" s="102" t="str">
        <f>IFERROR(__xludf.DUMMYFUNCTION("""COMPUTED_VALUE"""),"No Stat Changes")</f>
        <v>No Stat Changes</v>
      </c>
      <c r="H1900" s="102"/>
      <c r="I1900" s="102"/>
      <c r="J1900" s="102"/>
      <c r="K1900" s="102"/>
      <c r="L1900" s="102"/>
    </row>
    <row r="1901">
      <c r="A1901" s="102" t="str">
        <f>IFERROR(__xludf.DUMMYFUNCTION("""COMPUTED_VALUE"""),"Vladof")</f>
        <v>Vladof</v>
      </c>
      <c r="B1901" s="102" t="str">
        <f>IFERROR(__xludf.DUMMYFUNCTION("""COMPUTED_VALUE"""),"Sniper")</f>
        <v>Sniper</v>
      </c>
      <c r="C1901" s="103">
        <f>IFERROR(__xludf.DUMMYFUNCTION("""COMPUTED_VALUE"""),4.0)</f>
        <v>4</v>
      </c>
      <c r="D1901" s="102" t="str">
        <f>IFERROR(__xludf.DUMMYFUNCTION("""COMPUTED_VALUE"""),"Body Accessory")</f>
        <v>Body Accessory</v>
      </c>
      <c r="E1901" s="102" t="str">
        <f>IFERROR(__xludf.DUMMYFUNCTION("""COMPUTED_VALUE"""),"VLA_SR.part_body_a")</f>
        <v>VLA_SR.part_body_a</v>
      </c>
      <c r="F1901" s="102"/>
      <c r="G1901" s="102" t="str">
        <f>IFERROR(__xludf.DUMMYFUNCTION("""COMPUTED_VALUE"""),"-Reload Speed")</f>
        <v>-Reload Speed</v>
      </c>
      <c r="H1901" s="102"/>
      <c r="I1901" s="102"/>
      <c r="J1901" s="102"/>
      <c r="K1901" s="102"/>
      <c r="L1901" s="102"/>
    </row>
    <row r="1902">
      <c r="A1902" s="102" t="str">
        <f>IFERROR(__xludf.DUMMYFUNCTION("""COMPUTED_VALUE"""),"Vladof")</f>
        <v>Vladof</v>
      </c>
      <c r="B1902" s="102" t="str">
        <f>IFERROR(__xludf.DUMMYFUNCTION("""COMPUTED_VALUE"""),"Sniper")</f>
        <v>Sniper</v>
      </c>
      <c r="C1902" s="103">
        <f>IFERROR(__xludf.DUMMYFUNCTION("""COMPUTED_VALUE"""),5.0)</f>
        <v>5</v>
      </c>
      <c r="D1902" s="102" t="str">
        <f>IFERROR(__xludf.DUMMYFUNCTION("""COMPUTED_VALUE"""),"Body Accessory")</f>
        <v>Body Accessory</v>
      </c>
      <c r="E1902" s="102" t="str">
        <f>IFERROR(__xludf.DUMMYFUNCTION("""COMPUTED_VALUE"""),"VLA_SR.part_body_b")</f>
        <v>VLA_SR.part_body_b</v>
      </c>
      <c r="F1902" s="102"/>
      <c r="G1902" s="102" t="str">
        <f>IFERROR(__xludf.DUMMYFUNCTION("""COMPUTED_VALUE"""),"+Ammo")</f>
        <v>+Ammo</v>
      </c>
      <c r="H1902" s="102"/>
      <c r="I1902" s="102"/>
      <c r="J1902" s="102"/>
      <c r="K1902" s="102"/>
      <c r="L1902" s="102"/>
    </row>
    <row r="1903">
      <c r="A1903" s="102" t="str">
        <f>IFERROR(__xludf.DUMMYFUNCTION("""COMPUTED_VALUE"""),"Vladof")</f>
        <v>Vladof</v>
      </c>
      <c r="B1903" s="102" t="str">
        <f>IFERROR(__xludf.DUMMYFUNCTION("""COMPUTED_VALUE"""),"Sniper")</f>
        <v>Sniper</v>
      </c>
      <c r="C1903" s="103">
        <f>IFERROR(__xludf.DUMMYFUNCTION("""COMPUTED_VALUE"""),6.0)</f>
        <v>6</v>
      </c>
      <c r="D1903" s="102" t="str">
        <f>IFERROR(__xludf.DUMMYFUNCTION("""COMPUTED_VALUE"""),"Body Accessory")</f>
        <v>Body Accessory</v>
      </c>
      <c r="E1903" s="102" t="str">
        <f>IFERROR(__xludf.DUMMYFUNCTION("""COMPUTED_VALUE"""),"VLA_SR.part_body_c")</f>
        <v>VLA_SR.part_body_c</v>
      </c>
      <c r="F1903" s="102"/>
      <c r="G1903" s="102" t="str">
        <f>IFERROR(__xludf.DUMMYFUNCTION("""COMPUTED_VALUE"""),"+Accuracy")</f>
        <v>+Accuracy</v>
      </c>
      <c r="H1903" s="102"/>
      <c r="I1903" s="102"/>
      <c r="J1903" s="102"/>
      <c r="K1903" s="102"/>
      <c r="L1903" s="102"/>
    </row>
    <row r="1904">
      <c r="A1904" s="102" t="str">
        <f>IFERROR(__xludf.DUMMYFUNCTION("""COMPUTED_VALUE"""),"Vladof")</f>
        <v>Vladof</v>
      </c>
      <c r="B1904" s="102" t="str">
        <f>IFERROR(__xludf.DUMMYFUNCTION("""COMPUTED_VALUE"""),"Sniper")</f>
        <v>Sniper</v>
      </c>
      <c r="C1904" s="103">
        <f>IFERROR(__xludf.DUMMYFUNCTION("""COMPUTED_VALUE"""),7.0)</f>
        <v>7</v>
      </c>
      <c r="D1904" s="102" t="str">
        <f>IFERROR(__xludf.DUMMYFUNCTION("""COMPUTED_VALUE"""),"Barrel")</f>
        <v>Barrel</v>
      </c>
      <c r="E1904" s="102" t="str">
        <f>IFERROR(__xludf.DUMMYFUNCTION("""COMPUTED_VALUE"""),"VLA_SR.part_barrel_01")</f>
        <v>VLA_SR.part_barrel_01</v>
      </c>
      <c r="F1904" s="102"/>
      <c r="G1904" s="102" t="str">
        <f>IFERROR(__xludf.DUMMYFUNCTION("""COMPUTED_VALUE"""),"Ragoon Barrel, 1359 Damage, 87% ACC, 4.0/s FR, 50% Crit Damage")</f>
        <v>Ragoon Barrel, 1359 Damage, 87% ACC, 4.0/s FR, 50% Crit Damage</v>
      </c>
      <c r="H1904" s="102"/>
      <c r="I1904" s="102"/>
      <c r="J1904" s="102"/>
      <c r="K1904" s="102"/>
      <c r="L1904" s="102"/>
    </row>
    <row r="1905">
      <c r="A1905" s="102" t="str">
        <f>IFERROR(__xludf.DUMMYFUNCTION("""COMPUTED_VALUE"""),"Vladof")</f>
        <v>Vladof</v>
      </c>
      <c r="B1905" s="102" t="str">
        <f>IFERROR(__xludf.DUMMYFUNCTION("""COMPUTED_VALUE"""),"Sniper")</f>
        <v>Sniper</v>
      </c>
      <c r="C1905" s="103">
        <f>IFERROR(__xludf.DUMMYFUNCTION("""COMPUTED_VALUE"""),8.0)</f>
        <v>8</v>
      </c>
      <c r="D1905" s="102" t="str">
        <f>IFERROR(__xludf.DUMMYFUNCTION("""COMPUTED_VALUE"""),"Barrel")</f>
        <v>Barrel</v>
      </c>
      <c r="E1905" s="102" t="str">
        <f>IFERROR(__xludf.DUMMYFUNCTION("""COMPUTED_VALUE"""),"VLA_SR.part_barrel_02")</f>
        <v>VLA_SR.part_barrel_02</v>
      </c>
      <c r="F1905" s="102"/>
      <c r="G1905" s="102" t="str">
        <f>IFERROR(__xludf.DUMMYFUNCTION("""COMPUTED_VALUE"""),"Vyudazy Barrel, 1780 Damage, 87% ACC, 2.5/s FR, 50% Crit Damage")</f>
        <v>Vyudazy Barrel, 1780 Damage, 87% ACC, 2.5/s FR, 50% Crit Damage</v>
      </c>
      <c r="H1905" s="102"/>
      <c r="I1905" s="102"/>
      <c r="J1905" s="102"/>
      <c r="K1905" s="102"/>
      <c r="L1905" s="102"/>
    </row>
    <row r="1906">
      <c r="A1906" s="102" t="str">
        <f>IFERROR(__xludf.DUMMYFUNCTION("""COMPUTED_VALUE"""),"Vladof")</f>
        <v>Vladof</v>
      </c>
      <c r="B1906" s="102" t="str">
        <f>IFERROR(__xludf.DUMMYFUNCTION("""COMPUTED_VALUE"""),"Sniper")</f>
        <v>Sniper</v>
      </c>
      <c r="C1906" s="103">
        <f>IFERROR(__xludf.DUMMYFUNCTION("""COMPUTED_VALUE"""),9.0)</f>
        <v>9</v>
      </c>
      <c r="D1906" s="102" t="str">
        <f>IFERROR(__xludf.DUMMYFUNCTION("""COMPUTED_VALUE"""),"Manufacturer Part")</f>
        <v>Manufacturer Part</v>
      </c>
      <c r="E1906" s="102" t="str">
        <f>IFERROR(__xludf.DUMMYFUNCTION("""COMPUTED_VALUE"""),"VLA_SR.part_shield_default")</f>
        <v>VLA_SR.part_shield_default</v>
      </c>
      <c r="F1906" s="102"/>
      <c r="G1906" s="102" t="str">
        <f>IFERROR(__xludf.DUMMYFUNCTION("""COMPUTED_VALUE"""),"Hyperion Shield")</f>
        <v>Hyperion Shield</v>
      </c>
      <c r="H1906" s="102"/>
      <c r="I1906" s="102"/>
      <c r="J1906" s="102"/>
      <c r="K1906" s="102"/>
      <c r="L1906" s="102"/>
    </row>
    <row r="1907">
      <c r="A1907" s="102" t="str">
        <f>IFERROR(__xludf.DUMMYFUNCTION("""COMPUTED_VALUE"""),"Vladof")</f>
        <v>Vladof</v>
      </c>
      <c r="B1907" s="102" t="str">
        <f>IFERROR(__xludf.DUMMYFUNCTION("""COMPUTED_VALUE"""),"Sniper")</f>
        <v>Sniper</v>
      </c>
      <c r="C1907" s="103">
        <f>IFERROR(__xludf.DUMMYFUNCTION("""COMPUTED_VALUE"""),10.0)</f>
        <v>10</v>
      </c>
      <c r="D1907" s="102" t="str">
        <f>IFERROR(__xludf.DUMMYFUNCTION("""COMPUTED_VALUE"""),"Manufacturer Part")</f>
        <v>Manufacturer Part</v>
      </c>
      <c r="E1907" s="102" t="str">
        <f>IFERROR(__xludf.DUMMYFUNCTION("""COMPUTED_VALUE"""),"VLA_SR.part_shield_ricochet")</f>
        <v>VLA_SR.part_shield_ricochet</v>
      </c>
      <c r="F1907" s="102"/>
      <c r="G1907" s="102" t="str">
        <f>IFERROR(__xludf.DUMMYFUNCTION("""COMPUTED_VALUE"""),"Hyperion Ricochet Shield")</f>
        <v>Hyperion Ricochet Shield</v>
      </c>
      <c r="H1907" s="102"/>
      <c r="I1907" s="102"/>
      <c r="J1907" s="102"/>
      <c r="K1907" s="102"/>
      <c r="L1907" s="102"/>
    </row>
    <row r="1908">
      <c r="A1908" s="102" t="str">
        <f>IFERROR(__xludf.DUMMYFUNCTION("""COMPUTED_VALUE"""),"Vladof")</f>
        <v>Vladof</v>
      </c>
      <c r="B1908" s="102" t="str">
        <f>IFERROR(__xludf.DUMMYFUNCTION("""COMPUTED_VALUE"""),"Sniper")</f>
        <v>Sniper</v>
      </c>
      <c r="C1908" s="103">
        <f>IFERROR(__xludf.DUMMYFUNCTION("""COMPUTED_VALUE"""),11.0)</f>
        <v>11</v>
      </c>
      <c r="D1908" s="102" t="str">
        <f>IFERROR(__xludf.DUMMYFUNCTION("""COMPUTED_VALUE"""),"Manufacturer Part")</f>
        <v>Manufacturer Part</v>
      </c>
      <c r="E1908" s="102" t="str">
        <f>IFERROR(__xludf.DUMMYFUNCTION("""COMPUTED_VALUE"""),"VLA_SR.part_shield_ammo")</f>
        <v>VLA_SR.part_shield_ammo</v>
      </c>
      <c r="F1908" s="102"/>
      <c r="G1908" s="102" t="str">
        <f>IFERROR(__xludf.DUMMYFUNCTION("""COMPUTED_VALUE"""),"Hyperion Absorb Shield")</f>
        <v>Hyperion Absorb Shield</v>
      </c>
      <c r="H1908" s="102"/>
      <c r="I1908" s="102"/>
      <c r="J1908" s="102"/>
      <c r="K1908" s="102"/>
      <c r="L1908" s="102"/>
    </row>
    <row r="1909">
      <c r="A1909" s="102" t="str">
        <f>IFERROR(__xludf.DUMMYFUNCTION("""COMPUTED_VALUE"""),"Vladof")</f>
        <v>Vladof</v>
      </c>
      <c r="B1909" s="102" t="str">
        <f>IFERROR(__xludf.DUMMYFUNCTION("""COMPUTED_VALUE"""),"Sniper")</f>
        <v>Sniper</v>
      </c>
      <c r="C1909" s="103">
        <f>IFERROR(__xludf.DUMMYFUNCTION("""COMPUTED_VALUE"""),12.0)</f>
        <v>12</v>
      </c>
      <c r="D1909" s="102" t="str">
        <f>IFERROR(__xludf.DUMMYFUNCTION("""COMPUTED_VALUE"""),"Manufacturer Part")</f>
        <v>Manufacturer Part</v>
      </c>
      <c r="E1909" s="102" t="str">
        <f>IFERROR(__xludf.DUMMYFUNCTION("""COMPUTED_VALUE"""),"VLA_SR.part_shield_amp")</f>
        <v>VLA_SR.part_shield_amp</v>
      </c>
      <c r="F1909" s="102"/>
      <c r="G1909" s="102" t="str">
        <f>IFERROR(__xludf.DUMMYFUNCTION("""COMPUTED_VALUE"""),"Hyperion Amp Shield")</f>
        <v>Hyperion Amp Shield</v>
      </c>
      <c r="H1909" s="102"/>
      <c r="I1909" s="102"/>
      <c r="J1909" s="102"/>
      <c r="K1909" s="102"/>
      <c r="L1909" s="102"/>
    </row>
    <row r="1910">
      <c r="A1910" s="102" t="str">
        <f>IFERROR(__xludf.DUMMYFUNCTION("""COMPUTED_VALUE"""),"Vladof")</f>
        <v>Vladof</v>
      </c>
      <c r="B1910" s="102" t="str">
        <f>IFERROR(__xludf.DUMMYFUNCTION("""COMPUTED_VALUE"""),"Sniper")</f>
        <v>Sniper</v>
      </c>
      <c r="C1910" s="103">
        <f>IFERROR(__xludf.DUMMYFUNCTION("""COMPUTED_VALUE"""),13.0)</f>
        <v>13</v>
      </c>
      <c r="D1910" s="102" t="str">
        <f>IFERROR(__xludf.DUMMYFUNCTION("""COMPUTED_VALUE"""),"Magazine")</f>
        <v>Magazine</v>
      </c>
      <c r="E1910" s="102" t="str">
        <f>IFERROR(__xludf.DUMMYFUNCTION("""COMPUTED_VALUE"""),"VLA_SR.part_mag_01")</f>
        <v>VLA_SR.part_mag_01</v>
      </c>
      <c r="F1910" s="102"/>
      <c r="G1910" s="102" t="str">
        <f>IFERROR(__xludf.DUMMYFUNCTION("""COMPUTED_VALUE"""),"3.0s Reload, 12 Shots")</f>
        <v>3.0s Reload, 12 Shots</v>
      </c>
      <c r="H1910" s="102"/>
      <c r="I1910" s="102"/>
      <c r="J1910" s="102"/>
      <c r="K1910" s="102"/>
      <c r="L1910" s="102"/>
    </row>
    <row r="1911">
      <c r="A1911" s="102" t="str">
        <f>IFERROR(__xludf.DUMMYFUNCTION("""COMPUTED_VALUE"""),"Vladof")</f>
        <v>Vladof</v>
      </c>
      <c r="B1911" s="102" t="str">
        <f>IFERROR(__xludf.DUMMYFUNCTION("""COMPUTED_VALUE"""),"Sniper")</f>
        <v>Sniper</v>
      </c>
      <c r="C1911" s="103">
        <f>IFERROR(__xludf.DUMMYFUNCTION("""COMPUTED_VALUE"""),14.0)</f>
        <v>14</v>
      </c>
      <c r="D1911" s="102" t="str">
        <f>IFERROR(__xludf.DUMMYFUNCTION("""COMPUTED_VALUE"""),"Magazine")</f>
        <v>Magazine</v>
      </c>
      <c r="E1911" s="102" t="str">
        <f>IFERROR(__xludf.DUMMYFUNCTION("""COMPUTED_VALUE"""),"VLA_SR.part_mag_02")</f>
        <v>VLA_SR.part_mag_02</v>
      </c>
      <c r="F1911" s="102"/>
      <c r="G1911" s="102" t="str">
        <f>IFERROR(__xludf.DUMMYFUNCTION("""COMPUTED_VALUE"""),"3.6s Reload, 15 Shots")</f>
        <v>3.6s Reload, 15 Shots</v>
      </c>
      <c r="H1911" s="102"/>
      <c r="I1911" s="102"/>
      <c r="J1911" s="102"/>
      <c r="K1911" s="102"/>
      <c r="L1911" s="102"/>
    </row>
    <row r="1912">
      <c r="A1912" s="102" t="str">
        <f>IFERROR(__xludf.DUMMYFUNCTION("""COMPUTED_VALUE"""),"Vladof")</f>
        <v>Vladof</v>
      </c>
      <c r="B1912" s="102" t="str">
        <f>IFERROR(__xludf.DUMMYFUNCTION("""COMPUTED_VALUE"""),"Sniper")</f>
        <v>Sniper</v>
      </c>
      <c r="C1912" s="103">
        <f>IFERROR(__xludf.DUMMYFUNCTION("""COMPUTED_VALUE"""),15.0)</f>
        <v>15</v>
      </c>
      <c r="D1912" s="102" t="str">
        <f>IFERROR(__xludf.DUMMYFUNCTION("""COMPUTED_VALUE"""),"Magazine")</f>
        <v>Magazine</v>
      </c>
      <c r="E1912" s="102" t="str">
        <f>IFERROR(__xludf.DUMMYFUNCTION("""COMPUTED_VALUE"""),"VLA_SR.part_mag_03_tor")</f>
        <v>VLA_SR.part_mag_03_tor</v>
      </c>
      <c r="F1912" s="102"/>
      <c r="G1912" s="102" t="str">
        <f>IFERROR(__xludf.DUMMYFUNCTION("""COMPUTED_VALUE"""),"2.9s Reload, +Damage, -Fire Rate, 9 Shots, Torgue")</f>
        <v>2.9s Reload, +Damage, -Fire Rate, 9 Shots, Torgue</v>
      </c>
      <c r="H1912" s="102"/>
      <c r="I1912" s="102"/>
      <c r="J1912" s="102"/>
      <c r="K1912" s="102"/>
      <c r="L1912" s="102"/>
    </row>
    <row r="1913">
      <c r="A1913" s="102" t="str">
        <f>IFERROR(__xludf.DUMMYFUNCTION("""COMPUTED_VALUE"""),"Vladof")</f>
        <v>Vladof</v>
      </c>
      <c r="B1913" s="102" t="str">
        <f>IFERROR(__xludf.DUMMYFUNCTION("""COMPUTED_VALUE"""),"Sniper")</f>
        <v>Sniper</v>
      </c>
      <c r="C1913" s="103">
        <f>IFERROR(__xludf.DUMMYFUNCTION("""COMPUTED_VALUE"""),16.0)</f>
        <v>16</v>
      </c>
      <c r="D1913" s="102" t="str">
        <f>IFERROR(__xludf.DUMMYFUNCTION("""COMPUTED_VALUE"""),"Magazine")</f>
        <v>Magazine</v>
      </c>
      <c r="E1913" s="102" t="str">
        <f>IFERROR(__xludf.DUMMYFUNCTION("""COMPUTED_VALUE"""),"VLA_SR.part_mag_04_cov")</f>
        <v>VLA_SR.part_mag_04_cov</v>
      </c>
      <c r="F1913" s="102"/>
      <c r="G1913" s="102" t="str">
        <f>IFERROR(__xludf.DUMMYFUNCTION("""COMPUTED_VALUE"""),"4.3s Reload, -Acc, 14 Shots, CoV Mag")</f>
        <v>4.3s Reload, -Acc, 14 Shots, CoV Mag</v>
      </c>
      <c r="H1913" s="102"/>
      <c r="I1913" s="102"/>
      <c r="J1913" s="102"/>
      <c r="K1913" s="102"/>
      <c r="L1913" s="102"/>
    </row>
    <row r="1914">
      <c r="A1914" s="102" t="str">
        <f>IFERROR(__xludf.DUMMYFUNCTION("""COMPUTED_VALUE"""),"Vladof")</f>
        <v>Vladof</v>
      </c>
      <c r="B1914" s="102" t="str">
        <f>IFERROR(__xludf.DUMMYFUNCTION("""COMPUTED_VALUE"""),"Sniper")</f>
        <v>Sniper</v>
      </c>
      <c r="C1914" s="103">
        <f>IFERROR(__xludf.DUMMYFUNCTION("""COMPUTED_VALUE"""),17.0)</f>
        <v>17</v>
      </c>
      <c r="D1914" s="102" t="str">
        <f>IFERROR(__xludf.DUMMYFUNCTION("""COMPUTED_VALUE"""),"Magazine")</f>
        <v>Magazine</v>
      </c>
      <c r="E1914" s="102" t="str">
        <f>IFERROR(__xludf.DUMMYFUNCTION("""COMPUTED_VALUE"""),"VLA_SR.part_mag_05_borg")</f>
        <v>VLA_SR.part_mag_05_borg</v>
      </c>
      <c r="F1914" s="102"/>
      <c r="G1914" s="102" t="str">
        <f>IFERROR(__xludf.DUMMYFUNCTION("""COMPUTED_VALUE"""),"3.6s Reload, -Damage, +Fire Rate, 18 Shots, Ripper Mag")</f>
        <v>3.6s Reload, -Damage, +Fire Rate, 18 Shots, Ripper Mag</v>
      </c>
      <c r="H1914" s="102"/>
      <c r="I1914" s="102"/>
      <c r="J1914" s="102"/>
      <c r="K1914" s="102"/>
      <c r="L1914" s="102"/>
    </row>
    <row r="1915">
      <c r="A1915" s="102" t="str">
        <f>IFERROR(__xludf.DUMMYFUNCTION("""COMPUTED_VALUE"""),"Vladof")</f>
        <v>Vladof</v>
      </c>
      <c r="B1915" s="102" t="str">
        <f>IFERROR(__xludf.DUMMYFUNCTION("""COMPUTED_VALUE"""),"Sniper")</f>
        <v>Sniper</v>
      </c>
      <c r="C1915" s="103">
        <f>IFERROR(__xludf.DUMMYFUNCTION("""COMPUTED_VALUE"""),18.0)</f>
        <v>18</v>
      </c>
      <c r="D1915" s="102" t="str">
        <f>IFERROR(__xludf.DUMMYFUNCTION("""COMPUTED_VALUE"""),"Manufacturer Part")</f>
        <v>Manufacturer Part</v>
      </c>
      <c r="E1915" s="102" t="str">
        <f>IFERROR(__xludf.DUMMYFUNCTION("""COMPUTED_VALUE"""),"VLA_SR.part_mag_torgue_normal")</f>
        <v>VLA_SR.part_mag_torgue_normal</v>
      </c>
      <c r="F1915" s="102"/>
      <c r="G1915" s="102" t="str">
        <f>IFERROR(__xludf.DUMMYFUNCTION("""COMPUTED_VALUE"""),"Torgue Impact Gyrojets")</f>
        <v>Torgue Impact Gyrojets</v>
      </c>
      <c r="H1915" s="102"/>
      <c r="I1915" s="102"/>
      <c r="J1915" s="102"/>
      <c r="K1915" s="102"/>
      <c r="L1915" s="102"/>
    </row>
    <row r="1916">
      <c r="A1916" s="102" t="str">
        <f>IFERROR(__xludf.DUMMYFUNCTION("""COMPUTED_VALUE"""),"Vladof")</f>
        <v>Vladof</v>
      </c>
      <c r="B1916" s="102" t="str">
        <f>IFERROR(__xludf.DUMMYFUNCTION("""COMPUTED_VALUE"""),"Sniper")</f>
        <v>Sniper</v>
      </c>
      <c r="C1916" s="103">
        <f>IFERROR(__xludf.DUMMYFUNCTION("""COMPUTED_VALUE"""),19.0)</f>
        <v>19</v>
      </c>
      <c r="D1916" s="102" t="str">
        <f>IFERROR(__xludf.DUMMYFUNCTION("""COMPUTED_VALUE"""),"Manufacturer Part")</f>
        <v>Manufacturer Part</v>
      </c>
      <c r="E1916" s="102" t="str">
        <f>IFERROR(__xludf.DUMMYFUNCTION("""COMPUTED_VALUE"""),"VLA_SR.part_mag_torgue_sticky")</f>
        <v>VLA_SR.part_mag_torgue_sticky</v>
      </c>
      <c r="F1916" s="102"/>
      <c r="G1916" s="102" t="str">
        <f>IFERROR(__xludf.DUMMYFUNCTION("""COMPUTED_VALUE"""),"Torgue Sticky Gyrojets")</f>
        <v>Torgue Sticky Gyrojets</v>
      </c>
      <c r="H1916" s="102"/>
      <c r="I1916" s="102"/>
      <c r="J1916" s="102"/>
      <c r="K1916" s="102"/>
      <c r="L1916" s="102"/>
    </row>
    <row r="1917">
      <c r="A1917" s="102" t="str">
        <f>IFERROR(__xludf.DUMMYFUNCTION("""COMPUTED_VALUE"""),"Vladof")</f>
        <v>Vladof</v>
      </c>
      <c r="B1917" s="102" t="str">
        <f>IFERROR(__xludf.DUMMYFUNCTION("""COMPUTED_VALUE"""),"Sniper")</f>
        <v>Sniper</v>
      </c>
      <c r="C1917" s="103">
        <f>IFERROR(__xludf.DUMMYFUNCTION("""COMPUTED_VALUE"""),20.0)</f>
        <v>20</v>
      </c>
      <c r="D1917" s="102" t="str">
        <f>IFERROR(__xludf.DUMMYFUNCTION("""COMPUTED_VALUE"""),"Stat Modifier")</f>
        <v>Stat Modifier</v>
      </c>
      <c r="E1917" s="102" t="str">
        <f>IFERROR(__xludf.DUMMYFUNCTION("""COMPUTED_VALUE"""),"VLA_SR.part_mag_ted_thrown_01")</f>
        <v>VLA_SR.part_mag_ted_thrown_01</v>
      </c>
      <c r="F1917" s="102"/>
      <c r="G1917" s="102" t="str">
        <f>IFERROR(__xludf.DUMMYFUNCTION("""COMPUTED_VALUE"""),"2.0s Reload")</f>
        <v>2.0s Reload</v>
      </c>
      <c r="H1917" s="102"/>
      <c r="I1917" s="102"/>
      <c r="J1917" s="102"/>
      <c r="K1917" s="102"/>
      <c r="L1917" s="102"/>
    </row>
    <row r="1918">
      <c r="A1918" s="102" t="str">
        <f>IFERROR(__xludf.DUMMYFUNCTION("""COMPUTED_VALUE"""),"Vladof")</f>
        <v>Vladof</v>
      </c>
      <c r="B1918" s="102" t="str">
        <f>IFERROR(__xludf.DUMMYFUNCTION("""COMPUTED_VALUE"""),"Sniper")</f>
        <v>Sniper</v>
      </c>
      <c r="C1918" s="103">
        <f>IFERROR(__xludf.DUMMYFUNCTION("""COMPUTED_VALUE"""),21.0)</f>
        <v>21</v>
      </c>
      <c r="D1918" s="102" t="str">
        <f>IFERROR(__xludf.DUMMYFUNCTION("""COMPUTED_VALUE"""),"Stat Modifier")</f>
        <v>Stat Modifier</v>
      </c>
      <c r="E1918" s="102" t="str">
        <f>IFERROR(__xludf.DUMMYFUNCTION("""COMPUTED_VALUE"""),"VLA_SR.part_mag_ted_thrown_02")</f>
        <v>VLA_SR.part_mag_ted_thrown_02</v>
      </c>
      <c r="F1918" s="102"/>
      <c r="G1918" s="102" t="str">
        <f>IFERROR(__xludf.DUMMYFUNCTION("""COMPUTED_VALUE"""),"2.0s Reload")</f>
        <v>2.0s Reload</v>
      </c>
      <c r="H1918" s="102"/>
      <c r="I1918" s="102"/>
      <c r="J1918" s="102"/>
      <c r="K1918" s="102"/>
      <c r="L1918" s="102"/>
    </row>
    <row r="1919">
      <c r="A1919" s="102" t="str">
        <f>IFERROR(__xludf.DUMMYFUNCTION("""COMPUTED_VALUE"""),"Vladof")</f>
        <v>Vladof</v>
      </c>
      <c r="B1919" s="102" t="str">
        <f>IFERROR(__xludf.DUMMYFUNCTION("""COMPUTED_VALUE"""),"Sniper")</f>
        <v>Sniper</v>
      </c>
      <c r="C1919" s="103">
        <f>IFERROR(__xludf.DUMMYFUNCTION("""COMPUTED_VALUE"""),22.0)</f>
        <v>22</v>
      </c>
      <c r="D1919" s="102" t="str">
        <f>IFERROR(__xludf.DUMMYFUNCTION("""COMPUTED_VALUE"""),"Stat Modifier")</f>
        <v>Stat Modifier</v>
      </c>
      <c r="E1919" s="102" t="str">
        <f>IFERROR(__xludf.DUMMYFUNCTION("""COMPUTED_VALUE"""),"VLA_SR.part_mag_ted_thrown_03_tor")</f>
        <v>VLA_SR.part_mag_ted_thrown_03_tor</v>
      </c>
      <c r="F1919" s="102"/>
      <c r="G1919" s="102" t="str">
        <f>IFERROR(__xludf.DUMMYFUNCTION("""COMPUTED_VALUE"""),"2.0s Reload")</f>
        <v>2.0s Reload</v>
      </c>
      <c r="H1919" s="102"/>
      <c r="I1919" s="102"/>
      <c r="J1919" s="102"/>
      <c r="K1919" s="102"/>
      <c r="L1919" s="102"/>
    </row>
    <row r="1920">
      <c r="A1920" s="102" t="str">
        <f>IFERROR(__xludf.DUMMYFUNCTION("""COMPUTED_VALUE"""),"Vladof")</f>
        <v>Vladof</v>
      </c>
      <c r="B1920" s="102" t="str">
        <f>IFERROR(__xludf.DUMMYFUNCTION("""COMPUTED_VALUE"""),"Sniper")</f>
        <v>Sniper</v>
      </c>
      <c r="C1920" s="103">
        <f>IFERROR(__xludf.DUMMYFUNCTION("""COMPUTED_VALUE"""),23.0)</f>
        <v>23</v>
      </c>
      <c r="D1920" s="102" t="str">
        <f>IFERROR(__xludf.DUMMYFUNCTION("""COMPUTED_VALUE"""),"Stat Modifier")</f>
        <v>Stat Modifier</v>
      </c>
      <c r="E1920" s="102" t="str">
        <f>IFERROR(__xludf.DUMMYFUNCTION("""COMPUTED_VALUE"""),"VLA_SR.part_mag_ted_thrown_04_cov")</f>
        <v>VLA_SR.part_mag_ted_thrown_04_cov</v>
      </c>
      <c r="F1920" s="102"/>
      <c r="G1920" s="102" t="str">
        <f>IFERROR(__xludf.DUMMYFUNCTION("""COMPUTED_VALUE"""),"3.0s Reload")</f>
        <v>3.0s Reload</v>
      </c>
      <c r="H1920" s="102"/>
      <c r="I1920" s="102"/>
      <c r="J1920" s="102"/>
      <c r="K1920" s="102"/>
      <c r="L1920" s="102"/>
    </row>
    <row r="1921">
      <c r="A1921" s="102" t="str">
        <f>IFERROR(__xludf.DUMMYFUNCTION("""COMPUTED_VALUE"""),"Vladof")</f>
        <v>Vladof</v>
      </c>
      <c r="B1921" s="102" t="str">
        <f>IFERROR(__xludf.DUMMYFUNCTION("""COMPUTED_VALUE"""),"Sniper")</f>
        <v>Sniper</v>
      </c>
      <c r="C1921" s="103">
        <f>IFERROR(__xludf.DUMMYFUNCTION("""COMPUTED_VALUE"""),24.0)</f>
        <v>24</v>
      </c>
      <c r="D1921" s="102" t="str">
        <f>IFERROR(__xludf.DUMMYFUNCTION("""COMPUTED_VALUE"""),"Stat Modifier")</f>
        <v>Stat Modifier</v>
      </c>
      <c r="E1921" s="102" t="str">
        <f>IFERROR(__xludf.DUMMYFUNCTION("""COMPUTED_VALUE"""),"VLA_SR.part_mag_ted_thrown_05_bor")</f>
        <v>VLA_SR.part_mag_ted_thrown_05_bor</v>
      </c>
      <c r="F1921" s="102"/>
      <c r="G1921" s="102" t="str">
        <f>IFERROR(__xludf.DUMMYFUNCTION("""COMPUTED_VALUE"""),"3.0s Reload")</f>
        <v>3.0s Reload</v>
      </c>
      <c r="H1921" s="102"/>
      <c r="I1921" s="102"/>
      <c r="J1921" s="102"/>
      <c r="K1921" s="102"/>
      <c r="L1921" s="102"/>
    </row>
    <row r="1922">
      <c r="A1922" s="102" t="str">
        <f>IFERROR(__xludf.DUMMYFUNCTION("""COMPUTED_VALUE"""),"Vladof")</f>
        <v>Vladof</v>
      </c>
      <c r="B1922" s="102" t="str">
        <f>IFERROR(__xludf.DUMMYFUNCTION("""COMPUTED_VALUE"""),"Sniper")</f>
        <v>Sniper</v>
      </c>
      <c r="C1922" s="103">
        <f>IFERROR(__xludf.DUMMYFUNCTION("""COMPUTED_VALUE"""),25.0)</f>
        <v>25</v>
      </c>
      <c r="D1922" s="102" t="str">
        <f>IFERROR(__xludf.DUMMYFUNCTION("""COMPUTED_VALUE"""),"Manufacturer Part")</f>
        <v>Manufacturer Part</v>
      </c>
      <c r="E1922" s="102" t="str">
        <f>IFERROR(__xludf.DUMMYFUNCTION("""COMPUTED_VALUE"""),"VLA_SR.part_barrel_licensed_jak")</f>
        <v>VLA_SR.part_barrel_licensed_jak</v>
      </c>
      <c r="F1922" s="102"/>
      <c r="G1922" s="102" t="str">
        <f>IFERROR(__xludf.DUMMYFUNCTION("""COMPUTED_VALUE"""),"Jakobs Ricochet")</f>
        <v>Jakobs Ricochet</v>
      </c>
      <c r="H1922" s="102"/>
      <c r="I1922" s="102"/>
      <c r="J1922" s="102"/>
      <c r="K1922" s="102"/>
      <c r="L1922" s="102"/>
    </row>
    <row r="1923">
      <c r="A1923" s="102" t="str">
        <f>IFERROR(__xludf.DUMMYFUNCTION("""COMPUTED_VALUE"""),"Vladof")</f>
        <v>Vladof</v>
      </c>
      <c r="B1923" s="102" t="str">
        <f>IFERROR(__xludf.DUMMYFUNCTION("""COMPUTED_VALUE"""),"Sniper")</f>
        <v>Sniper</v>
      </c>
      <c r="C1923" s="103">
        <f>IFERROR(__xludf.DUMMYFUNCTION("""COMPUTED_VALUE"""),26.0)</f>
        <v>26</v>
      </c>
      <c r="D1923" s="102" t="str">
        <f>IFERROR(__xludf.DUMMYFUNCTION("""COMPUTED_VALUE"""),"Scope")</f>
        <v>Scope</v>
      </c>
      <c r="E1923" s="102" t="str">
        <f>IFERROR(__xludf.DUMMYFUNCTION("""COMPUTED_VALUE"""),"VLA_SR.part_scope_ironsight")</f>
        <v>VLA_SR.part_scope_ironsight</v>
      </c>
      <c r="F1923" s="102"/>
      <c r="G1923" s="102" t="str">
        <f>IFERROR(__xludf.DUMMYFUNCTION("""COMPUTED_VALUE"""),"ADS +Zoom")</f>
        <v>ADS +Zoom</v>
      </c>
      <c r="H1923" s="102"/>
      <c r="I1923" s="102"/>
      <c r="J1923" s="102"/>
      <c r="K1923" s="102"/>
      <c r="L1923" s="102"/>
    </row>
    <row r="1924">
      <c r="A1924" s="102" t="str">
        <f>IFERROR(__xludf.DUMMYFUNCTION("""COMPUTED_VALUE"""),"Vladof")</f>
        <v>Vladof</v>
      </c>
      <c r="B1924" s="102" t="str">
        <f>IFERROR(__xludf.DUMMYFUNCTION("""COMPUTED_VALUE"""),"Sniper")</f>
        <v>Sniper</v>
      </c>
      <c r="C1924" s="103">
        <f>IFERROR(__xludf.DUMMYFUNCTION("""COMPUTED_VALUE"""),27.0)</f>
        <v>27</v>
      </c>
      <c r="D1924" s="102" t="str">
        <f>IFERROR(__xludf.DUMMYFUNCTION("""COMPUTED_VALUE"""),"Scope")</f>
        <v>Scope</v>
      </c>
      <c r="E1924" s="102" t="str">
        <f>IFERROR(__xludf.DUMMYFUNCTION("""COMPUTED_VALUE"""),"VLA_SR.part_scope_01_lens_01")</f>
        <v>VLA_SR.part_scope_01_lens_01</v>
      </c>
      <c r="F1924" s="102"/>
      <c r="G1924" s="102" t="str">
        <f>IFERROR(__xludf.DUMMYFUNCTION("""COMPUTED_VALUE"""),"ADS ++Zoom")</f>
        <v>ADS ++Zoom</v>
      </c>
      <c r="H1924" s="102"/>
      <c r="I1924" s="102"/>
      <c r="J1924" s="102"/>
      <c r="K1924" s="102"/>
      <c r="L1924" s="102"/>
    </row>
    <row r="1925">
      <c r="A1925" s="102" t="str">
        <f>IFERROR(__xludf.DUMMYFUNCTION("""COMPUTED_VALUE"""),"Vladof")</f>
        <v>Vladof</v>
      </c>
      <c r="B1925" s="102" t="str">
        <f>IFERROR(__xludf.DUMMYFUNCTION("""COMPUTED_VALUE"""),"Sniper")</f>
        <v>Sniper</v>
      </c>
      <c r="C1925" s="103">
        <f>IFERROR(__xludf.DUMMYFUNCTION("""COMPUTED_VALUE"""),28.0)</f>
        <v>28</v>
      </c>
      <c r="D1925" s="102" t="str">
        <f>IFERROR(__xludf.DUMMYFUNCTION("""COMPUTED_VALUE"""),"Scope")</f>
        <v>Scope</v>
      </c>
      <c r="E1925" s="102" t="str">
        <f>IFERROR(__xludf.DUMMYFUNCTION("""COMPUTED_VALUE"""),"VLA_SR.part_scope_01_lens_02")</f>
        <v>VLA_SR.part_scope_01_lens_02</v>
      </c>
      <c r="F1925" s="102"/>
      <c r="G1925" s="102" t="str">
        <f>IFERROR(__xludf.DUMMYFUNCTION("""COMPUTED_VALUE"""),"ADS ++Zoom")</f>
        <v>ADS ++Zoom</v>
      </c>
      <c r="H1925" s="102"/>
      <c r="I1925" s="102"/>
      <c r="J1925" s="102"/>
      <c r="K1925" s="102"/>
      <c r="L1925" s="102"/>
    </row>
    <row r="1926">
      <c r="A1926" s="102" t="str">
        <f>IFERROR(__xludf.DUMMYFUNCTION("""COMPUTED_VALUE"""),"Vladof")</f>
        <v>Vladof</v>
      </c>
      <c r="B1926" s="102" t="str">
        <f>IFERROR(__xludf.DUMMYFUNCTION("""COMPUTED_VALUE"""),"Sniper")</f>
        <v>Sniper</v>
      </c>
      <c r="C1926" s="103">
        <f>IFERROR(__xludf.DUMMYFUNCTION("""COMPUTED_VALUE"""),29.0)</f>
        <v>29</v>
      </c>
      <c r="D1926" s="102" t="str">
        <f>IFERROR(__xludf.DUMMYFUNCTION("""COMPUTED_VALUE"""),"Scope")</f>
        <v>Scope</v>
      </c>
      <c r="E1926" s="102" t="str">
        <f>IFERROR(__xludf.DUMMYFUNCTION("""COMPUTED_VALUE"""),"VLA_SR.part_scope_02_lens_01")</f>
        <v>VLA_SR.part_scope_02_lens_01</v>
      </c>
      <c r="F1926" s="102"/>
      <c r="G1926" s="102" t="str">
        <f>IFERROR(__xludf.DUMMYFUNCTION("""COMPUTED_VALUE"""),"ADS +++Zoom")</f>
        <v>ADS +++Zoom</v>
      </c>
      <c r="H1926" s="102"/>
      <c r="I1926" s="102"/>
      <c r="J1926" s="102"/>
      <c r="K1926" s="102"/>
      <c r="L1926" s="102"/>
    </row>
    <row r="1927">
      <c r="A1927" s="102" t="str">
        <f>IFERROR(__xludf.DUMMYFUNCTION("""COMPUTED_VALUE"""),"Vladof")</f>
        <v>Vladof</v>
      </c>
      <c r="B1927" s="102" t="str">
        <f>IFERROR(__xludf.DUMMYFUNCTION("""COMPUTED_VALUE"""),"Sniper")</f>
        <v>Sniper</v>
      </c>
      <c r="C1927" s="103">
        <f>IFERROR(__xludf.DUMMYFUNCTION("""COMPUTED_VALUE"""),30.0)</f>
        <v>30</v>
      </c>
      <c r="D1927" s="102" t="str">
        <f>IFERROR(__xludf.DUMMYFUNCTION("""COMPUTED_VALUE"""),"Scope")</f>
        <v>Scope</v>
      </c>
      <c r="E1927" s="102" t="str">
        <f>IFERROR(__xludf.DUMMYFUNCTION("""COMPUTED_VALUE"""),"VLA_SR.part_scope_02_lens_02")</f>
        <v>VLA_SR.part_scope_02_lens_02</v>
      </c>
      <c r="F1927" s="102"/>
      <c r="G1927" s="102" t="str">
        <f>IFERROR(__xludf.DUMMYFUNCTION("""COMPUTED_VALUE"""),"ADS +++Zoom")</f>
        <v>ADS +++Zoom</v>
      </c>
      <c r="H1927" s="102"/>
      <c r="I1927" s="102"/>
      <c r="J1927" s="102"/>
      <c r="K1927" s="102"/>
      <c r="L1927" s="102"/>
    </row>
    <row r="1928">
      <c r="A1928" s="102" t="str">
        <f>IFERROR(__xludf.DUMMYFUNCTION("""COMPUTED_VALUE"""),"Vladof")</f>
        <v>Vladof</v>
      </c>
      <c r="B1928" s="102" t="str">
        <f>IFERROR(__xludf.DUMMYFUNCTION("""COMPUTED_VALUE"""),"Sniper")</f>
        <v>Sniper</v>
      </c>
      <c r="C1928" s="103">
        <f>IFERROR(__xludf.DUMMYFUNCTION("""COMPUTED_VALUE"""),31.0)</f>
        <v>31</v>
      </c>
      <c r="D1928" s="102" t="str">
        <f>IFERROR(__xludf.DUMMYFUNCTION("""COMPUTED_VALUE"""),"Scope Accessory")</f>
        <v>Scope Accessory</v>
      </c>
      <c r="E1928" s="102" t="str">
        <f>IFERROR(__xludf.DUMMYFUNCTION("""COMPUTED_VALUE"""),"VLA_SR.part_scope_acc_s01_l01_a")</f>
        <v>VLA_SR.part_scope_acc_s01_l01_a</v>
      </c>
      <c r="F1928" s="102"/>
      <c r="G1928" s="102" t="str">
        <f>IFERROR(__xludf.DUMMYFUNCTION("""COMPUTED_VALUE"""),"+Damage")</f>
        <v>+Damage</v>
      </c>
      <c r="H1928" s="102" t="str">
        <f>IFERROR(__xludf.DUMMYFUNCTION("""COMPUTED_VALUE"""),"Bullet Drop Gauge")</f>
        <v>Bullet Drop Gauge</v>
      </c>
      <c r="I1928" s="102"/>
      <c r="J1928" s="102"/>
      <c r="K1928" s="102"/>
      <c r="L1928" s="102"/>
    </row>
    <row r="1929">
      <c r="A1929" s="102" t="str">
        <f>IFERROR(__xludf.DUMMYFUNCTION("""COMPUTED_VALUE"""),"Vladof")</f>
        <v>Vladof</v>
      </c>
      <c r="B1929" s="102" t="str">
        <f>IFERROR(__xludf.DUMMYFUNCTION("""COMPUTED_VALUE"""),"Sniper")</f>
        <v>Sniper</v>
      </c>
      <c r="C1929" s="103">
        <f>IFERROR(__xludf.DUMMYFUNCTION("""COMPUTED_VALUE"""),32.0)</f>
        <v>32</v>
      </c>
      <c r="D1929" s="102" t="str">
        <f>IFERROR(__xludf.DUMMYFUNCTION("""COMPUTED_VALUE"""),"Scope Accessory")</f>
        <v>Scope Accessory</v>
      </c>
      <c r="E1929" s="102" t="str">
        <f>IFERROR(__xludf.DUMMYFUNCTION("""COMPUTED_VALUE"""),"VLA_SR.part_scope_acc_s01_l01_b")</f>
        <v>VLA_SR.part_scope_acc_s01_l01_b</v>
      </c>
      <c r="F1929" s="102"/>
      <c r="G1929" s="102" t="str">
        <f>IFERROR(__xludf.DUMMYFUNCTION("""COMPUTED_VALUE"""),"-Reload Speed")</f>
        <v>-Reload Speed</v>
      </c>
      <c r="H1929" s="102" t="str">
        <f>IFERROR(__xludf.DUMMYFUNCTION("""COMPUTED_VALUE"""),"HUD Elements")</f>
        <v>HUD Elements</v>
      </c>
      <c r="I1929" s="102"/>
      <c r="J1929" s="102"/>
      <c r="K1929" s="102"/>
      <c r="L1929" s="102"/>
    </row>
    <row r="1930">
      <c r="A1930" s="102" t="str">
        <f>IFERROR(__xludf.DUMMYFUNCTION("""COMPUTED_VALUE"""),"Vladof")</f>
        <v>Vladof</v>
      </c>
      <c r="B1930" s="102" t="str">
        <f>IFERROR(__xludf.DUMMYFUNCTION("""COMPUTED_VALUE"""),"Sniper")</f>
        <v>Sniper</v>
      </c>
      <c r="C1930" s="103">
        <f>IFERROR(__xludf.DUMMYFUNCTION("""COMPUTED_VALUE"""),33.0)</f>
        <v>33</v>
      </c>
      <c r="D1930" s="102" t="str">
        <f>IFERROR(__xludf.DUMMYFUNCTION("""COMPUTED_VALUE"""),"Scope Accessory")</f>
        <v>Scope Accessory</v>
      </c>
      <c r="E1930" s="102" t="str">
        <f>IFERROR(__xludf.DUMMYFUNCTION("""COMPUTED_VALUE"""),"VLA_SR.part_scope_acc_s02_l01_a")</f>
        <v>VLA_SR.part_scope_acc_s02_l01_a</v>
      </c>
      <c r="F1930" s="102"/>
      <c r="G1930" s="102" t="str">
        <f>IFERROR(__xludf.DUMMYFUNCTION("""COMPUTED_VALUE"""),"No Stat Changes")</f>
        <v>No Stat Changes</v>
      </c>
      <c r="H1930" s="102" t="str">
        <f>IFERROR(__xludf.DUMMYFUNCTION("""COMPUTED_VALUE"""),"Bullet Drop Gauge")</f>
        <v>Bullet Drop Gauge</v>
      </c>
      <c r="I1930" s="102"/>
      <c r="J1930" s="102"/>
      <c r="K1930" s="102"/>
      <c r="L1930" s="102"/>
    </row>
    <row r="1931">
      <c r="A1931" s="102" t="str">
        <f>IFERROR(__xludf.DUMMYFUNCTION("""COMPUTED_VALUE"""),"Vladof")</f>
        <v>Vladof</v>
      </c>
      <c r="B1931" s="102" t="str">
        <f>IFERROR(__xludf.DUMMYFUNCTION("""COMPUTED_VALUE"""),"Sniper")</f>
        <v>Sniper</v>
      </c>
      <c r="C1931" s="103">
        <f>IFERROR(__xludf.DUMMYFUNCTION("""COMPUTED_VALUE"""),34.0)</f>
        <v>34</v>
      </c>
      <c r="D1931" s="102" t="str">
        <f>IFERROR(__xludf.DUMMYFUNCTION("""COMPUTED_VALUE"""),"Scope Accessory")</f>
        <v>Scope Accessory</v>
      </c>
      <c r="E1931" s="102" t="str">
        <f>IFERROR(__xludf.DUMMYFUNCTION("""COMPUTED_VALUE"""),"VLA_SR.part_scope_acc_s02_l01_b")</f>
        <v>VLA_SR.part_scope_acc_s02_l01_b</v>
      </c>
      <c r="F1931" s="102"/>
      <c r="G1931" s="102" t="str">
        <f>IFERROR(__xludf.DUMMYFUNCTION("""COMPUTED_VALUE"""),"+Ammo")</f>
        <v>+Ammo</v>
      </c>
      <c r="H1931" s="102" t="str">
        <f>IFERROR(__xludf.DUMMYFUNCTION("""COMPUTED_VALUE"""),"HUD Elements")</f>
        <v>HUD Elements</v>
      </c>
      <c r="I1931" s="102"/>
      <c r="J1931" s="102"/>
      <c r="K1931" s="102"/>
      <c r="L1931" s="102"/>
    </row>
    <row r="1932">
      <c r="A1932" s="102" t="str">
        <f>IFERROR(__xludf.DUMMYFUNCTION("""COMPUTED_VALUE"""),"Vladof")</f>
        <v>Vladof</v>
      </c>
      <c r="B1932" s="102" t="str">
        <f>IFERROR(__xludf.DUMMYFUNCTION("""COMPUTED_VALUE"""),"Sniper")</f>
        <v>Sniper</v>
      </c>
      <c r="C1932" s="103">
        <f>IFERROR(__xludf.DUMMYFUNCTION("""COMPUTED_VALUE"""),35.0)</f>
        <v>35</v>
      </c>
      <c r="D1932" s="102" t="str">
        <f>IFERROR(__xludf.DUMMYFUNCTION("""COMPUTED_VALUE"""),"Scope Accessory")</f>
        <v>Scope Accessory</v>
      </c>
      <c r="E1932" s="102" t="str">
        <f>IFERROR(__xludf.DUMMYFUNCTION("""COMPUTED_VALUE"""),"VLA_SR.part_scope_acc_s01_l02_a")</f>
        <v>VLA_SR.part_scope_acc_s01_l02_a</v>
      </c>
      <c r="F1932" s="102"/>
      <c r="G1932" s="102" t="str">
        <f>IFERROR(__xludf.DUMMYFUNCTION("""COMPUTED_VALUE"""),"+Damage")</f>
        <v>+Damage</v>
      </c>
      <c r="H1932" s="102" t="str">
        <f>IFERROR(__xludf.DUMMYFUNCTION("""COMPUTED_VALUE"""),"HUD Elements")</f>
        <v>HUD Elements</v>
      </c>
      <c r="I1932" s="102"/>
      <c r="J1932" s="102"/>
      <c r="K1932" s="102"/>
      <c r="L1932" s="102"/>
    </row>
    <row r="1933">
      <c r="A1933" s="102" t="str">
        <f>IFERROR(__xludf.DUMMYFUNCTION("""COMPUTED_VALUE"""),"Vladof")</f>
        <v>Vladof</v>
      </c>
      <c r="B1933" s="102" t="str">
        <f>IFERROR(__xludf.DUMMYFUNCTION("""COMPUTED_VALUE"""),"Sniper")</f>
        <v>Sniper</v>
      </c>
      <c r="C1933" s="103">
        <f>IFERROR(__xludf.DUMMYFUNCTION("""COMPUTED_VALUE"""),36.0)</f>
        <v>36</v>
      </c>
      <c r="D1933" s="102" t="str">
        <f>IFERROR(__xludf.DUMMYFUNCTION("""COMPUTED_VALUE"""),"Scope Accessory")</f>
        <v>Scope Accessory</v>
      </c>
      <c r="E1933" s="102" t="str">
        <f>IFERROR(__xludf.DUMMYFUNCTION("""COMPUTED_VALUE"""),"VLA_SR.part_scope_acc_s01_l02_b")</f>
        <v>VLA_SR.part_scope_acc_s01_l02_b</v>
      </c>
      <c r="F1933" s="102"/>
      <c r="G1933" s="102" t="str">
        <f>IFERROR(__xludf.DUMMYFUNCTION("""COMPUTED_VALUE"""),"-Reload Speed")</f>
        <v>-Reload Speed</v>
      </c>
      <c r="H1933" s="102" t="str">
        <f>IFERROR(__xludf.DUMMYFUNCTION("""COMPUTED_VALUE"""),"Distance, Compass")</f>
        <v>Distance, Compass</v>
      </c>
      <c r="I1933" s="102"/>
      <c r="J1933" s="102"/>
      <c r="K1933" s="102"/>
      <c r="L1933" s="102"/>
    </row>
    <row r="1934">
      <c r="A1934" s="102" t="str">
        <f>IFERROR(__xludf.DUMMYFUNCTION("""COMPUTED_VALUE"""),"Vladof")</f>
        <v>Vladof</v>
      </c>
      <c r="B1934" s="102" t="str">
        <f>IFERROR(__xludf.DUMMYFUNCTION("""COMPUTED_VALUE"""),"Sniper")</f>
        <v>Sniper</v>
      </c>
      <c r="C1934" s="103">
        <f>IFERROR(__xludf.DUMMYFUNCTION("""COMPUTED_VALUE"""),37.0)</f>
        <v>37</v>
      </c>
      <c r="D1934" s="102" t="str">
        <f>IFERROR(__xludf.DUMMYFUNCTION("""COMPUTED_VALUE"""),"Scope Accessory")</f>
        <v>Scope Accessory</v>
      </c>
      <c r="E1934" s="102" t="str">
        <f>IFERROR(__xludf.DUMMYFUNCTION("""COMPUTED_VALUE"""),"VLA_SR.part_scope_acc_s02_l02_a")</f>
        <v>VLA_SR.part_scope_acc_s02_l02_a</v>
      </c>
      <c r="F1934" s="102"/>
      <c r="G1934" s="102" t="str">
        <f>IFERROR(__xludf.DUMMYFUNCTION("""COMPUTED_VALUE"""),"No Stat Changes")</f>
        <v>No Stat Changes</v>
      </c>
      <c r="H1934" s="102" t="str">
        <f>IFERROR(__xludf.DUMMYFUNCTION("""COMPUTED_VALUE"""),"Bullet Drop Gauge")</f>
        <v>Bullet Drop Gauge</v>
      </c>
      <c r="I1934" s="102"/>
      <c r="J1934" s="102"/>
      <c r="K1934" s="102"/>
      <c r="L1934" s="102"/>
    </row>
    <row r="1935">
      <c r="A1935" s="102" t="str">
        <f>IFERROR(__xludf.DUMMYFUNCTION("""COMPUTED_VALUE"""),"Vladof")</f>
        <v>Vladof</v>
      </c>
      <c r="B1935" s="102" t="str">
        <f>IFERROR(__xludf.DUMMYFUNCTION("""COMPUTED_VALUE"""),"Sniper")</f>
        <v>Sniper</v>
      </c>
      <c r="C1935" s="103">
        <f>IFERROR(__xludf.DUMMYFUNCTION("""COMPUTED_VALUE"""),38.0)</f>
        <v>38</v>
      </c>
      <c r="D1935" s="102" t="str">
        <f>IFERROR(__xludf.DUMMYFUNCTION("""COMPUTED_VALUE"""),"Scope Accessory")</f>
        <v>Scope Accessory</v>
      </c>
      <c r="E1935" s="102" t="str">
        <f>IFERROR(__xludf.DUMMYFUNCTION("""COMPUTED_VALUE"""),"VLA_SR.part_scope_acc_s02_l02_b")</f>
        <v>VLA_SR.part_scope_acc_s02_l02_b</v>
      </c>
      <c r="F1935" s="102"/>
      <c r="G1935" s="102" t="str">
        <f>IFERROR(__xludf.DUMMYFUNCTION("""COMPUTED_VALUE"""),"+Ammo")</f>
        <v>+Ammo</v>
      </c>
      <c r="H1935" s="102" t="str">
        <f>IFERROR(__xludf.DUMMYFUNCTION("""COMPUTED_VALUE"""),"Distance, Compass")</f>
        <v>Distance, Compass</v>
      </c>
      <c r="I1935" s="102"/>
      <c r="J1935" s="102"/>
      <c r="K1935" s="102"/>
      <c r="L1935" s="102"/>
    </row>
    <row r="1936">
      <c r="A1936" s="102" t="str">
        <f>IFERROR(__xludf.DUMMYFUNCTION("""COMPUTED_VALUE"""),"Vladof")</f>
        <v>Vladof</v>
      </c>
      <c r="B1936" s="102" t="str">
        <f>IFERROR(__xludf.DUMMYFUNCTION("""COMPUTED_VALUE"""),"Sniper")</f>
        <v>Sniper</v>
      </c>
      <c r="C1936" s="103">
        <f>IFERROR(__xludf.DUMMYFUNCTION("""COMPUTED_VALUE"""),39.0)</f>
        <v>39</v>
      </c>
      <c r="D1936" s="102" t="str">
        <f>IFERROR(__xludf.DUMMYFUNCTION("""COMPUTED_VALUE"""),"Grip")</f>
        <v>Grip</v>
      </c>
      <c r="E1936" s="102" t="str">
        <f>IFERROR(__xludf.DUMMYFUNCTION("""COMPUTED_VALUE"""),"VLA_SR.part_grip_05b_ted_homing")</f>
        <v>VLA_SR.part_grip_05b_ted_homing</v>
      </c>
      <c r="F1936" s="102"/>
      <c r="G1936" s="102" t="str">
        <f>IFERROR(__xludf.DUMMYFUNCTION("""COMPUTED_VALUE"""),"Tediore reload modifier: Homing, no stat changes")</f>
        <v>Tediore reload modifier: Homing, no stat changes</v>
      </c>
      <c r="H1936" s="102"/>
      <c r="I1936" s="102"/>
      <c r="J1936" s="102"/>
      <c r="K1936" s="102"/>
      <c r="L1936" s="102"/>
    </row>
    <row r="1937">
      <c r="A1937" s="102" t="str">
        <f>IFERROR(__xludf.DUMMYFUNCTION("""COMPUTED_VALUE"""),"Vladof")</f>
        <v>Vladof</v>
      </c>
      <c r="B1937" s="102" t="str">
        <f>IFERROR(__xludf.DUMMYFUNCTION("""COMPUTED_VALUE"""),"Sniper")</f>
        <v>Sniper</v>
      </c>
      <c r="C1937" s="103">
        <f>IFERROR(__xludf.DUMMYFUNCTION("""COMPUTED_VALUE"""),40.0)</f>
        <v>40</v>
      </c>
      <c r="D1937" s="102" t="str">
        <f>IFERROR(__xludf.DUMMYFUNCTION("""COMPUTED_VALUE"""),"Grip")</f>
        <v>Grip</v>
      </c>
      <c r="E1937" s="102" t="str">
        <f>IFERROR(__xludf.DUMMYFUNCTION("""COMPUTED_VALUE"""),"VLA_SR.part_grip_05a_ted_legs")</f>
        <v>VLA_SR.part_grip_05a_ted_legs</v>
      </c>
      <c r="F1937" s="102"/>
      <c r="G1937" s="102" t="str">
        <f>IFERROR(__xludf.DUMMYFUNCTION("""COMPUTED_VALUE"""),"Tediore reload modifier: Legs, no stat changes")</f>
        <v>Tediore reload modifier: Legs, no stat changes</v>
      </c>
      <c r="H1937" s="102"/>
      <c r="I1937" s="102"/>
      <c r="J1937" s="102"/>
      <c r="K1937" s="102"/>
      <c r="L1937" s="102"/>
    </row>
    <row r="1938">
      <c r="A1938" s="102" t="str">
        <f>IFERROR(__xludf.DUMMYFUNCTION("""COMPUTED_VALUE"""),"Vladof")</f>
        <v>Vladof</v>
      </c>
      <c r="B1938" s="102" t="str">
        <f>IFERROR(__xludf.DUMMYFUNCTION("""COMPUTED_VALUE"""),"Sniper")</f>
        <v>Sniper</v>
      </c>
      <c r="C1938" s="103">
        <f>IFERROR(__xludf.DUMMYFUNCTION("""COMPUTED_VALUE"""),41.0)</f>
        <v>41</v>
      </c>
      <c r="D1938" s="102" t="str">
        <f>IFERROR(__xludf.DUMMYFUNCTION("""COMPUTED_VALUE"""),"Grip")</f>
        <v>Grip</v>
      </c>
      <c r="E1938" s="102" t="str">
        <f>IFERROR(__xludf.DUMMYFUNCTION("""COMPUTED_VALUE"""),"VLA_SR.part_grip_04_hyp")</f>
        <v>VLA_SR.part_grip_04_hyp</v>
      </c>
      <c r="F1938" s="102"/>
      <c r="G1938" s="102" t="str">
        <f>IFERROR(__xludf.DUMMYFUNCTION("""COMPUTED_VALUE"""),"Hyperion Grip, -Acc, Acc increases with continuous fire")</f>
        <v>Hyperion Grip, -Acc, Acc increases with continuous fire</v>
      </c>
      <c r="H1938" s="102"/>
      <c r="I1938" s="102"/>
      <c r="J1938" s="102"/>
      <c r="K1938" s="102"/>
      <c r="L1938" s="102"/>
    </row>
    <row r="1939">
      <c r="A1939" s="102" t="str">
        <f>IFERROR(__xludf.DUMMYFUNCTION("""COMPUTED_VALUE"""),"Vladof")</f>
        <v>Vladof</v>
      </c>
      <c r="B1939" s="102" t="str">
        <f>IFERROR(__xludf.DUMMYFUNCTION("""COMPUTED_VALUE"""),"Sniper")</f>
        <v>Sniper</v>
      </c>
      <c r="C1939" s="103">
        <f>IFERROR(__xludf.DUMMYFUNCTION("""COMPUTED_VALUE"""),42.0)</f>
        <v>42</v>
      </c>
      <c r="D1939" s="102" t="str">
        <f>IFERROR(__xludf.DUMMYFUNCTION("""COMPUTED_VALUE"""),"Grip")</f>
        <v>Grip</v>
      </c>
      <c r="E1939" s="102" t="str">
        <f>IFERROR(__xludf.DUMMYFUNCTION("""COMPUTED_VALUE"""),"VLA_SR.part_grip_01")</f>
        <v>VLA_SR.part_grip_01</v>
      </c>
      <c r="F1939" s="102"/>
      <c r="G1939" s="102" t="str">
        <f>IFERROR(__xludf.DUMMYFUNCTION("""COMPUTED_VALUE"""),"+Damage")</f>
        <v>+Damage</v>
      </c>
      <c r="H1939" s="102"/>
      <c r="I1939" s="102"/>
      <c r="J1939" s="102"/>
      <c r="K1939" s="102"/>
      <c r="L1939" s="102"/>
    </row>
    <row r="1940">
      <c r="A1940" s="102" t="str">
        <f>IFERROR(__xludf.DUMMYFUNCTION("""COMPUTED_VALUE"""),"Vladof")</f>
        <v>Vladof</v>
      </c>
      <c r="B1940" s="102" t="str">
        <f>IFERROR(__xludf.DUMMYFUNCTION("""COMPUTED_VALUE"""),"Sniper")</f>
        <v>Sniper</v>
      </c>
      <c r="C1940" s="103">
        <f>IFERROR(__xludf.DUMMYFUNCTION("""COMPUTED_VALUE"""),43.0)</f>
        <v>43</v>
      </c>
      <c r="D1940" s="102" t="str">
        <f>IFERROR(__xludf.DUMMYFUNCTION("""COMPUTED_VALUE"""),"Grip")</f>
        <v>Grip</v>
      </c>
      <c r="E1940" s="102" t="str">
        <f>IFERROR(__xludf.DUMMYFUNCTION("""COMPUTED_VALUE"""),"VLA_SR.part_grip_02")</f>
        <v>VLA_SR.part_grip_02</v>
      </c>
      <c r="F1940" s="102"/>
      <c r="G1940" s="102" t="str">
        <f>IFERROR(__xludf.DUMMYFUNCTION("""COMPUTED_VALUE"""),"+Fire Rate")</f>
        <v>+Fire Rate</v>
      </c>
      <c r="H1940" s="102"/>
      <c r="I1940" s="102"/>
      <c r="J1940" s="102"/>
      <c r="K1940" s="102"/>
      <c r="L1940" s="102"/>
    </row>
    <row r="1941">
      <c r="A1941" s="102" t="str">
        <f>IFERROR(__xludf.DUMMYFUNCTION("""COMPUTED_VALUE"""),"Vladof")</f>
        <v>Vladof</v>
      </c>
      <c r="B1941" s="102" t="str">
        <f>IFERROR(__xludf.DUMMYFUNCTION("""COMPUTED_VALUE"""),"Sniper")</f>
        <v>Sniper</v>
      </c>
      <c r="C1941" s="103">
        <f>IFERROR(__xludf.DUMMYFUNCTION("""COMPUTED_VALUE"""),44.0)</f>
        <v>44</v>
      </c>
      <c r="D1941" s="102" t="str">
        <f>IFERROR(__xludf.DUMMYFUNCTION("""COMPUTED_VALUE"""),"Grip")</f>
        <v>Grip</v>
      </c>
      <c r="E1941" s="102" t="str">
        <f>IFERROR(__xludf.DUMMYFUNCTION("""COMPUTED_VALUE"""),"VLA_SR.part_grip_03")</f>
        <v>VLA_SR.part_grip_03</v>
      </c>
      <c r="F1941" s="102"/>
      <c r="G1941" s="102" t="str">
        <f>IFERROR(__xludf.DUMMYFUNCTION("""COMPUTED_VALUE"""),"-Reload Speed")</f>
        <v>-Reload Speed</v>
      </c>
      <c r="H1941" s="102"/>
      <c r="I1941" s="102"/>
      <c r="J1941" s="102"/>
      <c r="K1941" s="102"/>
      <c r="L1941" s="102"/>
    </row>
    <row r="1942">
      <c r="A1942" s="102" t="str">
        <f>IFERROR(__xludf.DUMMYFUNCTION("""COMPUTED_VALUE"""),"Vladof")</f>
        <v>Vladof</v>
      </c>
      <c r="B1942" s="102" t="str">
        <f>IFERROR(__xludf.DUMMYFUNCTION("""COMPUTED_VALUE"""),"Sniper")</f>
        <v>Sniper</v>
      </c>
      <c r="C1942" s="103">
        <f>IFERROR(__xludf.DUMMYFUNCTION("""COMPUTED_VALUE"""),45.0)</f>
        <v>45</v>
      </c>
      <c r="D1942" s="102" t="str">
        <f>IFERROR(__xludf.DUMMYFUNCTION("""COMPUTED_VALUE"""),"Underbarrel")</f>
        <v>Underbarrel</v>
      </c>
      <c r="E1942" s="102" t="str">
        <f>IFERROR(__xludf.DUMMYFUNCTION("""COMPUTED_VALUE"""),"VLA_SR.part_underbarrel_06_malswitch")</f>
        <v>VLA_SR.part_underbarrel_06_malswitch</v>
      </c>
      <c r="F1942" s="102"/>
      <c r="G1942" s="102" t="str">
        <f>IFERROR(__xludf.DUMMYFUNCTION("""COMPUTED_VALUE"""),"Maliwan Element Switch")</f>
        <v>Maliwan Element Switch</v>
      </c>
      <c r="H1942" s="102" t="str">
        <f>IFERROR(__xludf.DUMMYFUNCTION("""COMPUTED_VALUE"""),"Used for Maliwan elemental switch")</f>
        <v>Used for Maliwan elemental switch</v>
      </c>
      <c r="I1942" s="102"/>
      <c r="J1942" s="102"/>
      <c r="K1942" s="102"/>
      <c r="L1942" s="102"/>
    </row>
    <row r="1943">
      <c r="A1943" s="102" t="str">
        <f>IFERROR(__xludf.DUMMYFUNCTION("""COMPUTED_VALUE"""),"Vladof")</f>
        <v>Vladof</v>
      </c>
      <c r="B1943" s="102" t="str">
        <f>IFERROR(__xludf.DUMMYFUNCTION("""COMPUTED_VALUE"""),"Sniper")</f>
        <v>Sniper</v>
      </c>
      <c r="C1943" s="103">
        <f>IFERROR(__xludf.DUMMYFUNCTION("""COMPUTED_VALUE"""),46.0)</f>
        <v>46</v>
      </c>
      <c r="D1943" s="102" t="str">
        <f>IFERROR(__xludf.DUMMYFUNCTION("""COMPUTED_VALUE"""),"Underbarrel")</f>
        <v>Underbarrel</v>
      </c>
      <c r="E1943" s="102" t="str">
        <f>IFERROR(__xludf.DUMMYFUNCTION("""COMPUTED_VALUE"""),"VLA_SR.part_underbarrel_05_ammoswitcher")</f>
        <v>VLA_SR.part_underbarrel_05_ammoswitcher</v>
      </c>
      <c r="F1943" s="102"/>
      <c r="G1943" s="102" t="str">
        <f>IFERROR(__xludf.DUMMYFUNCTION("""COMPUTED_VALUE"""),"Daedalus Ammo Switch")</f>
        <v>Daedalus Ammo Switch</v>
      </c>
      <c r="H1943" s="102" t="str">
        <f>IFERROR(__xludf.DUMMYFUNCTION("""COMPUTED_VALUE"""),"Used for Daedalus Ammo switch")</f>
        <v>Used for Daedalus Ammo switch</v>
      </c>
      <c r="I1943" s="102"/>
      <c r="J1943" s="102"/>
      <c r="K1943" s="102"/>
      <c r="L1943" s="102"/>
    </row>
    <row r="1944">
      <c r="A1944" s="102" t="str">
        <f>IFERROR(__xludf.DUMMYFUNCTION("""COMPUTED_VALUE"""),"Vladof")</f>
        <v>Vladof</v>
      </c>
      <c r="B1944" s="102" t="str">
        <f>IFERROR(__xludf.DUMMYFUNCTION("""COMPUTED_VALUE"""),"Sniper")</f>
        <v>Sniper</v>
      </c>
      <c r="C1944" s="103">
        <f>IFERROR(__xludf.DUMMYFUNCTION("""COMPUTED_VALUE"""),47.0)</f>
        <v>47</v>
      </c>
      <c r="D1944" s="102" t="str">
        <f>IFERROR(__xludf.DUMMYFUNCTION("""COMPUTED_VALUE"""),"Underbarrel")</f>
        <v>Underbarrel</v>
      </c>
      <c r="E1944" s="102" t="str">
        <f>IFERROR(__xludf.DUMMYFUNCTION("""COMPUTED_VALUE"""),"VLA_SR.part_underbarrel_04_atlas_ball")</f>
        <v>VLA_SR.part_underbarrel_04_atlas_ball</v>
      </c>
      <c r="F1944" s="102"/>
      <c r="G1944" s="102" t="str">
        <f>IFERROR(__xludf.DUMMYFUNCTION("""COMPUTED_VALUE"""),"Atlas Tracker Grenades")</f>
        <v>Atlas Tracker Grenades</v>
      </c>
      <c r="H1944" s="102"/>
      <c r="I1944" s="102"/>
      <c r="J1944" s="102"/>
      <c r="K1944" s="102"/>
      <c r="L1944" s="102"/>
    </row>
    <row r="1945">
      <c r="A1945" s="102" t="str">
        <f>IFERROR(__xludf.DUMMYFUNCTION("""COMPUTED_VALUE"""),"Vladof")</f>
        <v>Vladof</v>
      </c>
      <c r="B1945" s="102" t="str">
        <f>IFERROR(__xludf.DUMMYFUNCTION("""COMPUTED_VALUE"""),"Sniper")</f>
        <v>Sniper</v>
      </c>
      <c r="C1945" s="103">
        <f>IFERROR(__xludf.DUMMYFUNCTION("""COMPUTED_VALUE"""),48.0)</f>
        <v>48</v>
      </c>
      <c r="D1945" s="102" t="str">
        <f>IFERROR(__xludf.DUMMYFUNCTION("""COMPUTED_VALUE"""),"Underbarrel")</f>
        <v>Underbarrel</v>
      </c>
      <c r="E1945" s="102" t="str">
        <f>IFERROR(__xludf.DUMMYFUNCTION("""COMPUTED_VALUE"""),"VLA_SR.part_underbarrel_02_rocket")</f>
        <v>VLA_SR.part_underbarrel_02_rocket</v>
      </c>
      <c r="F1945" s="102"/>
      <c r="G1945" s="102" t="str">
        <f>IFERROR(__xludf.DUMMYFUNCTION("""COMPUTED_VALUE"""),"Alt Fire - Big Rocket")</f>
        <v>Alt Fire - Big Rocket</v>
      </c>
      <c r="H1945" s="102"/>
      <c r="I1945" s="102"/>
      <c r="J1945" s="102"/>
      <c r="K1945" s="102"/>
      <c r="L1945" s="102"/>
    </row>
    <row r="1946">
      <c r="A1946" s="102" t="str">
        <f>IFERROR(__xludf.DUMMYFUNCTION("""COMPUTED_VALUE"""),"Vladof")</f>
        <v>Vladof</v>
      </c>
      <c r="B1946" s="102" t="str">
        <f>IFERROR(__xludf.DUMMYFUNCTION("""COMPUTED_VALUE"""),"Sniper")</f>
        <v>Sniper</v>
      </c>
      <c r="C1946" s="103">
        <f>IFERROR(__xludf.DUMMYFUNCTION("""COMPUTED_VALUE"""),49.0)</f>
        <v>49</v>
      </c>
      <c r="D1946" s="102" t="str">
        <f>IFERROR(__xludf.DUMMYFUNCTION("""COMPUTED_VALUE"""),"Underbarrel")</f>
        <v>Underbarrel</v>
      </c>
      <c r="E1946" s="102" t="str">
        <f>IFERROR(__xludf.DUMMYFUNCTION("""COMPUTED_VALUE"""),"VLA_SR.part_underbarrel_07_secondbarrel")</f>
        <v>VLA_SR.part_underbarrel_07_secondbarrel</v>
      </c>
      <c r="F1946" s="102"/>
      <c r="G1946" s="102" t="str">
        <f>IFERROR(__xludf.DUMMYFUNCTION("""COMPUTED_VALUE"""),"Alt Fire - Extra Barrel")</f>
        <v>Alt Fire - Extra Barrel</v>
      </c>
      <c r="H1946" s="102" t="str">
        <f>IFERROR(__xludf.DUMMYFUNCTION("""COMPUTED_VALUE"""),"Enables a Third Barrel, increasing Fire Rate")</f>
        <v>Enables a Third Barrel, increasing Fire Rate</v>
      </c>
      <c r="I1946" s="102"/>
      <c r="J1946" s="102"/>
      <c r="K1946" s="102"/>
      <c r="L1946" s="102"/>
    </row>
    <row r="1947">
      <c r="A1947" s="102" t="str">
        <f>IFERROR(__xludf.DUMMYFUNCTION("""COMPUTED_VALUE"""),"Vladof")</f>
        <v>Vladof</v>
      </c>
      <c r="B1947" s="102" t="str">
        <f>IFERROR(__xludf.DUMMYFUNCTION("""COMPUTED_VALUE"""),"Sniper")</f>
        <v>Sniper</v>
      </c>
      <c r="C1947" s="103">
        <f>IFERROR(__xludf.DUMMYFUNCTION("""COMPUTED_VALUE"""),50.0)</f>
        <v>50</v>
      </c>
      <c r="D1947" s="102" t="str">
        <f>IFERROR(__xludf.DUMMYFUNCTION("""COMPUTED_VALUE"""),"Underbarrel")</f>
        <v>Underbarrel</v>
      </c>
      <c r="E1947" s="102" t="str">
        <f>IFERROR(__xludf.DUMMYFUNCTION("""COMPUTED_VALUE"""),"VLA_SR.part_underbarrel_03_bipod")</f>
        <v>VLA_SR.part_underbarrel_03_bipod</v>
      </c>
      <c r="F1947" s="102"/>
      <c r="G1947" s="102" t="str">
        <f>IFERROR(__xludf.DUMMYFUNCTION("""COMPUTED_VALUE"""),"Alt Fire - Bipod")</f>
        <v>Alt Fire - Bipod</v>
      </c>
      <c r="H1947" s="102" t="str">
        <f>IFERROR(__xludf.DUMMYFUNCTION("""COMPUTED_VALUE"""),"Enabling the Bipod increases Accuracy by 75%, but decreases Movement Speed by -50%")</f>
        <v>Enabling the Bipod increases Accuracy by 75%, but decreases Movement Speed by -50%</v>
      </c>
      <c r="I1947" s="102"/>
      <c r="J1947" s="102"/>
      <c r="K1947" s="102"/>
      <c r="L1947" s="102"/>
    </row>
    <row r="1948">
      <c r="A1948" s="102" t="str">
        <f>IFERROR(__xludf.DUMMYFUNCTION("""COMPUTED_VALUE"""),"Vladof")</f>
        <v>Vladof</v>
      </c>
      <c r="B1948" s="102" t="str">
        <f>IFERROR(__xludf.DUMMYFUNCTION("""COMPUTED_VALUE"""),"Sniper")</f>
        <v>Sniper</v>
      </c>
      <c r="C1948" s="103">
        <f>IFERROR(__xludf.DUMMYFUNCTION("""COMPUTED_VALUE"""),51.0)</f>
        <v>51</v>
      </c>
      <c r="D1948" s="102" t="str">
        <f>IFERROR(__xludf.DUMMYFUNCTION("""COMPUTED_VALUE"""),"Underbarrel")</f>
        <v>Underbarrel</v>
      </c>
      <c r="E1948" s="102" t="str">
        <f>IFERROR(__xludf.DUMMYFUNCTION("""COMPUTED_VALUE"""),"VLA_SR.part_underbarrel_04_atlas")</f>
        <v>VLA_SR.part_underbarrel_04_atlas</v>
      </c>
      <c r="F1948" s="102"/>
      <c r="G1948" s="102" t="str">
        <f>IFERROR(__xludf.DUMMYFUNCTION("""COMPUTED_VALUE"""),"Atlas Tracker Darts")</f>
        <v>Atlas Tracker Darts</v>
      </c>
      <c r="H1948" s="102"/>
      <c r="I1948" s="102"/>
      <c r="J1948" s="102"/>
      <c r="K1948" s="102"/>
      <c r="L1948" s="102"/>
    </row>
    <row r="1949">
      <c r="A1949" s="102" t="str">
        <f>IFERROR(__xludf.DUMMYFUNCTION("""COMPUTED_VALUE"""),"Vladof")</f>
        <v>Vladof</v>
      </c>
      <c r="B1949" s="102" t="str">
        <f>IFERROR(__xludf.DUMMYFUNCTION("""COMPUTED_VALUE"""),"Sniper")</f>
        <v>Sniper</v>
      </c>
      <c r="C1949" s="103">
        <f>IFERROR(__xludf.DUMMYFUNCTION("""COMPUTED_VALUE"""),52.0)</f>
        <v>52</v>
      </c>
      <c r="D1949" s="102" t="str">
        <f>IFERROR(__xludf.DUMMYFUNCTION("""COMPUTED_VALUE"""),"Underbarrel")</f>
        <v>Underbarrel</v>
      </c>
      <c r="E1949" s="102" t="str">
        <f>IFERROR(__xludf.DUMMYFUNCTION("""COMPUTED_VALUE"""),"VLA_SR.part_underbarrel_01_shotgun")</f>
        <v>VLA_SR.part_underbarrel_01_shotgun</v>
      </c>
      <c r="F1949" s="102"/>
      <c r="G1949" s="102" t="str">
        <f>IFERROR(__xludf.DUMMYFUNCTION("""COMPUTED_VALUE"""),"Alt Fire - Shotgun")</f>
        <v>Alt Fire - Shotgun</v>
      </c>
      <c r="H1949" s="102"/>
      <c r="I1949" s="102"/>
      <c r="J1949" s="102"/>
      <c r="K1949" s="102"/>
      <c r="L1949" s="102"/>
    </row>
    <row r="1950">
      <c r="A1950" s="102" t="str">
        <f>IFERROR(__xludf.DUMMYFUNCTION("""COMPUTED_VALUE"""),"Vladof")</f>
        <v>Vladof</v>
      </c>
      <c r="B1950" s="102" t="str">
        <f>IFERROR(__xludf.DUMMYFUNCTION("""COMPUTED_VALUE"""),"Sniper")</f>
        <v>Sniper</v>
      </c>
      <c r="C1950" s="103">
        <f>IFERROR(__xludf.DUMMYFUNCTION("""COMPUTED_VALUE"""),53.0)</f>
        <v>53</v>
      </c>
      <c r="D1950" s="102" t="str">
        <f>IFERROR(__xludf.DUMMYFUNCTION("""COMPUTED_VALUE"""),"Underbarrel Accessory")</f>
        <v>Underbarrel Accessory</v>
      </c>
      <c r="E1950" s="102" t="str">
        <f>IFERROR(__xludf.DUMMYFUNCTION("""COMPUTED_VALUE"""),"VLA_SR.part_underbarrel_shotgun_acc")</f>
        <v>VLA_SR.part_underbarrel_shotgun_acc</v>
      </c>
      <c r="F1950" s="102"/>
      <c r="G1950" s="102" t="str">
        <f>IFERROR(__xludf.DUMMYFUNCTION("""COMPUTED_VALUE"""),"Increases Shotgun Damage")</f>
        <v>Increases Shotgun Damage</v>
      </c>
      <c r="H1950" s="102"/>
      <c r="I1950" s="102"/>
      <c r="J1950" s="102"/>
      <c r="K1950" s="102"/>
      <c r="L1950" s="102"/>
    </row>
    <row r="1951">
      <c r="A1951" s="102" t="str">
        <f>IFERROR(__xludf.DUMMYFUNCTION("""COMPUTED_VALUE"""),"Vladof")</f>
        <v>Vladof</v>
      </c>
      <c r="B1951" s="102" t="str">
        <f>IFERROR(__xludf.DUMMYFUNCTION("""COMPUTED_VALUE"""),"Sniper")</f>
        <v>Sniper</v>
      </c>
      <c r="C1951" s="103">
        <f>IFERROR(__xludf.DUMMYFUNCTION("""COMPUTED_VALUE"""),54.0)</f>
        <v>54</v>
      </c>
      <c r="D1951" s="102" t="str">
        <f>IFERROR(__xludf.DUMMYFUNCTION("""COMPUTED_VALUE"""),"Underbarrel Accessory")</f>
        <v>Underbarrel Accessory</v>
      </c>
      <c r="E1951" s="102" t="str">
        <f>IFERROR(__xludf.DUMMYFUNCTION("""COMPUTED_VALUE"""),"VLA_SR.part_underbarrel_rocket_acc")</f>
        <v>VLA_SR.part_underbarrel_rocket_acc</v>
      </c>
      <c r="F1951" s="102"/>
      <c r="G1951" s="102" t="str">
        <f>IFERROR(__xludf.DUMMYFUNCTION("""COMPUTED_VALUE"""),"Increases Big Rocket Damage")</f>
        <v>Increases Big Rocket Damage</v>
      </c>
      <c r="H1951" s="102"/>
      <c r="I1951" s="102"/>
      <c r="J1951" s="102"/>
      <c r="K1951" s="102"/>
      <c r="L1951" s="102"/>
    </row>
    <row r="1952">
      <c r="A1952" s="102" t="str">
        <f>IFERROR(__xludf.DUMMYFUNCTION("""COMPUTED_VALUE"""),"Vladof")</f>
        <v>Vladof</v>
      </c>
      <c r="B1952" s="102" t="str">
        <f>IFERROR(__xludf.DUMMYFUNCTION("""COMPUTED_VALUE"""),"Sniper")</f>
        <v>Sniper</v>
      </c>
      <c r="C1952" s="103">
        <f>IFERROR(__xludf.DUMMYFUNCTION("""COMPUTED_VALUE"""),55.0)</f>
        <v>55</v>
      </c>
      <c r="D1952" s="102" t="str">
        <f>IFERROR(__xludf.DUMMYFUNCTION("""COMPUTED_VALUE"""),"Underbarrel Accessory")</f>
        <v>Underbarrel Accessory</v>
      </c>
      <c r="E1952" s="102" t="str">
        <f>IFERROR(__xludf.DUMMYFUNCTION("""COMPUTED_VALUE"""),"VLA_SR.part_underbarrel_bipod_acc")</f>
        <v>VLA_SR.part_underbarrel_bipod_acc</v>
      </c>
      <c r="F1952" s="102"/>
      <c r="G1952" s="102" t="str">
        <f>IFERROR(__xludf.DUMMYFUNCTION("""COMPUTED_VALUE"""),"Alt Fire - Motile Bipod")</f>
        <v>Alt Fire - Motile Bipod</v>
      </c>
      <c r="H1952" s="102" t="str">
        <f>IFERROR(__xludf.DUMMYFUNCTION("""COMPUTED_VALUE"""),"Enabling the Bipod increases Accuracy by 75%, USE WITH 50???")</f>
        <v>Enabling the Bipod increases Accuracy by 75%, USE WITH 50???</v>
      </c>
      <c r="I1952" s="102"/>
      <c r="J1952" s="102"/>
      <c r="K1952" s="102"/>
      <c r="L1952" s="102"/>
    </row>
    <row r="1953">
      <c r="A1953" s="102" t="str">
        <f>IFERROR(__xludf.DUMMYFUNCTION("""COMPUTED_VALUE"""),"Vladof")</f>
        <v>Vladof</v>
      </c>
      <c r="B1953" s="102" t="str">
        <f>IFERROR(__xludf.DUMMYFUNCTION("""COMPUTED_VALUE"""),"Sniper")</f>
        <v>Sniper</v>
      </c>
      <c r="C1953" s="103">
        <f>IFERROR(__xludf.DUMMYFUNCTION("""COMPUTED_VALUE"""),56.0)</f>
        <v>56</v>
      </c>
      <c r="D1953" s="102" t="str">
        <f>IFERROR(__xludf.DUMMYFUNCTION("""COMPUTED_VALUE"""),"Underbarrel Accessory")</f>
        <v>Underbarrel Accessory</v>
      </c>
      <c r="E1953" s="102" t="str">
        <f>IFERROR(__xludf.DUMMYFUNCTION("""COMPUTED_VALUE"""),"VLA_SR.part_underbarrel_secondbarrel_acc_a")</f>
        <v>VLA_SR.part_underbarrel_secondbarrel_acc_a</v>
      </c>
      <c r="F1953" s="102"/>
      <c r="G1953" s="102" t="str">
        <f>IFERROR(__xludf.DUMMYFUNCTION("""COMPUTED_VALUE"""),"Extra Barrel Acc - No Stat Changes")</f>
        <v>Extra Barrel Acc - No Stat Changes</v>
      </c>
      <c r="H1953" s="102"/>
      <c r="I1953" s="102"/>
      <c r="J1953" s="102"/>
      <c r="K1953" s="102"/>
      <c r="L1953" s="102"/>
    </row>
    <row r="1954">
      <c r="A1954" s="102" t="str">
        <f>IFERROR(__xludf.DUMMYFUNCTION("""COMPUTED_VALUE"""),"Vladof")</f>
        <v>Vladof</v>
      </c>
      <c r="B1954" s="102" t="str">
        <f>IFERROR(__xludf.DUMMYFUNCTION("""COMPUTED_VALUE"""),"Sniper")</f>
        <v>Sniper</v>
      </c>
      <c r="C1954" s="103">
        <f>IFERROR(__xludf.DUMMYFUNCTION("""COMPUTED_VALUE"""),57.0)</f>
        <v>57</v>
      </c>
      <c r="D1954" s="102" t="str">
        <f>IFERROR(__xludf.DUMMYFUNCTION("""COMPUTED_VALUE"""),"Underbarrel Accessory")</f>
        <v>Underbarrel Accessory</v>
      </c>
      <c r="E1954" s="102" t="str">
        <f>IFERROR(__xludf.DUMMYFUNCTION("""COMPUTED_VALUE"""),"VLA_SR.part_underbarrel_secondbarrel_acc_b")</f>
        <v>VLA_SR.part_underbarrel_secondbarrel_acc_b</v>
      </c>
      <c r="F1954" s="102"/>
      <c r="G1954" s="102" t="str">
        <f>IFERROR(__xludf.DUMMYFUNCTION("""COMPUTED_VALUE"""),"Extra Barrel Acc - +Ammo")</f>
        <v>Extra Barrel Acc - +Ammo</v>
      </c>
      <c r="H1954" s="102"/>
      <c r="I1954" s="102"/>
      <c r="J1954" s="102"/>
      <c r="K1954" s="102"/>
      <c r="L1954" s="102"/>
    </row>
    <row r="1955">
      <c r="A1955" s="102" t="str">
        <f>IFERROR(__xludf.DUMMYFUNCTION("""COMPUTED_VALUE"""),"Vladof")</f>
        <v>Vladof</v>
      </c>
      <c r="B1955" s="102" t="str">
        <f>IFERROR(__xludf.DUMMYFUNCTION("""COMPUTED_VALUE"""),"Sniper")</f>
        <v>Sniper</v>
      </c>
      <c r="C1955" s="103">
        <f>IFERROR(__xludf.DUMMYFUNCTION("""COMPUTED_VALUE"""),58.0)</f>
        <v>58</v>
      </c>
      <c r="D1955" s="102" t="str">
        <f>IFERROR(__xludf.DUMMYFUNCTION("""COMPUTED_VALUE"""),"Underbarrel Accessory")</f>
        <v>Underbarrel Accessory</v>
      </c>
      <c r="E1955" s="102" t="str">
        <f>IFERROR(__xludf.DUMMYFUNCTION("""COMPUTED_VALUE"""),"VLA_SR.part_underbarrel_secondbarrel_acc_c")</f>
        <v>VLA_SR.part_underbarrel_secondbarrel_acc_c</v>
      </c>
      <c r="F1955" s="102"/>
      <c r="G1955" s="102" t="str">
        <f>IFERROR(__xludf.DUMMYFUNCTION("""COMPUTED_VALUE"""),"Extra Barrel Acc - No Stat Changes")</f>
        <v>Extra Barrel Acc - No Stat Changes</v>
      </c>
      <c r="H1955" s="102"/>
      <c r="I1955" s="102"/>
      <c r="J1955" s="102"/>
      <c r="K1955" s="102"/>
      <c r="L1955" s="102"/>
    </row>
    <row r="1956">
      <c r="A1956" s="102" t="str">
        <f>IFERROR(__xludf.DUMMYFUNCTION("""COMPUTED_VALUE"""),"Vladof")</f>
        <v>Vladof</v>
      </c>
      <c r="B1956" s="102" t="str">
        <f>IFERROR(__xludf.DUMMYFUNCTION("""COMPUTED_VALUE"""),"Sniper")</f>
        <v>Sniper</v>
      </c>
      <c r="C1956" s="103">
        <f>IFERROR(__xludf.DUMMYFUNCTION("""COMPUTED_VALUE"""),59.0)</f>
        <v>59</v>
      </c>
      <c r="D1956" s="102" t="str">
        <f>IFERROR(__xludf.DUMMYFUNCTION("""COMPUTED_VALUE"""),"Foregrip")</f>
        <v>Foregrip</v>
      </c>
      <c r="E1956" s="102" t="str">
        <f>IFERROR(__xludf.DUMMYFUNCTION("""COMPUTED_VALUE"""),"VLA_SR.part_foregrip_01")</f>
        <v>VLA_SR.part_foregrip_01</v>
      </c>
      <c r="F1956" s="102"/>
      <c r="G1956" s="102" t="str">
        <f>IFERROR(__xludf.DUMMYFUNCTION("""COMPUTED_VALUE"""),"+Damage")</f>
        <v>+Damage</v>
      </c>
      <c r="H1956" s="102"/>
      <c r="I1956" s="102"/>
      <c r="J1956" s="102"/>
      <c r="K1956" s="102"/>
      <c r="L1956" s="102"/>
    </row>
    <row r="1957">
      <c r="A1957" s="102" t="str">
        <f>IFERROR(__xludf.DUMMYFUNCTION("""COMPUTED_VALUE"""),"Vladof")</f>
        <v>Vladof</v>
      </c>
      <c r="B1957" s="102" t="str">
        <f>IFERROR(__xludf.DUMMYFUNCTION("""COMPUTED_VALUE"""),"Sniper")</f>
        <v>Sniper</v>
      </c>
      <c r="C1957" s="103">
        <f>IFERROR(__xludf.DUMMYFUNCTION("""COMPUTED_VALUE"""),60.0)</f>
        <v>60</v>
      </c>
      <c r="D1957" s="102" t="str">
        <f>IFERROR(__xludf.DUMMYFUNCTION("""COMPUTED_VALUE"""),"Foregrip")</f>
        <v>Foregrip</v>
      </c>
      <c r="E1957" s="102" t="str">
        <f>IFERROR(__xludf.DUMMYFUNCTION("""COMPUTED_VALUE"""),"VLA_SR.part_foregrip_02")</f>
        <v>VLA_SR.part_foregrip_02</v>
      </c>
      <c r="F1957" s="102"/>
      <c r="G1957" s="102" t="str">
        <f>IFERROR(__xludf.DUMMYFUNCTION("""COMPUTED_VALUE"""),"+Fire Rate")</f>
        <v>+Fire Rate</v>
      </c>
      <c r="H1957" s="102"/>
      <c r="I1957" s="102"/>
      <c r="J1957" s="102"/>
      <c r="K1957" s="102"/>
      <c r="L1957" s="102"/>
    </row>
    <row r="1958">
      <c r="A1958" s="102" t="str">
        <f>IFERROR(__xludf.DUMMYFUNCTION("""COMPUTED_VALUE"""),"Vladof")</f>
        <v>Vladof</v>
      </c>
      <c r="B1958" s="102" t="str">
        <f>IFERROR(__xludf.DUMMYFUNCTION("""COMPUTED_VALUE"""),"Sniper")</f>
        <v>Sniper</v>
      </c>
      <c r="C1958" s="103">
        <f>IFERROR(__xludf.DUMMYFUNCTION("""COMPUTED_VALUE"""),61.0)</f>
        <v>61</v>
      </c>
      <c r="D1958" s="102" t="str">
        <f>IFERROR(__xludf.DUMMYFUNCTION("""COMPUTED_VALUE"""),"Foregrip")</f>
        <v>Foregrip</v>
      </c>
      <c r="E1958" s="102" t="str">
        <f>IFERROR(__xludf.DUMMYFUNCTION("""COMPUTED_VALUE"""),"VLA_SR.part_foregrip_03")</f>
        <v>VLA_SR.part_foregrip_03</v>
      </c>
      <c r="F1958" s="102"/>
      <c r="G1958" s="102" t="str">
        <f>IFERROR(__xludf.DUMMYFUNCTION("""COMPUTED_VALUE"""),"+Accuracy")</f>
        <v>+Accuracy</v>
      </c>
      <c r="H1958" s="102"/>
      <c r="I1958" s="102"/>
      <c r="J1958" s="102"/>
      <c r="K1958" s="102"/>
      <c r="L1958" s="102"/>
    </row>
    <row r="1959">
      <c r="A1959" s="102" t="str">
        <f>IFERROR(__xludf.DUMMYFUNCTION("""COMPUTED_VALUE"""),"Vladof")</f>
        <v>Vladof</v>
      </c>
      <c r="B1959" s="102" t="str">
        <f>IFERROR(__xludf.DUMMYFUNCTION("""COMPUTED_VALUE"""),"Sniper")</f>
        <v>Sniper</v>
      </c>
      <c r="C1959" s="103">
        <f>IFERROR(__xludf.DUMMYFUNCTION("""COMPUTED_VALUE"""),62.0)</f>
        <v>62</v>
      </c>
      <c r="D1959" s="102" t="str">
        <f>IFERROR(__xludf.DUMMYFUNCTION("""COMPUTED_VALUE"""),"Manufacturer Part")</f>
        <v>Manufacturer Part</v>
      </c>
      <c r="E1959" s="102" t="str">
        <f>IFERROR(__xludf.DUMMYFUNCTION("""COMPUTED_VALUE"""),"VLA_SR.part_secondary_ammo_smg")</f>
        <v>VLA_SR.part_secondary_ammo_smg</v>
      </c>
      <c r="F1959" s="102"/>
      <c r="G1959" s="102" t="str">
        <f>IFERROR(__xludf.DUMMYFUNCTION("""COMPUTED_VALUE"""),"Daedalus SMG Ammo")</f>
        <v>Daedalus SMG Ammo</v>
      </c>
      <c r="H1959" s="102"/>
      <c r="I1959" s="102"/>
      <c r="J1959" s="102"/>
      <c r="K1959" s="102"/>
      <c r="L1959" s="102"/>
    </row>
    <row r="1960">
      <c r="A1960" s="102" t="str">
        <f>IFERROR(__xludf.DUMMYFUNCTION("""COMPUTED_VALUE"""),"Vladof")</f>
        <v>Vladof</v>
      </c>
      <c r="B1960" s="102" t="str">
        <f>IFERROR(__xludf.DUMMYFUNCTION("""COMPUTED_VALUE"""),"Sniper")</f>
        <v>Sniper</v>
      </c>
      <c r="C1960" s="103">
        <f>IFERROR(__xludf.DUMMYFUNCTION("""COMPUTED_VALUE"""),63.0)</f>
        <v>63</v>
      </c>
      <c r="D1960" s="102" t="str">
        <f>IFERROR(__xludf.DUMMYFUNCTION("""COMPUTED_VALUE"""),"Manufacturer Part")</f>
        <v>Manufacturer Part</v>
      </c>
      <c r="E1960" s="102" t="str">
        <f>IFERROR(__xludf.DUMMYFUNCTION("""COMPUTED_VALUE"""),"VLA_SR.part_secondary_ammo_sg")</f>
        <v>VLA_SR.part_secondary_ammo_sg</v>
      </c>
      <c r="F1960" s="102"/>
      <c r="G1960" s="102" t="str">
        <f>IFERROR(__xludf.DUMMYFUNCTION("""COMPUTED_VALUE"""),"Daedalus Shotgun Ammo")</f>
        <v>Daedalus Shotgun Ammo</v>
      </c>
      <c r="H1960" s="102"/>
      <c r="I1960" s="102"/>
      <c r="J1960" s="102"/>
      <c r="K1960" s="102"/>
      <c r="L1960" s="102"/>
    </row>
    <row r="1961">
      <c r="A1961" s="102" t="str">
        <f>IFERROR(__xludf.DUMMYFUNCTION("""COMPUTED_VALUE"""),"Vladof")</f>
        <v>Vladof</v>
      </c>
      <c r="B1961" s="102" t="str">
        <f>IFERROR(__xludf.DUMMYFUNCTION("""COMPUTED_VALUE"""),"Sniper")</f>
        <v>Sniper</v>
      </c>
      <c r="C1961" s="103">
        <f>IFERROR(__xludf.DUMMYFUNCTION("""COMPUTED_VALUE"""),64.0)</f>
        <v>64</v>
      </c>
      <c r="D1961" s="102" t="str">
        <f>IFERROR(__xludf.DUMMYFUNCTION("""COMPUTED_VALUE"""),"Manufacturer Part")</f>
        <v>Manufacturer Part</v>
      </c>
      <c r="E1961" s="102" t="str">
        <f>IFERROR(__xludf.DUMMYFUNCTION("""COMPUTED_VALUE"""),"VLA_SR.part_secondary_ammo_ar")</f>
        <v>VLA_SR.part_secondary_ammo_ar</v>
      </c>
      <c r="F1961" s="102"/>
      <c r="G1961" s="102" t="str">
        <f>IFERROR(__xludf.DUMMYFUNCTION("""COMPUTED_VALUE"""),"Daedalus AR Ammo")</f>
        <v>Daedalus AR Ammo</v>
      </c>
      <c r="H1961" s="102"/>
      <c r="I1961" s="102"/>
      <c r="J1961" s="102"/>
      <c r="K1961" s="102"/>
      <c r="L1961" s="102"/>
    </row>
    <row r="1962">
      <c r="A1962" s="102" t="str">
        <f>IFERROR(__xludf.DUMMYFUNCTION("""COMPUTED_VALUE"""),"Vladof")</f>
        <v>Vladof</v>
      </c>
      <c r="B1962" s="102" t="str">
        <f>IFERROR(__xludf.DUMMYFUNCTION("""COMPUTED_VALUE"""),"Sniper")</f>
        <v>Sniper</v>
      </c>
      <c r="C1962" s="103">
        <f>IFERROR(__xludf.DUMMYFUNCTION("""COMPUTED_VALUE"""),65.0)</f>
        <v>65</v>
      </c>
      <c r="D1962" s="102" t="str">
        <f>IFERROR(__xludf.DUMMYFUNCTION("""COMPUTED_VALUE"""),"Manufacturer Part")</f>
        <v>Manufacturer Part</v>
      </c>
      <c r="E1962" s="102" t="str">
        <f>IFERROR(__xludf.DUMMYFUNCTION("""COMPUTED_VALUE"""),"VLA_SR.part_secondary_ammo_ps")</f>
        <v>VLA_SR.part_secondary_ammo_ps</v>
      </c>
      <c r="F1962" s="102"/>
      <c r="G1962" s="102" t="str">
        <f>IFERROR(__xludf.DUMMYFUNCTION("""COMPUTED_VALUE"""),"Daedalus Pistol Ammo")</f>
        <v>Daedalus Pistol Ammo</v>
      </c>
      <c r="H1962" s="102"/>
      <c r="I1962" s="102"/>
      <c r="J1962" s="102"/>
      <c r="K1962" s="102"/>
      <c r="L1962" s="102"/>
    </row>
    <row r="1963">
      <c r="A1963" s="102" t="str">
        <f>IFERROR(__xludf.DUMMYFUNCTION("""COMPUTED_VALUE"""),"Vladof")</f>
        <v>Vladof</v>
      </c>
      <c r="B1963" s="102" t="str">
        <f>IFERROR(__xludf.DUMMYFUNCTION("""COMPUTED_VALUE"""),"Sniper")</f>
        <v>Sniper</v>
      </c>
      <c r="C1963" s="103">
        <f>IFERROR(__xludf.DUMMYFUNCTION("""COMPUTED_VALUE"""),68.0)</f>
        <v>68</v>
      </c>
      <c r="D1963" s="102" t="str">
        <f>IFERROR(__xludf.DUMMYFUNCTION("""COMPUTED_VALUE"""),"Barrel")</f>
        <v>Barrel</v>
      </c>
      <c r="E1963" s="102" t="str">
        <f>IFERROR(__xludf.DUMMYFUNCTION("""COMPUTED_VALUE"""),"VLA_SR.part_barrel_crowdsourced")</f>
        <v>VLA_SR.part_barrel_crowdsourced</v>
      </c>
      <c r="F1963" s="102"/>
      <c r="G1963" s="102" t="str">
        <f>IFERROR(__xludf.DUMMYFUNCTION("""COMPUTED_VALUE"""),"Midnight Defiance, 1359 Damage, 87% Acc, 4.0/s FR, 50% Crit Damage")</f>
        <v>Midnight Defiance, 1359 Damage, 87% Acc, 4.0/s FR, 50% Crit Damage</v>
      </c>
      <c r="H1963" s="102" t="str">
        <f>IFERROR(__xludf.DUMMYFUNCTION("""COMPUTED_VALUE"""),"Crowd Sourced - On hit, additional Projectiles spawn from nearby enemies")</f>
        <v>Crowd Sourced - On hit, additional Projectiles spawn from nearby enemies</v>
      </c>
      <c r="I1963" s="102"/>
      <c r="J1963" s="102"/>
      <c r="K1963" s="102"/>
      <c r="L1963" s="102"/>
    </row>
    <row r="1964">
      <c r="A1964" s="102" t="str">
        <f>IFERROR(__xludf.DUMMYFUNCTION("""COMPUTED_VALUE"""),"Vladof")</f>
        <v>Vladof</v>
      </c>
      <c r="B1964" s="102" t="str">
        <f>IFERROR(__xludf.DUMMYFUNCTION("""COMPUTED_VALUE"""),"Sniper")</f>
        <v>Sniper</v>
      </c>
      <c r="C1964" s="103">
        <f>IFERROR(__xludf.DUMMYFUNCTION("""COMPUTED_VALUE"""),71.0)</f>
        <v>71</v>
      </c>
      <c r="D1964" s="102" t="str">
        <f>IFERROR(__xludf.DUMMYFUNCTION("""COMPUTED_VALUE"""),"Grip")</f>
        <v>Grip</v>
      </c>
      <c r="E1964" s="102" t="str">
        <f>IFERROR(__xludf.DUMMYFUNCTION("""COMPUTED_VALUE"""),"VLA_SR.part_grip_04_hyp_finnty")</f>
        <v>VLA_SR.part_grip_04_hyp_finnty</v>
      </c>
      <c r="F1964" s="102"/>
      <c r="G1964" s="102" t="str">
        <f>IFERROR(__xludf.DUMMYFUNCTION("""COMPUTED_VALUE"""),"Changed to Upgraded Finnity XXX-L")</f>
        <v>Changed to Upgraded Finnity XXX-L</v>
      </c>
      <c r="H1964" s="102"/>
      <c r="I1964" s="102"/>
      <c r="J1964" s="102"/>
      <c r="K1964" s="102"/>
      <c r="L1964" s="102"/>
    </row>
    <row r="1965">
      <c r="A1965" s="102" t="str">
        <f>IFERROR(__xludf.DUMMYFUNCTION("""COMPUTED_VALUE"""),"Vladof")</f>
        <v>Vladof</v>
      </c>
      <c r="B1965" s="102" t="str">
        <f>IFERROR(__xludf.DUMMYFUNCTION("""COMPUTED_VALUE"""),"Sniper")</f>
        <v>Sniper</v>
      </c>
      <c r="C1965" s="103">
        <f>IFERROR(__xludf.DUMMYFUNCTION("""COMPUTED_VALUE"""),72.0)</f>
        <v>72</v>
      </c>
      <c r="D1965" s="102" t="str">
        <f>IFERROR(__xludf.DUMMYFUNCTION("""COMPUTED_VALUE"""),"Barrel")</f>
        <v>Barrel</v>
      </c>
      <c r="E1965" s="102" t="str">
        <f>IFERROR(__xludf.DUMMYFUNCTION("""COMPUTED_VALUE"""),"VLA_SR.part_barrel_01_stopgap")</f>
        <v>VLA_SR.part_barrel_01_stopgap</v>
      </c>
      <c r="F1965" s="102"/>
      <c r="G1965" s="102" t="str">
        <f>IFERROR(__xludf.DUMMYFUNCTION("""COMPUTED_VALUE"""),"Stop Gap, 1265 Damage, 87% Acc, 4.4/s FR, 50% Crit Damage")</f>
        <v>Stop Gap, 1265 Damage, 87% Acc, 4.4/s FR, 50% Crit Damage</v>
      </c>
      <c r="H1965" s="102" t="str">
        <f>IFERROR(__xludf.DUMMYFUNCTION("""COMPUTED_VALUE"""),"Reconfigure - When firing, Fire Rate decreases down to 20%, but Damage increases up to 750%")</f>
        <v>Reconfigure - When firing, Fire Rate decreases down to 20%, but Damage increases up to 750%</v>
      </c>
      <c r="I1965" s="102"/>
      <c r="J1965" s="102"/>
      <c r="K1965" s="102"/>
      <c r="L1965" s="102"/>
    </row>
    <row r="1966">
      <c r="A1966" s="102" t="str">
        <f>IFERROR(__xludf.DUMMYFUNCTION("""COMPUTED_VALUE"""),"Vladof")</f>
        <v>Vladof</v>
      </c>
      <c r="B1966" s="102" t="str">
        <f>IFERROR(__xludf.DUMMYFUNCTION("""COMPUTED_VALUE"""),"Sniper")</f>
        <v>Sniper</v>
      </c>
      <c r="C1966" s="103">
        <f>IFERROR(__xludf.DUMMYFUNCTION("""COMPUTED_VALUE"""),73.0)</f>
        <v>73</v>
      </c>
      <c r="D1966" s="102" t="str">
        <f>IFERROR(__xludf.DUMMYFUNCTION("""COMPUTED_VALUE"""),"Barrel Accessory")</f>
        <v>Barrel Accessory</v>
      </c>
      <c r="E1966" s="102" t="str">
        <f>IFERROR(__xludf.DUMMYFUNCTION("""COMPUTED_VALUE"""),"VLA_SR.part_barrel_01_a")</f>
        <v>VLA_SR.part_barrel_01_a</v>
      </c>
      <c r="F1966" s="102"/>
      <c r="G1966" s="102" t="str">
        <f>IFERROR(__xludf.DUMMYFUNCTION("""COMPUTED_VALUE"""),"+Damage")</f>
        <v>+Damage</v>
      </c>
      <c r="H1966" s="102"/>
      <c r="I1966" s="102"/>
      <c r="J1966" s="102"/>
      <c r="K1966" s="102"/>
      <c r="L1966" s="102"/>
    </row>
    <row r="1967">
      <c r="A1967" s="102" t="str">
        <f>IFERROR(__xludf.DUMMYFUNCTION("""COMPUTED_VALUE"""),"Vladof")</f>
        <v>Vladof</v>
      </c>
      <c r="B1967" s="102" t="str">
        <f>IFERROR(__xludf.DUMMYFUNCTION("""COMPUTED_VALUE"""),"Sniper")</f>
        <v>Sniper</v>
      </c>
      <c r="C1967" s="103">
        <f>IFERROR(__xludf.DUMMYFUNCTION("""COMPUTED_VALUE"""),74.0)</f>
        <v>74</v>
      </c>
      <c r="D1967" s="102" t="str">
        <f>IFERROR(__xludf.DUMMYFUNCTION("""COMPUTED_VALUE"""),"Barrel Accessory")</f>
        <v>Barrel Accessory</v>
      </c>
      <c r="E1967" s="102" t="str">
        <f>IFERROR(__xludf.DUMMYFUNCTION("""COMPUTED_VALUE"""),"VLA_SR.part_barrel_01_b")</f>
        <v>VLA_SR.part_barrel_01_b</v>
      </c>
      <c r="F1967" s="102"/>
      <c r="G1967" s="102" t="str">
        <f>IFERROR(__xludf.DUMMYFUNCTION("""COMPUTED_VALUE"""),"+Crit Damage")</f>
        <v>+Crit Damage</v>
      </c>
      <c r="H1967" s="102"/>
      <c r="I1967" s="102"/>
      <c r="J1967" s="102"/>
      <c r="K1967" s="102"/>
      <c r="L1967" s="102"/>
    </row>
    <row r="1968">
      <c r="A1968" s="102" t="str">
        <f>IFERROR(__xludf.DUMMYFUNCTION("""COMPUTED_VALUE"""),"Vladof")</f>
        <v>Vladof</v>
      </c>
      <c r="B1968" s="102" t="str">
        <f>IFERROR(__xludf.DUMMYFUNCTION("""COMPUTED_VALUE"""),"Sniper")</f>
        <v>Sniper</v>
      </c>
      <c r="C1968" s="103">
        <f>IFERROR(__xludf.DUMMYFUNCTION("""COMPUTED_VALUE"""),75.0)</f>
        <v>75</v>
      </c>
      <c r="D1968" s="102" t="str">
        <f>IFERROR(__xludf.DUMMYFUNCTION("""COMPUTED_VALUE"""),"Barrel Accessory")</f>
        <v>Barrel Accessory</v>
      </c>
      <c r="E1968" s="102" t="str">
        <f>IFERROR(__xludf.DUMMYFUNCTION("""COMPUTED_VALUE"""),"VLA_SR.part_barrel_01_c")</f>
        <v>VLA_SR.part_barrel_01_c</v>
      </c>
      <c r="F1968" s="102"/>
      <c r="G1968" s="102" t="str">
        <f>IFERROR(__xludf.DUMMYFUNCTION("""COMPUTED_VALUE"""),"+Ammo")</f>
        <v>+Ammo</v>
      </c>
      <c r="H1968" s="102"/>
      <c r="I1968" s="102"/>
      <c r="J1968" s="102"/>
      <c r="K1968" s="102"/>
      <c r="L1968" s="102"/>
    </row>
    <row r="1969">
      <c r="A1969" s="102" t="str">
        <f>IFERROR(__xludf.DUMMYFUNCTION("""COMPUTED_VALUE"""),"Vladof")</f>
        <v>Vladof</v>
      </c>
      <c r="B1969" s="102" t="str">
        <f>IFERROR(__xludf.DUMMYFUNCTION("""COMPUTED_VALUE"""),"Sniper")</f>
        <v>Sniper</v>
      </c>
      <c r="C1969" s="103">
        <f>IFERROR(__xludf.DUMMYFUNCTION("""COMPUTED_VALUE"""),76.0)</f>
        <v>76</v>
      </c>
      <c r="D1969" s="102" t="str">
        <f>IFERROR(__xludf.DUMMYFUNCTION("""COMPUTED_VALUE"""),"Barrel Accessory")</f>
        <v>Barrel Accessory</v>
      </c>
      <c r="E1969" s="102" t="str">
        <f>IFERROR(__xludf.DUMMYFUNCTION("""COMPUTED_VALUE"""),"VLA_SR.part_barrel_01_d")</f>
        <v>VLA_SR.part_barrel_01_d</v>
      </c>
      <c r="F1969" s="102"/>
      <c r="G1969" s="102" t="str">
        <f>IFERROR(__xludf.DUMMYFUNCTION("""COMPUTED_VALUE"""),"+Ammo")</f>
        <v>+Ammo</v>
      </c>
      <c r="H1969" s="102"/>
      <c r="I1969" s="102"/>
      <c r="J1969" s="102"/>
      <c r="K1969" s="102"/>
      <c r="L1969" s="102"/>
    </row>
    <row r="1970">
      <c r="A1970" s="102" t="str">
        <f>IFERROR(__xludf.DUMMYFUNCTION("""COMPUTED_VALUE"""),"Vladof")</f>
        <v>Vladof</v>
      </c>
      <c r="B1970" s="102" t="str">
        <f>IFERROR(__xludf.DUMMYFUNCTION("""COMPUTED_VALUE"""),"Sniper")</f>
        <v>Sniper</v>
      </c>
      <c r="C1970" s="103">
        <f>IFERROR(__xludf.DUMMYFUNCTION("""COMPUTED_VALUE"""),77.0)</f>
        <v>77</v>
      </c>
      <c r="D1970" s="102" t="str">
        <f>IFERROR(__xludf.DUMMYFUNCTION("""COMPUTED_VALUE"""),"Barrel Accessory")</f>
        <v>Barrel Accessory</v>
      </c>
      <c r="E1970" s="102" t="str">
        <f>IFERROR(__xludf.DUMMYFUNCTION("""COMPUTED_VALUE"""),"VLA_SR.part_barrel_02_a")</f>
        <v>VLA_SR.part_barrel_02_a</v>
      </c>
      <c r="F1970" s="102"/>
      <c r="G1970" s="102" t="str">
        <f>IFERROR(__xludf.DUMMYFUNCTION("""COMPUTED_VALUE"""),"+Damage")</f>
        <v>+Damage</v>
      </c>
      <c r="H1970" s="102"/>
      <c r="I1970" s="102"/>
      <c r="J1970" s="102"/>
      <c r="K1970" s="102"/>
      <c r="L1970" s="102"/>
    </row>
    <row r="1971">
      <c r="A1971" s="102" t="str">
        <f>IFERROR(__xludf.DUMMYFUNCTION("""COMPUTED_VALUE"""),"Vladof")</f>
        <v>Vladof</v>
      </c>
      <c r="B1971" s="102" t="str">
        <f>IFERROR(__xludf.DUMMYFUNCTION("""COMPUTED_VALUE"""),"Sniper")</f>
        <v>Sniper</v>
      </c>
      <c r="C1971" s="103">
        <f>IFERROR(__xludf.DUMMYFUNCTION("""COMPUTED_VALUE"""),78.0)</f>
        <v>78</v>
      </c>
      <c r="D1971" s="102" t="str">
        <f>IFERROR(__xludf.DUMMYFUNCTION("""COMPUTED_VALUE"""),"Barrel Accessory")</f>
        <v>Barrel Accessory</v>
      </c>
      <c r="E1971" s="102" t="str">
        <f>IFERROR(__xludf.DUMMYFUNCTION("""COMPUTED_VALUE"""),"VLA_SR.part_barrel_02_b")</f>
        <v>VLA_SR.part_barrel_02_b</v>
      </c>
      <c r="F1971" s="102"/>
      <c r="G1971" s="102" t="str">
        <f>IFERROR(__xludf.DUMMYFUNCTION("""COMPUTED_VALUE"""),"No Stat Changes")</f>
        <v>No Stat Changes</v>
      </c>
      <c r="H1971" s="102"/>
      <c r="I1971" s="102"/>
      <c r="J1971" s="102"/>
      <c r="K1971" s="102"/>
      <c r="L1971" s="102"/>
    </row>
    <row r="1972">
      <c r="A1972" s="102" t="str">
        <f>IFERROR(__xludf.DUMMYFUNCTION("""COMPUTED_VALUE"""),"Vladof")</f>
        <v>Vladof</v>
      </c>
      <c r="B1972" s="102" t="str">
        <f>IFERROR(__xludf.DUMMYFUNCTION("""COMPUTED_VALUE"""),"Sniper")</f>
        <v>Sniper</v>
      </c>
      <c r="C1972" s="103">
        <f>IFERROR(__xludf.DUMMYFUNCTION("""COMPUTED_VALUE"""),79.0)</f>
        <v>79</v>
      </c>
      <c r="D1972" s="102" t="str">
        <f>IFERROR(__xludf.DUMMYFUNCTION("""COMPUTED_VALUE"""),"Barrel Accessory")</f>
        <v>Barrel Accessory</v>
      </c>
      <c r="E1972" s="102" t="str">
        <f>IFERROR(__xludf.DUMMYFUNCTION("""COMPUTED_VALUE"""),"VLA_SR.part_barrel_02_c")</f>
        <v>VLA_SR.part_barrel_02_c</v>
      </c>
      <c r="F1972" s="102"/>
      <c r="G1972" s="102" t="str">
        <f>IFERROR(__xludf.DUMMYFUNCTION("""COMPUTED_VALUE"""),"+Fire Rate")</f>
        <v>+Fire Rate</v>
      </c>
      <c r="H1972" s="102"/>
      <c r="I1972" s="102"/>
      <c r="J1972" s="102"/>
      <c r="K1972" s="102"/>
      <c r="L1972" s="102"/>
    </row>
    <row r="1973">
      <c r="A1973" s="102" t="str">
        <f>IFERROR(__xludf.DUMMYFUNCTION("""COMPUTED_VALUE"""),"Vladof")</f>
        <v>Vladof</v>
      </c>
      <c r="B1973" s="102" t="str">
        <f>IFERROR(__xludf.DUMMYFUNCTION("""COMPUTED_VALUE"""),"Sniper")</f>
        <v>Sniper</v>
      </c>
      <c r="C1973" s="103">
        <f>IFERROR(__xludf.DUMMYFUNCTION("""COMPUTED_VALUE"""),80.0)</f>
        <v>80</v>
      </c>
      <c r="D1973" s="102" t="str">
        <f>IFERROR(__xludf.DUMMYFUNCTION("""COMPUTED_VALUE"""),"Barrel Accessory")</f>
        <v>Barrel Accessory</v>
      </c>
      <c r="E1973" s="102" t="str">
        <f>IFERROR(__xludf.DUMMYFUNCTION("""COMPUTED_VALUE"""),"VLA_SR.part_barrel_02_d")</f>
        <v>VLA_SR.part_barrel_02_d</v>
      </c>
      <c r="F1973" s="102"/>
      <c r="G1973" s="102" t="str">
        <f>IFERROR(__xludf.DUMMYFUNCTION("""COMPUTED_VALUE"""),"+Fire Rate")</f>
        <v>+Fire Rate</v>
      </c>
      <c r="H1973" s="102"/>
      <c r="I1973" s="102"/>
      <c r="J1973" s="102"/>
      <c r="K1973" s="102"/>
      <c r="L1973" s="102"/>
    </row>
    <row r="1974">
      <c r="A1974" s="102" t="str">
        <f>IFERROR(__xludf.DUMMYFUNCTION("""COMPUTED_VALUE"""),"Vladof")</f>
        <v>Vladof</v>
      </c>
      <c r="B1974" s="102" t="str">
        <f>IFERROR(__xludf.DUMMYFUNCTION("""COMPUTED_VALUE"""),"Sniper")</f>
        <v>Sniper</v>
      </c>
      <c r="C1974" s="103">
        <f>IFERROR(__xludf.DUMMYFUNCTION("""COMPUTED_VALUE"""),81.0)</f>
        <v>81</v>
      </c>
      <c r="D1974" s="102" t="str">
        <f>IFERROR(__xludf.DUMMYFUNCTION("""COMPUTED_VALUE"""),"Manufacturer Part")</f>
        <v>Manufacturer Part</v>
      </c>
      <c r="E1974" s="102" t="str">
        <f>IFERROR(__xludf.DUMMYFUNCTION("""COMPUTED_VALUE"""),"VLA_SR.part_barrel_licensed_ted")</f>
        <v>VLA_SR.part_barrel_licensed_ted</v>
      </c>
      <c r="F1974" s="102"/>
      <c r="G1974" s="102" t="str">
        <f>IFERROR(__xludf.DUMMYFUNCTION("""COMPUTED_VALUE"""),"Tediore Reload, no stat changes")</f>
        <v>Tediore Reload, no stat changes</v>
      </c>
      <c r="H1974" s="102"/>
      <c r="I1974" s="102"/>
      <c r="J1974" s="102"/>
      <c r="K1974" s="102"/>
      <c r="L1974" s="102"/>
    </row>
    <row r="1975">
      <c r="A1975" s="102" t="str">
        <f>IFERROR(__xludf.DUMMYFUNCTION("""COMPUTED_VALUE"""),"Vladof")</f>
        <v>Vladof</v>
      </c>
      <c r="B1975" s="102" t="str">
        <f>IFERROR(__xludf.DUMMYFUNCTION("""COMPUTED_VALUE"""),"Sniper")</f>
        <v>Sniper</v>
      </c>
      <c r="C1975" s="103">
        <f>IFERROR(__xludf.DUMMYFUNCTION("""COMPUTED_VALUE"""),82.0)</f>
        <v>82</v>
      </c>
      <c r="D1975" s="102" t="str">
        <f>IFERROR(__xludf.DUMMYFUNCTION("""COMPUTED_VALUE"""),"Manufacturer Part")</f>
        <v>Manufacturer Part</v>
      </c>
      <c r="E1975" s="102" t="str">
        <f>IFERROR(__xludf.DUMMYFUNCTION("""COMPUTED_VALUE"""),"VLA_SR.part_barrel_licensed_ted_shooting")</f>
        <v>VLA_SR.part_barrel_licensed_ted_shooting</v>
      </c>
      <c r="F1975" s="102"/>
      <c r="G1975" s="102" t="str">
        <f>IFERROR(__xludf.DUMMYFUNCTION("""COMPUTED_VALUE"""),"Tediore Shooting, no stat changes")</f>
        <v>Tediore Shooting, no stat changes</v>
      </c>
      <c r="H1975" s="102"/>
      <c r="I1975" s="102"/>
      <c r="J1975" s="102"/>
      <c r="K1975" s="102"/>
      <c r="L1975" s="102"/>
    </row>
    <row r="1976">
      <c r="A1976" s="76" t="str">
        <f>IFERROR(__xludf.DUMMYFUNCTION("""COMPUTED_VALUE"""),"Vladof")</f>
        <v>Vladof</v>
      </c>
      <c r="B1976" s="76" t="str">
        <f>IFERROR(__xludf.DUMMYFUNCTION("""COMPUTED_VALUE"""),"Sniper")</f>
        <v>Sniper</v>
      </c>
      <c r="C1976" s="97">
        <f>IFERROR(__xludf.DUMMYFUNCTION("""COMPUTED_VALUE"""),83.0)</f>
        <v>83</v>
      </c>
      <c r="D1976" s="76" t="str">
        <f>IFERROR(__xludf.DUMMYFUNCTION("""COMPUTED_VALUE"""),"Manufacturer Part")</f>
        <v>Manufacturer Part</v>
      </c>
      <c r="E1976" s="76" t="str">
        <f>IFERROR(__xludf.DUMMYFUNCTION("""COMPUTED_VALUE"""),"VLA_SR.part_barrel_licensed_ted_combo")</f>
        <v>VLA_SR.part_barrel_licensed_ted_combo</v>
      </c>
      <c r="F1976" s="76"/>
      <c r="G1976" s="76" t="str">
        <f>IFERROR(__xludf.DUMMYFUNCTION("""COMPUTED_VALUE"""),"Tediore Combo, no stat changes")</f>
        <v>Tediore Combo, no stat changes</v>
      </c>
      <c r="H1976" s="76"/>
      <c r="I1976" s="76"/>
    </row>
    <row r="1977">
      <c r="A1977" s="76" t="str">
        <f>IFERROR(__xludf.DUMMYFUNCTION("""COMPUTED_VALUE"""),"Vladof")</f>
        <v>Vladof</v>
      </c>
      <c r="B1977" s="76" t="str">
        <f>IFERROR(__xludf.DUMMYFUNCTION("""COMPUTED_VALUE"""),"Sniper")</f>
        <v>Sniper</v>
      </c>
      <c r="C1977" s="97">
        <f>IFERROR(__xludf.DUMMYFUNCTION("""COMPUTED_VALUE"""),84.0)</f>
        <v>84</v>
      </c>
      <c r="D1977" s="76" t="str">
        <f>IFERROR(__xludf.DUMMYFUNCTION("""COMPUTED_VALUE"""),"Manufacturer Part")</f>
        <v>Manufacturer Part</v>
      </c>
      <c r="E1977" s="76" t="str">
        <f>IFERROR(__xludf.DUMMYFUNCTION("""COMPUTED_VALUE"""),"VLA_SR.part_barrel_licensed_ted_mirv")</f>
        <v>VLA_SR.part_barrel_licensed_ted_mirv</v>
      </c>
      <c r="F1977" s="76"/>
      <c r="G1977" s="76" t="str">
        <f>IFERROR(__xludf.DUMMYFUNCTION("""COMPUTED_VALUE"""),"Tediore MIRV, no stat changes")</f>
        <v>Tediore MIRV, no stat changes</v>
      </c>
      <c r="H1977" s="76"/>
      <c r="I1977" s="76"/>
    </row>
    <row r="1978">
      <c r="A1978" s="76" t="str">
        <f>IFERROR(__xludf.DUMMYFUNCTION("""COMPUTED_VALUE"""),"Vladof")</f>
        <v>Vladof</v>
      </c>
      <c r="B1978" s="76" t="str">
        <f>IFERROR(__xludf.DUMMYFUNCTION("""COMPUTED_VALUE"""),"Sniper")</f>
        <v>Sniper</v>
      </c>
      <c r="C1978" s="97">
        <f>IFERROR(__xludf.DUMMYFUNCTION("""COMPUTED_VALUE"""),85.0)</f>
        <v>85</v>
      </c>
      <c r="D1978" s="76" t="str">
        <f>IFERROR(__xludf.DUMMYFUNCTION("""COMPUTED_VALUE"""),"Manufacturer Part")</f>
        <v>Manufacturer Part</v>
      </c>
      <c r="E1978" s="76" t="str">
        <f>IFERROR(__xludf.DUMMYFUNCTION("""COMPUTED_VALUE"""),"VLA_SR.part_barrel_licensed_hyp")</f>
        <v>VLA_SR.part_barrel_licensed_hyp</v>
      </c>
      <c r="F1978" s="76"/>
      <c r="G1978" s="76" t="str">
        <f>IFERROR(__xludf.DUMMYFUNCTION("""COMPUTED_VALUE"""),"Hyperion Shield visual accessory, no stat changes")</f>
        <v>Hyperion Shield visual accessory, no stat changes</v>
      </c>
      <c r="H1978" s="76"/>
      <c r="I1978" s="76"/>
    </row>
    <row r="1979">
      <c r="A1979" s="76" t="str">
        <f>IFERROR(__xludf.DUMMYFUNCTION("""COMPUTED_VALUE"""),"Vladof")</f>
        <v>Vladof</v>
      </c>
      <c r="B1979" s="76" t="str">
        <f>IFERROR(__xludf.DUMMYFUNCTION("""COMPUTED_VALUE"""),"Sniper")</f>
        <v>Sniper</v>
      </c>
      <c r="C1979" s="97">
        <f>IFERROR(__xludf.DUMMYFUNCTION("""COMPUTED_VALUE"""),86.0)</f>
        <v>86</v>
      </c>
      <c r="D1979" s="76" t="str">
        <f>IFERROR(__xludf.DUMMYFUNCTION("""COMPUTED_VALUE"""),"Grip")</f>
        <v>Grip</v>
      </c>
      <c r="E1979" s="76" t="str">
        <f>IFERROR(__xludf.DUMMYFUNCTION("""COMPUTED_VALUE"""),"VLA_SR.part_grip_05c_ted_jav")</f>
        <v>VLA_SR.part_grip_05c_ted_jav</v>
      </c>
      <c r="F1979" s="76"/>
      <c r="G1979" s="76" t="str">
        <f>IFERROR(__xludf.DUMMYFUNCTION("""COMPUTED_VALUE"""),"Tediore reload modifier: Javelin, no stat changes")</f>
        <v>Tediore reload modifier: Javelin, no stat changes</v>
      </c>
      <c r="H1979" s="76"/>
      <c r="I1979" s="76"/>
    </row>
    <row r="1980">
      <c r="C1980" s="97"/>
    </row>
    <row r="1981">
      <c r="C1981" s="97"/>
    </row>
    <row r="1982">
      <c r="C1982" s="97"/>
    </row>
    <row r="1983">
      <c r="C1983" s="97"/>
    </row>
    <row r="1984">
      <c r="C1984" s="97"/>
    </row>
    <row r="1985">
      <c r="C1985" s="97"/>
    </row>
    <row r="1986">
      <c r="C1986" s="97"/>
    </row>
    <row r="1987">
      <c r="C1987" s="97"/>
    </row>
    <row r="1988">
      <c r="C1988" s="97"/>
    </row>
    <row r="1989">
      <c r="C1989" s="97"/>
    </row>
    <row r="1990">
      <c r="C1990" s="97"/>
    </row>
    <row r="1991">
      <c r="C1991" s="97"/>
    </row>
    <row r="1992">
      <c r="C1992" s="97"/>
    </row>
    <row r="1993">
      <c r="C1993" s="97"/>
    </row>
    <row r="1994">
      <c r="C1994" s="97"/>
    </row>
    <row r="1995">
      <c r="C1995" s="97"/>
    </row>
    <row r="1996">
      <c r="C1996" s="97"/>
    </row>
    <row r="1997">
      <c r="C1997" s="97"/>
    </row>
    <row r="1998">
      <c r="C1998" s="97"/>
    </row>
    <row r="1999">
      <c r="C1999" s="97"/>
    </row>
    <row r="2000">
      <c r="C2000" s="97"/>
    </row>
    <row r="2001">
      <c r="C2001" s="97"/>
    </row>
    <row r="2002">
      <c r="C2002" s="97"/>
    </row>
    <row r="2003">
      <c r="C2003" s="97"/>
    </row>
    <row r="2004">
      <c r="C2004" s="97"/>
    </row>
    <row r="2005">
      <c r="C2005" s="97"/>
    </row>
    <row r="2006">
      <c r="C2006" s="97"/>
    </row>
    <row r="2007">
      <c r="C2007" s="97"/>
    </row>
    <row r="2008">
      <c r="C2008" s="97"/>
    </row>
    <row r="2009">
      <c r="C2009" s="97"/>
    </row>
    <row r="2010">
      <c r="C2010" s="97"/>
    </row>
    <row r="2011">
      <c r="C2011" s="97"/>
    </row>
    <row r="2012">
      <c r="C2012" s="97"/>
    </row>
    <row r="2013">
      <c r="C2013" s="97"/>
    </row>
    <row r="2014">
      <c r="C2014" s="97"/>
    </row>
    <row r="2015">
      <c r="C2015" s="97"/>
    </row>
    <row r="2016">
      <c r="C2016" s="97"/>
    </row>
    <row r="2017">
      <c r="C2017" s="97"/>
    </row>
    <row r="2018">
      <c r="C2018" s="97"/>
    </row>
    <row r="2019">
      <c r="C2019" s="97"/>
    </row>
    <row r="2020">
      <c r="C2020" s="97"/>
    </row>
    <row r="2021">
      <c r="C2021" s="97"/>
    </row>
    <row r="2022">
      <c r="C2022" s="97"/>
    </row>
    <row r="2023">
      <c r="C2023" s="97"/>
    </row>
    <row r="2024">
      <c r="C2024" s="97"/>
    </row>
    <row r="2025">
      <c r="C2025" s="97"/>
    </row>
    <row r="2026">
      <c r="C2026" s="97"/>
    </row>
    <row r="2027">
      <c r="C2027" s="97"/>
    </row>
    <row r="2028">
      <c r="C2028" s="97"/>
    </row>
    <row r="2029">
      <c r="C2029" s="97"/>
    </row>
    <row r="2030">
      <c r="C2030" s="97"/>
    </row>
    <row r="2031">
      <c r="C2031" s="97"/>
    </row>
    <row r="2032">
      <c r="C2032" s="97"/>
    </row>
    <row r="2033">
      <c r="C2033" s="97"/>
    </row>
    <row r="2034">
      <c r="C2034" s="97"/>
    </row>
    <row r="2035">
      <c r="C2035" s="97"/>
    </row>
    <row r="2036">
      <c r="C2036" s="97"/>
    </row>
    <row r="2037">
      <c r="C2037" s="97"/>
    </row>
    <row r="2038">
      <c r="C2038" s="97"/>
    </row>
    <row r="2039">
      <c r="C2039" s="97"/>
    </row>
    <row r="2040">
      <c r="C2040" s="97"/>
    </row>
    <row r="2041">
      <c r="C2041" s="97"/>
    </row>
    <row r="2042">
      <c r="C2042" s="97"/>
    </row>
    <row r="2043">
      <c r="C2043" s="97"/>
    </row>
    <row r="2044">
      <c r="C2044" s="97"/>
    </row>
    <row r="2045">
      <c r="C2045" s="97"/>
    </row>
    <row r="2046">
      <c r="C2046" s="97"/>
    </row>
    <row r="2047">
      <c r="C2047" s="97"/>
    </row>
    <row r="2048">
      <c r="C2048" s="97"/>
    </row>
    <row r="2049">
      <c r="C2049" s="97"/>
    </row>
    <row r="2050">
      <c r="C2050" s="97"/>
    </row>
    <row r="2051">
      <c r="C2051" s="97"/>
    </row>
    <row r="2052">
      <c r="C2052" s="97"/>
    </row>
    <row r="2053">
      <c r="C2053" s="97"/>
    </row>
    <row r="2054">
      <c r="C2054" s="97"/>
    </row>
    <row r="2055">
      <c r="C2055" s="97"/>
    </row>
    <row r="2056">
      <c r="C2056" s="97"/>
    </row>
    <row r="2057">
      <c r="C2057" s="97"/>
    </row>
    <row r="2058">
      <c r="C2058" s="97"/>
    </row>
    <row r="2059">
      <c r="C2059" s="97"/>
    </row>
    <row r="2060">
      <c r="C2060" s="97"/>
    </row>
    <row r="2061">
      <c r="C2061" s="97"/>
    </row>
    <row r="2062">
      <c r="C2062" s="97"/>
    </row>
    <row r="2063">
      <c r="C2063" s="97"/>
    </row>
    <row r="2064">
      <c r="C2064" s="97"/>
    </row>
    <row r="2065">
      <c r="C2065" s="97"/>
    </row>
    <row r="2066">
      <c r="C2066" s="97"/>
    </row>
    <row r="2067">
      <c r="C2067" s="97"/>
    </row>
    <row r="2068">
      <c r="C2068" s="97"/>
    </row>
    <row r="2069">
      <c r="C2069" s="97"/>
    </row>
    <row r="2070">
      <c r="C2070" s="97"/>
    </row>
    <row r="2071">
      <c r="C2071" s="97"/>
    </row>
    <row r="2072">
      <c r="C2072" s="97"/>
    </row>
    <row r="2073">
      <c r="C2073" s="97"/>
    </row>
    <row r="2074">
      <c r="C2074" s="97"/>
    </row>
    <row r="2075">
      <c r="C2075" s="97"/>
    </row>
    <row r="2076">
      <c r="C2076" s="97"/>
    </row>
    <row r="2077">
      <c r="C2077" s="97"/>
    </row>
    <row r="2078">
      <c r="C2078" s="97"/>
    </row>
    <row r="2079">
      <c r="C2079" s="97"/>
    </row>
    <row r="2080">
      <c r="C2080" s="97"/>
    </row>
    <row r="2081">
      <c r="C2081" s="97"/>
    </row>
    <row r="2082">
      <c r="C2082" s="97"/>
    </row>
    <row r="2083">
      <c r="C2083" s="97"/>
    </row>
    <row r="2084">
      <c r="C2084" s="97"/>
    </row>
    <row r="2085">
      <c r="C2085" s="97"/>
    </row>
    <row r="2086">
      <c r="C2086" s="97"/>
    </row>
    <row r="2087">
      <c r="C2087" s="97"/>
    </row>
    <row r="2088">
      <c r="C2088" s="97"/>
    </row>
    <row r="2089">
      <c r="C2089" s="97"/>
    </row>
    <row r="2090">
      <c r="C2090" s="97"/>
    </row>
    <row r="2091">
      <c r="C2091" s="97"/>
    </row>
    <row r="2092">
      <c r="C2092" s="97"/>
    </row>
    <row r="2093">
      <c r="C2093" s="97"/>
    </row>
    <row r="2094">
      <c r="C2094" s="97"/>
    </row>
    <row r="2095">
      <c r="C2095" s="97"/>
    </row>
    <row r="2096">
      <c r="C2096" s="97"/>
    </row>
    <row r="2097">
      <c r="C2097" s="97"/>
    </row>
    <row r="2098">
      <c r="C2098" s="97"/>
    </row>
    <row r="2099">
      <c r="C2099" s="97"/>
    </row>
    <row r="2100">
      <c r="C2100" s="97"/>
    </row>
    <row r="2101">
      <c r="C2101" s="97"/>
    </row>
    <row r="2102">
      <c r="C2102" s="97"/>
    </row>
    <row r="2103">
      <c r="C2103" s="97"/>
    </row>
    <row r="2104">
      <c r="C2104" s="97"/>
    </row>
    <row r="2105">
      <c r="C2105" s="97"/>
    </row>
    <row r="2106">
      <c r="C2106" s="97"/>
    </row>
    <row r="2107">
      <c r="C2107" s="97"/>
    </row>
    <row r="2108">
      <c r="C2108" s="97"/>
    </row>
    <row r="2109">
      <c r="C2109" s="97"/>
    </row>
    <row r="2110">
      <c r="C2110" s="97"/>
    </row>
    <row r="2111">
      <c r="C2111" s="97"/>
    </row>
    <row r="2112">
      <c r="C2112" s="97"/>
    </row>
    <row r="2113">
      <c r="C2113" s="97"/>
    </row>
    <row r="2114">
      <c r="C2114" s="97"/>
    </row>
    <row r="2115">
      <c r="C2115" s="97"/>
    </row>
    <row r="2116">
      <c r="C2116" s="97"/>
    </row>
    <row r="2117">
      <c r="C2117" s="97"/>
    </row>
    <row r="2118">
      <c r="C2118" s="97"/>
    </row>
    <row r="2119">
      <c r="C2119" s="97"/>
    </row>
    <row r="2120">
      <c r="C2120" s="97"/>
    </row>
    <row r="2121">
      <c r="C2121" s="97"/>
    </row>
    <row r="2122">
      <c r="C2122" s="97"/>
    </row>
    <row r="2123">
      <c r="C2123" s="97"/>
    </row>
    <row r="2124">
      <c r="C2124" s="97"/>
    </row>
    <row r="2125">
      <c r="C2125" s="97"/>
    </row>
    <row r="2126">
      <c r="C2126" s="97"/>
    </row>
    <row r="2127">
      <c r="C2127" s="97"/>
    </row>
    <row r="2128">
      <c r="C2128" s="97"/>
    </row>
    <row r="2129">
      <c r="C2129" s="97"/>
    </row>
    <row r="2130">
      <c r="C2130" s="97"/>
    </row>
    <row r="2131">
      <c r="C2131" s="97"/>
    </row>
    <row r="2132">
      <c r="C2132" s="97"/>
    </row>
    <row r="2133">
      <c r="C2133" s="97"/>
    </row>
    <row r="2134">
      <c r="C2134" s="97"/>
    </row>
    <row r="2135">
      <c r="C2135" s="97"/>
    </row>
    <row r="2136">
      <c r="C2136" s="97"/>
    </row>
    <row r="2137">
      <c r="C2137" s="97"/>
    </row>
    <row r="2138">
      <c r="C2138" s="97"/>
    </row>
    <row r="2139">
      <c r="C2139" s="97"/>
    </row>
    <row r="2140">
      <c r="C2140" s="97"/>
    </row>
    <row r="2141">
      <c r="C2141" s="97"/>
    </row>
    <row r="2142">
      <c r="C2142" s="97"/>
    </row>
    <row r="2143">
      <c r="C2143" s="97"/>
    </row>
    <row r="2144">
      <c r="C2144" s="97"/>
    </row>
    <row r="2145">
      <c r="C2145" s="97"/>
    </row>
    <row r="2146">
      <c r="C2146" s="97"/>
    </row>
    <row r="2147">
      <c r="C2147" s="97"/>
    </row>
    <row r="2148">
      <c r="C2148" s="97"/>
    </row>
    <row r="2149">
      <c r="C2149" s="97"/>
    </row>
    <row r="2150">
      <c r="C2150" s="97"/>
    </row>
    <row r="2151">
      <c r="C2151" s="97"/>
    </row>
    <row r="2152">
      <c r="C2152" s="97"/>
    </row>
    <row r="2153">
      <c r="C2153" s="97"/>
    </row>
    <row r="2154">
      <c r="C2154" s="97"/>
    </row>
    <row r="2155">
      <c r="C2155" s="97"/>
    </row>
    <row r="2156">
      <c r="C2156" s="97"/>
    </row>
    <row r="2157">
      <c r="C2157" s="97"/>
    </row>
    <row r="2158">
      <c r="C2158" s="97"/>
    </row>
    <row r="2159">
      <c r="C2159" s="97"/>
    </row>
    <row r="2160">
      <c r="C2160" s="97"/>
    </row>
    <row r="2161">
      <c r="C2161" s="97"/>
    </row>
    <row r="2162">
      <c r="C2162" s="97"/>
    </row>
    <row r="2163">
      <c r="C2163" s="97"/>
    </row>
    <row r="2164">
      <c r="C2164" s="97"/>
    </row>
    <row r="2165">
      <c r="C2165" s="97"/>
    </row>
    <row r="2166">
      <c r="C2166" s="97"/>
    </row>
    <row r="2167">
      <c r="C2167" s="97"/>
    </row>
    <row r="2168">
      <c r="C2168" s="97"/>
    </row>
    <row r="2169">
      <c r="C2169" s="97"/>
    </row>
    <row r="2170">
      <c r="C2170" s="97"/>
    </row>
    <row r="2171">
      <c r="C2171" s="97"/>
    </row>
    <row r="2172">
      <c r="C2172" s="97"/>
    </row>
    <row r="2173">
      <c r="C2173" s="97"/>
    </row>
    <row r="2174">
      <c r="C2174" s="97"/>
    </row>
    <row r="2175">
      <c r="C2175" s="97"/>
    </row>
    <row r="2176">
      <c r="C2176" s="97"/>
    </row>
    <row r="2177">
      <c r="C2177" s="97"/>
    </row>
    <row r="2178">
      <c r="C2178" s="97"/>
    </row>
    <row r="2179">
      <c r="C2179" s="97"/>
    </row>
    <row r="2180">
      <c r="C2180" s="97"/>
    </row>
    <row r="2181">
      <c r="C2181" s="97"/>
    </row>
    <row r="2182">
      <c r="C2182" s="97"/>
    </row>
    <row r="2183">
      <c r="C2183" s="97"/>
    </row>
    <row r="2184">
      <c r="C2184" s="97"/>
    </row>
    <row r="2185">
      <c r="C2185" s="97"/>
    </row>
    <row r="2186">
      <c r="C2186" s="97"/>
    </row>
    <row r="2187">
      <c r="C2187" s="97"/>
    </row>
    <row r="2188">
      <c r="C2188" s="97"/>
    </row>
    <row r="2189">
      <c r="C2189" s="97"/>
    </row>
    <row r="2190">
      <c r="C2190" s="97"/>
    </row>
    <row r="2191">
      <c r="C2191" s="97"/>
    </row>
    <row r="2192">
      <c r="C2192" s="97"/>
    </row>
    <row r="2193">
      <c r="C2193" s="97"/>
    </row>
    <row r="2194">
      <c r="C2194" s="97"/>
    </row>
    <row r="2195">
      <c r="C2195" s="97"/>
    </row>
    <row r="2196">
      <c r="C2196" s="97"/>
    </row>
    <row r="2197">
      <c r="C2197" s="97"/>
    </row>
    <row r="2198">
      <c r="C2198" s="97"/>
    </row>
    <row r="2199">
      <c r="C2199" s="97"/>
    </row>
    <row r="2200">
      <c r="C2200" s="97"/>
    </row>
    <row r="2201">
      <c r="C2201" s="97"/>
    </row>
    <row r="2202">
      <c r="C2202" s="97"/>
    </row>
    <row r="2203">
      <c r="C2203" s="97"/>
    </row>
    <row r="2204">
      <c r="C2204" s="97"/>
    </row>
    <row r="2205">
      <c r="C2205" s="97"/>
    </row>
    <row r="2206">
      <c r="C2206" s="97"/>
    </row>
    <row r="2207">
      <c r="C2207" s="97"/>
    </row>
    <row r="2208">
      <c r="C2208" s="97"/>
    </row>
    <row r="2209">
      <c r="C2209" s="97"/>
    </row>
    <row r="2210">
      <c r="C2210" s="97"/>
    </row>
    <row r="2211">
      <c r="C2211" s="97"/>
    </row>
    <row r="2212">
      <c r="C2212" s="97"/>
    </row>
    <row r="2213">
      <c r="C2213" s="97"/>
    </row>
    <row r="2214">
      <c r="C2214" s="97"/>
    </row>
    <row r="2215">
      <c r="C2215" s="97"/>
    </row>
    <row r="2216">
      <c r="C2216" s="97"/>
    </row>
    <row r="2217">
      <c r="C2217" s="97"/>
    </row>
    <row r="2218">
      <c r="C2218" s="97"/>
    </row>
    <row r="2219">
      <c r="C2219" s="97"/>
    </row>
    <row r="2220">
      <c r="C2220" s="97"/>
    </row>
    <row r="2221">
      <c r="C2221" s="97"/>
    </row>
    <row r="2222">
      <c r="C2222" s="97"/>
    </row>
    <row r="2223">
      <c r="C2223" s="97"/>
    </row>
    <row r="2224">
      <c r="C2224" s="97"/>
    </row>
    <row r="2225">
      <c r="C2225" s="97"/>
    </row>
    <row r="2226">
      <c r="C2226" s="97"/>
    </row>
    <row r="2227">
      <c r="C2227" s="97"/>
    </row>
    <row r="2228">
      <c r="C2228" s="97"/>
    </row>
    <row r="2229">
      <c r="C2229" s="97"/>
    </row>
    <row r="2230">
      <c r="C2230" s="97"/>
    </row>
    <row r="2231">
      <c r="C2231" s="97"/>
    </row>
    <row r="2232">
      <c r="C2232" s="97"/>
    </row>
    <row r="2233">
      <c r="C2233" s="97"/>
    </row>
    <row r="2234">
      <c r="C2234" s="97"/>
    </row>
    <row r="2235">
      <c r="C2235" s="97"/>
    </row>
    <row r="2236">
      <c r="C2236" s="97"/>
    </row>
    <row r="2237">
      <c r="C2237" s="97"/>
    </row>
    <row r="2238">
      <c r="C2238" s="97"/>
    </row>
    <row r="2239">
      <c r="C2239" s="97"/>
    </row>
    <row r="2240">
      <c r="C2240" s="97"/>
    </row>
    <row r="2241">
      <c r="C2241" s="97"/>
    </row>
    <row r="2242">
      <c r="C2242" s="97"/>
    </row>
    <row r="2243">
      <c r="C2243" s="97"/>
    </row>
    <row r="2244">
      <c r="C2244" s="97"/>
    </row>
    <row r="2245">
      <c r="C2245" s="97"/>
    </row>
    <row r="2246">
      <c r="C2246" s="97"/>
    </row>
    <row r="2247">
      <c r="C2247" s="97"/>
    </row>
    <row r="2248">
      <c r="C2248" s="97"/>
    </row>
    <row r="2249">
      <c r="C2249" s="97"/>
    </row>
    <row r="2250">
      <c r="C2250" s="97"/>
    </row>
    <row r="2251">
      <c r="C2251" s="97"/>
    </row>
    <row r="2252">
      <c r="C2252" s="97"/>
    </row>
    <row r="2253">
      <c r="C2253" s="97"/>
    </row>
    <row r="2254">
      <c r="C2254" s="97"/>
    </row>
    <row r="2255">
      <c r="C2255" s="97"/>
    </row>
    <row r="2256">
      <c r="C2256" s="97"/>
    </row>
    <row r="2257">
      <c r="C2257" s="97"/>
    </row>
    <row r="2258">
      <c r="C2258" s="97"/>
    </row>
    <row r="2259">
      <c r="C2259" s="97"/>
    </row>
    <row r="2260">
      <c r="C2260" s="97"/>
    </row>
    <row r="2261">
      <c r="C2261" s="97"/>
    </row>
    <row r="2262">
      <c r="C2262" s="97"/>
    </row>
    <row r="2263">
      <c r="C2263" s="97"/>
    </row>
    <row r="2264">
      <c r="C2264" s="97"/>
    </row>
    <row r="2265">
      <c r="C2265" s="97"/>
    </row>
    <row r="2266">
      <c r="C2266" s="97"/>
    </row>
    <row r="2267">
      <c r="C2267" s="97"/>
    </row>
    <row r="2268">
      <c r="C2268" s="97"/>
    </row>
    <row r="2269">
      <c r="C2269" s="97"/>
    </row>
    <row r="2270">
      <c r="C2270" s="97"/>
    </row>
    <row r="2271">
      <c r="C2271" s="97"/>
    </row>
    <row r="2272">
      <c r="C2272" s="97"/>
    </row>
    <row r="2273">
      <c r="C2273" s="97"/>
    </row>
    <row r="2274">
      <c r="C2274" s="97"/>
    </row>
    <row r="2275">
      <c r="C2275" s="97"/>
    </row>
    <row r="2276">
      <c r="C2276" s="97"/>
    </row>
    <row r="2277">
      <c r="C2277" s="97"/>
    </row>
    <row r="2278">
      <c r="C2278" s="97"/>
    </row>
    <row r="2279">
      <c r="C2279" s="97"/>
    </row>
    <row r="2280">
      <c r="C2280" s="97"/>
    </row>
    <row r="2281">
      <c r="C2281" s="97"/>
    </row>
    <row r="2282">
      <c r="C2282" s="97"/>
    </row>
    <row r="2283">
      <c r="C2283" s="97"/>
    </row>
    <row r="2284">
      <c r="C2284" s="97"/>
    </row>
    <row r="2285">
      <c r="C2285" s="97"/>
    </row>
    <row r="2286">
      <c r="C2286" s="97"/>
    </row>
    <row r="2287">
      <c r="C2287" s="97"/>
    </row>
    <row r="2288">
      <c r="C2288" s="97"/>
    </row>
    <row r="2289">
      <c r="C2289" s="97"/>
    </row>
    <row r="2290">
      <c r="C2290" s="97"/>
    </row>
    <row r="2291">
      <c r="C2291" s="97"/>
    </row>
    <row r="2292">
      <c r="C2292" s="97"/>
    </row>
    <row r="2293">
      <c r="C2293" s="97"/>
    </row>
    <row r="2294">
      <c r="C2294" s="97"/>
    </row>
    <row r="2295">
      <c r="C2295" s="97"/>
    </row>
    <row r="2296">
      <c r="C2296" s="97"/>
    </row>
    <row r="2297">
      <c r="C2297" s="97"/>
    </row>
    <row r="2298">
      <c r="C2298" s="97"/>
    </row>
    <row r="2299">
      <c r="C2299" s="97"/>
    </row>
    <row r="2300">
      <c r="C2300" s="97"/>
    </row>
    <row r="2301">
      <c r="C2301" s="97"/>
    </row>
    <row r="2302">
      <c r="C2302" s="97"/>
    </row>
    <row r="2303">
      <c r="C2303" s="97"/>
    </row>
    <row r="2304">
      <c r="C2304" s="97"/>
    </row>
    <row r="2305">
      <c r="C2305" s="97"/>
    </row>
    <row r="2306">
      <c r="C2306" s="97"/>
    </row>
    <row r="2307">
      <c r="C2307" s="97"/>
    </row>
    <row r="2308">
      <c r="C2308" s="97"/>
    </row>
    <row r="2309">
      <c r="C2309" s="97"/>
    </row>
    <row r="2310">
      <c r="C2310" s="97"/>
    </row>
    <row r="2311">
      <c r="C2311" s="97"/>
    </row>
    <row r="2312">
      <c r="C2312" s="97"/>
    </row>
    <row r="2313">
      <c r="C2313" s="97"/>
    </row>
    <row r="2314">
      <c r="C2314" s="97"/>
    </row>
    <row r="2315">
      <c r="C2315" s="97"/>
    </row>
    <row r="2316">
      <c r="C2316" s="97"/>
    </row>
    <row r="2317">
      <c r="C2317" s="97"/>
    </row>
    <row r="2318">
      <c r="C2318" s="97"/>
    </row>
    <row r="2319">
      <c r="C2319" s="97"/>
    </row>
    <row r="2320">
      <c r="C2320" s="97"/>
    </row>
    <row r="2321">
      <c r="C2321" s="97"/>
    </row>
    <row r="2322">
      <c r="C2322" s="97"/>
    </row>
    <row r="2323">
      <c r="C2323" s="97"/>
    </row>
    <row r="2324">
      <c r="C2324" s="97"/>
    </row>
    <row r="2325">
      <c r="C2325" s="97"/>
    </row>
    <row r="2326">
      <c r="C2326" s="97"/>
    </row>
    <row r="2327">
      <c r="C2327" s="97"/>
    </row>
    <row r="2328">
      <c r="C2328" s="97"/>
    </row>
    <row r="2329">
      <c r="C2329" s="97"/>
    </row>
    <row r="2330">
      <c r="C2330" s="97"/>
    </row>
    <row r="2331">
      <c r="C2331" s="97"/>
    </row>
    <row r="2332">
      <c r="C2332" s="97"/>
    </row>
    <row r="2333">
      <c r="C2333" s="97"/>
    </row>
    <row r="2334">
      <c r="C2334" s="97"/>
    </row>
    <row r="2335">
      <c r="C2335" s="97"/>
    </row>
    <row r="2336">
      <c r="C2336" s="97"/>
    </row>
    <row r="2337">
      <c r="C2337" s="97"/>
    </row>
    <row r="2338">
      <c r="C2338" s="97"/>
    </row>
    <row r="2339">
      <c r="C2339" s="97"/>
    </row>
    <row r="2340">
      <c r="C2340" s="97"/>
    </row>
    <row r="2341">
      <c r="C2341" s="97"/>
    </row>
    <row r="2342">
      <c r="C2342" s="97"/>
    </row>
    <row r="2343">
      <c r="C2343" s="97"/>
    </row>
    <row r="2344">
      <c r="C2344" s="97"/>
    </row>
    <row r="2345">
      <c r="C2345" s="97"/>
    </row>
    <row r="2346">
      <c r="C2346" s="97"/>
    </row>
    <row r="2347">
      <c r="C2347" s="97"/>
    </row>
    <row r="2348">
      <c r="C2348" s="97"/>
    </row>
    <row r="2349">
      <c r="C2349" s="97"/>
    </row>
    <row r="2350">
      <c r="C2350" s="97"/>
    </row>
    <row r="2351">
      <c r="C2351" s="97"/>
    </row>
    <row r="2352">
      <c r="C2352" s="97"/>
    </row>
    <row r="2353">
      <c r="C2353" s="97"/>
    </row>
    <row r="2354">
      <c r="C2354" s="97"/>
    </row>
    <row r="2355">
      <c r="C2355" s="97"/>
    </row>
    <row r="2356">
      <c r="C2356" s="97"/>
    </row>
    <row r="2357">
      <c r="C2357" s="97"/>
    </row>
    <row r="2358">
      <c r="C2358" s="97"/>
    </row>
    <row r="2359">
      <c r="C2359" s="97"/>
    </row>
    <row r="2360">
      <c r="C2360" s="97"/>
    </row>
    <row r="2361">
      <c r="C2361" s="97"/>
    </row>
    <row r="2362">
      <c r="C2362" s="97"/>
    </row>
    <row r="2363">
      <c r="C2363" s="97"/>
    </row>
    <row r="2364">
      <c r="C2364" s="97"/>
    </row>
    <row r="2365">
      <c r="C2365" s="97"/>
    </row>
    <row r="2366">
      <c r="C2366" s="97"/>
    </row>
    <row r="2367">
      <c r="C2367" s="97"/>
    </row>
    <row r="2368">
      <c r="C2368" s="97"/>
    </row>
    <row r="2369">
      <c r="C2369" s="97"/>
    </row>
    <row r="2370">
      <c r="C2370" s="97"/>
    </row>
    <row r="2371">
      <c r="C2371" s="97"/>
    </row>
    <row r="2372">
      <c r="C2372" s="97"/>
    </row>
    <row r="2373">
      <c r="C2373" s="97"/>
    </row>
    <row r="2374">
      <c r="C2374" s="97"/>
    </row>
    <row r="2375">
      <c r="C2375" s="97"/>
    </row>
    <row r="2376">
      <c r="C2376" s="97"/>
    </row>
    <row r="2377">
      <c r="C2377" s="97"/>
    </row>
    <row r="2378">
      <c r="C2378" s="97"/>
    </row>
    <row r="2379">
      <c r="C2379" s="97"/>
    </row>
    <row r="2380">
      <c r="C2380" s="97"/>
    </row>
    <row r="2381">
      <c r="C2381" s="97"/>
    </row>
    <row r="2382">
      <c r="C2382" s="97"/>
    </row>
    <row r="2383">
      <c r="C2383" s="97"/>
    </row>
    <row r="2384">
      <c r="C2384" s="97"/>
    </row>
    <row r="2385">
      <c r="C2385" s="97"/>
    </row>
    <row r="2386">
      <c r="C2386" s="97"/>
    </row>
    <row r="2387">
      <c r="C2387" s="97"/>
    </row>
    <row r="2388">
      <c r="C2388" s="97"/>
    </row>
    <row r="2389">
      <c r="C2389" s="97"/>
    </row>
    <row r="2390">
      <c r="C2390" s="97"/>
    </row>
    <row r="2391">
      <c r="C2391" s="97"/>
    </row>
    <row r="2392">
      <c r="C2392" s="97"/>
    </row>
    <row r="2393">
      <c r="C2393" s="97"/>
    </row>
    <row r="2394">
      <c r="C2394" s="97"/>
    </row>
    <row r="2395">
      <c r="C2395" s="97"/>
    </row>
    <row r="2396">
      <c r="C2396" s="97"/>
    </row>
    <row r="2397">
      <c r="C2397" s="97"/>
    </row>
    <row r="2398">
      <c r="C2398" s="97"/>
    </row>
    <row r="2399">
      <c r="C2399" s="97"/>
    </row>
    <row r="2400">
      <c r="C2400" s="97"/>
    </row>
    <row r="2401">
      <c r="C2401" s="97"/>
    </row>
    <row r="2402">
      <c r="C2402" s="97"/>
    </row>
    <row r="2403">
      <c r="C2403" s="97"/>
    </row>
    <row r="2404">
      <c r="C2404" s="97"/>
    </row>
    <row r="2405">
      <c r="C2405" s="97"/>
    </row>
    <row r="2406">
      <c r="C2406" s="97"/>
    </row>
    <row r="2407">
      <c r="C2407" s="97"/>
    </row>
    <row r="2408">
      <c r="C2408" s="97"/>
    </row>
    <row r="2409">
      <c r="C2409" s="97"/>
    </row>
    <row r="2410">
      <c r="C2410" s="97"/>
    </row>
    <row r="2411">
      <c r="C2411" s="97"/>
    </row>
    <row r="2412">
      <c r="C2412" s="97"/>
    </row>
    <row r="2413">
      <c r="C2413" s="97"/>
    </row>
    <row r="2414">
      <c r="C2414" s="97"/>
    </row>
    <row r="2415">
      <c r="C2415" s="97"/>
    </row>
    <row r="2416">
      <c r="C2416" s="97"/>
    </row>
    <row r="2417">
      <c r="C2417" s="97"/>
    </row>
    <row r="2418">
      <c r="C2418" s="97"/>
    </row>
    <row r="2419">
      <c r="C2419" s="97"/>
    </row>
    <row r="2420">
      <c r="C2420" s="97"/>
    </row>
    <row r="2421">
      <c r="C2421" s="97"/>
    </row>
    <row r="2422">
      <c r="C2422" s="97"/>
    </row>
    <row r="2423">
      <c r="C2423" s="97"/>
    </row>
    <row r="2424">
      <c r="C2424" s="97"/>
    </row>
    <row r="2425">
      <c r="C2425" s="97"/>
    </row>
    <row r="2426">
      <c r="C2426" s="97"/>
    </row>
    <row r="2427">
      <c r="C2427" s="97"/>
    </row>
    <row r="2428">
      <c r="C2428" s="97"/>
    </row>
    <row r="2429">
      <c r="C2429" s="97"/>
    </row>
    <row r="2430">
      <c r="C2430" s="97"/>
    </row>
    <row r="2431">
      <c r="C2431" s="97"/>
    </row>
    <row r="2432">
      <c r="C2432" s="97"/>
    </row>
    <row r="2433">
      <c r="C2433" s="97"/>
    </row>
    <row r="2434">
      <c r="C2434" s="97"/>
    </row>
    <row r="2435">
      <c r="C2435" s="97"/>
    </row>
    <row r="2436">
      <c r="C2436" s="97"/>
    </row>
    <row r="2437">
      <c r="C2437" s="97"/>
    </row>
    <row r="2438">
      <c r="C2438" s="97"/>
    </row>
    <row r="2439">
      <c r="C2439" s="97"/>
    </row>
    <row r="2440">
      <c r="C2440" s="97"/>
    </row>
    <row r="2441">
      <c r="C2441" s="97"/>
    </row>
    <row r="2442">
      <c r="C2442" s="97"/>
    </row>
    <row r="2443">
      <c r="C2443" s="97"/>
    </row>
    <row r="2444">
      <c r="C2444" s="97"/>
    </row>
    <row r="2445">
      <c r="C2445" s="97"/>
    </row>
    <row r="2446">
      <c r="C2446" s="97"/>
    </row>
    <row r="2447">
      <c r="C2447" s="97"/>
    </row>
    <row r="2448">
      <c r="C2448" s="97"/>
    </row>
    <row r="2449">
      <c r="C2449" s="97"/>
    </row>
    <row r="2450">
      <c r="C2450" s="97"/>
    </row>
    <row r="2451">
      <c r="C2451" s="97"/>
    </row>
    <row r="2452">
      <c r="C2452" s="97"/>
    </row>
    <row r="2453">
      <c r="C2453" s="97"/>
    </row>
    <row r="2454">
      <c r="C2454" s="97"/>
    </row>
    <row r="2455">
      <c r="C2455" s="97"/>
    </row>
    <row r="2456">
      <c r="C2456" s="97"/>
    </row>
    <row r="2457">
      <c r="C2457" s="97"/>
    </row>
    <row r="2458">
      <c r="C2458" s="97"/>
    </row>
    <row r="2459">
      <c r="C2459" s="97"/>
    </row>
    <row r="2460">
      <c r="C2460" s="97"/>
    </row>
    <row r="2461">
      <c r="C2461" s="97"/>
    </row>
    <row r="2462">
      <c r="C2462" s="97"/>
    </row>
    <row r="2463">
      <c r="C2463" s="97"/>
    </row>
    <row r="2464">
      <c r="C2464" s="97"/>
    </row>
    <row r="2465">
      <c r="C2465" s="97"/>
    </row>
    <row r="2466">
      <c r="C2466" s="97"/>
    </row>
  </sheetData>
  <customSheetViews>
    <customSheetView guid="{55FC51A6-F677-4009-8D70-098139117CFE}" filter="1" showAutoFilter="1">
      <autoFilter ref="$A$2:$L$1968"/>
    </customSheetView>
  </customSheetViews>
  <mergeCells count="1">
    <mergeCell ref="A1:L1"/>
  </mergeCells>
  <conditionalFormatting sqref="G1809">
    <cfRule type="beginsWith" dxfId="4" priority="1" operator="beginsWith" text="+">
      <formula>LEFT((G1809),LEN("+"))=("+")</formula>
    </cfRule>
  </conditionalFormatting>
  <conditionalFormatting sqref="G1809">
    <cfRule type="beginsWith" dxfId="4" priority="2" operator="beginsWith" text="-R">
      <formula>LEFT((G1809),LEN("-R"))=("-R")</formula>
    </cfRule>
  </conditionalFormatting>
  <conditionalFormatting sqref="G1787">
    <cfRule type="beginsWith" dxfId="4" priority="3" operator="beginsWith" text="+">
      <formula>LEFT((G1787),LEN("+"))=("+")</formula>
    </cfRule>
  </conditionalFormatting>
  <conditionalFormatting sqref="G1787">
    <cfRule type="beginsWith" dxfId="4" priority="4" operator="beginsWith" text="-R">
      <formula>LEFT((G1787),LEN("-R"))=("-R")</formula>
    </cfRule>
  </conditionalFormatting>
  <conditionalFormatting sqref="G1783">
    <cfRule type="beginsWith" dxfId="4" priority="5" operator="beginsWith" text="+">
      <formula>LEFT((G1783),LEN("+"))=("+")</formula>
    </cfRule>
  </conditionalFormatting>
  <conditionalFormatting sqref="G1783">
    <cfRule type="beginsWith" dxfId="4" priority="6" operator="beginsWith" text="-R">
      <formula>LEFT((G1783),LEN("-R"))=("-R")</formula>
    </cfRule>
  </conditionalFormatting>
  <conditionalFormatting sqref="G1728">
    <cfRule type="beginsWith" dxfId="4" priority="7" operator="beginsWith" text="+">
      <formula>LEFT((G1728),LEN("+"))=("+")</formula>
    </cfRule>
  </conditionalFormatting>
  <conditionalFormatting sqref="G1728">
    <cfRule type="beginsWith" dxfId="4" priority="8" operator="beginsWith" text="-R">
      <formula>LEFT((G1728),LEN("-R"))=("-R")</formula>
    </cfRule>
  </conditionalFormatting>
  <conditionalFormatting sqref="G1727">
    <cfRule type="beginsWith" dxfId="4" priority="9" operator="beginsWith" text="+">
      <formula>LEFT((G1727),LEN("+"))=("+")</formula>
    </cfRule>
  </conditionalFormatting>
  <conditionalFormatting sqref="G1727">
    <cfRule type="beginsWith" dxfId="4" priority="10" operator="beginsWith" text="-R">
      <formula>LEFT((G1727),LEN("-R"))=("-R")</formula>
    </cfRule>
  </conditionalFormatting>
  <conditionalFormatting sqref="G1721">
    <cfRule type="beginsWith" dxfId="4" priority="11" operator="beginsWith" text="+">
      <formula>LEFT((G1721),LEN("+"))=("+")</formula>
    </cfRule>
  </conditionalFormatting>
  <conditionalFormatting sqref="G1721">
    <cfRule type="beginsWith" dxfId="4" priority="12" operator="beginsWith" text="-R">
      <formula>LEFT((G1721),LEN("-R"))=("-R")</formula>
    </cfRule>
  </conditionalFormatting>
  <conditionalFormatting sqref="G1582">
    <cfRule type="beginsWith" dxfId="4" priority="13" operator="beginsWith" text="+">
      <formula>LEFT((G1582),LEN("+"))=("+")</formula>
    </cfRule>
  </conditionalFormatting>
  <conditionalFormatting sqref="G1582">
    <cfRule type="beginsWith" dxfId="4" priority="14" operator="beginsWith" text="-R">
      <formula>LEFT((G1582),LEN("-R"))=("-R")</formula>
    </cfRule>
  </conditionalFormatting>
  <conditionalFormatting sqref="G1561">
    <cfRule type="beginsWith" dxfId="4" priority="15" operator="beginsWith" text="+">
      <formula>LEFT((G1561),LEN("+"))=("+")</formula>
    </cfRule>
  </conditionalFormatting>
  <conditionalFormatting sqref="G1561">
    <cfRule type="beginsWith" dxfId="4" priority="16" operator="beginsWith" text="-R">
      <formula>LEFT((G1561),LEN("-R"))=("-R")</formula>
    </cfRule>
  </conditionalFormatting>
  <conditionalFormatting sqref="G1560">
    <cfRule type="beginsWith" dxfId="4" priority="17" operator="beginsWith" text="+">
      <formula>LEFT((G1560),LEN("+"))=("+")</formula>
    </cfRule>
  </conditionalFormatting>
  <conditionalFormatting sqref="G1560">
    <cfRule type="beginsWith" dxfId="4" priority="18" operator="beginsWith" text="-R">
      <formula>LEFT((G1560),LEN("-R"))=("-R")</formula>
    </cfRule>
  </conditionalFormatting>
  <conditionalFormatting sqref="G1515">
    <cfRule type="beginsWith" dxfId="4" priority="19" operator="beginsWith" text="+">
      <formula>LEFT((G1515),LEN("+"))=("+")</formula>
    </cfRule>
  </conditionalFormatting>
  <conditionalFormatting sqref="G1515">
    <cfRule type="beginsWith" dxfId="4" priority="20" operator="beginsWith" text="-R">
      <formula>LEFT((G1515),LEN("-R"))=("-R")</formula>
    </cfRule>
  </conditionalFormatting>
  <conditionalFormatting sqref="G1514">
    <cfRule type="beginsWith" dxfId="4" priority="21" operator="beginsWith" text="+">
      <formula>LEFT((G1514),LEN("+"))=("+")</formula>
    </cfRule>
  </conditionalFormatting>
  <conditionalFormatting sqref="G1514">
    <cfRule type="beginsWith" dxfId="4" priority="22" operator="beginsWith" text="-R">
      <formula>LEFT((G1514),LEN("-R"))=("-R")</formula>
    </cfRule>
  </conditionalFormatting>
  <conditionalFormatting sqref="G1347">
    <cfRule type="beginsWith" dxfId="4" priority="23" operator="beginsWith" text="+">
      <formula>LEFT((G1347),LEN("+"))=("+")</formula>
    </cfRule>
  </conditionalFormatting>
  <conditionalFormatting sqref="G1347">
    <cfRule type="beginsWith" dxfId="4" priority="24" operator="beginsWith" text="-R">
      <formula>LEFT((G1347),LEN("-R"))=("-R")</formula>
    </cfRule>
  </conditionalFormatting>
  <conditionalFormatting sqref="G1310">
    <cfRule type="beginsWith" dxfId="4" priority="25" operator="beginsWith" text="+">
      <formula>LEFT((G1310),LEN("+"))=("+")</formula>
    </cfRule>
  </conditionalFormatting>
  <conditionalFormatting sqref="G1310">
    <cfRule type="beginsWith" dxfId="4" priority="26" operator="beginsWith" text="-R">
      <formula>LEFT((G1310),LEN("-R"))=("-R")</formula>
    </cfRule>
  </conditionalFormatting>
  <conditionalFormatting sqref="G1309">
    <cfRule type="beginsWith" dxfId="4" priority="27" operator="beginsWith" text="+">
      <formula>LEFT((G1309),LEN("+"))=("+")</formula>
    </cfRule>
  </conditionalFormatting>
  <conditionalFormatting sqref="G1309">
    <cfRule type="beginsWith" dxfId="4" priority="28" operator="beginsWith" text="-R">
      <formula>LEFT((G1309),LEN("-R"))=("-R")</formula>
    </cfRule>
  </conditionalFormatting>
  <conditionalFormatting sqref="G1283">
    <cfRule type="beginsWith" dxfId="4" priority="29" operator="beginsWith" text="+">
      <formula>LEFT((G1283),LEN("+"))=("+")</formula>
    </cfRule>
  </conditionalFormatting>
  <conditionalFormatting sqref="G1283">
    <cfRule type="beginsWith" dxfId="4" priority="30" operator="beginsWith" text="-R">
      <formula>LEFT((G1283),LEN("-R"))=("-R")</formula>
    </cfRule>
  </conditionalFormatting>
  <conditionalFormatting sqref="G1282">
    <cfRule type="beginsWith" dxfId="4" priority="31" operator="beginsWith" text="+">
      <formula>LEFT((G1282),LEN("+"))=("+")</formula>
    </cfRule>
  </conditionalFormatting>
  <conditionalFormatting sqref="G1282">
    <cfRule type="beginsWith" dxfId="4" priority="32" operator="beginsWith" text="-R">
      <formula>LEFT((G1282),LEN("-R"))=("-R")</formula>
    </cfRule>
  </conditionalFormatting>
  <conditionalFormatting sqref="G911">
    <cfRule type="beginsWith" dxfId="4" priority="33" operator="beginsWith" text="+">
      <formula>LEFT((G911),LEN("+"))=("+")</formula>
    </cfRule>
  </conditionalFormatting>
  <conditionalFormatting sqref="G911">
    <cfRule type="beginsWith" dxfId="4" priority="34" operator="beginsWith" text="-R">
      <formula>LEFT((G911),LEN("-R"))=("-R")</formula>
    </cfRule>
  </conditionalFormatting>
  <conditionalFormatting sqref="G847">
    <cfRule type="beginsWith" dxfId="4" priority="35" operator="beginsWith" text="+">
      <formula>LEFT((G847),LEN("+"))=("+")</formula>
    </cfRule>
  </conditionalFormatting>
  <conditionalFormatting sqref="G847">
    <cfRule type="beginsWith" dxfId="4" priority="36" operator="beginsWith" text="-R">
      <formula>LEFT((G847),LEN("-R"))=("-R")</formula>
    </cfRule>
  </conditionalFormatting>
  <conditionalFormatting sqref="G846">
    <cfRule type="beginsWith" dxfId="4" priority="37" operator="beginsWith" text="+">
      <formula>LEFT((G846),LEN("+"))=("+")</formula>
    </cfRule>
  </conditionalFormatting>
  <conditionalFormatting sqref="G846">
    <cfRule type="beginsWith" dxfId="4" priority="38" operator="beginsWith" text="-R">
      <formula>LEFT((G846),LEN("-R"))=("-R")</formula>
    </cfRule>
  </conditionalFormatting>
  <conditionalFormatting sqref="G841">
    <cfRule type="beginsWith" dxfId="4" priority="39" operator="beginsWith" text="+">
      <formula>LEFT((G841),LEN("+"))=("+")</formula>
    </cfRule>
  </conditionalFormatting>
  <conditionalFormatting sqref="G841">
    <cfRule type="beginsWith" dxfId="4" priority="40" operator="beginsWith" text="-R">
      <formula>LEFT((G841),LEN("-R"))=("-R")</formula>
    </cfRule>
  </conditionalFormatting>
  <conditionalFormatting sqref="G381">
    <cfRule type="beginsWith" dxfId="4" priority="41" operator="beginsWith" text="+">
      <formula>LEFT((G381),LEN("+"))=("+")</formula>
    </cfRule>
  </conditionalFormatting>
  <conditionalFormatting sqref="G381">
    <cfRule type="beginsWith" dxfId="4" priority="42" operator="beginsWith" text="-R">
      <formula>LEFT((G381),LEN("-R"))=("-R")</formula>
    </cfRule>
  </conditionalFormatting>
  <conditionalFormatting sqref="G380">
    <cfRule type="beginsWith" dxfId="4" priority="43" operator="beginsWith" text="+">
      <formula>LEFT((G380),LEN("+"))=("+")</formula>
    </cfRule>
  </conditionalFormatting>
  <conditionalFormatting sqref="G380">
    <cfRule type="beginsWith" dxfId="4" priority="44" operator="beginsWith" text="-R">
      <formula>LEFT((G380),LEN("-R"))=("-R")</formula>
    </cfRule>
  </conditionalFormatting>
  <conditionalFormatting sqref="G379">
    <cfRule type="beginsWith" dxfId="4" priority="45" operator="beginsWith" text="+">
      <formula>LEFT((G379),LEN("+"))=("+")</formula>
    </cfRule>
  </conditionalFormatting>
  <conditionalFormatting sqref="G379">
    <cfRule type="beginsWith" dxfId="4" priority="46" operator="beginsWith" text="-R">
      <formula>LEFT((G379),LEN("-R"))=("-R")</formula>
    </cfRule>
  </conditionalFormatting>
  <conditionalFormatting sqref="G316">
    <cfRule type="beginsWith" dxfId="4" priority="47" operator="beginsWith" text="+">
      <formula>LEFT((G316),LEN("+"))=("+")</formula>
    </cfRule>
  </conditionalFormatting>
  <conditionalFormatting sqref="G316">
    <cfRule type="beginsWith" dxfId="4" priority="48" operator="beginsWith" text="-R">
      <formula>LEFT((G316),LEN("-R"))=("-R")</formula>
    </cfRule>
  </conditionalFormatting>
  <conditionalFormatting sqref="G315">
    <cfRule type="beginsWith" dxfId="4" priority="49" operator="beginsWith" text="+">
      <formula>LEFT((G315),LEN("+"))=("+")</formula>
    </cfRule>
  </conditionalFormatting>
  <conditionalFormatting sqref="G315">
    <cfRule type="beginsWith" dxfId="4" priority="50" operator="beginsWith" text="-R">
      <formula>LEFT((G315),LEN("-R"))=("-R")</formula>
    </cfRule>
  </conditionalFormatting>
  <conditionalFormatting sqref="G82">
    <cfRule type="beginsWith" dxfId="4" priority="51" operator="beginsWith" text="+">
      <formula>LEFT((G82),LEN("+"))=("+")</formula>
    </cfRule>
  </conditionalFormatting>
  <conditionalFormatting sqref="G82">
    <cfRule type="beginsWith" dxfId="4" priority="52" operator="beginsWith" text="-R">
      <formula>LEFT((G82),LEN("-R"))=("-R")</formula>
    </cfRule>
  </conditionalFormatting>
  <conditionalFormatting sqref="G65">
    <cfRule type="beginsWith" dxfId="4" priority="53" operator="beginsWith" text="+">
      <formula>LEFT((G65),LEN("+"))=("+")</formula>
    </cfRule>
  </conditionalFormatting>
  <conditionalFormatting sqref="G65">
    <cfRule type="beginsWith" dxfId="4" priority="54" operator="beginsWith" text="-R">
      <formula>LEFT((G65),LEN("-R"))=("-R")</formula>
    </cfRule>
  </conditionalFormatting>
  <conditionalFormatting sqref="G17">
    <cfRule type="beginsWith" dxfId="4" priority="55" operator="beginsWith" text="+">
      <formula>LEFT((G17),LEN("+"))=("+")</formula>
    </cfRule>
  </conditionalFormatting>
  <conditionalFormatting sqref="G17">
    <cfRule type="beginsWith" dxfId="4" priority="56" operator="beginsWith" text="-R">
      <formula>LEFT((G17),LEN("-R"))=("-R")</formula>
    </cfRule>
  </conditionalFormatting>
  <conditionalFormatting sqref="G16">
    <cfRule type="beginsWith" dxfId="4" priority="57" operator="beginsWith" text="+">
      <formula>LEFT((G16),LEN("+"))=("+")</formula>
    </cfRule>
  </conditionalFormatting>
  <conditionalFormatting sqref="G16">
    <cfRule type="beginsWith" dxfId="4" priority="58" operator="beginsWith" text="-R">
      <formula>LEFT((G16),LEN("-R"))=("-R")</formula>
    </cfRule>
  </conditionalFormatting>
  <conditionalFormatting sqref="G15">
    <cfRule type="beginsWith" dxfId="4" priority="59" operator="beginsWith" text="+">
      <formula>LEFT((G15),LEN("+"))=("+")</formula>
    </cfRule>
  </conditionalFormatting>
  <conditionalFormatting sqref="G15">
    <cfRule type="beginsWith" dxfId="4" priority="60" operator="beginsWith" text="-R">
      <formula>LEFT((G15),LEN("-R"))=("-R")</formula>
    </cfRule>
  </conditionalFormatting>
  <conditionalFormatting sqref="G11:G1999">
    <cfRule type="beginsWith" dxfId="4" priority="61" operator="beginsWith" text="-R">
      <formula>LEFT((G11),LEN("-R"))=("-R")</formula>
    </cfRule>
  </conditionalFormatting>
  <conditionalFormatting sqref="G11:G1999">
    <cfRule type="beginsWith" dxfId="4" priority="62" operator="beginsWith" text="+">
      <formula>LEFT((G11),LEN("+"))=("+")</formula>
    </cfRule>
  </conditionalFormatting>
  <drawing r:id="rId1"/>
  <tableParts count="1">
    <tablePart r:id="rId3"/>
  </tableParts>
  <extLst>
    <ext uri="{3A4CF648-6AED-40f4-86FF-DC5316D8AED3}">
      <x14:slicerList>
        <x14:slicer r:id="rId4"/>
      </x14:slicerList>
    </ext>
  </extLst>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13.63"/>
    <col customWidth="1" min="2" max="2" width="15.25"/>
    <col customWidth="1" min="3" max="3" width="4.25"/>
    <col customWidth="1" min="4" max="4" width="21.63"/>
    <col customWidth="1" min="5" max="5" width="42.0"/>
    <col customWidth="1" hidden="1" min="6" max="6" width="22.88"/>
    <col customWidth="1" min="7" max="7" width="51.0"/>
    <col customWidth="1" min="8" max="8" width="110.13"/>
    <col customWidth="1" min="9" max="9" width="30.5"/>
  </cols>
  <sheetData>
    <row r="1" hidden="1">
      <c r="A1" s="105" t="str">
        <f t="shared" ref="A1:B1" si="1">IF(A6="ALL", "ALL", A6)</f>
        <v>Ripper</v>
      </c>
      <c r="B1" s="105" t="str">
        <f t="shared" si="1"/>
        <v>Sniper</v>
      </c>
      <c r="C1" s="97"/>
      <c r="D1" s="105" t="str">
        <f>IF(D6="ALL", "ALL", D6)</f>
        <v>Barrel Accessory</v>
      </c>
      <c r="E1" s="105"/>
      <c r="F1" s="105"/>
      <c r="G1" s="105" t="str">
        <f>IF(G6="ALL", "ALL", G6)</f>
        <v>ALL</v>
      </c>
      <c r="H1" s="106" t="s">
        <v>5499</v>
      </c>
    </row>
    <row r="2" hidden="1">
      <c r="A2" s="105" t="str">
        <f>IF(Manufacturer="ALL", Manufacturer, CONCATENATE("A = '", Manufacturer, "'"))</f>
        <v>A = 'Ripper'</v>
      </c>
      <c r="B2" s="105" t="str">
        <f>IF(WeaponType="ALL", WeaponType, CONCATENATE("B = '", WeaponType, "'"))</f>
        <v>B = 'Sniper'</v>
      </c>
      <c r="C2" s="97"/>
      <c r="D2" s="105" t="str">
        <f>IF(PartType="ALL", PartType, CONCATENATE("D = '", PartType, "'"))</f>
        <v>D = 'Barrel Accessory'</v>
      </c>
      <c r="E2" s="105"/>
      <c r="F2" s="105"/>
      <c r="G2" s="105" t="str">
        <f>IF(Stats="ALL", Stats, CONCATENATE("G = '", Stats, "'"))</f>
        <v>ALL</v>
      </c>
      <c r="H2" s="107" t="str">
        <f>CONCATENATE(IF(A3, A2, ""), IF(B3, IF(A3, " AND ", ""), ""), IF(B3, B2, ""), IF(D3, SWITCH(True, B3, " AND ", A3, " AND ", ""), ""), IF(D3, D2, ""), IF(G3, SWITCH(True, D3, " AND ", B3, " AND ", A3, " AND ", ""), ""), IF(G3, G2, ""), IF(A3, "", IF(B3, "", IF(D3, "", IF(G3, "", " 2=2")))))</f>
        <v>A = 'Ripper' AND B = 'Sniper' AND D = 'Barrel Accessory'</v>
      </c>
    </row>
    <row r="3" hidden="1">
      <c r="A3" s="105" t="b">
        <f t="shared" ref="A3:B3" si="2">IF(NE(A2,"ALL"), True, False)</f>
        <v>1</v>
      </c>
      <c r="B3" s="105" t="b">
        <f t="shared" si="2"/>
        <v>1</v>
      </c>
      <c r="C3" s="97"/>
      <c r="D3" s="105" t="b">
        <f>IF(NE(D2,"ALL"), True, False)</f>
        <v>1</v>
      </c>
      <c r="E3" s="105"/>
      <c r="F3" s="105"/>
      <c r="G3" s="105" t="b">
        <f>IF(NE(G2,"ALL"), True, False)</f>
        <v>0</v>
      </c>
      <c r="H3" s="74" t="s">
        <v>5500</v>
      </c>
    </row>
    <row r="4" hidden="1">
      <c r="A4" s="105"/>
      <c r="B4" s="105"/>
      <c r="C4" s="97"/>
      <c r="D4" s="105"/>
      <c r="E4" s="105"/>
      <c r="F4" s="105"/>
      <c r="G4" s="105"/>
      <c r="H4" s="108" t="s">
        <v>5501</v>
      </c>
    </row>
    <row r="5">
      <c r="A5" s="47" t="s">
        <v>78</v>
      </c>
      <c r="B5" s="47" t="s">
        <v>787</v>
      </c>
      <c r="C5" s="97"/>
      <c r="D5" s="47" t="s">
        <v>789</v>
      </c>
      <c r="E5" s="97"/>
      <c r="F5" s="97"/>
      <c r="G5" s="47" t="s">
        <v>792</v>
      </c>
      <c r="H5" s="105"/>
    </row>
    <row r="6">
      <c r="A6" s="47" t="s">
        <v>513</v>
      </c>
      <c r="B6" s="47" t="s">
        <v>1597</v>
      </c>
      <c r="C6" s="97"/>
      <c r="D6" s="47" t="s">
        <v>819</v>
      </c>
      <c r="E6" s="97"/>
      <c r="F6" s="97"/>
      <c r="G6" s="47" t="s">
        <v>5502</v>
      </c>
      <c r="H6" s="105"/>
    </row>
    <row r="7" ht="3.0" customHeight="1">
      <c r="A7" s="109"/>
      <c r="B7" s="109"/>
      <c r="C7" s="110"/>
      <c r="D7" s="109"/>
      <c r="E7" s="109"/>
      <c r="F7" s="109"/>
      <c r="G7" s="109"/>
      <c r="H7" s="105"/>
    </row>
    <row r="8">
      <c r="A8" s="111" t="str">
        <f>IF(ISBLANK(A10), "No results match your search. Please try again...", "")</f>
        <v/>
      </c>
      <c r="H8" s="112"/>
      <c r="I8" s="113"/>
      <c r="J8" s="113"/>
      <c r="K8" s="113"/>
      <c r="L8" s="113"/>
    </row>
    <row r="9">
      <c r="A9" s="112" t="str">
        <f>IFERROR(__xludf.DUMMYFUNCTION("QUERY(Weapons, ""SELECT * WHERE 1=1 AND "" &amp; H2 &amp; "" LIMIT 2000"", 1)"),"Manufacturer")</f>
        <v>Manufacturer</v>
      </c>
      <c r="B9" s="112" t="str">
        <f>IFERROR(__xludf.DUMMYFUNCTION("""COMPUTED_VALUE"""),"Weapon Type")</f>
        <v>Weapon Type</v>
      </c>
      <c r="C9" s="111" t="str">
        <f>IFERROR(__xludf.DUMMYFUNCTION("""COMPUTED_VALUE"""),"ID")</f>
        <v>ID</v>
      </c>
      <c r="D9" s="112" t="str">
        <f>IFERROR(__xludf.DUMMYFUNCTION("""COMPUTED_VALUE"""),"Part Type")</f>
        <v>Part Type</v>
      </c>
      <c r="E9" s="112" t="str">
        <f>IFERROR(__xludf.DUMMYFUNCTION("""COMPUTED_VALUE"""),"String")</f>
        <v>String</v>
      </c>
      <c r="F9" s="112" t="str">
        <f>IFERROR(__xludf.DUMMYFUNCTION("""COMPUTED_VALUE"""),"Model Name")</f>
        <v>Model Name</v>
      </c>
      <c r="G9" s="112" t="str">
        <f>IFERROR(__xludf.DUMMYFUNCTION("""COMPUTED_VALUE"""),"Stats")</f>
        <v>Stats</v>
      </c>
      <c r="H9" s="112" t="str">
        <f>IFERROR(__xludf.DUMMYFUNCTION("""COMPUTED_VALUE"""),"Effects")</f>
        <v>Effects</v>
      </c>
      <c r="I9" s="113" t="str">
        <f>IFERROR(__xludf.DUMMYFUNCTION("""COMPUTED_VALUE"""),"Requirements")</f>
        <v>Requirements</v>
      </c>
      <c r="J9" s="113"/>
      <c r="K9" s="113"/>
      <c r="L9" s="113"/>
    </row>
    <row r="10">
      <c r="A10" s="105" t="str">
        <f>IFERROR(__xludf.DUMMYFUNCTION("""COMPUTED_VALUE"""),"Ripper")</f>
        <v>Ripper</v>
      </c>
      <c r="B10" s="105" t="str">
        <f>IFERROR(__xludf.DUMMYFUNCTION("""COMPUTED_VALUE"""),"Sniper")</f>
        <v>Sniper</v>
      </c>
      <c r="C10" s="97">
        <f>IFERROR(__xludf.DUMMYFUNCTION("""COMPUTED_VALUE"""),66.0)</f>
        <v>66</v>
      </c>
      <c r="D10" s="105" t="str">
        <f>IFERROR(__xludf.DUMMYFUNCTION("""COMPUTED_VALUE"""),"Barrel Accessory")</f>
        <v>Barrel Accessory</v>
      </c>
      <c r="E10" s="105" t="str">
        <f>IFERROR(__xludf.DUMMYFUNCTION("""COMPUTED_VALUE"""),"BOR_SR.part_barrel_01_a")</f>
        <v>BOR_SR.part_barrel_01_a</v>
      </c>
      <c r="F10" s="105"/>
      <c r="G10" s="105" t="str">
        <f>IFERROR(__xludf.DUMMYFUNCTION("""COMPUTED_VALUE"""),"+Damage")</f>
        <v>+Damage</v>
      </c>
      <c r="H10" s="105"/>
      <c r="I10" s="76"/>
    </row>
    <row r="11">
      <c r="A11" s="105" t="str">
        <f>IFERROR(__xludf.DUMMYFUNCTION("""COMPUTED_VALUE"""),"Ripper")</f>
        <v>Ripper</v>
      </c>
      <c r="B11" s="105" t="str">
        <f>IFERROR(__xludf.DUMMYFUNCTION("""COMPUTED_VALUE"""),"Sniper")</f>
        <v>Sniper</v>
      </c>
      <c r="C11" s="97">
        <f>IFERROR(__xludf.DUMMYFUNCTION("""COMPUTED_VALUE"""),67.0)</f>
        <v>67</v>
      </c>
      <c r="D11" s="105" t="str">
        <f>IFERROR(__xludf.DUMMYFUNCTION("""COMPUTED_VALUE"""),"Barrel Accessory")</f>
        <v>Barrel Accessory</v>
      </c>
      <c r="E11" s="105" t="str">
        <f>IFERROR(__xludf.DUMMYFUNCTION("""COMPUTED_VALUE"""),"BOR_SR.part_barrel_01_b")</f>
        <v>BOR_SR.part_barrel_01_b</v>
      </c>
      <c r="F11" s="105"/>
      <c r="G11" s="105" t="str">
        <f>IFERROR(__xludf.DUMMYFUNCTION("""COMPUTED_VALUE"""),"-Reload Speed")</f>
        <v>-Reload Speed</v>
      </c>
      <c r="H11" s="105"/>
      <c r="I11" s="76"/>
    </row>
    <row r="12">
      <c r="A12" s="105" t="str">
        <f>IFERROR(__xludf.DUMMYFUNCTION("""COMPUTED_VALUE"""),"Ripper")</f>
        <v>Ripper</v>
      </c>
      <c r="B12" s="105" t="str">
        <f>IFERROR(__xludf.DUMMYFUNCTION("""COMPUTED_VALUE"""),"Sniper")</f>
        <v>Sniper</v>
      </c>
      <c r="C12" s="97">
        <f>IFERROR(__xludf.DUMMYFUNCTION("""COMPUTED_VALUE"""),68.0)</f>
        <v>68</v>
      </c>
      <c r="D12" s="105" t="str">
        <f>IFERROR(__xludf.DUMMYFUNCTION("""COMPUTED_VALUE"""),"Barrel Accessory")</f>
        <v>Barrel Accessory</v>
      </c>
      <c r="E12" s="105" t="str">
        <f>IFERROR(__xludf.DUMMYFUNCTION("""COMPUTED_VALUE"""),"BOR_SR.part_barrel_01_c")</f>
        <v>BOR_SR.part_barrel_01_c</v>
      </c>
      <c r="F12" s="105"/>
      <c r="G12" s="105" t="str">
        <f>IFERROR(__xludf.DUMMYFUNCTION("""COMPUTED_VALUE"""),"+Damage")</f>
        <v>+Damage</v>
      </c>
      <c r="H12" s="105"/>
      <c r="I12" s="76"/>
    </row>
    <row r="13">
      <c r="A13" s="105" t="str">
        <f>IFERROR(__xludf.DUMMYFUNCTION("""COMPUTED_VALUE"""),"Ripper")</f>
        <v>Ripper</v>
      </c>
      <c r="B13" s="105" t="str">
        <f>IFERROR(__xludf.DUMMYFUNCTION("""COMPUTED_VALUE"""),"Sniper")</f>
        <v>Sniper</v>
      </c>
      <c r="C13" s="97">
        <f>IFERROR(__xludf.DUMMYFUNCTION("""COMPUTED_VALUE"""),69.0)</f>
        <v>69</v>
      </c>
      <c r="D13" s="105" t="str">
        <f>IFERROR(__xludf.DUMMYFUNCTION("""COMPUTED_VALUE"""),"Barrel Accessory")</f>
        <v>Barrel Accessory</v>
      </c>
      <c r="E13" s="105" t="str">
        <f>IFERROR(__xludf.DUMMYFUNCTION("""COMPUTED_VALUE"""),"BOR_SR.part_barrel_01_d")</f>
        <v>BOR_SR.part_barrel_01_d</v>
      </c>
      <c r="F13" s="105"/>
      <c r="G13" s="105" t="str">
        <f>IFERROR(__xludf.DUMMYFUNCTION("""COMPUTED_VALUE"""),"No Stat Changes")</f>
        <v>No Stat Changes</v>
      </c>
      <c r="H13" s="105"/>
      <c r="I13" s="76"/>
    </row>
    <row r="14">
      <c r="A14" s="105" t="str">
        <f>IFERROR(__xludf.DUMMYFUNCTION("""COMPUTED_VALUE"""),"Ripper")</f>
        <v>Ripper</v>
      </c>
      <c r="B14" s="105" t="str">
        <f>IFERROR(__xludf.DUMMYFUNCTION("""COMPUTED_VALUE"""),"Sniper")</f>
        <v>Sniper</v>
      </c>
      <c r="C14" s="97">
        <f>IFERROR(__xludf.DUMMYFUNCTION("""COMPUTED_VALUE"""),70.0)</f>
        <v>70</v>
      </c>
      <c r="D14" s="105" t="str">
        <f>IFERROR(__xludf.DUMMYFUNCTION("""COMPUTED_VALUE"""),"Barrel Accessory")</f>
        <v>Barrel Accessory</v>
      </c>
      <c r="E14" s="105" t="str">
        <f>IFERROR(__xludf.DUMMYFUNCTION("""COMPUTED_VALUE"""),"BOR_SR.part_barrel_02_a")</f>
        <v>BOR_SR.part_barrel_02_a</v>
      </c>
      <c r="F14" s="105"/>
      <c r="G14" s="105" t="str">
        <f>IFERROR(__xludf.DUMMYFUNCTION("""COMPUTED_VALUE"""),"+Damage")</f>
        <v>+Damage</v>
      </c>
      <c r="H14" s="105"/>
      <c r="I14" s="76"/>
    </row>
    <row r="15">
      <c r="A15" s="105" t="str">
        <f>IFERROR(__xludf.DUMMYFUNCTION("""COMPUTED_VALUE"""),"Ripper")</f>
        <v>Ripper</v>
      </c>
      <c r="B15" s="105" t="str">
        <f>IFERROR(__xludf.DUMMYFUNCTION("""COMPUTED_VALUE"""),"Sniper")</f>
        <v>Sniper</v>
      </c>
      <c r="C15" s="97">
        <f>IFERROR(__xludf.DUMMYFUNCTION("""COMPUTED_VALUE"""),71.0)</f>
        <v>71</v>
      </c>
      <c r="D15" s="105" t="str">
        <f>IFERROR(__xludf.DUMMYFUNCTION("""COMPUTED_VALUE"""),"Barrel Accessory")</f>
        <v>Barrel Accessory</v>
      </c>
      <c r="E15" s="105" t="str">
        <f>IFERROR(__xludf.DUMMYFUNCTION("""COMPUTED_VALUE"""),"BOR_SR.part_barrel_02_b")</f>
        <v>BOR_SR.part_barrel_02_b</v>
      </c>
      <c r="F15" s="105"/>
      <c r="G15" s="105" t="str">
        <f>IFERROR(__xludf.DUMMYFUNCTION("""COMPUTED_VALUE"""),"+Accuracy")</f>
        <v>+Accuracy</v>
      </c>
      <c r="H15" s="105"/>
      <c r="I15" s="76"/>
    </row>
    <row r="16">
      <c r="A16" s="105" t="str">
        <f>IFERROR(__xludf.DUMMYFUNCTION("""COMPUTED_VALUE"""),"Ripper")</f>
        <v>Ripper</v>
      </c>
      <c r="B16" s="105" t="str">
        <f>IFERROR(__xludf.DUMMYFUNCTION("""COMPUTED_VALUE"""),"Sniper")</f>
        <v>Sniper</v>
      </c>
      <c r="C16" s="97">
        <f>IFERROR(__xludf.DUMMYFUNCTION("""COMPUTED_VALUE"""),72.0)</f>
        <v>72</v>
      </c>
      <c r="D16" s="105" t="str">
        <f>IFERROR(__xludf.DUMMYFUNCTION("""COMPUTED_VALUE"""),"Barrel Accessory")</f>
        <v>Barrel Accessory</v>
      </c>
      <c r="E16" s="105" t="str">
        <f>IFERROR(__xludf.DUMMYFUNCTION("""COMPUTED_VALUE"""),"BOR_SR.part_barrel_02_c")</f>
        <v>BOR_SR.part_barrel_02_c</v>
      </c>
      <c r="F16" s="105"/>
      <c r="G16" s="105" t="str">
        <f>IFERROR(__xludf.DUMMYFUNCTION("""COMPUTED_VALUE"""),"+Fire Rate")</f>
        <v>+Fire Rate</v>
      </c>
      <c r="H16" s="105"/>
      <c r="I16" s="76"/>
    </row>
    <row r="17">
      <c r="A17" s="105" t="str">
        <f>IFERROR(__xludf.DUMMYFUNCTION("""COMPUTED_VALUE"""),"Ripper")</f>
        <v>Ripper</v>
      </c>
      <c r="B17" s="105" t="str">
        <f>IFERROR(__xludf.DUMMYFUNCTION("""COMPUTED_VALUE"""),"Sniper")</f>
        <v>Sniper</v>
      </c>
      <c r="C17" s="97">
        <f>IFERROR(__xludf.DUMMYFUNCTION("""COMPUTED_VALUE"""),73.0)</f>
        <v>73</v>
      </c>
      <c r="D17" s="105" t="str">
        <f>IFERROR(__xludf.DUMMYFUNCTION("""COMPUTED_VALUE"""),"Barrel Accessory")</f>
        <v>Barrel Accessory</v>
      </c>
      <c r="E17" s="105" t="str">
        <f>IFERROR(__xludf.DUMMYFUNCTION("""COMPUTED_VALUE"""),"BOR_SR.part_barrel_02_d")</f>
        <v>BOR_SR.part_barrel_02_d</v>
      </c>
      <c r="F17" s="105"/>
      <c r="G17" s="105" t="str">
        <f>IFERROR(__xludf.DUMMYFUNCTION("""COMPUTED_VALUE"""),"+Fire Rate")</f>
        <v>+Fire Rate</v>
      </c>
      <c r="H17" s="105"/>
      <c r="I17" s="76"/>
    </row>
    <row r="18">
      <c r="A18" s="105"/>
      <c r="B18" s="105"/>
      <c r="C18" s="97"/>
      <c r="D18" s="105"/>
      <c r="E18" s="105"/>
      <c r="F18" s="105"/>
      <c r="G18" s="105"/>
      <c r="H18" s="105"/>
    </row>
    <row r="19">
      <c r="A19" s="105"/>
      <c r="B19" s="105"/>
      <c r="C19" s="97"/>
      <c r="D19" s="105"/>
      <c r="E19" s="105"/>
      <c r="F19" s="105"/>
      <c r="G19" s="105"/>
      <c r="H19" s="105"/>
    </row>
    <row r="20">
      <c r="A20" s="105"/>
      <c r="B20" s="105"/>
      <c r="C20" s="97"/>
      <c r="D20" s="74"/>
      <c r="E20" s="105"/>
      <c r="F20" s="105"/>
      <c r="G20" s="105"/>
      <c r="H20" s="105"/>
    </row>
    <row r="21">
      <c r="A21" s="105"/>
      <c r="B21" s="105"/>
      <c r="C21" s="97"/>
      <c r="D21" s="105"/>
      <c r="E21" s="105"/>
      <c r="F21" s="105"/>
      <c r="G21" s="105"/>
      <c r="H21" s="105"/>
    </row>
    <row r="22">
      <c r="A22" s="105"/>
      <c r="B22" s="105"/>
      <c r="C22" s="97"/>
      <c r="D22" s="105"/>
      <c r="E22" s="105"/>
      <c r="F22" s="105"/>
      <c r="G22" s="105"/>
      <c r="H22" s="105"/>
    </row>
    <row r="23">
      <c r="A23" s="105"/>
      <c r="B23" s="105"/>
      <c r="C23" s="97"/>
      <c r="D23" s="105"/>
      <c r="E23" s="105"/>
      <c r="F23" s="105"/>
      <c r="G23" s="105"/>
      <c r="H23" s="105"/>
    </row>
    <row r="24">
      <c r="A24" s="105"/>
      <c r="B24" s="105"/>
      <c r="C24" s="97"/>
      <c r="D24" s="105"/>
      <c r="E24" s="105"/>
      <c r="F24" s="105"/>
      <c r="G24" s="105"/>
      <c r="H24" s="105"/>
    </row>
    <row r="25">
      <c r="A25" s="105"/>
      <c r="B25" s="105"/>
      <c r="C25" s="97"/>
      <c r="D25" s="105"/>
      <c r="E25" s="105"/>
      <c r="F25" s="105"/>
      <c r="G25" s="105"/>
      <c r="H25" s="105"/>
    </row>
    <row r="26">
      <c r="A26" s="105"/>
      <c r="B26" s="105"/>
      <c r="C26" s="97"/>
      <c r="D26" s="105"/>
      <c r="E26" s="105"/>
      <c r="F26" s="105"/>
      <c r="G26" s="105"/>
      <c r="H26" s="105"/>
    </row>
    <row r="27">
      <c r="A27" s="105"/>
      <c r="B27" s="105"/>
      <c r="C27" s="97"/>
      <c r="D27" s="105"/>
      <c r="E27" s="105"/>
      <c r="F27" s="105"/>
      <c r="G27" s="105"/>
      <c r="H27" s="105"/>
    </row>
    <row r="28">
      <c r="A28" s="105"/>
      <c r="B28" s="105"/>
      <c r="C28" s="97"/>
      <c r="D28" s="105"/>
      <c r="E28" s="105"/>
      <c r="F28" s="105"/>
      <c r="G28" s="105"/>
      <c r="H28" s="105"/>
    </row>
    <row r="29">
      <c r="A29" s="105"/>
      <c r="B29" s="105"/>
      <c r="C29" s="97"/>
      <c r="D29" s="105"/>
      <c r="E29" s="105"/>
      <c r="F29" s="105"/>
      <c r="G29" s="105"/>
      <c r="H29" s="105"/>
    </row>
    <row r="30">
      <c r="A30" s="105"/>
      <c r="B30" s="105"/>
      <c r="C30" s="97"/>
      <c r="D30" s="105"/>
      <c r="E30" s="105"/>
      <c r="F30" s="105"/>
      <c r="G30" s="105"/>
      <c r="H30" s="105"/>
    </row>
    <row r="31">
      <c r="A31" s="105"/>
      <c r="B31" s="105"/>
      <c r="C31" s="97"/>
      <c r="D31" s="105"/>
      <c r="E31" s="105"/>
      <c r="F31" s="105"/>
      <c r="G31" s="105"/>
      <c r="H31" s="105"/>
    </row>
    <row r="32">
      <c r="A32" s="105"/>
      <c r="B32" s="105"/>
      <c r="C32" s="97"/>
      <c r="D32" s="105"/>
      <c r="E32" s="105"/>
      <c r="F32" s="105"/>
      <c r="G32" s="105"/>
      <c r="H32" s="105"/>
    </row>
    <row r="33">
      <c r="A33" s="105"/>
      <c r="B33" s="105"/>
      <c r="C33" s="97"/>
      <c r="D33" s="105"/>
      <c r="E33" s="105"/>
      <c r="F33" s="105"/>
      <c r="G33" s="105"/>
      <c r="H33" s="105"/>
    </row>
    <row r="34">
      <c r="A34" s="105"/>
      <c r="B34" s="105"/>
      <c r="C34" s="97"/>
      <c r="D34" s="105"/>
      <c r="E34" s="105"/>
      <c r="F34" s="105"/>
      <c r="G34" s="105"/>
      <c r="H34" s="105"/>
    </row>
    <row r="35">
      <c r="A35" s="105"/>
      <c r="B35" s="105"/>
      <c r="C35" s="97"/>
      <c r="D35" s="105"/>
      <c r="E35" s="105"/>
      <c r="F35" s="105"/>
      <c r="G35" s="105"/>
      <c r="H35" s="105"/>
    </row>
    <row r="36">
      <c r="A36" s="105"/>
      <c r="B36" s="105"/>
      <c r="C36" s="97"/>
      <c r="D36" s="105"/>
      <c r="E36" s="105"/>
      <c r="F36" s="105"/>
      <c r="G36" s="105"/>
      <c r="H36" s="105"/>
    </row>
    <row r="37">
      <c r="A37" s="105"/>
      <c r="B37" s="105"/>
      <c r="C37" s="97"/>
      <c r="D37" s="105"/>
      <c r="E37" s="105"/>
      <c r="F37" s="105"/>
      <c r="G37" s="105"/>
      <c r="H37" s="105"/>
    </row>
    <row r="38">
      <c r="A38" s="105"/>
      <c r="B38" s="105"/>
      <c r="C38" s="97"/>
      <c r="D38" s="105"/>
      <c r="E38" s="105"/>
      <c r="F38" s="105"/>
      <c r="G38" s="105"/>
      <c r="H38" s="105"/>
    </row>
    <row r="39">
      <c r="A39" s="105"/>
      <c r="B39" s="105"/>
      <c r="C39" s="97"/>
      <c r="D39" s="105"/>
      <c r="E39" s="105"/>
      <c r="F39" s="105"/>
      <c r="G39" s="105"/>
      <c r="H39" s="105"/>
    </row>
    <row r="40">
      <c r="A40" s="105"/>
      <c r="B40" s="105"/>
      <c r="C40" s="97"/>
      <c r="D40" s="105"/>
      <c r="E40" s="105"/>
      <c r="F40" s="105"/>
      <c r="G40" s="105"/>
      <c r="H40" s="105"/>
    </row>
    <row r="41">
      <c r="A41" s="105"/>
      <c r="B41" s="105"/>
      <c r="C41" s="97"/>
      <c r="D41" s="105"/>
      <c r="E41" s="105"/>
      <c r="F41" s="105"/>
      <c r="G41" s="105"/>
      <c r="H41" s="105"/>
    </row>
    <row r="42">
      <c r="A42" s="105"/>
      <c r="B42" s="105"/>
      <c r="C42" s="97"/>
      <c r="D42" s="105"/>
      <c r="E42" s="105"/>
      <c r="F42" s="105"/>
      <c r="G42" s="105"/>
      <c r="H42" s="105"/>
    </row>
    <row r="43">
      <c r="A43" s="105"/>
      <c r="B43" s="105"/>
      <c r="C43" s="97"/>
      <c r="D43" s="105"/>
      <c r="E43" s="105"/>
      <c r="F43" s="105"/>
      <c r="G43" s="105"/>
      <c r="H43" s="105"/>
    </row>
    <row r="44">
      <c r="A44" s="105"/>
      <c r="B44" s="105"/>
      <c r="C44" s="97"/>
      <c r="D44" s="105"/>
      <c r="E44" s="105"/>
      <c r="F44" s="105"/>
      <c r="G44" s="105"/>
      <c r="H44" s="105"/>
    </row>
    <row r="45">
      <c r="A45" s="105"/>
      <c r="B45" s="105"/>
      <c r="C45" s="97"/>
      <c r="D45" s="105"/>
      <c r="E45" s="105"/>
      <c r="F45" s="105"/>
      <c r="G45" s="105"/>
      <c r="H45" s="105"/>
    </row>
    <row r="46">
      <c r="A46" s="105"/>
      <c r="B46" s="105"/>
      <c r="C46" s="97"/>
      <c r="D46" s="105"/>
      <c r="E46" s="105"/>
      <c r="F46" s="105"/>
      <c r="G46" s="105"/>
      <c r="H46" s="105"/>
    </row>
    <row r="47">
      <c r="A47" s="105"/>
      <c r="B47" s="105"/>
      <c r="C47" s="97"/>
      <c r="D47" s="105"/>
      <c r="E47" s="105"/>
      <c r="F47" s="105"/>
      <c r="G47" s="105"/>
      <c r="H47" s="105"/>
    </row>
    <row r="48">
      <c r="A48" s="105"/>
      <c r="B48" s="105"/>
      <c r="C48" s="97"/>
      <c r="D48" s="105"/>
      <c r="E48" s="105"/>
      <c r="F48" s="105"/>
      <c r="G48" s="105"/>
      <c r="H48" s="105"/>
    </row>
    <row r="49">
      <c r="A49" s="105"/>
      <c r="B49" s="105"/>
      <c r="C49" s="97"/>
      <c r="D49" s="105"/>
      <c r="E49" s="105"/>
      <c r="F49" s="105"/>
      <c r="G49" s="105"/>
      <c r="H49" s="105"/>
    </row>
    <row r="50">
      <c r="A50" s="105"/>
      <c r="B50" s="105"/>
      <c r="C50" s="97"/>
      <c r="D50" s="105"/>
      <c r="E50" s="105"/>
      <c r="F50" s="105"/>
      <c r="G50" s="105"/>
      <c r="H50" s="105"/>
    </row>
    <row r="51">
      <c r="A51" s="105"/>
      <c r="B51" s="105"/>
      <c r="C51" s="97"/>
      <c r="D51" s="105"/>
      <c r="E51" s="105"/>
      <c r="F51" s="105"/>
      <c r="G51" s="105"/>
      <c r="H51" s="105"/>
    </row>
    <row r="52">
      <c r="A52" s="105"/>
      <c r="B52" s="105"/>
      <c r="C52" s="97"/>
      <c r="D52" s="105"/>
      <c r="E52" s="105"/>
      <c r="F52" s="105"/>
      <c r="G52" s="105"/>
      <c r="H52" s="105"/>
    </row>
    <row r="53">
      <c r="A53" s="105"/>
      <c r="B53" s="105"/>
      <c r="C53" s="97"/>
      <c r="D53" s="105"/>
      <c r="E53" s="105"/>
      <c r="F53" s="105"/>
      <c r="G53" s="105"/>
      <c r="H53" s="105"/>
    </row>
    <row r="54">
      <c r="A54" s="105"/>
      <c r="B54" s="105"/>
      <c r="C54" s="97"/>
      <c r="D54" s="105"/>
      <c r="E54" s="105"/>
      <c r="F54" s="105"/>
      <c r="G54" s="105"/>
      <c r="H54" s="105"/>
    </row>
    <row r="55">
      <c r="A55" s="105"/>
      <c r="B55" s="105"/>
      <c r="C55" s="97"/>
      <c r="D55" s="105"/>
      <c r="E55" s="105"/>
      <c r="F55" s="105"/>
      <c r="G55" s="105"/>
      <c r="H55" s="105"/>
    </row>
    <row r="56">
      <c r="A56" s="105"/>
      <c r="B56" s="105"/>
      <c r="C56" s="97"/>
      <c r="D56" s="105"/>
      <c r="E56" s="105"/>
      <c r="F56" s="105"/>
      <c r="G56" s="105"/>
      <c r="H56" s="105"/>
    </row>
    <row r="57">
      <c r="A57" s="105"/>
      <c r="B57" s="105"/>
      <c r="C57" s="97"/>
      <c r="D57" s="105"/>
      <c r="E57" s="105"/>
      <c r="F57" s="105"/>
      <c r="G57" s="105"/>
      <c r="H57" s="105"/>
    </row>
    <row r="58">
      <c r="A58" s="105"/>
      <c r="B58" s="105"/>
      <c r="C58" s="97"/>
      <c r="D58" s="105"/>
      <c r="E58" s="105"/>
      <c r="F58" s="105"/>
      <c r="G58" s="105"/>
      <c r="H58" s="105"/>
    </row>
    <row r="59">
      <c r="A59" s="105"/>
      <c r="B59" s="105"/>
      <c r="C59" s="97"/>
      <c r="D59" s="105"/>
      <c r="E59" s="105"/>
      <c r="F59" s="105"/>
      <c r="G59" s="105"/>
      <c r="H59" s="105"/>
    </row>
    <row r="60">
      <c r="A60" s="105"/>
      <c r="B60" s="105"/>
      <c r="C60" s="97"/>
      <c r="D60" s="105"/>
      <c r="E60" s="105"/>
      <c r="F60" s="105"/>
      <c r="G60" s="105"/>
      <c r="H60" s="105"/>
    </row>
    <row r="61">
      <c r="A61" s="105"/>
      <c r="B61" s="105"/>
      <c r="C61" s="97"/>
      <c r="D61" s="105"/>
      <c r="E61" s="105"/>
      <c r="F61" s="105"/>
      <c r="G61" s="105"/>
      <c r="H61" s="105"/>
    </row>
    <row r="62">
      <c r="A62" s="105"/>
      <c r="B62" s="105"/>
      <c r="C62" s="97"/>
      <c r="D62" s="105"/>
      <c r="E62" s="105"/>
      <c r="F62" s="105"/>
      <c r="G62" s="105"/>
      <c r="H62" s="105"/>
    </row>
    <row r="63">
      <c r="A63" s="105"/>
      <c r="B63" s="105"/>
      <c r="C63" s="97"/>
      <c r="D63" s="105"/>
      <c r="E63" s="105"/>
      <c r="F63" s="105"/>
      <c r="G63" s="105"/>
      <c r="H63" s="105"/>
    </row>
    <row r="64">
      <c r="A64" s="105"/>
      <c r="B64" s="105"/>
      <c r="C64" s="97"/>
      <c r="D64" s="105"/>
      <c r="E64" s="105"/>
      <c r="F64" s="105"/>
      <c r="G64" s="105"/>
      <c r="H64" s="105"/>
    </row>
    <row r="65">
      <c r="A65" s="105"/>
      <c r="B65" s="105"/>
      <c r="C65" s="97"/>
      <c r="D65" s="105"/>
      <c r="E65" s="105"/>
      <c r="F65" s="105"/>
      <c r="G65" s="105"/>
      <c r="H65" s="105"/>
    </row>
    <row r="66">
      <c r="A66" s="105"/>
      <c r="B66" s="105"/>
      <c r="C66" s="97"/>
      <c r="D66" s="105"/>
      <c r="E66" s="105"/>
      <c r="F66" s="105"/>
      <c r="G66" s="105"/>
      <c r="H66" s="105"/>
    </row>
    <row r="67">
      <c r="A67" s="105"/>
      <c r="B67" s="105"/>
      <c r="C67" s="97"/>
      <c r="D67" s="105"/>
      <c r="E67" s="105"/>
      <c r="F67" s="105"/>
      <c r="G67" s="105"/>
      <c r="H67" s="105"/>
    </row>
    <row r="68">
      <c r="A68" s="105"/>
      <c r="B68" s="105"/>
      <c r="C68" s="97"/>
      <c r="D68" s="105"/>
      <c r="E68" s="105"/>
      <c r="F68" s="105"/>
      <c r="G68" s="105"/>
      <c r="H68" s="105"/>
    </row>
    <row r="69">
      <c r="A69" s="105"/>
      <c r="B69" s="105"/>
      <c r="C69" s="97"/>
      <c r="D69" s="105"/>
      <c r="E69" s="105"/>
      <c r="F69" s="105"/>
      <c r="G69" s="105"/>
      <c r="H69" s="105"/>
    </row>
    <row r="70">
      <c r="A70" s="105"/>
      <c r="B70" s="105"/>
      <c r="C70" s="97"/>
      <c r="D70" s="105"/>
      <c r="E70" s="105"/>
      <c r="F70" s="105"/>
      <c r="G70" s="105"/>
      <c r="H70" s="105"/>
    </row>
    <row r="71">
      <c r="A71" s="105"/>
      <c r="B71" s="105"/>
      <c r="C71" s="97"/>
      <c r="D71" s="105"/>
      <c r="E71" s="105"/>
      <c r="F71" s="105"/>
      <c r="G71" s="105"/>
      <c r="H71" s="105"/>
    </row>
    <row r="72">
      <c r="A72" s="105"/>
      <c r="B72" s="105"/>
      <c r="C72" s="97"/>
      <c r="D72" s="105"/>
      <c r="E72" s="105"/>
      <c r="F72" s="105"/>
      <c r="G72" s="105"/>
      <c r="H72" s="105"/>
    </row>
    <row r="73">
      <c r="A73" s="105"/>
      <c r="B73" s="105"/>
      <c r="C73" s="97"/>
      <c r="D73" s="105"/>
      <c r="E73" s="105"/>
      <c r="F73" s="105"/>
      <c r="G73" s="105"/>
      <c r="H73" s="105"/>
    </row>
    <row r="74">
      <c r="A74" s="105"/>
      <c r="B74" s="105"/>
      <c r="C74" s="97"/>
      <c r="D74" s="105"/>
      <c r="E74" s="105"/>
      <c r="F74" s="105"/>
      <c r="G74" s="105"/>
      <c r="H74" s="105"/>
    </row>
    <row r="75">
      <c r="A75" s="105"/>
      <c r="B75" s="105"/>
      <c r="C75" s="97"/>
      <c r="D75" s="105"/>
      <c r="E75" s="105"/>
      <c r="F75" s="105"/>
      <c r="G75" s="105"/>
      <c r="H75" s="105"/>
    </row>
    <row r="76">
      <c r="A76" s="105"/>
      <c r="B76" s="105"/>
      <c r="C76" s="97"/>
      <c r="D76" s="105"/>
      <c r="E76" s="105"/>
      <c r="F76" s="105"/>
      <c r="G76" s="105"/>
      <c r="H76" s="105"/>
    </row>
    <row r="77">
      <c r="A77" s="105"/>
      <c r="B77" s="105"/>
      <c r="C77" s="97"/>
      <c r="D77" s="105"/>
      <c r="E77" s="105"/>
      <c r="F77" s="105"/>
      <c r="G77" s="105"/>
      <c r="H77" s="105"/>
    </row>
    <row r="78">
      <c r="A78" s="105"/>
      <c r="B78" s="105"/>
      <c r="C78" s="97"/>
      <c r="D78" s="105"/>
      <c r="E78" s="105"/>
      <c r="F78" s="105"/>
      <c r="G78" s="105"/>
      <c r="H78" s="105"/>
    </row>
    <row r="79">
      <c r="A79" s="105"/>
      <c r="B79" s="105"/>
      <c r="C79" s="97"/>
      <c r="D79" s="105"/>
      <c r="E79" s="105"/>
      <c r="F79" s="105"/>
      <c r="G79" s="105"/>
      <c r="H79" s="105"/>
    </row>
    <row r="80">
      <c r="A80" s="105"/>
      <c r="B80" s="105"/>
      <c r="C80" s="97"/>
      <c r="D80" s="105"/>
      <c r="E80" s="105"/>
      <c r="F80" s="105"/>
      <c r="G80" s="105"/>
      <c r="H80" s="105"/>
    </row>
    <row r="81">
      <c r="A81" s="105"/>
      <c r="B81" s="105"/>
      <c r="C81" s="97"/>
      <c r="D81" s="105"/>
      <c r="E81" s="105"/>
      <c r="F81" s="105"/>
      <c r="G81" s="105"/>
      <c r="H81" s="105"/>
    </row>
    <row r="82">
      <c r="A82" s="105"/>
      <c r="B82" s="105"/>
      <c r="C82" s="97"/>
      <c r="D82" s="105"/>
      <c r="E82" s="105"/>
      <c r="F82" s="105"/>
      <c r="G82" s="105"/>
      <c r="H82" s="105"/>
    </row>
    <row r="83">
      <c r="A83" s="105"/>
      <c r="B83" s="105"/>
      <c r="C83" s="97"/>
      <c r="D83" s="105"/>
      <c r="E83" s="105"/>
      <c r="F83" s="105"/>
      <c r="G83" s="105"/>
      <c r="H83" s="105"/>
    </row>
    <row r="84">
      <c r="A84" s="105"/>
      <c r="B84" s="105"/>
      <c r="C84" s="97"/>
      <c r="D84" s="105"/>
      <c r="E84" s="105"/>
      <c r="F84" s="105"/>
      <c r="G84" s="105"/>
      <c r="H84" s="105"/>
    </row>
    <row r="85">
      <c r="A85" s="105"/>
      <c r="B85" s="105"/>
      <c r="C85" s="97"/>
      <c r="D85" s="105"/>
      <c r="E85" s="105"/>
      <c r="F85" s="105"/>
      <c r="G85" s="105"/>
      <c r="H85" s="105"/>
    </row>
    <row r="86">
      <c r="A86" s="105"/>
      <c r="B86" s="105"/>
      <c r="C86" s="97"/>
      <c r="D86" s="105"/>
      <c r="E86" s="105"/>
      <c r="F86" s="105"/>
      <c r="G86" s="105"/>
      <c r="H86" s="105"/>
    </row>
    <row r="87">
      <c r="A87" s="105"/>
      <c r="B87" s="105"/>
      <c r="C87" s="97"/>
      <c r="D87" s="105"/>
      <c r="E87" s="105"/>
      <c r="F87" s="105"/>
      <c r="G87" s="105"/>
      <c r="H87" s="105"/>
    </row>
    <row r="88">
      <c r="A88" s="105"/>
      <c r="B88" s="105"/>
      <c r="C88" s="97"/>
      <c r="D88" s="105"/>
      <c r="E88" s="105"/>
      <c r="F88" s="105"/>
      <c r="G88" s="105"/>
      <c r="H88" s="105"/>
    </row>
    <row r="89">
      <c r="A89" s="105"/>
      <c r="B89" s="105"/>
      <c r="C89" s="97"/>
      <c r="D89" s="105"/>
      <c r="E89" s="105"/>
      <c r="F89" s="105"/>
      <c r="G89" s="105"/>
      <c r="H89" s="105"/>
    </row>
    <row r="90">
      <c r="A90" s="105"/>
      <c r="B90" s="105"/>
      <c r="C90" s="97"/>
      <c r="D90" s="105"/>
      <c r="E90" s="105"/>
      <c r="F90" s="105"/>
      <c r="G90" s="105"/>
      <c r="H90" s="105"/>
    </row>
    <row r="91">
      <c r="A91" s="105"/>
      <c r="B91" s="105"/>
      <c r="C91" s="97"/>
      <c r="D91" s="105"/>
      <c r="E91" s="105"/>
      <c r="F91" s="105"/>
      <c r="G91" s="105"/>
      <c r="H91" s="105"/>
    </row>
    <row r="92">
      <c r="A92" s="105"/>
      <c r="B92" s="105"/>
      <c r="C92" s="97"/>
      <c r="D92" s="105"/>
      <c r="E92" s="105"/>
      <c r="F92" s="105"/>
      <c r="G92" s="105"/>
      <c r="H92" s="105"/>
    </row>
    <row r="93">
      <c r="A93" s="105"/>
      <c r="B93" s="105"/>
      <c r="C93" s="97"/>
      <c r="D93" s="105"/>
      <c r="E93" s="105"/>
      <c r="F93" s="105"/>
      <c r="G93" s="105"/>
      <c r="H93" s="105"/>
    </row>
    <row r="94">
      <c r="A94" s="105"/>
      <c r="B94" s="105"/>
      <c r="C94" s="97"/>
      <c r="D94" s="105"/>
      <c r="E94" s="105"/>
      <c r="F94" s="105"/>
      <c r="G94" s="105"/>
      <c r="H94" s="105"/>
    </row>
    <row r="95">
      <c r="A95" s="105"/>
      <c r="B95" s="105"/>
      <c r="C95" s="97"/>
      <c r="D95" s="105"/>
      <c r="E95" s="105"/>
      <c r="F95" s="105"/>
      <c r="G95" s="105"/>
      <c r="H95" s="105"/>
    </row>
    <row r="96">
      <c r="A96" s="105"/>
      <c r="B96" s="105"/>
      <c r="C96" s="97"/>
      <c r="D96" s="105"/>
      <c r="E96" s="105"/>
      <c r="F96" s="105"/>
      <c r="G96" s="105"/>
      <c r="H96" s="105"/>
    </row>
    <row r="97">
      <c r="A97" s="105"/>
      <c r="B97" s="105"/>
      <c r="C97" s="97"/>
      <c r="D97" s="105"/>
      <c r="E97" s="105"/>
      <c r="F97" s="105"/>
      <c r="G97" s="105"/>
      <c r="H97" s="105"/>
    </row>
    <row r="98">
      <c r="A98" s="105"/>
      <c r="B98" s="105"/>
      <c r="C98" s="97"/>
      <c r="D98" s="105"/>
      <c r="E98" s="105"/>
      <c r="F98" s="105"/>
      <c r="G98" s="105"/>
      <c r="H98" s="105"/>
    </row>
    <row r="99">
      <c r="A99" s="105"/>
      <c r="B99" s="105"/>
      <c r="C99" s="97"/>
      <c r="D99" s="105"/>
      <c r="E99" s="105"/>
      <c r="F99" s="105"/>
      <c r="G99" s="105"/>
      <c r="H99" s="105"/>
    </row>
    <row r="100">
      <c r="A100" s="105"/>
      <c r="B100" s="105"/>
      <c r="C100" s="97"/>
      <c r="D100" s="105"/>
      <c r="E100" s="105"/>
      <c r="F100" s="105"/>
      <c r="G100" s="105"/>
      <c r="H100" s="105"/>
    </row>
    <row r="101">
      <c r="A101" s="105"/>
      <c r="B101" s="105"/>
      <c r="C101" s="97"/>
      <c r="D101" s="105"/>
      <c r="E101" s="105"/>
      <c r="F101" s="105"/>
      <c r="G101" s="105"/>
      <c r="H101" s="105"/>
    </row>
    <row r="102">
      <c r="A102" s="105"/>
      <c r="B102" s="105"/>
      <c r="C102" s="97"/>
      <c r="D102" s="105"/>
      <c r="E102" s="105"/>
      <c r="F102" s="105"/>
      <c r="G102" s="105"/>
      <c r="H102" s="105"/>
    </row>
    <row r="103">
      <c r="A103" s="105"/>
      <c r="B103" s="105"/>
      <c r="C103" s="97"/>
      <c r="D103" s="105"/>
      <c r="E103" s="105"/>
      <c r="F103" s="105"/>
      <c r="G103" s="105"/>
      <c r="H103" s="105"/>
    </row>
    <row r="104">
      <c r="A104" s="105"/>
      <c r="B104" s="105"/>
      <c r="C104" s="97"/>
      <c r="D104" s="105"/>
      <c r="E104" s="105"/>
      <c r="F104" s="105"/>
      <c r="G104" s="105"/>
      <c r="H104" s="105"/>
    </row>
    <row r="105">
      <c r="A105" s="105"/>
      <c r="B105" s="105"/>
      <c r="C105" s="97"/>
      <c r="D105" s="105"/>
      <c r="E105" s="105"/>
      <c r="F105" s="105"/>
      <c r="G105" s="105"/>
      <c r="H105" s="105"/>
    </row>
    <row r="106">
      <c r="A106" s="105"/>
      <c r="B106" s="105"/>
      <c r="C106" s="97"/>
      <c r="D106" s="105"/>
      <c r="E106" s="105"/>
      <c r="F106" s="105"/>
      <c r="G106" s="105"/>
      <c r="H106" s="105"/>
    </row>
    <row r="107">
      <c r="A107" s="105"/>
      <c r="B107" s="105"/>
      <c r="C107" s="97"/>
      <c r="D107" s="105"/>
      <c r="E107" s="105"/>
      <c r="F107" s="105"/>
      <c r="G107" s="105"/>
      <c r="H107" s="105"/>
    </row>
    <row r="108">
      <c r="A108" s="105"/>
      <c r="B108" s="105"/>
      <c r="C108" s="97"/>
      <c r="D108" s="105"/>
      <c r="E108" s="105"/>
      <c r="F108" s="105"/>
      <c r="G108" s="105"/>
      <c r="H108" s="105"/>
    </row>
    <row r="109">
      <c r="A109" s="105"/>
      <c r="B109" s="105"/>
      <c r="C109" s="97"/>
      <c r="D109" s="105"/>
      <c r="E109" s="105"/>
      <c r="F109" s="105"/>
      <c r="G109" s="105"/>
      <c r="H109" s="105"/>
    </row>
    <row r="110">
      <c r="A110" s="105"/>
      <c r="B110" s="105"/>
      <c r="C110" s="97"/>
      <c r="D110" s="105"/>
      <c r="E110" s="105"/>
      <c r="F110" s="105"/>
      <c r="G110" s="105"/>
      <c r="H110" s="105"/>
    </row>
    <row r="111">
      <c r="A111" s="105"/>
      <c r="B111" s="105"/>
      <c r="C111" s="97"/>
      <c r="D111" s="105"/>
      <c r="E111" s="105"/>
      <c r="F111" s="105"/>
      <c r="G111" s="105"/>
      <c r="H111" s="105"/>
    </row>
    <row r="112">
      <c r="A112" s="105"/>
      <c r="B112" s="105"/>
      <c r="C112" s="97"/>
      <c r="D112" s="105"/>
      <c r="E112" s="105"/>
      <c r="F112" s="105"/>
      <c r="G112" s="105"/>
      <c r="H112" s="105"/>
    </row>
    <row r="113">
      <c r="A113" s="105"/>
      <c r="B113" s="105"/>
      <c r="C113" s="97"/>
      <c r="D113" s="105"/>
      <c r="E113" s="105"/>
      <c r="F113" s="105"/>
      <c r="G113" s="105"/>
      <c r="H113" s="105"/>
    </row>
    <row r="114">
      <c r="A114" s="105"/>
      <c r="B114" s="105"/>
      <c r="C114" s="97"/>
      <c r="D114" s="105"/>
      <c r="E114" s="105"/>
      <c r="F114" s="105"/>
      <c r="G114" s="105"/>
      <c r="H114" s="105"/>
    </row>
    <row r="115">
      <c r="A115" s="105"/>
      <c r="B115" s="105"/>
      <c r="C115" s="97"/>
      <c r="D115" s="105"/>
      <c r="E115" s="105"/>
      <c r="F115" s="105"/>
      <c r="G115" s="105"/>
      <c r="H115" s="105"/>
    </row>
    <row r="116">
      <c r="A116" s="105"/>
      <c r="B116" s="105"/>
      <c r="C116" s="97"/>
      <c r="D116" s="105"/>
      <c r="E116" s="105"/>
      <c r="F116" s="105"/>
      <c r="G116" s="105"/>
      <c r="H116" s="105"/>
    </row>
    <row r="117">
      <c r="A117" s="105"/>
      <c r="B117" s="105"/>
      <c r="C117" s="97"/>
      <c r="D117" s="105"/>
      <c r="E117" s="105"/>
      <c r="F117" s="105"/>
      <c r="G117" s="105"/>
      <c r="H117" s="105"/>
    </row>
    <row r="118">
      <c r="A118" s="105"/>
      <c r="B118" s="105"/>
      <c r="C118" s="97"/>
      <c r="D118" s="105"/>
      <c r="E118" s="105"/>
      <c r="F118" s="105"/>
      <c r="G118" s="105"/>
      <c r="H118" s="105"/>
    </row>
    <row r="119">
      <c r="A119" s="105"/>
      <c r="B119" s="105"/>
      <c r="C119" s="97"/>
      <c r="D119" s="105"/>
      <c r="E119" s="105"/>
      <c r="F119" s="105"/>
      <c r="G119" s="105"/>
      <c r="H119" s="105"/>
    </row>
    <row r="120">
      <c r="A120" s="105"/>
      <c r="B120" s="105"/>
      <c r="C120" s="97"/>
      <c r="D120" s="105"/>
      <c r="E120" s="105"/>
      <c r="F120" s="105"/>
      <c r="G120" s="105"/>
      <c r="H120" s="105"/>
    </row>
    <row r="121">
      <c r="A121" s="105"/>
      <c r="B121" s="105"/>
      <c r="C121" s="97"/>
      <c r="D121" s="105"/>
      <c r="E121" s="105"/>
      <c r="F121" s="105"/>
      <c r="G121" s="105"/>
      <c r="H121" s="105"/>
    </row>
    <row r="122">
      <c r="A122" s="105"/>
      <c r="B122" s="105"/>
      <c r="C122" s="97"/>
      <c r="D122" s="105"/>
      <c r="E122" s="105"/>
      <c r="F122" s="105"/>
      <c r="G122" s="105"/>
      <c r="H122" s="105"/>
    </row>
    <row r="123">
      <c r="A123" s="105"/>
      <c r="B123" s="105"/>
      <c r="C123" s="97"/>
      <c r="D123" s="105"/>
      <c r="E123" s="105"/>
      <c r="F123" s="105"/>
      <c r="G123" s="105"/>
      <c r="H123" s="105"/>
    </row>
    <row r="124">
      <c r="A124" s="105"/>
      <c r="B124" s="105"/>
      <c r="C124" s="97"/>
      <c r="D124" s="105"/>
      <c r="E124" s="105"/>
      <c r="F124" s="105"/>
      <c r="G124" s="105"/>
      <c r="H124" s="105"/>
    </row>
    <row r="125">
      <c r="A125" s="105"/>
      <c r="B125" s="105"/>
      <c r="C125" s="97"/>
      <c r="D125" s="105"/>
      <c r="E125" s="105"/>
      <c r="F125" s="105"/>
      <c r="G125" s="105"/>
      <c r="H125" s="105"/>
    </row>
    <row r="126">
      <c r="A126" s="105"/>
      <c r="B126" s="105"/>
      <c r="C126" s="97"/>
      <c r="D126" s="105"/>
      <c r="E126" s="105"/>
      <c r="F126" s="105"/>
      <c r="G126" s="105"/>
      <c r="H126" s="105"/>
    </row>
    <row r="127">
      <c r="A127" s="105"/>
      <c r="B127" s="105"/>
      <c r="C127" s="97"/>
      <c r="D127" s="105"/>
      <c r="E127" s="105"/>
      <c r="F127" s="105"/>
      <c r="G127" s="105"/>
      <c r="H127" s="105"/>
    </row>
    <row r="128">
      <c r="A128" s="105"/>
      <c r="B128" s="105"/>
      <c r="C128" s="97"/>
      <c r="D128" s="105"/>
      <c r="E128" s="105"/>
      <c r="F128" s="105"/>
      <c r="G128" s="105"/>
      <c r="H128" s="105"/>
    </row>
    <row r="129">
      <c r="A129" s="105"/>
      <c r="B129" s="105"/>
      <c r="C129" s="97"/>
      <c r="D129" s="105"/>
      <c r="E129" s="105"/>
      <c r="F129" s="105"/>
      <c r="G129" s="105"/>
      <c r="H129" s="105"/>
    </row>
    <row r="130">
      <c r="A130" s="105"/>
      <c r="B130" s="105"/>
      <c r="C130" s="97"/>
      <c r="D130" s="105"/>
      <c r="E130" s="105"/>
      <c r="F130" s="105"/>
      <c r="G130" s="105"/>
      <c r="H130" s="105"/>
    </row>
    <row r="131">
      <c r="A131" s="105"/>
      <c r="B131" s="105"/>
      <c r="C131" s="97"/>
      <c r="D131" s="105"/>
      <c r="E131" s="105"/>
      <c r="F131" s="105"/>
      <c r="G131" s="105"/>
      <c r="H131" s="105"/>
    </row>
    <row r="132">
      <c r="A132" s="105"/>
      <c r="B132" s="105"/>
      <c r="C132" s="97"/>
      <c r="D132" s="105"/>
      <c r="E132" s="105"/>
      <c r="F132" s="105"/>
      <c r="G132" s="105"/>
      <c r="H132" s="105"/>
    </row>
    <row r="133">
      <c r="A133" s="105"/>
      <c r="B133" s="105"/>
      <c r="C133" s="97"/>
      <c r="D133" s="105"/>
      <c r="E133" s="105"/>
      <c r="F133" s="105"/>
      <c r="G133" s="105"/>
      <c r="H133" s="105"/>
    </row>
    <row r="134">
      <c r="A134" s="105"/>
      <c r="B134" s="105"/>
      <c r="C134" s="97"/>
      <c r="D134" s="105"/>
      <c r="E134" s="105"/>
      <c r="F134" s="105"/>
      <c r="G134" s="105"/>
      <c r="H134" s="105"/>
    </row>
    <row r="135">
      <c r="A135" s="105"/>
      <c r="B135" s="105"/>
      <c r="C135" s="97"/>
      <c r="D135" s="105"/>
      <c r="E135" s="105"/>
      <c r="F135" s="105"/>
      <c r="G135" s="105"/>
      <c r="H135" s="105"/>
    </row>
    <row r="136">
      <c r="A136" s="105"/>
      <c r="B136" s="105"/>
      <c r="C136" s="97"/>
      <c r="D136" s="105"/>
      <c r="E136" s="105"/>
      <c r="F136" s="105"/>
      <c r="G136" s="105"/>
      <c r="H136" s="105"/>
    </row>
    <row r="137">
      <c r="A137" s="105"/>
      <c r="B137" s="105"/>
      <c r="C137" s="97"/>
      <c r="D137" s="105"/>
      <c r="E137" s="105"/>
      <c r="F137" s="105"/>
      <c r="G137" s="105"/>
      <c r="H137" s="105"/>
    </row>
    <row r="138">
      <c r="A138" s="105"/>
      <c r="B138" s="105"/>
      <c r="C138" s="97"/>
      <c r="D138" s="105"/>
      <c r="E138" s="105"/>
      <c r="F138" s="105"/>
      <c r="G138" s="105"/>
      <c r="H138" s="105"/>
    </row>
    <row r="139">
      <c r="A139" s="105"/>
      <c r="B139" s="105"/>
      <c r="C139" s="97"/>
      <c r="D139" s="105"/>
      <c r="E139" s="105"/>
      <c r="F139" s="105"/>
      <c r="G139" s="105"/>
      <c r="H139" s="105"/>
    </row>
    <row r="140">
      <c r="A140" s="105"/>
      <c r="B140" s="105"/>
      <c r="C140" s="97"/>
      <c r="D140" s="105"/>
      <c r="E140" s="105"/>
      <c r="F140" s="105"/>
      <c r="G140" s="105"/>
      <c r="H140" s="105"/>
    </row>
    <row r="141">
      <c r="A141" s="105"/>
      <c r="B141" s="105"/>
      <c r="C141" s="97"/>
      <c r="D141" s="105"/>
      <c r="E141" s="105"/>
      <c r="F141" s="105"/>
      <c r="G141" s="105"/>
      <c r="H141" s="105"/>
    </row>
    <row r="142">
      <c r="A142" s="105"/>
      <c r="B142" s="105"/>
      <c r="C142" s="97"/>
      <c r="D142" s="105"/>
      <c r="E142" s="105"/>
      <c r="F142" s="105"/>
      <c r="G142" s="105"/>
      <c r="H142" s="105"/>
    </row>
    <row r="143">
      <c r="A143" s="105"/>
      <c r="B143" s="105"/>
      <c r="C143" s="97"/>
      <c r="D143" s="105"/>
      <c r="E143" s="105"/>
      <c r="F143" s="105"/>
      <c r="G143" s="105"/>
      <c r="H143" s="105"/>
    </row>
    <row r="144">
      <c r="A144" s="105"/>
      <c r="B144" s="105"/>
      <c r="C144" s="97"/>
      <c r="D144" s="105"/>
      <c r="E144" s="105"/>
      <c r="F144" s="105"/>
      <c r="G144" s="105"/>
      <c r="H144" s="105"/>
    </row>
    <row r="145">
      <c r="A145" s="105"/>
      <c r="B145" s="105"/>
      <c r="C145" s="97"/>
      <c r="D145" s="105"/>
      <c r="E145" s="105"/>
      <c r="F145" s="105"/>
      <c r="G145" s="105"/>
      <c r="H145" s="105"/>
    </row>
    <row r="146">
      <c r="A146" s="105"/>
      <c r="B146" s="105"/>
      <c r="C146" s="97"/>
      <c r="D146" s="105"/>
      <c r="E146" s="105"/>
      <c r="F146" s="105"/>
      <c r="G146" s="105"/>
      <c r="H146" s="105"/>
    </row>
    <row r="147">
      <c r="A147" s="105"/>
      <c r="B147" s="105"/>
      <c r="C147" s="97"/>
      <c r="D147" s="105"/>
      <c r="E147" s="105"/>
      <c r="F147" s="105"/>
      <c r="G147" s="105"/>
      <c r="H147" s="105"/>
    </row>
    <row r="148">
      <c r="A148" s="105"/>
      <c r="B148" s="105"/>
      <c r="C148" s="97"/>
      <c r="D148" s="105"/>
      <c r="E148" s="105"/>
      <c r="F148" s="105"/>
      <c r="G148" s="105"/>
      <c r="H148" s="105"/>
    </row>
    <row r="149">
      <c r="A149" s="105"/>
      <c r="B149" s="105"/>
      <c r="C149" s="97"/>
      <c r="D149" s="105"/>
      <c r="E149" s="105"/>
      <c r="F149" s="105"/>
      <c r="G149" s="105"/>
      <c r="H149" s="105"/>
    </row>
    <row r="150">
      <c r="A150" s="105"/>
      <c r="B150" s="105"/>
      <c r="C150" s="97"/>
      <c r="D150" s="105"/>
      <c r="E150" s="105"/>
      <c r="F150" s="105"/>
      <c r="G150" s="105"/>
      <c r="H150" s="105"/>
    </row>
    <row r="151">
      <c r="A151" s="105"/>
      <c r="B151" s="105"/>
      <c r="C151" s="97"/>
      <c r="D151" s="105"/>
      <c r="E151" s="105"/>
      <c r="F151" s="105"/>
      <c r="G151" s="105"/>
      <c r="H151" s="105"/>
    </row>
    <row r="152">
      <c r="A152" s="105"/>
      <c r="B152" s="105"/>
      <c r="C152" s="97"/>
      <c r="D152" s="105"/>
      <c r="E152" s="105"/>
      <c r="F152" s="105"/>
      <c r="G152" s="105"/>
      <c r="H152" s="105"/>
    </row>
    <row r="153">
      <c r="A153" s="105"/>
      <c r="B153" s="105"/>
      <c r="C153" s="97"/>
      <c r="D153" s="105"/>
      <c r="E153" s="105"/>
      <c r="F153" s="105"/>
      <c r="G153" s="105"/>
      <c r="H153" s="105"/>
    </row>
    <row r="154">
      <c r="A154" s="105"/>
      <c r="B154" s="105"/>
      <c r="C154" s="97"/>
      <c r="D154" s="105"/>
      <c r="E154" s="105"/>
      <c r="F154" s="105"/>
      <c r="G154" s="105"/>
      <c r="H154" s="105"/>
    </row>
    <row r="155">
      <c r="A155" s="105"/>
      <c r="B155" s="105"/>
      <c r="C155" s="97"/>
      <c r="D155" s="105"/>
      <c r="E155" s="105"/>
      <c r="F155" s="105"/>
      <c r="G155" s="105"/>
      <c r="H155" s="105"/>
    </row>
    <row r="156">
      <c r="A156" s="105"/>
      <c r="B156" s="105"/>
      <c r="C156" s="97"/>
      <c r="D156" s="105"/>
      <c r="E156" s="105"/>
      <c r="F156" s="105"/>
      <c r="G156" s="105"/>
      <c r="H156" s="105"/>
    </row>
    <row r="157">
      <c r="A157" s="105"/>
      <c r="B157" s="105"/>
      <c r="C157" s="97"/>
      <c r="D157" s="105"/>
      <c r="E157" s="105"/>
      <c r="F157" s="105"/>
      <c r="G157" s="105"/>
      <c r="H157" s="105"/>
    </row>
    <row r="158">
      <c r="A158" s="105"/>
      <c r="B158" s="105"/>
      <c r="C158" s="97"/>
      <c r="D158" s="105"/>
      <c r="E158" s="105"/>
      <c r="F158" s="105"/>
      <c r="G158" s="105"/>
      <c r="H158" s="105"/>
    </row>
    <row r="159">
      <c r="A159" s="105"/>
      <c r="B159" s="105"/>
      <c r="C159" s="97"/>
      <c r="D159" s="105"/>
      <c r="E159" s="105"/>
      <c r="F159" s="105"/>
      <c r="G159" s="105"/>
      <c r="H159" s="105"/>
    </row>
    <row r="160">
      <c r="A160" s="105"/>
      <c r="B160" s="105"/>
      <c r="C160" s="97"/>
      <c r="D160" s="105"/>
      <c r="E160" s="105"/>
      <c r="F160" s="105"/>
      <c r="G160" s="105"/>
      <c r="H160" s="105"/>
    </row>
    <row r="161">
      <c r="A161" s="105"/>
      <c r="B161" s="105"/>
      <c r="C161" s="97"/>
      <c r="D161" s="105"/>
      <c r="E161" s="105"/>
      <c r="F161" s="105"/>
      <c r="G161" s="105"/>
      <c r="H161" s="105"/>
    </row>
    <row r="162">
      <c r="A162" s="105"/>
      <c r="B162" s="105"/>
      <c r="C162" s="97"/>
      <c r="D162" s="105"/>
      <c r="E162" s="105"/>
      <c r="F162" s="105"/>
      <c r="G162" s="105"/>
      <c r="H162" s="105"/>
    </row>
    <row r="163">
      <c r="A163" s="105"/>
      <c r="B163" s="105"/>
      <c r="C163" s="97"/>
      <c r="D163" s="105"/>
      <c r="E163" s="105"/>
      <c r="F163" s="105"/>
      <c r="G163" s="105"/>
      <c r="H163" s="105"/>
    </row>
    <row r="164">
      <c r="A164" s="105"/>
      <c r="B164" s="105"/>
      <c r="C164" s="97"/>
      <c r="D164" s="105"/>
      <c r="E164" s="105"/>
      <c r="F164" s="105"/>
      <c r="G164" s="105"/>
      <c r="H164" s="105"/>
    </row>
    <row r="165">
      <c r="A165" s="105"/>
      <c r="B165" s="105"/>
      <c r="C165" s="97"/>
      <c r="D165" s="105"/>
      <c r="E165" s="105"/>
      <c r="F165" s="105"/>
      <c r="G165" s="105"/>
      <c r="H165" s="105"/>
    </row>
    <row r="166">
      <c r="A166" s="105"/>
      <c r="B166" s="105"/>
      <c r="C166" s="97"/>
      <c r="D166" s="105"/>
      <c r="E166" s="105"/>
      <c r="F166" s="105"/>
      <c r="G166" s="105"/>
      <c r="H166" s="105"/>
    </row>
    <row r="167">
      <c r="A167" s="105"/>
      <c r="B167" s="105"/>
      <c r="C167" s="97"/>
      <c r="D167" s="105"/>
      <c r="E167" s="105"/>
      <c r="F167" s="105"/>
      <c r="G167" s="105"/>
      <c r="H167" s="105"/>
    </row>
    <row r="168">
      <c r="A168" s="105"/>
      <c r="B168" s="105"/>
      <c r="C168" s="97"/>
      <c r="D168" s="105"/>
      <c r="E168" s="105"/>
      <c r="F168" s="105"/>
      <c r="G168" s="105"/>
      <c r="H168" s="105"/>
    </row>
    <row r="169">
      <c r="A169" s="105"/>
      <c r="B169" s="105"/>
      <c r="C169" s="97"/>
      <c r="D169" s="105"/>
      <c r="E169" s="105"/>
      <c r="F169" s="105"/>
      <c r="G169" s="105"/>
      <c r="H169" s="105"/>
    </row>
    <row r="170">
      <c r="A170" s="105"/>
      <c r="B170" s="105"/>
      <c r="C170" s="97"/>
      <c r="D170" s="105"/>
      <c r="E170" s="105"/>
      <c r="F170" s="105"/>
      <c r="G170" s="105"/>
      <c r="H170" s="105"/>
    </row>
    <row r="171">
      <c r="A171" s="105"/>
      <c r="B171" s="105"/>
      <c r="C171" s="97"/>
      <c r="D171" s="105"/>
      <c r="E171" s="105"/>
      <c r="F171" s="105"/>
      <c r="G171" s="105"/>
      <c r="H171" s="105"/>
    </row>
    <row r="172">
      <c r="A172" s="105"/>
      <c r="B172" s="105"/>
      <c r="C172" s="97"/>
      <c r="D172" s="105"/>
      <c r="E172" s="105"/>
      <c r="F172" s="105"/>
      <c r="G172" s="105"/>
      <c r="H172" s="105"/>
    </row>
    <row r="173">
      <c r="A173" s="105"/>
      <c r="B173" s="105"/>
      <c r="C173" s="97"/>
      <c r="D173" s="105"/>
      <c r="E173" s="105"/>
      <c r="F173" s="105"/>
      <c r="G173" s="105"/>
      <c r="H173" s="105"/>
    </row>
    <row r="174">
      <c r="A174" s="105"/>
      <c r="B174" s="105"/>
      <c r="C174" s="97"/>
      <c r="D174" s="105"/>
      <c r="E174" s="105"/>
      <c r="F174" s="105"/>
      <c r="G174" s="105"/>
      <c r="H174" s="105"/>
    </row>
    <row r="175">
      <c r="A175" s="105"/>
      <c r="B175" s="105"/>
      <c r="C175" s="97"/>
      <c r="D175" s="105"/>
      <c r="E175" s="105"/>
      <c r="F175" s="105"/>
      <c r="G175" s="105"/>
      <c r="H175" s="105"/>
    </row>
    <row r="176">
      <c r="A176" s="105"/>
      <c r="B176" s="105"/>
      <c r="C176" s="97"/>
      <c r="D176" s="105"/>
      <c r="E176" s="105"/>
      <c r="F176" s="105"/>
      <c r="G176" s="105"/>
      <c r="H176" s="105"/>
    </row>
    <row r="177">
      <c r="A177" s="105"/>
      <c r="B177" s="105"/>
      <c r="C177" s="97"/>
      <c r="D177" s="105"/>
      <c r="E177" s="105"/>
      <c r="F177" s="105"/>
      <c r="G177" s="105"/>
      <c r="H177" s="105"/>
    </row>
    <row r="178">
      <c r="A178" s="105"/>
      <c r="B178" s="105"/>
      <c r="C178" s="97"/>
      <c r="D178" s="105"/>
      <c r="E178" s="105"/>
      <c r="F178" s="105"/>
      <c r="G178" s="105"/>
      <c r="H178" s="105"/>
    </row>
    <row r="179">
      <c r="A179" s="105"/>
      <c r="B179" s="105"/>
      <c r="C179" s="97"/>
      <c r="D179" s="105"/>
      <c r="E179" s="105"/>
      <c r="F179" s="105"/>
      <c r="G179" s="105"/>
      <c r="H179" s="105"/>
    </row>
    <row r="180">
      <c r="A180" s="105"/>
      <c r="B180" s="105"/>
      <c r="C180" s="97"/>
      <c r="D180" s="105"/>
      <c r="E180" s="105"/>
      <c r="F180" s="105"/>
      <c r="G180" s="105"/>
      <c r="H180" s="105"/>
    </row>
    <row r="181">
      <c r="A181" s="105"/>
      <c r="B181" s="105"/>
      <c r="C181" s="97"/>
      <c r="D181" s="105"/>
      <c r="E181" s="105"/>
      <c r="F181" s="105"/>
      <c r="G181" s="105"/>
      <c r="H181" s="105"/>
    </row>
    <row r="182">
      <c r="A182" s="105"/>
      <c r="B182" s="105"/>
      <c r="C182" s="97"/>
      <c r="D182" s="105"/>
      <c r="E182" s="105"/>
      <c r="F182" s="105"/>
      <c r="G182" s="105"/>
      <c r="H182" s="105"/>
    </row>
    <row r="183">
      <c r="A183" s="105"/>
      <c r="B183" s="105"/>
      <c r="C183" s="97"/>
      <c r="D183" s="105"/>
      <c r="E183" s="105"/>
      <c r="F183" s="105"/>
      <c r="G183" s="105"/>
      <c r="H183" s="105"/>
    </row>
    <row r="184">
      <c r="A184" s="105"/>
      <c r="B184" s="105"/>
      <c r="C184" s="97"/>
      <c r="D184" s="105"/>
      <c r="E184" s="105"/>
      <c r="F184" s="105"/>
      <c r="G184" s="105"/>
      <c r="H184" s="105"/>
    </row>
    <row r="185">
      <c r="A185" s="105"/>
      <c r="B185" s="105"/>
      <c r="C185" s="97"/>
      <c r="D185" s="105"/>
      <c r="E185" s="105"/>
      <c r="F185" s="105"/>
      <c r="G185" s="105"/>
      <c r="H185" s="105"/>
    </row>
    <row r="186">
      <c r="A186" s="105"/>
      <c r="B186" s="105"/>
      <c r="C186" s="97"/>
      <c r="D186" s="105"/>
      <c r="E186" s="105"/>
      <c r="F186" s="105"/>
      <c r="G186" s="105"/>
      <c r="H186" s="105"/>
    </row>
    <row r="187">
      <c r="A187" s="105"/>
      <c r="B187" s="105"/>
      <c r="C187" s="97"/>
      <c r="D187" s="105"/>
      <c r="E187" s="105"/>
      <c r="F187" s="105"/>
      <c r="G187" s="105"/>
      <c r="H187" s="105"/>
    </row>
    <row r="188">
      <c r="A188" s="105"/>
      <c r="B188" s="105"/>
      <c r="C188" s="97"/>
      <c r="D188" s="105"/>
      <c r="E188" s="105"/>
      <c r="F188" s="105"/>
      <c r="G188" s="105"/>
      <c r="H188" s="105"/>
    </row>
    <row r="189">
      <c r="A189" s="105"/>
      <c r="B189" s="105"/>
      <c r="C189" s="97"/>
      <c r="D189" s="105"/>
      <c r="E189" s="105"/>
      <c r="F189" s="105"/>
      <c r="G189" s="105"/>
      <c r="H189" s="105"/>
    </row>
    <row r="190">
      <c r="A190" s="105"/>
      <c r="B190" s="105"/>
      <c r="C190" s="97"/>
      <c r="D190" s="105"/>
      <c r="E190" s="105"/>
      <c r="F190" s="105"/>
      <c r="G190" s="105"/>
      <c r="H190" s="105"/>
    </row>
    <row r="191">
      <c r="A191" s="105"/>
      <c r="B191" s="105"/>
      <c r="C191" s="97"/>
      <c r="D191" s="105"/>
      <c r="E191" s="105"/>
      <c r="F191" s="105"/>
      <c r="G191" s="105"/>
      <c r="H191" s="105"/>
    </row>
    <row r="192">
      <c r="A192" s="105"/>
      <c r="B192" s="105"/>
      <c r="C192" s="97"/>
      <c r="D192" s="105"/>
      <c r="E192" s="105"/>
      <c r="F192" s="105"/>
      <c r="G192" s="105"/>
      <c r="H192" s="105"/>
    </row>
    <row r="193">
      <c r="A193" s="105"/>
      <c r="B193" s="105"/>
      <c r="C193" s="97"/>
      <c r="D193" s="105"/>
      <c r="E193" s="105"/>
      <c r="F193" s="105"/>
      <c r="G193" s="105"/>
      <c r="H193" s="105"/>
    </row>
    <row r="194">
      <c r="A194" s="105"/>
      <c r="B194" s="105"/>
      <c r="C194" s="97"/>
      <c r="D194" s="105"/>
      <c r="E194" s="105"/>
      <c r="F194" s="105"/>
      <c r="G194" s="105"/>
      <c r="H194" s="105"/>
    </row>
    <row r="195">
      <c r="A195" s="105"/>
      <c r="B195" s="105"/>
      <c r="C195" s="97"/>
      <c r="D195" s="105"/>
      <c r="E195" s="105"/>
      <c r="F195" s="105"/>
      <c r="G195" s="105"/>
      <c r="H195" s="105"/>
    </row>
    <row r="196">
      <c r="A196" s="105"/>
      <c r="B196" s="105"/>
      <c r="C196" s="97"/>
      <c r="D196" s="105"/>
      <c r="E196" s="105"/>
      <c r="F196" s="105"/>
      <c r="G196" s="105"/>
      <c r="H196" s="105"/>
    </row>
    <row r="197">
      <c r="A197" s="105"/>
      <c r="B197" s="105"/>
      <c r="C197" s="97"/>
      <c r="D197" s="105"/>
      <c r="E197" s="105"/>
      <c r="F197" s="105"/>
      <c r="G197" s="105"/>
      <c r="H197" s="105"/>
    </row>
    <row r="198">
      <c r="A198" s="105"/>
      <c r="B198" s="105"/>
      <c r="C198" s="97"/>
      <c r="D198" s="105"/>
      <c r="E198" s="105"/>
      <c r="F198" s="105"/>
      <c r="G198" s="105"/>
      <c r="H198" s="105"/>
    </row>
    <row r="199">
      <c r="A199" s="105"/>
      <c r="B199" s="105"/>
      <c r="C199" s="97"/>
      <c r="D199" s="105"/>
      <c r="E199" s="105"/>
      <c r="F199" s="105"/>
      <c r="G199" s="105"/>
      <c r="H199" s="105"/>
    </row>
    <row r="200">
      <c r="A200" s="105"/>
      <c r="B200" s="105"/>
      <c r="C200" s="97"/>
      <c r="D200" s="105"/>
      <c r="E200" s="105"/>
      <c r="F200" s="105"/>
      <c r="G200" s="105"/>
      <c r="H200" s="105"/>
    </row>
    <row r="201">
      <c r="A201" s="105"/>
      <c r="B201" s="105"/>
      <c r="C201" s="97"/>
      <c r="D201" s="105"/>
      <c r="E201" s="105"/>
      <c r="F201" s="105"/>
      <c r="G201" s="105"/>
      <c r="H201" s="105"/>
    </row>
    <row r="202">
      <c r="A202" s="105"/>
      <c r="B202" s="105"/>
      <c r="C202" s="97"/>
      <c r="D202" s="105"/>
      <c r="E202" s="105"/>
      <c r="F202" s="105"/>
      <c r="G202" s="105"/>
      <c r="H202" s="105"/>
    </row>
    <row r="203">
      <c r="A203" s="105"/>
      <c r="B203" s="105"/>
      <c r="C203" s="97"/>
      <c r="D203" s="105"/>
      <c r="E203" s="105"/>
      <c r="F203" s="105"/>
      <c r="G203" s="105"/>
      <c r="H203" s="105"/>
    </row>
    <row r="204">
      <c r="A204" s="105"/>
      <c r="B204" s="105"/>
      <c r="C204" s="97"/>
      <c r="D204" s="105"/>
      <c r="E204" s="105"/>
      <c r="F204" s="105"/>
      <c r="G204" s="105"/>
      <c r="H204" s="105"/>
    </row>
    <row r="205">
      <c r="A205" s="105"/>
      <c r="B205" s="105"/>
      <c r="C205" s="97"/>
      <c r="D205" s="105"/>
      <c r="E205" s="105"/>
      <c r="F205" s="105"/>
      <c r="G205" s="105"/>
      <c r="H205" s="105"/>
    </row>
    <row r="206">
      <c r="A206" s="105"/>
      <c r="B206" s="105"/>
      <c r="C206" s="97"/>
      <c r="D206" s="105"/>
      <c r="E206" s="105"/>
      <c r="F206" s="105"/>
      <c r="G206" s="105"/>
      <c r="H206" s="105"/>
    </row>
    <row r="207">
      <c r="A207" s="105"/>
      <c r="B207" s="105"/>
      <c r="C207" s="97"/>
      <c r="D207" s="105"/>
      <c r="E207" s="105"/>
      <c r="F207" s="105"/>
      <c r="G207" s="105"/>
      <c r="H207" s="105"/>
    </row>
    <row r="208">
      <c r="A208" s="105"/>
      <c r="B208" s="105"/>
      <c r="C208" s="97"/>
      <c r="D208" s="105"/>
      <c r="E208" s="105"/>
      <c r="F208" s="105"/>
      <c r="G208" s="105"/>
      <c r="H208" s="105"/>
    </row>
    <row r="209">
      <c r="A209" s="105"/>
      <c r="B209" s="105"/>
      <c r="C209" s="97"/>
      <c r="D209" s="105"/>
      <c r="E209" s="105"/>
      <c r="F209" s="105"/>
      <c r="G209" s="105"/>
      <c r="H209" s="105"/>
    </row>
    <row r="210">
      <c r="A210" s="105"/>
      <c r="B210" s="105"/>
      <c r="C210" s="97"/>
      <c r="D210" s="105"/>
      <c r="E210" s="105"/>
      <c r="F210" s="105"/>
      <c r="G210" s="105"/>
      <c r="H210" s="105"/>
    </row>
    <row r="211">
      <c r="A211" s="105"/>
      <c r="B211" s="105"/>
      <c r="C211" s="97"/>
      <c r="D211" s="105"/>
      <c r="E211" s="105"/>
      <c r="F211" s="105"/>
      <c r="G211" s="105"/>
      <c r="H211" s="105"/>
    </row>
    <row r="212">
      <c r="A212" s="105"/>
      <c r="B212" s="105"/>
      <c r="C212" s="97"/>
      <c r="D212" s="105"/>
      <c r="E212" s="105"/>
      <c r="F212" s="105"/>
      <c r="G212" s="105"/>
      <c r="H212" s="105"/>
    </row>
    <row r="213">
      <c r="A213" s="105"/>
      <c r="B213" s="105"/>
      <c r="C213" s="97"/>
      <c r="D213" s="105"/>
      <c r="E213" s="105"/>
      <c r="F213" s="105"/>
      <c r="G213" s="105"/>
      <c r="H213" s="105"/>
    </row>
    <row r="214">
      <c r="A214" s="105"/>
      <c r="B214" s="105"/>
      <c r="C214" s="97"/>
      <c r="D214" s="105"/>
      <c r="E214" s="105"/>
      <c r="F214" s="105"/>
      <c r="G214" s="105"/>
      <c r="H214" s="105"/>
    </row>
    <row r="215">
      <c r="A215" s="105"/>
      <c r="B215" s="105"/>
      <c r="C215" s="97"/>
      <c r="D215" s="105"/>
      <c r="E215" s="105"/>
      <c r="F215" s="105"/>
      <c r="G215" s="105"/>
      <c r="H215" s="105"/>
    </row>
    <row r="216">
      <c r="A216" s="105"/>
      <c r="B216" s="105"/>
      <c r="C216" s="97"/>
      <c r="D216" s="105"/>
      <c r="E216" s="105"/>
      <c r="F216" s="105"/>
      <c r="G216" s="105"/>
      <c r="H216" s="105"/>
    </row>
    <row r="217">
      <c r="A217" s="105"/>
      <c r="B217" s="105"/>
      <c r="C217" s="97"/>
      <c r="D217" s="105"/>
      <c r="E217" s="105"/>
      <c r="F217" s="105"/>
      <c r="G217" s="105"/>
      <c r="H217" s="105"/>
    </row>
    <row r="218">
      <c r="A218" s="105"/>
      <c r="B218" s="105"/>
      <c r="C218" s="97"/>
      <c r="D218" s="105"/>
      <c r="E218" s="105"/>
      <c r="F218" s="105"/>
      <c r="G218" s="105"/>
      <c r="H218" s="105"/>
    </row>
    <row r="219">
      <c r="A219" s="105"/>
      <c r="B219" s="105"/>
      <c r="C219" s="97"/>
      <c r="D219" s="105"/>
      <c r="E219" s="105"/>
      <c r="F219" s="105"/>
      <c r="G219" s="105"/>
      <c r="H219" s="105"/>
    </row>
    <row r="220">
      <c r="A220" s="105"/>
      <c r="B220" s="105"/>
      <c r="C220" s="97"/>
      <c r="D220" s="105"/>
      <c r="E220" s="105"/>
      <c r="F220" s="105"/>
      <c r="G220" s="105"/>
      <c r="H220" s="105"/>
    </row>
    <row r="221">
      <c r="A221" s="105"/>
      <c r="B221" s="105"/>
      <c r="C221" s="97"/>
      <c r="D221" s="105"/>
      <c r="E221" s="105"/>
      <c r="F221" s="105"/>
      <c r="G221" s="105"/>
      <c r="H221" s="105"/>
    </row>
    <row r="222">
      <c r="A222" s="105"/>
      <c r="B222" s="105"/>
      <c r="C222" s="97"/>
      <c r="D222" s="105"/>
      <c r="E222" s="105"/>
      <c r="F222" s="105"/>
      <c r="G222" s="105"/>
      <c r="H222" s="105"/>
    </row>
    <row r="223">
      <c r="A223" s="105"/>
      <c r="B223" s="105"/>
      <c r="C223" s="97"/>
      <c r="D223" s="105"/>
      <c r="E223" s="105"/>
      <c r="F223" s="105"/>
      <c r="G223" s="105"/>
      <c r="H223" s="105"/>
    </row>
    <row r="224">
      <c r="A224" s="105"/>
      <c r="B224" s="105"/>
      <c r="C224" s="97"/>
      <c r="D224" s="105"/>
      <c r="E224" s="105"/>
      <c r="F224" s="105"/>
      <c r="G224" s="105"/>
      <c r="H224" s="105"/>
    </row>
    <row r="225">
      <c r="A225" s="105"/>
      <c r="B225" s="105"/>
      <c r="C225" s="97"/>
      <c r="D225" s="105"/>
      <c r="E225" s="105"/>
      <c r="F225" s="105"/>
      <c r="G225" s="105"/>
      <c r="H225" s="105"/>
    </row>
    <row r="226">
      <c r="A226" s="105"/>
      <c r="B226" s="105"/>
      <c r="C226" s="97"/>
      <c r="D226" s="105"/>
      <c r="E226" s="105"/>
      <c r="F226" s="105"/>
      <c r="G226" s="105"/>
      <c r="H226" s="105"/>
    </row>
    <row r="227">
      <c r="A227" s="105"/>
      <c r="B227" s="105"/>
      <c r="C227" s="97"/>
      <c r="D227" s="105"/>
      <c r="E227" s="105"/>
      <c r="F227" s="105"/>
      <c r="G227" s="105"/>
      <c r="H227" s="105"/>
    </row>
    <row r="228">
      <c r="A228" s="105"/>
      <c r="B228" s="105"/>
      <c r="C228" s="97"/>
      <c r="D228" s="105"/>
      <c r="E228" s="105"/>
      <c r="F228" s="105"/>
      <c r="G228" s="105"/>
      <c r="H228" s="105"/>
    </row>
    <row r="229">
      <c r="A229" s="105"/>
      <c r="B229" s="105"/>
      <c r="C229" s="97"/>
      <c r="D229" s="105"/>
      <c r="E229" s="105"/>
      <c r="F229" s="105"/>
      <c r="G229" s="105"/>
      <c r="H229" s="105"/>
    </row>
    <row r="230">
      <c r="A230" s="105"/>
      <c r="B230" s="105"/>
      <c r="C230" s="97"/>
      <c r="D230" s="105"/>
      <c r="E230" s="105"/>
      <c r="F230" s="105"/>
      <c r="G230" s="105"/>
      <c r="H230" s="105"/>
    </row>
    <row r="231">
      <c r="A231" s="105"/>
      <c r="B231" s="105"/>
      <c r="C231" s="97"/>
      <c r="D231" s="105"/>
      <c r="E231" s="105"/>
      <c r="F231" s="105"/>
      <c r="G231" s="105"/>
      <c r="H231" s="105"/>
    </row>
    <row r="232">
      <c r="A232" s="105"/>
      <c r="B232" s="105"/>
      <c r="C232" s="97"/>
      <c r="D232" s="105"/>
      <c r="E232" s="105"/>
      <c r="F232" s="105"/>
      <c r="G232" s="105"/>
      <c r="H232" s="105"/>
    </row>
    <row r="233">
      <c r="A233" s="105"/>
      <c r="B233" s="105"/>
      <c r="C233" s="97"/>
      <c r="D233" s="105"/>
      <c r="E233" s="105"/>
      <c r="F233" s="105"/>
      <c r="G233" s="105"/>
      <c r="H233" s="105"/>
    </row>
    <row r="234">
      <c r="A234" s="105"/>
      <c r="B234" s="105"/>
      <c r="C234" s="97"/>
      <c r="D234" s="105"/>
      <c r="E234" s="105"/>
      <c r="F234" s="105"/>
      <c r="G234" s="105"/>
      <c r="H234" s="105"/>
    </row>
    <row r="235">
      <c r="A235" s="105"/>
      <c r="B235" s="105"/>
      <c r="C235" s="97"/>
      <c r="D235" s="105"/>
      <c r="E235" s="105"/>
      <c r="F235" s="105"/>
      <c r="G235" s="105"/>
      <c r="H235" s="105"/>
    </row>
    <row r="236">
      <c r="A236" s="105"/>
      <c r="B236" s="105"/>
      <c r="C236" s="97"/>
      <c r="D236" s="105"/>
      <c r="E236" s="105"/>
      <c r="F236" s="105"/>
      <c r="G236" s="105"/>
      <c r="H236" s="105"/>
    </row>
    <row r="237">
      <c r="A237" s="105"/>
      <c r="B237" s="105"/>
      <c r="C237" s="97"/>
      <c r="D237" s="105"/>
      <c r="E237" s="105"/>
      <c r="F237" s="105"/>
      <c r="G237" s="105"/>
      <c r="H237" s="105"/>
    </row>
    <row r="238">
      <c r="A238" s="105"/>
      <c r="B238" s="105"/>
      <c r="C238" s="97"/>
      <c r="D238" s="105"/>
      <c r="E238" s="105"/>
      <c r="F238" s="105"/>
      <c r="G238" s="105"/>
      <c r="H238" s="105"/>
    </row>
    <row r="239">
      <c r="A239" s="105"/>
      <c r="B239" s="105"/>
      <c r="C239" s="97"/>
      <c r="D239" s="105"/>
      <c r="E239" s="105"/>
      <c r="F239" s="105"/>
      <c r="G239" s="105"/>
      <c r="H239" s="105"/>
    </row>
    <row r="240">
      <c r="A240" s="105"/>
      <c r="B240" s="105"/>
      <c r="C240" s="97"/>
      <c r="D240" s="105"/>
      <c r="E240" s="105"/>
      <c r="F240" s="105"/>
      <c r="G240" s="105"/>
      <c r="H240" s="105"/>
    </row>
    <row r="241">
      <c r="A241" s="105"/>
      <c r="B241" s="105"/>
      <c r="C241" s="97"/>
      <c r="D241" s="105"/>
      <c r="E241" s="105"/>
      <c r="F241" s="105"/>
      <c r="G241" s="105"/>
      <c r="H241" s="105"/>
    </row>
    <row r="242">
      <c r="A242" s="105"/>
      <c r="B242" s="105"/>
      <c r="C242" s="97"/>
      <c r="D242" s="105"/>
      <c r="E242" s="105"/>
      <c r="F242" s="105"/>
      <c r="G242" s="105"/>
      <c r="H242" s="105"/>
    </row>
    <row r="243">
      <c r="A243" s="105"/>
      <c r="B243" s="105"/>
      <c r="C243" s="97"/>
      <c r="D243" s="105"/>
      <c r="E243" s="105"/>
      <c r="F243" s="105"/>
      <c r="G243" s="105"/>
      <c r="H243" s="105"/>
    </row>
    <row r="244">
      <c r="A244" s="105"/>
      <c r="B244" s="105"/>
      <c r="C244" s="97"/>
      <c r="D244" s="105"/>
      <c r="E244" s="105"/>
      <c r="F244" s="105"/>
      <c r="G244" s="105"/>
      <c r="H244" s="105"/>
    </row>
    <row r="245">
      <c r="A245" s="105"/>
      <c r="B245" s="105"/>
      <c r="C245" s="97"/>
      <c r="D245" s="105"/>
      <c r="E245" s="105"/>
      <c r="F245" s="105"/>
      <c r="G245" s="105"/>
      <c r="H245" s="105"/>
    </row>
    <row r="246">
      <c r="A246" s="105"/>
      <c r="B246" s="105"/>
      <c r="C246" s="97"/>
      <c r="D246" s="105"/>
      <c r="E246" s="105"/>
      <c r="F246" s="105"/>
      <c r="G246" s="105"/>
      <c r="H246" s="105"/>
    </row>
    <row r="247">
      <c r="A247" s="105"/>
      <c r="B247" s="105"/>
      <c r="C247" s="97"/>
      <c r="D247" s="105"/>
      <c r="E247" s="105"/>
      <c r="F247" s="105"/>
      <c r="G247" s="105"/>
      <c r="H247" s="105"/>
    </row>
    <row r="248">
      <c r="A248" s="105"/>
      <c r="B248" s="105"/>
      <c r="C248" s="97"/>
      <c r="D248" s="105"/>
      <c r="E248" s="105"/>
      <c r="F248" s="105"/>
      <c r="G248" s="105"/>
      <c r="H248" s="105"/>
    </row>
    <row r="249">
      <c r="A249" s="105"/>
      <c r="B249" s="105"/>
      <c r="C249" s="97"/>
      <c r="D249" s="105"/>
      <c r="E249" s="105"/>
      <c r="F249" s="105"/>
      <c r="G249" s="105"/>
      <c r="H249" s="105"/>
    </row>
    <row r="250">
      <c r="A250" s="105"/>
      <c r="B250" s="105"/>
      <c r="C250" s="97"/>
      <c r="D250" s="105"/>
      <c r="E250" s="105"/>
      <c r="F250" s="105"/>
      <c r="G250" s="105"/>
      <c r="H250" s="105"/>
    </row>
    <row r="251">
      <c r="A251" s="105"/>
      <c r="B251" s="105"/>
      <c r="C251" s="97"/>
      <c r="D251" s="105"/>
      <c r="E251" s="105"/>
      <c r="F251" s="105"/>
      <c r="G251" s="105"/>
      <c r="H251" s="105"/>
    </row>
    <row r="252">
      <c r="A252" s="105"/>
      <c r="B252" s="105"/>
      <c r="C252" s="97"/>
      <c r="D252" s="105"/>
      <c r="E252" s="105"/>
      <c r="F252" s="105"/>
      <c r="G252" s="105"/>
      <c r="H252" s="105"/>
    </row>
    <row r="253">
      <c r="A253" s="105"/>
      <c r="B253" s="105"/>
      <c r="C253" s="97"/>
      <c r="D253" s="105"/>
      <c r="E253" s="105"/>
      <c r="F253" s="105"/>
      <c r="G253" s="105"/>
      <c r="H253" s="105"/>
    </row>
    <row r="254">
      <c r="A254" s="105"/>
      <c r="B254" s="105"/>
      <c r="C254" s="97"/>
      <c r="D254" s="105"/>
      <c r="E254" s="105"/>
      <c r="F254" s="105"/>
      <c r="G254" s="105"/>
      <c r="H254" s="105"/>
    </row>
    <row r="255">
      <c r="A255" s="105"/>
      <c r="B255" s="105"/>
      <c r="C255" s="97"/>
      <c r="D255" s="105"/>
      <c r="E255" s="105"/>
      <c r="F255" s="105"/>
      <c r="G255" s="105"/>
      <c r="H255" s="105"/>
    </row>
    <row r="256">
      <c r="A256" s="105"/>
      <c r="B256" s="105"/>
      <c r="C256" s="97"/>
      <c r="D256" s="105"/>
      <c r="E256" s="105"/>
      <c r="F256" s="105"/>
      <c r="G256" s="105"/>
      <c r="H256" s="105"/>
    </row>
    <row r="257">
      <c r="A257" s="105"/>
      <c r="B257" s="105"/>
      <c r="C257" s="97"/>
      <c r="D257" s="105"/>
      <c r="E257" s="105"/>
      <c r="F257" s="105"/>
      <c r="G257" s="105"/>
      <c r="H257" s="105"/>
    </row>
    <row r="258">
      <c r="A258" s="105"/>
      <c r="B258" s="105"/>
      <c r="C258" s="97"/>
      <c r="D258" s="105"/>
      <c r="E258" s="105"/>
      <c r="F258" s="105"/>
      <c r="G258" s="105"/>
      <c r="H258" s="105"/>
    </row>
    <row r="259">
      <c r="A259" s="105"/>
      <c r="B259" s="105"/>
      <c r="C259" s="97"/>
      <c r="D259" s="105"/>
      <c r="E259" s="105"/>
      <c r="F259" s="105"/>
      <c r="G259" s="105"/>
      <c r="H259" s="105"/>
    </row>
    <row r="260">
      <c r="A260" s="105"/>
      <c r="B260" s="105"/>
      <c r="C260" s="97"/>
      <c r="D260" s="105"/>
      <c r="E260" s="105"/>
      <c r="F260" s="105"/>
      <c r="G260" s="105"/>
      <c r="H260" s="105"/>
    </row>
    <row r="261">
      <c r="A261" s="105"/>
      <c r="B261" s="105"/>
      <c r="C261" s="97"/>
      <c r="D261" s="105"/>
      <c r="E261" s="105"/>
      <c r="F261" s="105"/>
      <c r="G261" s="105"/>
      <c r="H261" s="105"/>
    </row>
    <row r="262">
      <c r="A262" s="105"/>
      <c r="B262" s="105"/>
      <c r="C262" s="97"/>
      <c r="D262" s="105"/>
      <c r="E262" s="105"/>
      <c r="F262" s="105"/>
      <c r="G262" s="105"/>
      <c r="H262" s="105"/>
    </row>
    <row r="263">
      <c r="A263" s="105"/>
      <c r="B263" s="105"/>
      <c r="C263" s="97"/>
      <c r="D263" s="105"/>
      <c r="E263" s="105"/>
      <c r="F263" s="105"/>
      <c r="G263" s="105"/>
      <c r="H263" s="105"/>
    </row>
    <row r="264">
      <c r="A264" s="105"/>
      <c r="B264" s="105"/>
      <c r="C264" s="97"/>
      <c r="D264" s="105"/>
      <c r="E264" s="105"/>
      <c r="F264" s="105"/>
      <c r="G264" s="105"/>
      <c r="H264" s="105"/>
    </row>
    <row r="265">
      <c r="A265" s="105"/>
      <c r="B265" s="105"/>
      <c r="C265" s="97"/>
      <c r="D265" s="105"/>
      <c r="E265" s="105"/>
      <c r="F265" s="105"/>
      <c r="G265" s="105"/>
      <c r="H265" s="105"/>
    </row>
    <row r="266">
      <c r="A266" s="105"/>
      <c r="B266" s="105"/>
      <c r="C266" s="97"/>
      <c r="D266" s="105"/>
      <c r="E266" s="105"/>
      <c r="F266" s="105"/>
      <c r="G266" s="105"/>
      <c r="H266" s="105"/>
    </row>
    <row r="267">
      <c r="A267" s="105"/>
      <c r="B267" s="105"/>
      <c r="C267" s="97"/>
      <c r="D267" s="105"/>
      <c r="E267" s="105"/>
      <c r="F267" s="105"/>
      <c r="G267" s="105"/>
      <c r="H267" s="105"/>
    </row>
    <row r="268">
      <c r="A268" s="105"/>
      <c r="B268" s="105"/>
      <c r="C268" s="97"/>
      <c r="D268" s="105"/>
      <c r="E268" s="105"/>
      <c r="F268" s="105"/>
      <c r="G268" s="105"/>
      <c r="H268" s="105"/>
    </row>
    <row r="269">
      <c r="A269" s="105"/>
      <c r="B269" s="105"/>
      <c r="C269" s="97"/>
      <c r="D269" s="105"/>
      <c r="E269" s="105"/>
      <c r="F269" s="105"/>
      <c r="G269" s="105"/>
      <c r="H269" s="105"/>
    </row>
    <row r="270">
      <c r="A270" s="105"/>
      <c r="B270" s="105"/>
      <c r="C270" s="97"/>
      <c r="D270" s="105"/>
      <c r="E270" s="105"/>
      <c r="F270" s="105"/>
      <c r="G270" s="105"/>
      <c r="H270" s="105"/>
    </row>
    <row r="271">
      <c r="A271" s="105"/>
      <c r="B271" s="105"/>
      <c r="C271" s="97"/>
      <c r="D271" s="105"/>
      <c r="E271" s="105"/>
      <c r="F271" s="105"/>
      <c r="G271" s="105"/>
      <c r="H271" s="105"/>
    </row>
    <row r="272">
      <c r="A272" s="105"/>
      <c r="B272" s="105"/>
      <c r="C272" s="97"/>
      <c r="D272" s="105"/>
      <c r="E272" s="105"/>
      <c r="F272" s="105"/>
      <c r="G272" s="105"/>
      <c r="H272" s="105"/>
    </row>
    <row r="273">
      <c r="A273" s="105"/>
      <c r="B273" s="105"/>
      <c r="C273" s="97"/>
      <c r="D273" s="105"/>
      <c r="E273" s="105"/>
      <c r="F273" s="105"/>
      <c r="G273" s="105"/>
      <c r="H273" s="105"/>
    </row>
    <row r="274">
      <c r="A274" s="105"/>
      <c r="B274" s="105"/>
      <c r="C274" s="97"/>
      <c r="D274" s="105"/>
      <c r="E274" s="105"/>
      <c r="F274" s="105"/>
      <c r="G274" s="105"/>
      <c r="H274" s="105"/>
    </row>
    <row r="275">
      <c r="A275" s="105"/>
      <c r="B275" s="105"/>
      <c r="C275" s="97"/>
      <c r="D275" s="105"/>
      <c r="E275" s="105"/>
      <c r="F275" s="105"/>
      <c r="G275" s="105"/>
      <c r="H275" s="105"/>
    </row>
    <row r="276">
      <c r="A276" s="105"/>
      <c r="B276" s="105"/>
      <c r="C276" s="97"/>
      <c r="D276" s="105"/>
      <c r="E276" s="105"/>
      <c r="F276" s="105"/>
      <c r="G276" s="105"/>
      <c r="H276" s="105"/>
    </row>
    <row r="277">
      <c r="A277" s="105"/>
      <c r="B277" s="105"/>
      <c r="C277" s="97"/>
      <c r="D277" s="105"/>
      <c r="E277" s="105"/>
      <c r="F277" s="105"/>
      <c r="G277" s="105"/>
      <c r="H277" s="105"/>
    </row>
    <row r="278">
      <c r="A278" s="105"/>
      <c r="B278" s="105"/>
      <c r="C278" s="97"/>
      <c r="D278" s="105"/>
      <c r="E278" s="105"/>
      <c r="F278" s="105"/>
      <c r="G278" s="105"/>
      <c r="H278" s="105"/>
    </row>
    <row r="279">
      <c r="A279" s="105"/>
      <c r="B279" s="105"/>
      <c r="C279" s="97"/>
      <c r="D279" s="105"/>
      <c r="E279" s="105"/>
      <c r="F279" s="105"/>
      <c r="G279" s="105"/>
      <c r="H279" s="105"/>
    </row>
    <row r="280">
      <c r="A280" s="105"/>
      <c r="B280" s="105"/>
      <c r="C280" s="97"/>
      <c r="D280" s="105"/>
      <c r="E280" s="105"/>
      <c r="F280" s="105"/>
      <c r="G280" s="105"/>
      <c r="H280" s="105"/>
    </row>
    <row r="281">
      <c r="A281" s="105"/>
      <c r="B281" s="105"/>
      <c r="C281" s="97"/>
      <c r="D281" s="105"/>
      <c r="E281" s="105"/>
      <c r="F281" s="105"/>
      <c r="G281" s="105"/>
      <c r="H281" s="105"/>
    </row>
    <row r="282">
      <c r="A282" s="105"/>
      <c r="B282" s="105"/>
      <c r="C282" s="97"/>
      <c r="D282" s="105"/>
      <c r="E282" s="105"/>
      <c r="F282" s="105"/>
      <c r="G282" s="105"/>
      <c r="H282" s="105"/>
    </row>
    <row r="283">
      <c r="A283" s="105"/>
      <c r="B283" s="105"/>
      <c r="C283" s="97"/>
      <c r="D283" s="105"/>
      <c r="E283" s="105"/>
      <c r="F283" s="105"/>
      <c r="G283" s="105"/>
      <c r="H283" s="105"/>
    </row>
    <row r="284">
      <c r="A284" s="105"/>
      <c r="B284" s="105"/>
      <c r="C284" s="97"/>
      <c r="D284" s="105"/>
      <c r="E284" s="105"/>
      <c r="F284" s="105"/>
      <c r="G284" s="105"/>
      <c r="H284" s="105"/>
    </row>
    <row r="285">
      <c r="A285" s="105"/>
      <c r="B285" s="105"/>
      <c r="C285" s="97"/>
      <c r="D285" s="105"/>
      <c r="E285" s="105"/>
      <c r="F285" s="105"/>
      <c r="G285" s="105"/>
      <c r="H285" s="105"/>
    </row>
    <row r="286">
      <c r="A286" s="105"/>
      <c r="B286" s="105"/>
      <c r="C286" s="97"/>
      <c r="D286" s="105"/>
      <c r="E286" s="105"/>
      <c r="F286" s="105"/>
      <c r="G286" s="105"/>
      <c r="H286" s="105"/>
    </row>
    <row r="287">
      <c r="A287" s="105"/>
      <c r="B287" s="105"/>
      <c r="C287" s="97"/>
      <c r="D287" s="105"/>
      <c r="E287" s="105"/>
      <c r="F287" s="105"/>
      <c r="G287" s="105"/>
      <c r="H287" s="105"/>
    </row>
    <row r="288">
      <c r="A288" s="105"/>
      <c r="B288" s="105"/>
      <c r="C288" s="97"/>
      <c r="D288" s="105"/>
      <c r="E288" s="105"/>
      <c r="F288" s="105"/>
      <c r="G288" s="105"/>
      <c r="H288" s="105"/>
    </row>
    <row r="289">
      <c r="A289" s="105"/>
      <c r="B289" s="105"/>
      <c r="C289" s="97"/>
      <c r="D289" s="105"/>
      <c r="E289" s="105"/>
      <c r="F289" s="105"/>
      <c r="G289" s="105"/>
      <c r="H289" s="105"/>
    </row>
    <row r="290">
      <c r="A290" s="105"/>
      <c r="B290" s="105"/>
      <c r="C290" s="97"/>
      <c r="D290" s="105"/>
      <c r="E290" s="105"/>
      <c r="F290" s="105"/>
      <c r="G290" s="105"/>
      <c r="H290" s="105"/>
    </row>
    <row r="291">
      <c r="A291" s="105"/>
      <c r="B291" s="105"/>
      <c r="C291" s="97"/>
      <c r="D291" s="105"/>
      <c r="E291" s="105"/>
      <c r="F291" s="105"/>
      <c r="G291" s="105"/>
      <c r="H291" s="105"/>
    </row>
    <row r="292">
      <c r="A292" s="105"/>
      <c r="B292" s="105"/>
      <c r="C292" s="97"/>
      <c r="D292" s="105"/>
      <c r="E292" s="105"/>
      <c r="F292" s="105"/>
      <c r="G292" s="105"/>
      <c r="H292" s="105"/>
    </row>
    <row r="293">
      <c r="A293" s="105"/>
      <c r="B293" s="105"/>
      <c r="C293" s="97"/>
      <c r="D293" s="105"/>
      <c r="E293" s="105"/>
      <c r="F293" s="105"/>
      <c r="G293" s="105"/>
      <c r="H293" s="105"/>
    </row>
    <row r="294">
      <c r="A294" s="105"/>
      <c r="B294" s="105"/>
      <c r="C294" s="97"/>
      <c r="D294" s="105"/>
      <c r="E294" s="105"/>
      <c r="F294" s="105"/>
      <c r="G294" s="105"/>
      <c r="H294" s="105"/>
    </row>
    <row r="295">
      <c r="A295" s="105"/>
      <c r="B295" s="105"/>
      <c r="C295" s="97"/>
      <c r="D295" s="105"/>
      <c r="E295" s="105"/>
      <c r="F295" s="105"/>
      <c r="G295" s="105"/>
      <c r="H295" s="105"/>
    </row>
    <row r="296">
      <c r="A296" s="105"/>
      <c r="B296" s="105"/>
      <c r="C296" s="97"/>
      <c r="D296" s="105"/>
      <c r="E296" s="105"/>
      <c r="F296" s="105"/>
      <c r="G296" s="105"/>
      <c r="H296" s="105"/>
    </row>
    <row r="297">
      <c r="A297" s="105"/>
      <c r="B297" s="105"/>
      <c r="C297" s="97"/>
      <c r="D297" s="105"/>
      <c r="E297" s="105"/>
      <c r="F297" s="105"/>
      <c r="G297" s="105"/>
      <c r="H297" s="105"/>
    </row>
    <row r="298">
      <c r="A298" s="105"/>
      <c r="B298" s="105"/>
      <c r="C298" s="97"/>
      <c r="D298" s="105"/>
      <c r="E298" s="105"/>
      <c r="F298" s="105"/>
      <c r="G298" s="105"/>
      <c r="H298" s="105"/>
    </row>
    <row r="299">
      <c r="A299" s="105"/>
      <c r="B299" s="105"/>
      <c r="C299" s="97"/>
      <c r="D299" s="105"/>
      <c r="E299" s="105"/>
      <c r="F299" s="105"/>
      <c r="G299" s="105"/>
      <c r="H299" s="105"/>
    </row>
    <row r="300">
      <c r="A300" s="105"/>
      <c r="B300" s="105"/>
      <c r="C300" s="97"/>
      <c r="D300" s="105"/>
      <c r="E300" s="105"/>
      <c r="F300" s="105"/>
      <c r="G300" s="105"/>
      <c r="H300" s="105"/>
    </row>
    <row r="301">
      <c r="A301" s="105"/>
      <c r="B301" s="105"/>
      <c r="C301" s="97"/>
      <c r="D301" s="105"/>
      <c r="E301" s="105"/>
      <c r="F301" s="105"/>
      <c r="G301" s="105"/>
      <c r="H301" s="105"/>
    </row>
    <row r="302">
      <c r="A302" s="105"/>
      <c r="B302" s="105"/>
      <c r="C302" s="97"/>
      <c r="D302" s="105"/>
      <c r="E302" s="105"/>
      <c r="F302" s="105"/>
      <c r="G302" s="105"/>
      <c r="H302" s="105"/>
    </row>
    <row r="303">
      <c r="A303" s="105"/>
      <c r="B303" s="105"/>
      <c r="C303" s="97"/>
      <c r="D303" s="105"/>
      <c r="E303" s="105"/>
      <c r="F303" s="105"/>
      <c r="G303" s="105"/>
      <c r="H303" s="105"/>
    </row>
    <row r="304">
      <c r="A304" s="105"/>
      <c r="B304" s="105"/>
      <c r="C304" s="97"/>
      <c r="D304" s="105"/>
      <c r="E304" s="105"/>
      <c r="F304" s="105"/>
      <c r="G304" s="105"/>
      <c r="H304" s="105"/>
    </row>
    <row r="305">
      <c r="A305" s="105"/>
      <c r="B305" s="105"/>
      <c r="C305" s="97"/>
      <c r="D305" s="105"/>
      <c r="E305" s="105"/>
      <c r="F305" s="105"/>
      <c r="G305" s="105"/>
      <c r="H305" s="105"/>
    </row>
    <row r="306">
      <c r="A306" s="105"/>
      <c r="B306" s="105"/>
      <c r="C306" s="97"/>
      <c r="D306" s="105"/>
      <c r="E306" s="105"/>
      <c r="F306" s="105"/>
      <c r="G306" s="105"/>
      <c r="H306" s="105"/>
    </row>
    <row r="307">
      <c r="A307" s="105"/>
      <c r="B307" s="105"/>
      <c r="C307" s="97"/>
      <c r="D307" s="105"/>
      <c r="E307" s="105"/>
      <c r="F307" s="105"/>
      <c r="G307" s="105"/>
      <c r="H307" s="105"/>
    </row>
    <row r="308">
      <c r="A308" s="105"/>
      <c r="B308" s="105"/>
      <c r="C308" s="97"/>
      <c r="D308" s="105"/>
      <c r="E308" s="105"/>
      <c r="F308" s="105"/>
      <c r="G308" s="105"/>
      <c r="H308" s="105"/>
    </row>
    <row r="309">
      <c r="A309" s="105"/>
      <c r="B309" s="105"/>
      <c r="C309" s="97"/>
      <c r="D309" s="105"/>
      <c r="E309" s="105"/>
      <c r="F309" s="105"/>
      <c r="G309" s="105"/>
      <c r="H309" s="105"/>
    </row>
    <row r="310">
      <c r="A310" s="105"/>
      <c r="B310" s="105"/>
      <c r="C310" s="97"/>
      <c r="D310" s="105"/>
      <c r="E310" s="105"/>
      <c r="F310" s="105"/>
      <c r="G310" s="105"/>
      <c r="H310" s="105"/>
    </row>
    <row r="311">
      <c r="A311" s="105"/>
      <c r="B311" s="105"/>
      <c r="C311" s="97"/>
      <c r="D311" s="105"/>
      <c r="E311" s="105"/>
      <c r="F311" s="105"/>
      <c r="G311" s="105"/>
      <c r="H311" s="105"/>
    </row>
    <row r="312">
      <c r="A312" s="105"/>
      <c r="B312" s="105"/>
      <c r="C312" s="97"/>
      <c r="D312" s="105"/>
      <c r="E312" s="105"/>
      <c r="F312" s="105"/>
      <c r="G312" s="105"/>
      <c r="H312" s="105"/>
    </row>
    <row r="313">
      <c r="A313" s="105"/>
      <c r="B313" s="105"/>
      <c r="C313" s="97"/>
      <c r="D313" s="105"/>
      <c r="E313" s="105"/>
      <c r="F313" s="105"/>
      <c r="G313" s="105"/>
      <c r="H313" s="105"/>
    </row>
    <row r="314">
      <c r="A314" s="105"/>
      <c r="B314" s="105"/>
      <c r="C314" s="97"/>
      <c r="D314" s="105"/>
      <c r="E314" s="105"/>
      <c r="F314" s="105"/>
      <c r="G314" s="105"/>
      <c r="H314" s="105"/>
    </row>
    <row r="315">
      <c r="A315" s="105"/>
      <c r="B315" s="105"/>
      <c r="C315" s="97"/>
      <c r="D315" s="105"/>
      <c r="E315" s="105"/>
      <c r="F315" s="105"/>
      <c r="G315" s="105"/>
      <c r="H315" s="105"/>
    </row>
    <row r="316">
      <c r="A316" s="105"/>
      <c r="B316" s="105"/>
      <c r="C316" s="97"/>
      <c r="D316" s="105"/>
      <c r="E316" s="105"/>
      <c r="F316" s="105"/>
      <c r="G316" s="105"/>
      <c r="H316" s="105"/>
    </row>
    <row r="317">
      <c r="A317" s="105"/>
      <c r="B317" s="105"/>
      <c r="C317" s="97"/>
      <c r="D317" s="105"/>
      <c r="E317" s="105"/>
      <c r="F317" s="105"/>
      <c r="G317" s="105"/>
      <c r="H317" s="105"/>
    </row>
    <row r="318">
      <c r="A318" s="105"/>
      <c r="B318" s="105"/>
      <c r="C318" s="97"/>
      <c r="D318" s="105"/>
      <c r="E318" s="105"/>
      <c r="F318" s="105"/>
      <c r="G318" s="105"/>
      <c r="H318" s="105"/>
    </row>
    <row r="319">
      <c r="A319" s="105"/>
      <c r="B319" s="105"/>
      <c r="C319" s="97"/>
      <c r="D319" s="105"/>
      <c r="E319" s="105"/>
      <c r="F319" s="105"/>
      <c r="G319" s="105"/>
      <c r="H319" s="105"/>
    </row>
    <row r="320">
      <c r="A320" s="105"/>
      <c r="B320" s="105"/>
      <c r="C320" s="97"/>
      <c r="D320" s="105"/>
      <c r="E320" s="105"/>
      <c r="F320" s="105"/>
      <c r="G320" s="105"/>
      <c r="H320" s="105"/>
    </row>
    <row r="321">
      <c r="A321" s="105"/>
      <c r="B321" s="105"/>
      <c r="C321" s="97"/>
      <c r="D321" s="105"/>
      <c r="E321" s="105"/>
      <c r="F321" s="105"/>
      <c r="G321" s="105"/>
      <c r="H321" s="105"/>
    </row>
    <row r="322">
      <c r="A322" s="105"/>
      <c r="B322" s="105"/>
      <c r="C322" s="97"/>
      <c r="D322" s="105"/>
      <c r="E322" s="105"/>
      <c r="F322" s="105"/>
      <c r="G322" s="105"/>
      <c r="H322" s="105"/>
    </row>
    <row r="323">
      <c r="A323" s="105"/>
      <c r="B323" s="105"/>
      <c r="C323" s="97"/>
      <c r="D323" s="105"/>
      <c r="E323" s="105"/>
      <c r="F323" s="105"/>
      <c r="G323" s="105"/>
      <c r="H323" s="105"/>
    </row>
    <row r="324">
      <c r="A324" s="105"/>
      <c r="B324" s="105"/>
      <c r="C324" s="97"/>
      <c r="D324" s="105"/>
      <c r="E324" s="105"/>
      <c r="F324" s="105"/>
      <c r="G324" s="105"/>
      <c r="H324" s="105"/>
    </row>
    <row r="325">
      <c r="A325" s="105"/>
      <c r="B325" s="105"/>
      <c r="C325" s="97"/>
      <c r="D325" s="105"/>
      <c r="E325" s="105"/>
      <c r="F325" s="105"/>
      <c r="G325" s="105"/>
      <c r="H325" s="105"/>
    </row>
    <row r="326">
      <c r="A326" s="105"/>
      <c r="B326" s="105"/>
      <c r="C326" s="97"/>
      <c r="D326" s="105"/>
      <c r="E326" s="105"/>
      <c r="F326" s="105"/>
      <c r="G326" s="105"/>
      <c r="H326" s="105"/>
    </row>
    <row r="327">
      <c r="A327" s="105"/>
      <c r="B327" s="105"/>
      <c r="C327" s="97"/>
      <c r="D327" s="105"/>
      <c r="E327" s="105"/>
      <c r="F327" s="105"/>
      <c r="G327" s="105"/>
      <c r="H327" s="105"/>
    </row>
    <row r="328">
      <c r="A328" s="105"/>
      <c r="B328" s="105"/>
      <c r="C328" s="97"/>
      <c r="D328" s="105"/>
      <c r="E328" s="105"/>
      <c r="F328" s="105"/>
      <c r="G328" s="105"/>
      <c r="H328" s="105"/>
    </row>
    <row r="329">
      <c r="A329" s="105"/>
      <c r="B329" s="105"/>
      <c r="C329" s="97"/>
      <c r="D329" s="105"/>
      <c r="E329" s="105"/>
      <c r="F329" s="105"/>
      <c r="G329" s="105"/>
      <c r="H329" s="105"/>
    </row>
    <row r="330">
      <c r="A330" s="105"/>
      <c r="B330" s="105"/>
      <c r="C330" s="97"/>
      <c r="D330" s="105"/>
      <c r="E330" s="105"/>
      <c r="F330" s="105"/>
      <c r="G330" s="105"/>
      <c r="H330" s="105"/>
    </row>
    <row r="331">
      <c r="A331" s="105"/>
      <c r="B331" s="105"/>
      <c r="C331" s="97"/>
      <c r="D331" s="105"/>
      <c r="E331" s="105"/>
      <c r="F331" s="105"/>
      <c r="G331" s="105"/>
      <c r="H331" s="105"/>
    </row>
    <row r="332">
      <c r="A332" s="105"/>
      <c r="B332" s="105"/>
      <c r="C332" s="97"/>
      <c r="D332" s="105"/>
      <c r="E332" s="105"/>
      <c r="F332" s="105"/>
      <c r="G332" s="105"/>
      <c r="H332" s="105"/>
    </row>
    <row r="333">
      <c r="A333" s="105"/>
      <c r="B333" s="105"/>
      <c r="C333" s="97"/>
      <c r="D333" s="105"/>
      <c r="E333" s="105"/>
      <c r="F333" s="105"/>
      <c r="G333" s="105"/>
      <c r="H333" s="105"/>
    </row>
    <row r="334">
      <c r="A334" s="105"/>
      <c r="B334" s="105"/>
      <c r="C334" s="97"/>
      <c r="D334" s="105"/>
      <c r="E334" s="105"/>
      <c r="F334" s="105"/>
      <c r="G334" s="105"/>
      <c r="H334" s="105"/>
    </row>
    <row r="335">
      <c r="A335" s="105"/>
      <c r="B335" s="105"/>
      <c r="C335" s="97"/>
      <c r="D335" s="105"/>
      <c r="E335" s="105"/>
      <c r="F335" s="105"/>
      <c r="G335" s="105"/>
      <c r="H335" s="105"/>
    </row>
    <row r="336">
      <c r="A336" s="105"/>
      <c r="B336" s="105"/>
      <c r="C336" s="97"/>
      <c r="D336" s="105"/>
      <c r="E336" s="105"/>
      <c r="F336" s="105"/>
      <c r="G336" s="105"/>
      <c r="H336" s="105"/>
    </row>
    <row r="337">
      <c r="A337" s="105"/>
      <c r="B337" s="105"/>
      <c r="C337" s="97"/>
      <c r="D337" s="105"/>
      <c r="E337" s="105"/>
      <c r="F337" s="105"/>
      <c r="G337" s="105"/>
      <c r="H337" s="105"/>
    </row>
    <row r="338">
      <c r="A338" s="105"/>
      <c r="B338" s="105"/>
      <c r="C338" s="97"/>
      <c r="D338" s="105"/>
      <c r="E338" s="105"/>
      <c r="F338" s="105"/>
      <c r="G338" s="105"/>
      <c r="H338" s="105"/>
    </row>
    <row r="339">
      <c r="A339" s="105"/>
      <c r="B339" s="105"/>
      <c r="C339" s="97"/>
      <c r="D339" s="105"/>
      <c r="E339" s="105"/>
      <c r="F339" s="105"/>
      <c r="G339" s="105"/>
      <c r="H339" s="105"/>
    </row>
    <row r="340">
      <c r="A340" s="105"/>
      <c r="B340" s="105"/>
      <c r="C340" s="97"/>
      <c r="D340" s="105"/>
      <c r="E340" s="105"/>
      <c r="F340" s="105"/>
      <c r="G340" s="105"/>
      <c r="H340" s="105"/>
    </row>
    <row r="341">
      <c r="A341" s="105"/>
      <c r="B341" s="105"/>
      <c r="C341" s="97"/>
      <c r="D341" s="105"/>
      <c r="E341" s="105"/>
      <c r="F341" s="105"/>
      <c r="G341" s="105"/>
      <c r="H341" s="105"/>
    </row>
    <row r="342">
      <c r="A342" s="105"/>
      <c r="B342" s="105"/>
      <c r="C342" s="97"/>
      <c r="D342" s="105"/>
      <c r="E342" s="105"/>
      <c r="F342" s="105"/>
      <c r="G342" s="105"/>
      <c r="H342" s="105"/>
    </row>
    <row r="343">
      <c r="A343" s="105"/>
      <c r="B343" s="105"/>
      <c r="C343" s="97"/>
      <c r="D343" s="105"/>
      <c r="E343" s="105"/>
      <c r="F343" s="105"/>
      <c r="G343" s="105"/>
      <c r="H343" s="105"/>
    </row>
    <row r="344">
      <c r="A344" s="105"/>
      <c r="B344" s="105"/>
      <c r="C344" s="97"/>
      <c r="D344" s="105"/>
      <c r="E344" s="105"/>
      <c r="F344" s="105"/>
      <c r="G344" s="105"/>
      <c r="H344" s="105"/>
    </row>
    <row r="345">
      <c r="A345" s="105"/>
      <c r="B345" s="105"/>
      <c r="C345" s="97"/>
      <c r="D345" s="105"/>
      <c r="E345" s="105"/>
      <c r="F345" s="105"/>
      <c r="G345" s="105"/>
      <c r="H345" s="105"/>
    </row>
    <row r="346">
      <c r="A346" s="105"/>
      <c r="B346" s="105"/>
      <c r="C346" s="97"/>
      <c r="D346" s="105"/>
      <c r="E346" s="105"/>
      <c r="F346" s="105"/>
      <c r="G346" s="105"/>
      <c r="H346" s="105"/>
    </row>
    <row r="347">
      <c r="A347" s="105"/>
      <c r="B347" s="105"/>
      <c r="C347" s="97"/>
      <c r="D347" s="105"/>
      <c r="E347" s="105"/>
      <c r="F347" s="105"/>
      <c r="G347" s="105"/>
      <c r="H347" s="105"/>
    </row>
    <row r="348">
      <c r="A348" s="105"/>
      <c r="B348" s="105"/>
      <c r="C348" s="97"/>
      <c r="D348" s="105"/>
      <c r="E348" s="105"/>
      <c r="F348" s="105"/>
      <c r="G348" s="105"/>
      <c r="H348" s="105"/>
    </row>
    <row r="349">
      <c r="A349" s="105"/>
      <c r="B349" s="105"/>
      <c r="C349" s="97"/>
      <c r="D349" s="105"/>
      <c r="E349" s="105"/>
      <c r="F349" s="105"/>
      <c r="G349" s="105"/>
      <c r="H349" s="105"/>
    </row>
    <row r="350">
      <c r="A350" s="105"/>
      <c r="B350" s="105"/>
      <c r="C350" s="97"/>
      <c r="D350" s="105"/>
      <c r="E350" s="105"/>
      <c r="F350" s="105"/>
      <c r="G350" s="105"/>
      <c r="H350" s="105"/>
    </row>
    <row r="351">
      <c r="A351" s="105"/>
      <c r="B351" s="105"/>
      <c r="C351" s="97"/>
      <c r="D351" s="105"/>
      <c r="E351" s="105"/>
      <c r="F351" s="105"/>
      <c r="G351" s="105"/>
      <c r="H351" s="105"/>
    </row>
    <row r="352">
      <c r="A352" s="105"/>
      <c r="B352" s="105"/>
      <c r="C352" s="97"/>
      <c r="D352" s="105"/>
      <c r="E352" s="105"/>
      <c r="F352" s="105"/>
      <c r="G352" s="105"/>
      <c r="H352" s="105"/>
    </row>
    <row r="353">
      <c r="A353" s="105"/>
      <c r="B353" s="105"/>
      <c r="C353" s="97"/>
      <c r="D353" s="105"/>
      <c r="E353" s="105"/>
      <c r="F353" s="105"/>
      <c r="G353" s="105"/>
      <c r="H353" s="105"/>
    </row>
    <row r="354">
      <c r="A354" s="105"/>
      <c r="B354" s="105"/>
      <c r="C354" s="97"/>
      <c r="D354" s="105"/>
      <c r="E354" s="105"/>
      <c r="F354" s="105"/>
      <c r="G354" s="105"/>
      <c r="H354" s="105"/>
    </row>
    <row r="355">
      <c r="A355" s="105"/>
      <c r="B355" s="105"/>
      <c r="C355" s="97"/>
      <c r="D355" s="105"/>
      <c r="E355" s="105"/>
      <c r="F355" s="105"/>
      <c r="G355" s="105"/>
      <c r="H355" s="105"/>
    </row>
    <row r="356">
      <c r="A356" s="105"/>
      <c r="B356" s="105"/>
      <c r="C356" s="97"/>
      <c r="D356" s="105"/>
      <c r="E356" s="105"/>
      <c r="F356" s="105"/>
      <c r="G356" s="105"/>
      <c r="H356" s="105"/>
    </row>
    <row r="357">
      <c r="A357" s="105"/>
      <c r="B357" s="105"/>
      <c r="C357" s="97"/>
      <c r="D357" s="105"/>
      <c r="E357" s="105"/>
      <c r="F357" s="105"/>
      <c r="G357" s="105"/>
      <c r="H357" s="105"/>
    </row>
    <row r="358">
      <c r="A358" s="105"/>
      <c r="B358" s="105"/>
      <c r="C358" s="97"/>
      <c r="D358" s="105"/>
      <c r="E358" s="105"/>
      <c r="F358" s="105"/>
      <c r="G358" s="105"/>
      <c r="H358" s="105"/>
    </row>
    <row r="359">
      <c r="A359" s="105"/>
      <c r="B359" s="105"/>
      <c r="C359" s="97"/>
      <c r="D359" s="105"/>
      <c r="E359" s="105"/>
      <c r="F359" s="105"/>
      <c r="G359" s="105"/>
      <c r="H359" s="105"/>
    </row>
    <row r="360">
      <c r="A360" s="105"/>
      <c r="B360" s="105"/>
      <c r="C360" s="97"/>
      <c r="D360" s="105"/>
      <c r="E360" s="105"/>
      <c r="F360" s="105"/>
      <c r="G360" s="105"/>
      <c r="H360" s="105"/>
    </row>
    <row r="361">
      <c r="A361" s="105"/>
      <c r="B361" s="105"/>
      <c r="C361" s="97"/>
      <c r="D361" s="105"/>
      <c r="E361" s="105"/>
      <c r="F361" s="105"/>
      <c r="G361" s="105"/>
      <c r="H361" s="105"/>
    </row>
    <row r="362">
      <c r="A362" s="105"/>
      <c r="B362" s="105"/>
      <c r="C362" s="97"/>
      <c r="D362" s="105"/>
      <c r="E362" s="105"/>
      <c r="F362" s="105"/>
      <c r="G362" s="105"/>
      <c r="H362" s="105"/>
    </row>
    <row r="363">
      <c r="A363" s="105"/>
      <c r="B363" s="105"/>
      <c r="C363" s="97"/>
      <c r="D363" s="105"/>
      <c r="E363" s="105"/>
      <c r="F363" s="105"/>
      <c r="G363" s="105"/>
      <c r="H363" s="105"/>
    </row>
    <row r="364">
      <c r="A364" s="105"/>
      <c r="B364" s="105"/>
      <c r="C364" s="97"/>
      <c r="D364" s="105"/>
      <c r="E364" s="105"/>
      <c r="F364" s="105"/>
      <c r="G364" s="105"/>
      <c r="H364" s="105"/>
    </row>
    <row r="365">
      <c r="A365" s="105"/>
      <c r="B365" s="105"/>
      <c r="C365" s="97"/>
      <c r="D365" s="105"/>
      <c r="E365" s="105"/>
      <c r="F365" s="105"/>
      <c r="G365" s="105"/>
      <c r="H365" s="105"/>
    </row>
    <row r="366">
      <c r="A366" s="105"/>
      <c r="B366" s="105"/>
      <c r="C366" s="97"/>
      <c r="D366" s="105"/>
      <c r="E366" s="105"/>
      <c r="F366" s="105"/>
      <c r="G366" s="105"/>
      <c r="H366" s="105"/>
    </row>
    <row r="367">
      <c r="A367" s="105"/>
      <c r="B367" s="105"/>
      <c r="C367" s="97"/>
      <c r="D367" s="105"/>
      <c r="E367" s="105"/>
      <c r="F367" s="105"/>
      <c r="G367" s="105"/>
      <c r="H367" s="105"/>
    </row>
    <row r="368">
      <c r="A368" s="105"/>
      <c r="B368" s="105"/>
      <c r="C368" s="97"/>
      <c r="D368" s="105"/>
      <c r="E368" s="105"/>
      <c r="F368" s="105"/>
      <c r="G368" s="105"/>
      <c r="H368" s="105"/>
    </row>
    <row r="369">
      <c r="A369" s="105"/>
      <c r="B369" s="105"/>
      <c r="C369" s="97"/>
      <c r="D369" s="105"/>
      <c r="E369" s="105"/>
      <c r="F369" s="105"/>
      <c r="G369" s="105"/>
      <c r="H369" s="105"/>
    </row>
    <row r="370">
      <c r="A370" s="105"/>
      <c r="B370" s="105"/>
      <c r="C370" s="97"/>
      <c r="D370" s="105"/>
      <c r="E370" s="105"/>
      <c r="F370" s="105"/>
      <c r="G370" s="105"/>
      <c r="H370" s="105"/>
    </row>
    <row r="371">
      <c r="A371" s="105"/>
      <c r="B371" s="105"/>
      <c r="C371" s="97"/>
      <c r="D371" s="105"/>
      <c r="E371" s="105"/>
      <c r="F371" s="105"/>
      <c r="G371" s="105"/>
      <c r="H371" s="105"/>
    </row>
    <row r="372">
      <c r="A372" s="105"/>
      <c r="B372" s="105"/>
      <c r="C372" s="97"/>
      <c r="D372" s="105"/>
      <c r="E372" s="105"/>
      <c r="F372" s="105"/>
      <c r="G372" s="105"/>
      <c r="H372" s="105"/>
    </row>
    <row r="373">
      <c r="A373" s="105"/>
      <c r="B373" s="105"/>
      <c r="C373" s="97"/>
      <c r="D373" s="105"/>
      <c r="E373" s="105"/>
      <c r="F373" s="105"/>
      <c r="G373" s="105"/>
      <c r="H373" s="105"/>
    </row>
    <row r="374">
      <c r="A374" s="105"/>
      <c r="B374" s="105"/>
      <c r="C374" s="97"/>
      <c r="D374" s="105"/>
      <c r="E374" s="105"/>
      <c r="F374" s="105"/>
      <c r="G374" s="105"/>
      <c r="H374" s="105"/>
    </row>
    <row r="375">
      <c r="A375" s="105"/>
      <c r="B375" s="105"/>
      <c r="C375" s="97"/>
      <c r="D375" s="105"/>
      <c r="E375" s="105"/>
      <c r="F375" s="105"/>
      <c r="G375" s="105"/>
      <c r="H375" s="105"/>
    </row>
    <row r="376">
      <c r="A376" s="105"/>
      <c r="B376" s="105"/>
      <c r="C376" s="97"/>
      <c r="D376" s="105"/>
      <c r="E376" s="105"/>
      <c r="F376" s="105"/>
      <c r="G376" s="105"/>
      <c r="H376" s="105"/>
    </row>
    <row r="377">
      <c r="A377" s="105"/>
      <c r="B377" s="105"/>
      <c r="C377" s="97"/>
      <c r="D377" s="105"/>
      <c r="E377" s="105"/>
      <c r="F377" s="105"/>
      <c r="G377" s="105"/>
      <c r="H377" s="105"/>
    </row>
    <row r="378">
      <c r="A378" s="105"/>
      <c r="B378" s="105"/>
      <c r="C378" s="97"/>
      <c r="D378" s="105"/>
      <c r="E378" s="105"/>
      <c r="F378" s="105"/>
      <c r="G378" s="105"/>
      <c r="H378" s="105"/>
    </row>
    <row r="379">
      <c r="A379" s="105"/>
      <c r="B379" s="105"/>
      <c r="C379" s="97"/>
      <c r="D379" s="105"/>
      <c r="E379" s="105"/>
      <c r="F379" s="105"/>
      <c r="G379" s="105"/>
      <c r="H379" s="105"/>
    </row>
    <row r="380">
      <c r="A380" s="105"/>
      <c r="B380" s="105"/>
      <c r="C380" s="97"/>
      <c r="D380" s="105"/>
      <c r="E380" s="105"/>
      <c r="F380" s="105"/>
      <c r="G380" s="105"/>
      <c r="H380" s="105"/>
    </row>
    <row r="381">
      <c r="A381" s="105"/>
      <c r="B381" s="105"/>
      <c r="C381" s="97"/>
      <c r="D381" s="105"/>
      <c r="E381" s="105"/>
      <c r="F381" s="105"/>
      <c r="G381" s="105"/>
      <c r="H381" s="105"/>
    </row>
    <row r="382">
      <c r="A382" s="105"/>
      <c r="B382" s="105"/>
      <c r="C382" s="97"/>
      <c r="D382" s="105"/>
      <c r="E382" s="105"/>
      <c r="F382" s="105"/>
      <c r="G382" s="105"/>
      <c r="H382" s="105"/>
    </row>
    <row r="383">
      <c r="A383" s="105"/>
      <c r="B383" s="105"/>
      <c r="C383" s="97"/>
      <c r="D383" s="105"/>
      <c r="E383" s="105"/>
      <c r="F383" s="105"/>
      <c r="G383" s="105"/>
      <c r="H383" s="105"/>
    </row>
    <row r="384">
      <c r="A384" s="105"/>
      <c r="B384" s="105"/>
      <c r="C384" s="97"/>
      <c r="D384" s="105"/>
      <c r="E384" s="105"/>
      <c r="F384" s="105"/>
      <c r="G384" s="105"/>
      <c r="H384" s="105"/>
    </row>
    <row r="385">
      <c r="A385" s="105"/>
      <c r="B385" s="105"/>
      <c r="C385" s="97"/>
      <c r="D385" s="105"/>
      <c r="E385" s="105"/>
      <c r="F385" s="105"/>
      <c r="G385" s="105"/>
      <c r="H385" s="105"/>
    </row>
    <row r="386">
      <c r="A386" s="105"/>
      <c r="B386" s="105"/>
      <c r="C386" s="97"/>
      <c r="D386" s="105"/>
      <c r="E386" s="105"/>
      <c r="F386" s="105"/>
      <c r="G386" s="105"/>
      <c r="H386" s="105"/>
    </row>
    <row r="387">
      <c r="A387" s="105"/>
      <c r="B387" s="105"/>
      <c r="C387" s="97"/>
      <c r="D387" s="105"/>
      <c r="E387" s="105"/>
      <c r="F387" s="105"/>
      <c r="G387" s="105"/>
      <c r="H387" s="105"/>
    </row>
    <row r="388">
      <c r="A388" s="105"/>
      <c r="B388" s="105"/>
      <c r="C388" s="97"/>
      <c r="D388" s="105"/>
      <c r="E388" s="105"/>
      <c r="F388" s="105"/>
      <c r="G388" s="105"/>
      <c r="H388" s="105"/>
    </row>
    <row r="389">
      <c r="A389" s="105"/>
      <c r="B389" s="105"/>
      <c r="C389" s="97"/>
      <c r="D389" s="105"/>
      <c r="E389" s="105"/>
      <c r="F389" s="105"/>
      <c r="G389" s="105"/>
      <c r="H389" s="105"/>
    </row>
    <row r="390">
      <c r="A390" s="105"/>
      <c r="B390" s="105"/>
      <c r="C390" s="97"/>
      <c r="D390" s="105"/>
      <c r="E390" s="105"/>
      <c r="F390" s="105"/>
      <c r="G390" s="105"/>
      <c r="H390" s="105"/>
    </row>
    <row r="391">
      <c r="A391" s="105"/>
      <c r="B391" s="105"/>
      <c r="C391" s="97"/>
      <c r="D391" s="105"/>
      <c r="E391" s="105"/>
      <c r="F391" s="105"/>
      <c r="G391" s="105"/>
      <c r="H391" s="105"/>
    </row>
    <row r="392">
      <c r="A392" s="105"/>
      <c r="B392" s="105"/>
      <c r="C392" s="97"/>
      <c r="D392" s="105"/>
      <c r="E392" s="105"/>
      <c r="F392" s="105"/>
      <c r="G392" s="105"/>
      <c r="H392" s="105"/>
    </row>
    <row r="393">
      <c r="A393" s="105"/>
      <c r="B393" s="105"/>
      <c r="C393" s="97"/>
      <c r="D393" s="105"/>
      <c r="E393" s="105"/>
      <c r="F393" s="105"/>
      <c r="G393" s="105"/>
      <c r="H393" s="105"/>
    </row>
    <row r="394">
      <c r="A394" s="105"/>
      <c r="B394" s="105"/>
      <c r="C394" s="97"/>
      <c r="D394" s="105"/>
      <c r="E394" s="105"/>
      <c r="F394" s="105"/>
      <c r="G394" s="105"/>
      <c r="H394" s="105"/>
    </row>
    <row r="395">
      <c r="A395" s="105"/>
      <c r="B395" s="105"/>
      <c r="C395" s="97"/>
      <c r="D395" s="105"/>
      <c r="E395" s="105"/>
      <c r="F395" s="105"/>
      <c r="G395" s="105"/>
      <c r="H395" s="105"/>
    </row>
    <row r="396">
      <c r="A396" s="105"/>
      <c r="B396" s="105"/>
      <c r="C396" s="97"/>
      <c r="D396" s="105"/>
      <c r="E396" s="105"/>
      <c r="F396" s="105"/>
      <c r="G396" s="105"/>
      <c r="H396" s="105"/>
    </row>
    <row r="397">
      <c r="A397" s="105"/>
      <c r="B397" s="105"/>
      <c r="C397" s="97"/>
      <c r="D397" s="105"/>
      <c r="E397" s="105"/>
      <c r="F397" s="105"/>
      <c r="G397" s="105"/>
      <c r="H397" s="105"/>
    </row>
    <row r="398">
      <c r="A398" s="105"/>
      <c r="B398" s="105"/>
      <c r="C398" s="97"/>
      <c r="D398" s="105"/>
      <c r="E398" s="105"/>
      <c r="F398" s="105"/>
      <c r="G398" s="105"/>
      <c r="H398" s="105"/>
    </row>
    <row r="399">
      <c r="A399" s="105"/>
      <c r="B399" s="105"/>
      <c r="C399" s="97"/>
      <c r="D399" s="105"/>
      <c r="E399" s="105"/>
      <c r="F399" s="105"/>
      <c r="G399" s="105"/>
      <c r="H399" s="105"/>
    </row>
    <row r="400">
      <c r="A400" s="105"/>
      <c r="B400" s="105"/>
      <c r="C400" s="97"/>
      <c r="D400" s="105"/>
      <c r="E400" s="105"/>
      <c r="F400" s="105"/>
      <c r="G400" s="105"/>
      <c r="H400" s="105"/>
    </row>
    <row r="401">
      <c r="A401" s="105"/>
      <c r="B401" s="105"/>
      <c r="C401" s="97"/>
      <c r="D401" s="105"/>
      <c r="E401" s="105"/>
      <c r="F401" s="105"/>
      <c r="G401" s="105"/>
      <c r="H401" s="105"/>
    </row>
    <row r="402">
      <c r="A402" s="105"/>
      <c r="B402" s="105"/>
      <c r="C402" s="97"/>
      <c r="D402" s="105"/>
      <c r="E402" s="105"/>
      <c r="F402" s="105"/>
      <c r="G402" s="105"/>
      <c r="H402" s="105"/>
    </row>
    <row r="403">
      <c r="A403" s="105"/>
      <c r="B403" s="105"/>
      <c r="C403" s="97"/>
      <c r="D403" s="105"/>
      <c r="E403" s="105"/>
      <c r="F403" s="105"/>
      <c r="G403" s="105"/>
      <c r="H403" s="105"/>
    </row>
    <row r="404">
      <c r="A404" s="105"/>
      <c r="B404" s="105"/>
      <c r="C404" s="97"/>
      <c r="D404" s="105"/>
      <c r="E404" s="105"/>
      <c r="F404" s="105"/>
      <c r="G404" s="105"/>
      <c r="H404" s="105"/>
    </row>
    <row r="405">
      <c r="A405" s="105"/>
      <c r="B405" s="105"/>
      <c r="C405" s="97"/>
      <c r="D405" s="105"/>
      <c r="E405" s="105"/>
      <c r="F405" s="105"/>
      <c r="G405" s="105"/>
      <c r="H405" s="105"/>
    </row>
    <row r="406">
      <c r="A406" s="105"/>
      <c r="B406" s="105"/>
      <c r="C406" s="97"/>
      <c r="D406" s="105"/>
      <c r="E406" s="105"/>
      <c r="F406" s="105"/>
      <c r="G406" s="105"/>
      <c r="H406" s="105"/>
    </row>
    <row r="407">
      <c r="A407" s="105"/>
      <c r="B407" s="105"/>
      <c r="C407" s="97"/>
      <c r="D407" s="105"/>
      <c r="E407" s="105"/>
      <c r="F407" s="105"/>
      <c r="G407" s="105"/>
      <c r="H407" s="105"/>
    </row>
    <row r="408">
      <c r="A408" s="105"/>
      <c r="B408" s="105"/>
      <c r="C408" s="97"/>
      <c r="D408" s="105"/>
      <c r="E408" s="105"/>
      <c r="F408" s="105"/>
      <c r="G408" s="105"/>
      <c r="H408" s="105"/>
    </row>
    <row r="409">
      <c r="A409" s="105"/>
      <c r="B409" s="105"/>
      <c r="C409" s="97"/>
      <c r="D409" s="105"/>
      <c r="E409" s="105"/>
      <c r="F409" s="105"/>
      <c r="G409" s="105"/>
      <c r="H409" s="105"/>
    </row>
    <row r="410">
      <c r="A410" s="105"/>
      <c r="B410" s="105"/>
      <c r="C410" s="97"/>
      <c r="D410" s="105"/>
      <c r="E410" s="105"/>
      <c r="F410" s="105"/>
      <c r="G410" s="105"/>
      <c r="H410" s="105"/>
    </row>
    <row r="411">
      <c r="A411" s="105"/>
      <c r="B411" s="105"/>
      <c r="C411" s="97"/>
      <c r="D411" s="105"/>
      <c r="E411" s="105"/>
      <c r="F411" s="105"/>
      <c r="G411" s="105"/>
      <c r="H411" s="105"/>
    </row>
    <row r="412">
      <c r="A412" s="105"/>
      <c r="B412" s="105"/>
      <c r="C412" s="97"/>
      <c r="D412" s="105"/>
      <c r="E412" s="105"/>
      <c r="F412" s="105"/>
      <c r="G412" s="105"/>
      <c r="H412" s="105"/>
    </row>
    <row r="413">
      <c r="A413" s="105"/>
      <c r="B413" s="105"/>
      <c r="C413" s="97"/>
      <c r="D413" s="105"/>
      <c r="E413" s="105"/>
      <c r="F413" s="105"/>
      <c r="G413" s="105"/>
      <c r="H413" s="105"/>
    </row>
    <row r="414">
      <c r="A414" s="105"/>
      <c r="B414" s="105"/>
      <c r="C414" s="97"/>
      <c r="D414" s="105"/>
      <c r="E414" s="105"/>
      <c r="F414" s="105"/>
      <c r="G414" s="105"/>
      <c r="H414" s="105"/>
    </row>
    <row r="415">
      <c r="A415" s="105"/>
      <c r="B415" s="105"/>
      <c r="C415" s="97"/>
      <c r="D415" s="105"/>
      <c r="E415" s="105"/>
      <c r="F415" s="105"/>
      <c r="G415" s="105"/>
      <c r="H415" s="105"/>
    </row>
    <row r="416">
      <c r="A416" s="105"/>
      <c r="B416" s="105"/>
      <c r="C416" s="97"/>
      <c r="D416" s="105"/>
      <c r="E416" s="105"/>
      <c r="F416" s="105"/>
      <c r="G416" s="105"/>
      <c r="H416" s="105"/>
    </row>
    <row r="417">
      <c r="A417" s="105"/>
      <c r="B417" s="105"/>
      <c r="C417" s="97"/>
      <c r="D417" s="105"/>
      <c r="E417" s="105"/>
      <c r="F417" s="105"/>
      <c r="G417" s="105"/>
      <c r="H417" s="105"/>
    </row>
    <row r="418">
      <c r="A418" s="105"/>
      <c r="B418" s="105"/>
      <c r="C418" s="97"/>
      <c r="D418" s="105"/>
      <c r="E418" s="105"/>
      <c r="F418" s="105"/>
      <c r="G418" s="105"/>
      <c r="H418" s="105"/>
    </row>
    <row r="419">
      <c r="A419" s="105"/>
      <c r="B419" s="105"/>
      <c r="C419" s="97"/>
      <c r="D419" s="105"/>
      <c r="E419" s="105"/>
      <c r="F419" s="105"/>
      <c r="G419" s="105"/>
      <c r="H419" s="105"/>
    </row>
    <row r="420">
      <c r="A420" s="105"/>
      <c r="B420" s="105"/>
      <c r="C420" s="97"/>
      <c r="D420" s="105"/>
      <c r="E420" s="105"/>
      <c r="F420" s="105"/>
      <c r="G420" s="105"/>
      <c r="H420" s="105"/>
    </row>
    <row r="421">
      <c r="A421" s="105"/>
      <c r="B421" s="105"/>
      <c r="C421" s="97"/>
      <c r="D421" s="105"/>
      <c r="E421" s="105"/>
      <c r="F421" s="105"/>
      <c r="G421" s="105"/>
      <c r="H421" s="105"/>
    </row>
    <row r="422">
      <c r="A422" s="105"/>
      <c r="B422" s="105"/>
      <c r="C422" s="97"/>
      <c r="D422" s="105"/>
      <c r="E422" s="105"/>
      <c r="F422" s="105"/>
      <c r="G422" s="105"/>
      <c r="H422" s="105"/>
    </row>
    <row r="423">
      <c r="A423" s="105"/>
      <c r="B423" s="105"/>
      <c r="C423" s="97"/>
      <c r="D423" s="105"/>
      <c r="E423" s="105"/>
      <c r="F423" s="105"/>
      <c r="G423" s="105"/>
      <c r="H423" s="105"/>
    </row>
    <row r="424">
      <c r="A424" s="105"/>
      <c r="B424" s="105"/>
      <c r="C424" s="97"/>
      <c r="D424" s="105"/>
      <c r="E424" s="105"/>
      <c r="F424" s="105"/>
      <c r="G424" s="105"/>
      <c r="H424" s="105"/>
    </row>
    <row r="425">
      <c r="A425" s="105"/>
      <c r="B425" s="105"/>
      <c r="C425" s="97"/>
      <c r="D425" s="105"/>
      <c r="E425" s="105"/>
      <c r="F425" s="105"/>
      <c r="G425" s="105"/>
      <c r="H425" s="105"/>
    </row>
    <row r="426">
      <c r="A426" s="105"/>
      <c r="B426" s="105"/>
      <c r="C426" s="97"/>
      <c r="D426" s="105"/>
      <c r="E426" s="105"/>
      <c r="F426" s="105"/>
      <c r="G426" s="105"/>
      <c r="H426" s="105"/>
    </row>
    <row r="427">
      <c r="A427" s="105"/>
      <c r="B427" s="105"/>
      <c r="C427" s="97"/>
      <c r="D427" s="105"/>
      <c r="E427" s="105"/>
      <c r="F427" s="105"/>
      <c r="G427" s="105"/>
      <c r="H427" s="105"/>
    </row>
    <row r="428">
      <c r="A428" s="105"/>
      <c r="B428" s="105"/>
      <c r="C428" s="97"/>
      <c r="D428" s="105"/>
      <c r="E428" s="105"/>
      <c r="F428" s="105"/>
      <c r="G428" s="105"/>
      <c r="H428" s="105"/>
    </row>
    <row r="429">
      <c r="A429" s="105"/>
      <c r="B429" s="105"/>
      <c r="C429" s="97"/>
      <c r="D429" s="105"/>
      <c r="E429" s="105"/>
      <c r="F429" s="105"/>
      <c r="G429" s="105"/>
      <c r="H429" s="105"/>
    </row>
    <row r="430">
      <c r="A430" s="105"/>
      <c r="B430" s="105"/>
      <c r="C430" s="97"/>
      <c r="D430" s="105"/>
      <c r="E430" s="105"/>
      <c r="F430" s="105"/>
      <c r="G430" s="105"/>
      <c r="H430" s="105"/>
    </row>
    <row r="431">
      <c r="A431" s="105"/>
      <c r="B431" s="105"/>
      <c r="C431" s="97"/>
      <c r="D431" s="105"/>
      <c r="E431" s="105"/>
      <c r="F431" s="105"/>
      <c r="G431" s="105"/>
      <c r="H431" s="105"/>
    </row>
    <row r="432">
      <c r="A432" s="105"/>
      <c r="B432" s="105"/>
      <c r="C432" s="97"/>
      <c r="D432" s="105"/>
      <c r="E432" s="105"/>
      <c r="F432" s="105"/>
      <c r="G432" s="105"/>
      <c r="H432" s="105"/>
    </row>
    <row r="433">
      <c r="A433" s="105"/>
      <c r="B433" s="105"/>
      <c r="C433" s="97"/>
      <c r="D433" s="105"/>
      <c r="E433" s="105"/>
      <c r="F433" s="105"/>
      <c r="G433" s="105"/>
      <c r="H433" s="105"/>
    </row>
    <row r="434">
      <c r="A434" s="105"/>
      <c r="B434" s="105"/>
      <c r="C434" s="97"/>
      <c r="D434" s="105"/>
      <c r="E434" s="105"/>
      <c r="F434" s="105"/>
      <c r="G434" s="105"/>
      <c r="H434" s="105"/>
    </row>
    <row r="435">
      <c r="A435" s="105"/>
      <c r="B435" s="105"/>
      <c r="C435" s="97"/>
      <c r="D435" s="105"/>
      <c r="E435" s="105"/>
      <c r="F435" s="105"/>
      <c r="G435" s="105"/>
      <c r="H435" s="105"/>
    </row>
    <row r="436">
      <c r="A436" s="105"/>
      <c r="B436" s="105"/>
      <c r="C436" s="97"/>
      <c r="D436" s="105"/>
      <c r="E436" s="105"/>
      <c r="F436" s="105"/>
      <c r="G436" s="105"/>
      <c r="H436" s="105"/>
    </row>
    <row r="437">
      <c r="A437" s="105"/>
      <c r="B437" s="105"/>
      <c r="C437" s="97"/>
      <c r="D437" s="105"/>
      <c r="E437" s="105"/>
      <c r="F437" s="105"/>
      <c r="G437" s="105"/>
      <c r="H437" s="105"/>
    </row>
    <row r="438">
      <c r="A438" s="105"/>
      <c r="B438" s="105"/>
      <c r="C438" s="97"/>
      <c r="D438" s="105"/>
      <c r="E438" s="105"/>
      <c r="F438" s="105"/>
      <c r="G438" s="105"/>
      <c r="H438" s="105"/>
    </row>
    <row r="439">
      <c r="A439" s="105"/>
      <c r="B439" s="105"/>
      <c r="C439" s="97"/>
      <c r="D439" s="105"/>
      <c r="E439" s="105"/>
      <c r="F439" s="105"/>
      <c r="G439" s="105"/>
      <c r="H439" s="105"/>
    </row>
    <row r="440">
      <c r="A440" s="105"/>
      <c r="B440" s="105"/>
      <c r="C440" s="97"/>
      <c r="D440" s="105"/>
      <c r="E440" s="105"/>
      <c r="F440" s="105"/>
      <c r="G440" s="105"/>
      <c r="H440" s="105"/>
    </row>
    <row r="441">
      <c r="A441" s="105"/>
      <c r="B441" s="105"/>
      <c r="C441" s="97"/>
      <c r="D441" s="105"/>
      <c r="E441" s="105"/>
      <c r="F441" s="105"/>
      <c r="G441" s="105"/>
      <c r="H441" s="105"/>
    </row>
    <row r="442">
      <c r="A442" s="105"/>
      <c r="B442" s="105"/>
      <c r="C442" s="97"/>
      <c r="D442" s="105"/>
      <c r="E442" s="105"/>
      <c r="F442" s="105"/>
      <c r="G442" s="105"/>
      <c r="H442" s="105"/>
    </row>
    <row r="443">
      <c r="A443" s="105"/>
      <c r="B443" s="105"/>
      <c r="C443" s="97"/>
      <c r="D443" s="105"/>
      <c r="E443" s="105"/>
      <c r="F443" s="105"/>
      <c r="G443" s="105"/>
      <c r="H443" s="105"/>
    </row>
    <row r="444">
      <c r="A444" s="105"/>
      <c r="B444" s="105"/>
      <c r="C444" s="97"/>
      <c r="D444" s="105"/>
      <c r="E444" s="105"/>
      <c r="F444" s="105"/>
      <c r="G444" s="105"/>
      <c r="H444" s="105"/>
    </row>
    <row r="445">
      <c r="A445" s="105"/>
      <c r="B445" s="105"/>
      <c r="C445" s="97"/>
      <c r="D445" s="105"/>
      <c r="E445" s="105"/>
      <c r="F445" s="105"/>
      <c r="G445" s="105"/>
      <c r="H445" s="105"/>
    </row>
    <row r="446">
      <c r="A446" s="105"/>
      <c r="B446" s="105"/>
      <c r="C446" s="97"/>
      <c r="D446" s="105"/>
      <c r="E446" s="105"/>
      <c r="F446" s="105"/>
      <c r="G446" s="105"/>
      <c r="H446" s="105"/>
    </row>
    <row r="447">
      <c r="A447" s="105"/>
      <c r="B447" s="105"/>
      <c r="C447" s="97"/>
      <c r="D447" s="105"/>
      <c r="E447" s="105"/>
      <c r="F447" s="105"/>
      <c r="G447" s="105"/>
      <c r="H447" s="105"/>
    </row>
    <row r="448">
      <c r="A448" s="105"/>
      <c r="B448" s="105"/>
      <c r="C448" s="97"/>
      <c r="D448" s="105"/>
      <c r="E448" s="105"/>
      <c r="F448" s="105"/>
      <c r="G448" s="105"/>
      <c r="H448" s="105"/>
    </row>
    <row r="449">
      <c r="A449" s="105"/>
      <c r="B449" s="105"/>
      <c r="C449" s="97"/>
      <c r="D449" s="105"/>
      <c r="E449" s="105"/>
      <c r="F449" s="105"/>
      <c r="G449" s="105"/>
      <c r="H449" s="105"/>
    </row>
    <row r="450">
      <c r="A450" s="105"/>
      <c r="B450" s="105"/>
      <c r="C450" s="97"/>
      <c r="D450" s="105"/>
      <c r="E450" s="105"/>
      <c r="F450" s="105"/>
      <c r="G450" s="105"/>
      <c r="H450" s="105"/>
    </row>
    <row r="451">
      <c r="A451" s="105"/>
      <c r="B451" s="105"/>
      <c r="C451" s="97"/>
      <c r="D451" s="105"/>
      <c r="E451" s="105"/>
      <c r="F451" s="105"/>
      <c r="G451" s="105"/>
      <c r="H451" s="105"/>
    </row>
    <row r="452">
      <c r="A452" s="105"/>
      <c r="B452" s="105"/>
      <c r="C452" s="97"/>
      <c r="D452" s="105"/>
      <c r="E452" s="105"/>
      <c r="F452" s="105"/>
      <c r="G452" s="105"/>
      <c r="H452" s="105"/>
    </row>
    <row r="453">
      <c r="A453" s="105"/>
      <c r="B453" s="105"/>
      <c r="C453" s="97"/>
      <c r="D453" s="105"/>
      <c r="E453" s="105"/>
      <c r="F453" s="105"/>
      <c r="G453" s="105"/>
      <c r="H453" s="105"/>
    </row>
    <row r="454">
      <c r="A454" s="105"/>
      <c r="B454" s="105"/>
      <c r="C454" s="97"/>
      <c r="D454" s="105"/>
      <c r="E454" s="105"/>
      <c r="F454" s="105"/>
      <c r="G454" s="105"/>
      <c r="H454" s="105"/>
    </row>
    <row r="455">
      <c r="A455" s="105"/>
      <c r="B455" s="105"/>
      <c r="C455" s="97"/>
      <c r="D455" s="105"/>
      <c r="E455" s="105"/>
      <c r="F455" s="105"/>
      <c r="G455" s="105"/>
      <c r="H455" s="105"/>
    </row>
    <row r="456">
      <c r="A456" s="105"/>
      <c r="B456" s="105"/>
      <c r="C456" s="97"/>
      <c r="D456" s="105"/>
      <c r="E456" s="105"/>
      <c r="F456" s="105"/>
      <c r="G456" s="105"/>
      <c r="H456" s="105"/>
    </row>
    <row r="457">
      <c r="A457" s="105"/>
      <c r="B457" s="105"/>
      <c r="C457" s="97"/>
      <c r="D457" s="105"/>
      <c r="E457" s="105"/>
      <c r="F457" s="105"/>
      <c r="G457" s="105"/>
      <c r="H457" s="105"/>
    </row>
    <row r="458">
      <c r="A458" s="105"/>
      <c r="B458" s="105"/>
      <c r="C458" s="97"/>
      <c r="D458" s="105"/>
      <c r="E458" s="105"/>
      <c r="F458" s="105"/>
      <c r="G458" s="105"/>
      <c r="H458" s="105"/>
    </row>
    <row r="459">
      <c r="A459" s="105"/>
      <c r="B459" s="105"/>
      <c r="C459" s="97"/>
      <c r="D459" s="105"/>
      <c r="E459" s="105"/>
      <c r="F459" s="105"/>
      <c r="G459" s="105"/>
      <c r="H459" s="105"/>
    </row>
    <row r="460">
      <c r="A460" s="105"/>
      <c r="B460" s="105"/>
      <c r="C460" s="97"/>
      <c r="D460" s="105"/>
      <c r="E460" s="105"/>
      <c r="F460" s="105"/>
      <c r="G460" s="105"/>
      <c r="H460" s="105"/>
    </row>
    <row r="461">
      <c r="A461" s="105"/>
      <c r="B461" s="105"/>
      <c r="C461" s="97"/>
      <c r="D461" s="105"/>
      <c r="E461" s="105"/>
      <c r="F461" s="105"/>
      <c r="G461" s="105"/>
      <c r="H461" s="105"/>
    </row>
    <row r="462">
      <c r="A462" s="105"/>
      <c r="B462" s="105"/>
      <c r="C462" s="97"/>
      <c r="D462" s="105"/>
      <c r="E462" s="105"/>
      <c r="F462" s="105"/>
      <c r="G462" s="105"/>
      <c r="H462" s="105"/>
    </row>
    <row r="463">
      <c r="A463" s="105"/>
      <c r="B463" s="105"/>
      <c r="C463" s="97"/>
      <c r="D463" s="105"/>
      <c r="E463" s="105"/>
      <c r="F463" s="105"/>
      <c r="G463" s="105"/>
      <c r="H463" s="105"/>
    </row>
    <row r="464">
      <c r="A464" s="105"/>
      <c r="B464" s="105"/>
      <c r="C464" s="97"/>
      <c r="D464" s="105"/>
      <c r="E464" s="105"/>
      <c r="F464" s="105"/>
      <c r="G464" s="105"/>
      <c r="H464" s="105"/>
    </row>
    <row r="465">
      <c r="A465" s="105"/>
      <c r="B465" s="105"/>
      <c r="C465" s="97"/>
      <c r="D465" s="105"/>
      <c r="E465" s="105"/>
      <c r="F465" s="105"/>
      <c r="G465" s="105"/>
      <c r="H465" s="105"/>
    </row>
    <row r="466">
      <c r="A466" s="105"/>
      <c r="B466" s="105"/>
      <c r="C466" s="97"/>
      <c r="D466" s="105"/>
      <c r="E466" s="105"/>
      <c r="F466" s="105"/>
      <c r="G466" s="105"/>
      <c r="H466" s="105"/>
    </row>
    <row r="467">
      <c r="A467" s="105"/>
      <c r="B467" s="105"/>
      <c r="C467" s="97"/>
      <c r="D467" s="105"/>
      <c r="E467" s="105"/>
      <c r="F467" s="105"/>
      <c r="G467" s="105"/>
      <c r="H467" s="105"/>
    </row>
    <row r="468">
      <c r="A468" s="105"/>
      <c r="B468" s="105"/>
      <c r="C468" s="97"/>
      <c r="D468" s="105"/>
      <c r="E468" s="105"/>
      <c r="F468" s="105"/>
      <c r="G468" s="105"/>
      <c r="H468" s="105"/>
    </row>
    <row r="469">
      <c r="A469" s="105"/>
      <c r="B469" s="105"/>
      <c r="C469" s="97"/>
      <c r="D469" s="105"/>
      <c r="E469" s="105"/>
      <c r="F469" s="105"/>
      <c r="G469" s="105"/>
      <c r="H469" s="105"/>
    </row>
    <row r="470">
      <c r="A470" s="105"/>
      <c r="B470" s="105"/>
      <c r="C470" s="97"/>
      <c r="D470" s="105"/>
      <c r="E470" s="105"/>
      <c r="F470" s="105"/>
      <c r="G470" s="105"/>
      <c r="H470" s="105"/>
    </row>
    <row r="471">
      <c r="A471" s="105"/>
      <c r="B471" s="105"/>
      <c r="C471" s="97"/>
      <c r="D471" s="105"/>
      <c r="E471" s="105"/>
      <c r="F471" s="105"/>
      <c r="G471" s="105"/>
      <c r="H471" s="105"/>
    </row>
    <row r="472">
      <c r="A472" s="105"/>
      <c r="B472" s="105"/>
      <c r="C472" s="97"/>
      <c r="D472" s="105"/>
      <c r="E472" s="105"/>
      <c r="F472" s="105"/>
      <c r="G472" s="105"/>
      <c r="H472" s="105"/>
    </row>
    <row r="473">
      <c r="A473" s="105"/>
      <c r="B473" s="105"/>
      <c r="C473" s="97"/>
      <c r="D473" s="105"/>
      <c r="E473" s="105"/>
      <c r="F473" s="105"/>
      <c r="G473" s="105"/>
      <c r="H473" s="105"/>
    </row>
    <row r="474">
      <c r="A474" s="105"/>
      <c r="B474" s="105"/>
      <c r="C474" s="97"/>
      <c r="D474" s="105"/>
      <c r="E474" s="105"/>
      <c r="F474" s="105"/>
      <c r="G474" s="105"/>
      <c r="H474" s="105"/>
    </row>
    <row r="475">
      <c r="A475" s="105"/>
      <c r="B475" s="105"/>
      <c r="C475" s="97"/>
      <c r="D475" s="105"/>
      <c r="E475" s="105"/>
      <c r="F475" s="105"/>
      <c r="G475" s="105"/>
      <c r="H475" s="105"/>
    </row>
    <row r="476">
      <c r="A476" s="105"/>
      <c r="B476" s="105"/>
      <c r="C476" s="97"/>
      <c r="D476" s="105"/>
      <c r="E476" s="105"/>
      <c r="F476" s="105"/>
      <c r="G476" s="105"/>
      <c r="H476" s="105"/>
    </row>
    <row r="477">
      <c r="A477" s="105"/>
      <c r="B477" s="105"/>
      <c r="C477" s="97"/>
      <c r="D477" s="105"/>
      <c r="E477" s="105"/>
      <c r="F477" s="105"/>
      <c r="G477" s="105"/>
      <c r="H477" s="105"/>
    </row>
    <row r="478">
      <c r="A478" s="105"/>
      <c r="B478" s="105"/>
      <c r="C478" s="97"/>
      <c r="D478" s="105"/>
      <c r="E478" s="105"/>
      <c r="F478" s="105"/>
      <c r="G478" s="105"/>
      <c r="H478" s="105"/>
    </row>
    <row r="479">
      <c r="A479" s="105"/>
      <c r="B479" s="105"/>
      <c r="C479" s="97"/>
      <c r="D479" s="105"/>
      <c r="E479" s="105"/>
      <c r="F479" s="105"/>
      <c r="G479" s="105"/>
      <c r="H479" s="105"/>
    </row>
    <row r="480">
      <c r="A480" s="105"/>
      <c r="B480" s="105"/>
      <c r="C480" s="97"/>
      <c r="D480" s="105"/>
      <c r="E480" s="105"/>
      <c r="F480" s="105"/>
      <c r="G480" s="105"/>
      <c r="H480" s="105"/>
    </row>
    <row r="481">
      <c r="A481" s="105"/>
      <c r="B481" s="105"/>
      <c r="C481" s="97"/>
      <c r="D481" s="105"/>
      <c r="E481" s="105"/>
      <c r="F481" s="105"/>
      <c r="G481" s="105"/>
      <c r="H481" s="105"/>
    </row>
    <row r="482">
      <c r="A482" s="105"/>
      <c r="B482" s="105"/>
      <c r="C482" s="97"/>
      <c r="D482" s="105"/>
      <c r="E482" s="105"/>
      <c r="F482" s="105"/>
      <c r="G482" s="105"/>
      <c r="H482" s="105"/>
    </row>
    <row r="483">
      <c r="A483" s="105"/>
      <c r="B483" s="105"/>
      <c r="C483" s="97"/>
      <c r="D483" s="105"/>
      <c r="E483" s="105"/>
      <c r="F483" s="105"/>
      <c r="G483" s="105"/>
      <c r="H483" s="105"/>
    </row>
    <row r="484">
      <c r="A484" s="105"/>
      <c r="B484" s="105"/>
      <c r="C484" s="97"/>
      <c r="D484" s="105"/>
      <c r="E484" s="105"/>
      <c r="F484" s="105"/>
      <c r="G484" s="105"/>
      <c r="H484" s="105"/>
    </row>
    <row r="485">
      <c r="A485" s="105"/>
      <c r="B485" s="105"/>
      <c r="C485" s="97"/>
      <c r="D485" s="105"/>
      <c r="E485" s="105"/>
      <c r="F485" s="105"/>
      <c r="G485" s="105"/>
      <c r="H485" s="105"/>
    </row>
    <row r="486">
      <c r="A486" s="105"/>
      <c r="B486" s="105"/>
      <c r="C486" s="97"/>
      <c r="D486" s="105"/>
      <c r="E486" s="105"/>
      <c r="F486" s="105"/>
      <c r="G486" s="105"/>
      <c r="H486" s="105"/>
    </row>
    <row r="487">
      <c r="A487" s="105"/>
      <c r="B487" s="105"/>
      <c r="C487" s="97"/>
      <c r="D487" s="105"/>
      <c r="E487" s="105"/>
      <c r="F487" s="105"/>
      <c r="G487" s="105"/>
      <c r="H487" s="105"/>
    </row>
    <row r="488">
      <c r="A488" s="105"/>
      <c r="B488" s="105"/>
      <c r="C488" s="97"/>
      <c r="D488" s="105"/>
      <c r="E488" s="105"/>
      <c r="F488" s="105"/>
      <c r="G488" s="105"/>
      <c r="H488" s="105"/>
    </row>
    <row r="489">
      <c r="A489" s="105"/>
      <c r="B489" s="105"/>
      <c r="C489" s="97"/>
      <c r="D489" s="105"/>
      <c r="E489" s="105"/>
      <c r="F489" s="105"/>
      <c r="G489" s="105"/>
      <c r="H489" s="105"/>
    </row>
    <row r="490">
      <c r="A490" s="105"/>
      <c r="B490" s="105"/>
      <c r="C490" s="97"/>
      <c r="D490" s="105"/>
      <c r="E490" s="105"/>
      <c r="F490" s="105"/>
      <c r="G490" s="105"/>
      <c r="H490" s="105"/>
    </row>
    <row r="491">
      <c r="A491" s="105"/>
      <c r="B491" s="105"/>
      <c r="C491" s="97"/>
      <c r="D491" s="105"/>
      <c r="E491" s="105"/>
      <c r="F491" s="105"/>
      <c r="G491" s="105"/>
      <c r="H491" s="105"/>
    </row>
    <row r="492">
      <c r="A492" s="105"/>
      <c r="B492" s="105"/>
      <c r="C492" s="97"/>
      <c r="D492" s="105"/>
      <c r="E492" s="105"/>
      <c r="F492" s="105"/>
      <c r="G492" s="105"/>
      <c r="H492" s="105"/>
    </row>
    <row r="493">
      <c r="A493" s="105"/>
      <c r="B493" s="105"/>
      <c r="C493" s="97"/>
      <c r="D493" s="105"/>
      <c r="E493" s="105"/>
      <c r="F493" s="105"/>
      <c r="G493" s="105"/>
      <c r="H493" s="105"/>
    </row>
    <row r="494">
      <c r="A494" s="105"/>
      <c r="B494" s="105"/>
      <c r="C494" s="97"/>
      <c r="D494" s="105"/>
      <c r="E494" s="105"/>
      <c r="F494" s="105"/>
      <c r="G494" s="105"/>
      <c r="H494" s="105"/>
    </row>
    <row r="495">
      <c r="A495" s="105"/>
      <c r="B495" s="105"/>
      <c r="C495" s="97"/>
      <c r="D495" s="105"/>
      <c r="E495" s="105"/>
      <c r="F495" s="105"/>
      <c r="G495" s="105"/>
      <c r="H495" s="105"/>
    </row>
    <row r="496">
      <c r="A496" s="105"/>
      <c r="B496" s="105"/>
      <c r="C496" s="97"/>
      <c r="D496" s="105"/>
      <c r="E496" s="105"/>
      <c r="F496" s="105"/>
      <c r="G496" s="105"/>
      <c r="H496" s="105"/>
    </row>
    <row r="497">
      <c r="A497" s="105"/>
      <c r="B497" s="105"/>
      <c r="C497" s="97"/>
      <c r="D497" s="105"/>
      <c r="E497" s="105"/>
      <c r="F497" s="105"/>
      <c r="G497" s="105"/>
      <c r="H497" s="105"/>
    </row>
    <row r="498">
      <c r="A498" s="105"/>
      <c r="B498" s="105"/>
      <c r="C498" s="97"/>
      <c r="D498" s="105"/>
      <c r="E498" s="105"/>
      <c r="F498" s="105"/>
      <c r="G498" s="105"/>
      <c r="H498" s="105"/>
    </row>
    <row r="499">
      <c r="A499" s="105"/>
      <c r="B499" s="105"/>
      <c r="C499" s="97"/>
      <c r="D499" s="105"/>
      <c r="E499" s="105"/>
      <c r="F499" s="105"/>
      <c r="G499" s="105"/>
      <c r="H499" s="105"/>
    </row>
    <row r="500">
      <c r="A500" s="105"/>
      <c r="B500" s="105"/>
      <c r="C500" s="97"/>
      <c r="D500" s="105"/>
      <c r="E500" s="105"/>
      <c r="F500" s="105"/>
      <c r="G500" s="105"/>
      <c r="H500" s="105"/>
    </row>
    <row r="501">
      <c r="A501" s="105"/>
      <c r="B501" s="105"/>
      <c r="C501" s="97"/>
      <c r="D501" s="105"/>
      <c r="E501" s="105"/>
      <c r="F501" s="105"/>
      <c r="G501" s="105"/>
      <c r="H501" s="105"/>
    </row>
    <row r="502">
      <c r="A502" s="105"/>
      <c r="B502" s="105"/>
      <c r="C502" s="97"/>
      <c r="D502" s="105"/>
      <c r="E502" s="105"/>
      <c r="F502" s="105"/>
      <c r="G502" s="105"/>
      <c r="H502" s="105"/>
    </row>
    <row r="503">
      <c r="A503" s="105"/>
      <c r="B503" s="105"/>
      <c r="C503" s="97"/>
      <c r="D503" s="105"/>
      <c r="E503" s="105"/>
      <c r="F503" s="105"/>
      <c r="G503" s="105"/>
      <c r="H503" s="105"/>
    </row>
    <row r="504">
      <c r="A504" s="105"/>
      <c r="B504" s="105"/>
      <c r="C504" s="97"/>
      <c r="D504" s="105"/>
      <c r="E504" s="105"/>
      <c r="F504" s="105"/>
      <c r="G504" s="105"/>
      <c r="H504" s="105"/>
    </row>
    <row r="505">
      <c r="A505" s="105"/>
      <c r="B505" s="105"/>
      <c r="C505" s="97"/>
      <c r="D505" s="105"/>
      <c r="E505" s="105"/>
      <c r="F505" s="105"/>
      <c r="G505" s="105"/>
      <c r="H505" s="105"/>
    </row>
    <row r="506">
      <c r="A506" s="105"/>
      <c r="B506" s="105"/>
      <c r="C506" s="97"/>
      <c r="D506" s="105"/>
      <c r="E506" s="105"/>
      <c r="F506" s="105"/>
      <c r="G506" s="105"/>
      <c r="H506" s="105"/>
    </row>
    <row r="507">
      <c r="A507" s="105"/>
      <c r="B507" s="105"/>
      <c r="C507" s="97"/>
      <c r="D507" s="105"/>
      <c r="E507" s="105"/>
      <c r="F507" s="105"/>
      <c r="G507" s="105"/>
      <c r="H507" s="105"/>
    </row>
    <row r="508">
      <c r="A508" s="105"/>
      <c r="B508" s="105"/>
      <c r="C508" s="97"/>
      <c r="D508" s="105"/>
      <c r="E508" s="105"/>
      <c r="F508" s="105"/>
      <c r="G508" s="105"/>
      <c r="H508" s="105"/>
    </row>
    <row r="509">
      <c r="A509" s="105"/>
      <c r="B509" s="105"/>
      <c r="C509" s="97"/>
      <c r="D509" s="105"/>
      <c r="E509" s="105"/>
      <c r="F509" s="105"/>
      <c r="G509" s="105"/>
      <c r="H509" s="105"/>
    </row>
    <row r="510">
      <c r="A510" s="105"/>
      <c r="B510" s="105"/>
      <c r="C510" s="97"/>
      <c r="D510" s="105"/>
      <c r="E510" s="105"/>
      <c r="F510" s="105"/>
      <c r="G510" s="105"/>
      <c r="H510" s="105"/>
    </row>
    <row r="511">
      <c r="A511" s="105"/>
      <c r="B511" s="105"/>
      <c r="C511" s="97"/>
      <c r="D511" s="105"/>
      <c r="E511" s="105"/>
      <c r="F511" s="105"/>
      <c r="G511" s="105"/>
      <c r="H511" s="105"/>
    </row>
    <row r="512">
      <c r="A512" s="105"/>
      <c r="B512" s="105"/>
      <c r="C512" s="97"/>
      <c r="D512" s="105"/>
      <c r="E512" s="105"/>
      <c r="F512" s="105"/>
      <c r="G512" s="105"/>
      <c r="H512" s="105"/>
    </row>
    <row r="513">
      <c r="A513" s="105"/>
      <c r="B513" s="105"/>
      <c r="C513" s="97"/>
      <c r="D513" s="105"/>
      <c r="E513" s="105"/>
      <c r="F513" s="105"/>
      <c r="G513" s="105"/>
      <c r="H513" s="105"/>
    </row>
    <row r="514">
      <c r="A514" s="105"/>
      <c r="B514" s="105"/>
      <c r="C514" s="97"/>
      <c r="D514" s="105"/>
      <c r="E514" s="105"/>
      <c r="F514" s="105"/>
      <c r="G514" s="105"/>
      <c r="H514" s="105"/>
    </row>
    <row r="515">
      <c r="A515" s="105"/>
      <c r="B515" s="105"/>
      <c r="C515" s="97"/>
      <c r="D515" s="105"/>
      <c r="E515" s="105"/>
      <c r="F515" s="105"/>
      <c r="G515" s="105"/>
      <c r="H515" s="105"/>
    </row>
    <row r="516">
      <c r="A516" s="105"/>
      <c r="B516" s="105"/>
      <c r="C516" s="97"/>
      <c r="D516" s="105"/>
      <c r="E516" s="105"/>
      <c r="F516" s="105"/>
      <c r="G516" s="105"/>
      <c r="H516" s="105"/>
    </row>
    <row r="517">
      <c r="A517" s="105"/>
      <c r="B517" s="105"/>
      <c r="C517" s="97"/>
      <c r="D517" s="105"/>
      <c r="E517" s="105"/>
      <c r="F517" s="105"/>
      <c r="G517" s="105"/>
      <c r="H517" s="105"/>
    </row>
    <row r="518">
      <c r="A518" s="105"/>
      <c r="B518" s="105"/>
      <c r="C518" s="97"/>
      <c r="D518" s="105"/>
      <c r="E518" s="105"/>
      <c r="F518" s="105"/>
      <c r="G518" s="105"/>
      <c r="H518" s="105"/>
    </row>
    <row r="519">
      <c r="A519" s="105"/>
      <c r="B519" s="105"/>
      <c r="C519" s="97"/>
      <c r="D519" s="105"/>
      <c r="E519" s="105"/>
      <c r="F519" s="105"/>
      <c r="G519" s="105"/>
      <c r="H519" s="105"/>
    </row>
    <row r="520">
      <c r="A520" s="105"/>
      <c r="B520" s="105"/>
      <c r="C520" s="97"/>
      <c r="D520" s="105"/>
      <c r="E520" s="105"/>
      <c r="F520" s="105"/>
      <c r="G520" s="105"/>
      <c r="H520" s="105"/>
    </row>
    <row r="521">
      <c r="A521" s="105"/>
      <c r="B521" s="105"/>
      <c r="C521" s="97"/>
      <c r="D521" s="105"/>
      <c r="E521" s="105"/>
      <c r="F521" s="105"/>
      <c r="G521" s="105"/>
      <c r="H521" s="105"/>
    </row>
    <row r="522">
      <c r="A522" s="105"/>
      <c r="B522" s="105"/>
      <c r="C522" s="97"/>
      <c r="D522" s="105"/>
      <c r="E522" s="105"/>
      <c r="F522" s="105"/>
      <c r="G522" s="105"/>
      <c r="H522" s="105"/>
    </row>
    <row r="523">
      <c r="A523" s="105"/>
      <c r="B523" s="105"/>
      <c r="C523" s="97"/>
      <c r="D523" s="105"/>
      <c r="E523" s="105"/>
      <c r="F523" s="105"/>
      <c r="G523" s="105"/>
      <c r="H523" s="105"/>
    </row>
    <row r="524">
      <c r="A524" s="105"/>
      <c r="B524" s="105"/>
      <c r="C524" s="97"/>
      <c r="D524" s="105"/>
      <c r="E524" s="105"/>
      <c r="F524" s="105"/>
      <c r="G524" s="105"/>
      <c r="H524" s="105"/>
    </row>
    <row r="525">
      <c r="A525" s="105"/>
      <c r="B525" s="105"/>
      <c r="C525" s="97"/>
      <c r="D525" s="105"/>
      <c r="E525" s="105"/>
      <c r="F525" s="105"/>
      <c r="G525" s="105"/>
      <c r="H525" s="105"/>
    </row>
    <row r="526">
      <c r="A526" s="105"/>
      <c r="B526" s="105"/>
      <c r="C526" s="97"/>
      <c r="D526" s="105"/>
      <c r="E526" s="105"/>
      <c r="F526" s="105"/>
      <c r="G526" s="105"/>
      <c r="H526" s="105"/>
    </row>
    <row r="527">
      <c r="A527" s="105"/>
      <c r="B527" s="105"/>
      <c r="C527" s="97"/>
      <c r="D527" s="105"/>
      <c r="E527" s="105"/>
      <c r="F527" s="105"/>
      <c r="G527" s="105"/>
      <c r="H527" s="105"/>
    </row>
    <row r="528">
      <c r="A528" s="105"/>
      <c r="B528" s="105"/>
      <c r="C528" s="97"/>
      <c r="D528" s="105"/>
      <c r="E528" s="105"/>
      <c r="F528" s="105"/>
      <c r="G528" s="105"/>
      <c r="H528" s="105"/>
    </row>
    <row r="529">
      <c r="A529" s="105"/>
      <c r="B529" s="105"/>
      <c r="C529" s="97"/>
      <c r="D529" s="105"/>
      <c r="E529" s="105"/>
      <c r="F529" s="105"/>
      <c r="G529" s="105"/>
      <c r="H529" s="105"/>
    </row>
    <row r="530">
      <c r="A530" s="105"/>
      <c r="B530" s="105"/>
      <c r="C530" s="97"/>
      <c r="D530" s="105"/>
      <c r="E530" s="105"/>
      <c r="F530" s="105"/>
      <c r="G530" s="105"/>
      <c r="H530" s="105"/>
    </row>
    <row r="531">
      <c r="A531" s="105"/>
      <c r="B531" s="105"/>
      <c r="C531" s="97"/>
      <c r="D531" s="105"/>
      <c r="E531" s="105"/>
      <c r="F531" s="105"/>
      <c r="G531" s="105"/>
      <c r="H531" s="105"/>
    </row>
    <row r="532">
      <c r="A532" s="105"/>
      <c r="B532" s="105"/>
      <c r="C532" s="97"/>
      <c r="D532" s="105"/>
      <c r="E532" s="105"/>
      <c r="F532" s="105"/>
      <c r="G532" s="105"/>
      <c r="H532" s="105"/>
    </row>
    <row r="533">
      <c r="A533" s="105"/>
      <c r="B533" s="105"/>
      <c r="C533" s="97"/>
      <c r="D533" s="105"/>
      <c r="E533" s="105"/>
      <c r="F533" s="105"/>
      <c r="G533" s="105"/>
      <c r="H533" s="105"/>
    </row>
    <row r="534">
      <c r="A534" s="105"/>
      <c r="B534" s="105"/>
      <c r="C534" s="97"/>
      <c r="D534" s="105"/>
      <c r="E534" s="105"/>
      <c r="F534" s="105"/>
      <c r="G534" s="105"/>
      <c r="H534" s="105"/>
    </row>
    <row r="535">
      <c r="A535" s="105"/>
      <c r="B535" s="105"/>
      <c r="C535" s="97"/>
      <c r="D535" s="105"/>
      <c r="E535" s="105"/>
      <c r="F535" s="105"/>
      <c r="G535" s="105"/>
      <c r="H535" s="105"/>
    </row>
    <row r="536">
      <c r="A536" s="105"/>
      <c r="B536" s="105"/>
      <c r="C536" s="97"/>
      <c r="D536" s="105"/>
      <c r="E536" s="105"/>
      <c r="F536" s="105"/>
      <c r="G536" s="105"/>
      <c r="H536" s="105"/>
    </row>
    <row r="537">
      <c r="A537" s="105"/>
      <c r="B537" s="105"/>
      <c r="C537" s="97"/>
      <c r="D537" s="105"/>
      <c r="E537" s="105"/>
      <c r="F537" s="105"/>
      <c r="G537" s="105"/>
      <c r="H537" s="105"/>
    </row>
    <row r="538">
      <c r="A538" s="105"/>
      <c r="B538" s="105"/>
      <c r="C538" s="97"/>
      <c r="D538" s="105"/>
      <c r="E538" s="105"/>
      <c r="F538" s="105"/>
      <c r="G538" s="105"/>
      <c r="H538" s="105"/>
    </row>
    <row r="539">
      <c r="A539" s="105"/>
      <c r="B539" s="105"/>
      <c r="C539" s="97"/>
      <c r="D539" s="105"/>
      <c r="E539" s="105"/>
      <c r="F539" s="105"/>
      <c r="G539" s="105"/>
      <c r="H539" s="105"/>
    </row>
    <row r="540">
      <c r="A540" s="105"/>
      <c r="B540" s="105"/>
      <c r="C540" s="97"/>
      <c r="D540" s="105"/>
      <c r="E540" s="105"/>
      <c r="F540" s="105"/>
      <c r="G540" s="105"/>
      <c r="H540" s="105"/>
    </row>
    <row r="541">
      <c r="A541" s="105"/>
      <c r="B541" s="105"/>
      <c r="C541" s="97"/>
      <c r="D541" s="105"/>
      <c r="E541" s="105"/>
      <c r="F541" s="105"/>
      <c r="G541" s="105"/>
      <c r="H541" s="105"/>
    </row>
    <row r="542">
      <c r="A542" s="105"/>
      <c r="B542" s="105"/>
      <c r="C542" s="97"/>
      <c r="D542" s="105"/>
      <c r="E542" s="105"/>
      <c r="F542" s="105"/>
      <c r="G542" s="105"/>
      <c r="H542" s="105"/>
    </row>
    <row r="543">
      <c r="A543" s="105"/>
      <c r="B543" s="105"/>
      <c r="C543" s="97"/>
      <c r="D543" s="105"/>
      <c r="E543" s="105"/>
      <c r="F543" s="105"/>
      <c r="G543" s="105"/>
      <c r="H543" s="105"/>
    </row>
    <row r="544">
      <c r="A544" s="105"/>
      <c r="B544" s="105"/>
      <c r="C544" s="97"/>
      <c r="D544" s="105"/>
      <c r="E544" s="105"/>
      <c r="F544" s="105"/>
      <c r="G544" s="105"/>
      <c r="H544" s="105"/>
    </row>
    <row r="545">
      <c r="A545" s="105"/>
      <c r="B545" s="105"/>
      <c r="C545" s="97"/>
      <c r="D545" s="105"/>
      <c r="E545" s="105"/>
      <c r="F545" s="105"/>
      <c r="G545" s="105"/>
      <c r="H545" s="105"/>
    </row>
    <row r="546">
      <c r="A546" s="105"/>
      <c r="B546" s="105"/>
      <c r="C546" s="97"/>
      <c r="D546" s="105"/>
      <c r="E546" s="105"/>
      <c r="F546" s="105"/>
      <c r="G546" s="105"/>
      <c r="H546" s="105"/>
    </row>
    <row r="547">
      <c r="A547" s="105"/>
      <c r="B547" s="105"/>
      <c r="C547" s="97"/>
      <c r="D547" s="105"/>
      <c r="E547" s="105"/>
      <c r="F547" s="105"/>
      <c r="G547" s="105"/>
      <c r="H547" s="105"/>
    </row>
    <row r="548">
      <c r="A548" s="105"/>
      <c r="B548" s="105"/>
      <c r="C548" s="97"/>
      <c r="D548" s="105"/>
      <c r="E548" s="105"/>
      <c r="F548" s="105"/>
      <c r="G548" s="105"/>
      <c r="H548" s="105"/>
    </row>
    <row r="549">
      <c r="A549" s="105"/>
      <c r="B549" s="105"/>
      <c r="C549" s="97"/>
      <c r="D549" s="105"/>
      <c r="E549" s="105"/>
      <c r="F549" s="105"/>
      <c r="G549" s="105"/>
      <c r="H549" s="105"/>
    </row>
    <row r="550">
      <c r="A550" s="105"/>
      <c r="B550" s="105"/>
      <c r="C550" s="97"/>
      <c r="D550" s="105"/>
      <c r="E550" s="105"/>
      <c r="F550" s="105"/>
      <c r="G550" s="105"/>
      <c r="H550" s="105"/>
    </row>
    <row r="551">
      <c r="A551" s="105"/>
      <c r="B551" s="105"/>
      <c r="C551" s="97"/>
      <c r="D551" s="105"/>
      <c r="E551" s="105"/>
      <c r="F551" s="105"/>
      <c r="G551" s="105"/>
      <c r="H551" s="105"/>
    </row>
    <row r="552">
      <c r="A552" s="105"/>
      <c r="B552" s="105"/>
      <c r="C552" s="97"/>
      <c r="D552" s="105"/>
      <c r="E552" s="105"/>
      <c r="F552" s="105"/>
      <c r="G552" s="105"/>
      <c r="H552" s="105"/>
    </row>
    <row r="553">
      <c r="A553" s="105"/>
      <c r="B553" s="105"/>
      <c r="C553" s="97"/>
      <c r="D553" s="105"/>
      <c r="E553" s="105"/>
      <c r="F553" s="105"/>
      <c r="G553" s="105"/>
      <c r="H553" s="105"/>
    </row>
    <row r="554">
      <c r="A554" s="105"/>
      <c r="B554" s="105"/>
      <c r="C554" s="97"/>
      <c r="D554" s="105"/>
      <c r="E554" s="105"/>
      <c r="F554" s="105"/>
      <c r="G554" s="105"/>
      <c r="H554" s="105"/>
    </row>
    <row r="555">
      <c r="A555" s="105"/>
      <c r="B555" s="105"/>
      <c r="C555" s="97"/>
      <c r="D555" s="105"/>
      <c r="E555" s="105"/>
      <c r="F555" s="105"/>
      <c r="G555" s="105"/>
      <c r="H555" s="105"/>
    </row>
    <row r="556">
      <c r="A556" s="105"/>
      <c r="B556" s="105"/>
      <c r="C556" s="97"/>
      <c r="D556" s="105"/>
      <c r="E556" s="105"/>
      <c r="F556" s="105"/>
      <c r="G556" s="105"/>
      <c r="H556" s="105"/>
    </row>
    <row r="557">
      <c r="A557" s="105"/>
      <c r="B557" s="105"/>
      <c r="C557" s="97"/>
      <c r="D557" s="105"/>
      <c r="E557" s="105"/>
      <c r="F557" s="105"/>
      <c r="G557" s="105"/>
      <c r="H557" s="105"/>
    </row>
    <row r="558">
      <c r="A558" s="105"/>
      <c r="B558" s="105"/>
      <c r="C558" s="97"/>
      <c r="D558" s="105"/>
      <c r="E558" s="105"/>
      <c r="F558" s="105"/>
      <c r="G558" s="105"/>
      <c r="H558" s="105"/>
    </row>
    <row r="559">
      <c r="A559" s="105"/>
      <c r="B559" s="105"/>
      <c r="C559" s="97"/>
      <c r="D559" s="105"/>
      <c r="E559" s="105"/>
      <c r="F559" s="105"/>
      <c r="G559" s="105"/>
      <c r="H559" s="105"/>
    </row>
    <row r="560">
      <c r="A560" s="105"/>
      <c r="B560" s="105"/>
      <c r="C560" s="97"/>
      <c r="D560" s="105"/>
      <c r="E560" s="105"/>
      <c r="F560" s="105"/>
      <c r="G560" s="105"/>
      <c r="H560" s="105"/>
    </row>
    <row r="561">
      <c r="A561" s="105"/>
      <c r="B561" s="105"/>
      <c r="C561" s="97"/>
      <c r="D561" s="105"/>
      <c r="E561" s="105"/>
      <c r="F561" s="105"/>
      <c r="G561" s="105"/>
      <c r="H561" s="105"/>
    </row>
    <row r="562">
      <c r="A562" s="105"/>
      <c r="B562" s="105"/>
      <c r="C562" s="97"/>
      <c r="D562" s="105"/>
      <c r="E562" s="105"/>
      <c r="F562" s="105"/>
      <c r="G562" s="105"/>
      <c r="H562" s="105"/>
    </row>
    <row r="563">
      <c r="A563" s="105"/>
      <c r="B563" s="105"/>
      <c r="C563" s="97"/>
      <c r="D563" s="105"/>
      <c r="E563" s="105"/>
      <c r="F563" s="105"/>
      <c r="G563" s="105"/>
      <c r="H563" s="105"/>
    </row>
    <row r="564">
      <c r="A564" s="105"/>
      <c r="B564" s="105"/>
      <c r="C564" s="97"/>
      <c r="D564" s="105"/>
      <c r="E564" s="105"/>
      <c r="F564" s="105"/>
      <c r="G564" s="105"/>
      <c r="H564" s="105"/>
    </row>
    <row r="565">
      <c r="A565" s="105"/>
      <c r="B565" s="105"/>
      <c r="C565" s="97"/>
      <c r="D565" s="105"/>
      <c r="E565" s="105"/>
      <c r="F565" s="105"/>
      <c r="G565" s="105"/>
      <c r="H565" s="105"/>
    </row>
    <row r="566">
      <c r="A566" s="105"/>
      <c r="B566" s="105"/>
      <c r="C566" s="97"/>
      <c r="D566" s="105"/>
      <c r="E566" s="105"/>
      <c r="F566" s="105"/>
      <c r="G566" s="105"/>
      <c r="H566" s="105"/>
    </row>
    <row r="567">
      <c r="A567" s="105"/>
      <c r="B567" s="105"/>
      <c r="C567" s="97"/>
      <c r="D567" s="105"/>
      <c r="E567" s="105"/>
      <c r="F567" s="105"/>
      <c r="G567" s="105"/>
      <c r="H567" s="105"/>
    </row>
    <row r="568">
      <c r="A568" s="105"/>
      <c r="B568" s="105"/>
      <c r="C568" s="97"/>
      <c r="D568" s="105"/>
      <c r="E568" s="105"/>
      <c r="F568" s="105"/>
      <c r="G568" s="105"/>
      <c r="H568" s="105"/>
    </row>
    <row r="569">
      <c r="A569" s="105"/>
      <c r="B569" s="105"/>
      <c r="C569" s="97"/>
      <c r="D569" s="105"/>
      <c r="E569" s="105"/>
      <c r="F569" s="105"/>
      <c r="G569" s="105"/>
      <c r="H569" s="105"/>
    </row>
    <row r="570">
      <c r="A570" s="105"/>
      <c r="B570" s="105"/>
      <c r="C570" s="97"/>
      <c r="D570" s="105"/>
      <c r="E570" s="105"/>
      <c r="F570" s="105"/>
      <c r="G570" s="105"/>
      <c r="H570" s="105"/>
    </row>
    <row r="571">
      <c r="A571" s="105"/>
      <c r="B571" s="105"/>
      <c r="C571" s="97"/>
      <c r="D571" s="105"/>
      <c r="E571" s="105"/>
      <c r="F571" s="105"/>
      <c r="G571" s="105"/>
      <c r="H571" s="105"/>
    </row>
    <row r="572">
      <c r="A572" s="105"/>
      <c r="B572" s="105"/>
      <c r="C572" s="97"/>
      <c r="D572" s="105"/>
      <c r="E572" s="105"/>
      <c r="F572" s="105"/>
      <c r="G572" s="105"/>
      <c r="H572" s="105"/>
    </row>
    <row r="573">
      <c r="A573" s="105"/>
      <c r="B573" s="105"/>
      <c r="C573" s="97"/>
      <c r="D573" s="105"/>
      <c r="E573" s="105"/>
      <c r="F573" s="105"/>
      <c r="G573" s="105"/>
      <c r="H573" s="105"/>
    </row>
    <row r="574">
      <c r="A574" s="105"/>
      <c r="B574" s="105"/>
      <c r="C574" s="97"/>
      <c r="D574" s="105"/>
      <c r="E574" s="105"/>
      <c r="F574" s="105"/>
      <c r="G574" s="105"/>
      <c r="H574" s="105"/>
    </row>
    <row r="575">
      <c r="A575" s="105"/>
      <c r="B575" s="105"/>
      <c r="C575" s="97"/>
      <c r="D575" s="105"/>
      <c r="E575" s="105"/>
      <c r="F575" s="105"/>
      <c r="G575" s="105"/>
      <c r="H575" s="105"/>
    </row>
    <row r="576">
      <c r="A576" s="105"/>
      <c r="B576" s="105"/>
      <c r="C576" s="97"/>
      <c r="D576" s="105"/>
      <c r="E576" s="105"/>
      <c r="F576" s="105"/>
      <c r="G576" s="105"/>
      <c r="H576" s="105"/>
    </row>
    <row r="577">
      <c r="A577" s="105"/>
      <c r="B577" s="105"/>
      <c r="C577" s="97"/>
      <c r="D577" s="105"/>
      <c r="E577" s="105"/>
      <c r="F577" s="105"/>
      <c r="G577" s="105"/>
      <c r="H577" s="105"/>
    </row>
    <row r="578">
      <c r="A578" s="105"/>
      <c r="B578" s="105"/>
      <c r="C578" s="97"/>
      <c r="D578" s="105"/>
      <c r="E578" s="105"/>
      <c r="F578" s="105"/>
      <c r="G578" s="105"/>
      <c r="H578" s="105"/>
    </row>
    <row r="579">
      <c r="A579" s="105"/>
      <c r="B579" s="105"/>
      <c r="C579" s="97"/>
      <c r="D579" s="105"/>
      <c r="E579" s="105"/>
      <c r="F579" s="105"/>
      <c r="G579" s="105"/>
      <c r="H579" s="105"/>
    </row>
    <row r="580">
      <c r="A580" s="105"/>
      <c r="B580" s="105"/>
      <c r="C580" s="97"/>
      <c r="D580" s="105"/>
      <c r="E580" s="105"/>
      <c r="F580" s="105"/>
      <c r="G580" s="105"/>
      <c r="H580" s="105"/>
    </row>
    <row r="581">
      <c r="A581" s="105"/>
      <c r="B581" s="105"/>
      <c r="C581" s="97"/>
      <c r="D581" s="105"/>
      <c r="E581" s="105"/>
      <c r="F581" s="105"/>
      <c r="G581" s="105"/>
      <c r="H581" s="105"/>
    </row>
    <row r="582">
      <c r="A582" s="105"/>
      <c r="B582" s="105"/>
      <c r="C582" s="97"/>
      <c r="D582" s="105"/>
      <c r="E582" s="105"/>
      <c r="F582" s="105"/>
      <c r="G582" s="105"/>
      <c r="H582" s="105"/>
    </row>
    <row r="583">
      <c r="A583" s="105"/>
      <c r="B583" s="105"/>
      <c r="C583" s="97"/>
      <c r="D583" s="105"/>
      <c r="E583" s="105"/>
      <c r="F583" s="105"/>
      <c r="G583" s="105"/>
      <c r="H583" s="105"/>
    </row>
    <row r="584">
      <c r="A584" s="105"/>
      <c r="B584" s="105"/>
      <c r="C584" s="97"/>
      <c r="D584" s="105"/>
      <c r="E584" s="105"/>
      <c r="F584" s="105"/>
      <c r="G584" s="105"/>
      <c r="H584" s="105"/>
    </row>
    <row r="585">
      <c r="A585" s="105"/>
      <c r="B585" s="105"/>
      <c r="C585" s="97"/>
      <c r="D585" s="105"/>
      <c r="E585" s="105"/>
      <c r="F585" s="105"/>
      <c r="G585" s="105"/>
      <c r="H585" s="105"/>
    </row>
    <row r="586">
      <c r="A586" s="105"/>
      <c r="B586" s="105"/>
      <c r="C586" s="97"/>
      <c r="D586" s="105"/>
      <c r="E586" s="105"/>
      <c r="F586" s="105"/>
      <c r="G586" s="105"/>
      <c r="H586" s="105"/>
    </row>
    <row r="587">
      <c r="A587" s="105"/>
      <c r="B587" s="105"/>
      <c r="C587" s="97"/>
      <c r="D587" s="105"/>
      <c r="E587" s="105"/>
      <c r="F587" s="105"/>
      <c r="G587" s="105"/>
      <c r="H587" s="105"/>
    </row>
    <row r="588">
      <c r="A588" s="105"/>
      <c r="B588" s="105"/>
      <c r="C588" s="97"/>
      <c r="D588" s="105"/>
      <c r="E588" s="105"/>
      <c r="F588" s="105"/>
      <c r="G588" s="105"/>
      <c r="H588" s="105"/>
    </row>
    <row r="589">
      <c r="A589" s="105"/>
      <c r="B589" s="105"/>
      <c r="C589" s="97"/>
      <c r="D589" s="105"/>
      <c r="E589" s="105"/>
      <c r="F589" s="105"/>
      <c r="G589" s="105"/>
      <c r="H589" s="105"/>
    </row>
    <row r="590">
      <c r="A590" s="105"/>
      <c r="B590" s="105"/>
      <c r="C590" s="97"/>
      <c r="D590" s="105"/>
      <c r="E590" s="105"/>
      <c r="F590" s="105"/>
      <c r="G590" s="105"/>
      <c r="H590" s="105"/>
    </row>
    <row r="591">
      <c r="A591" s="105"/>
      <c r="B591" s="105"/>
      <c r="C591" s="97"/>
      <c r="D591" s="105"/>
      <c r="E591" s="105"/>
      <c r="F591" s="105"/>
      <c r="G591" s="105"/>
      <c r="H591" s="105"/>
    </row>
    <row r="592">
      <c r="A592" s="105"/>
      <c r="B592" s="105"/>
      <c r="C592" s="97"/>
      <c r="D592" s="105"/>
      <c r="E592" s="105"/>
      <c r="F592" s="105"/>
      <c r="G592" s="105"/>
      <c r="H592" s="105"/>
    </row>
    <row r="593">
      <c r="A593" s="105"/>
      <c r="B593" s="105"/>
      <c r="C593" s="97"/>
      <c r="D593" s="105"/>
      <c r="E593" s="105"/>
      <c r="F593" s="105"/>
      <c r="G593" s="105"/>
      <c r="H593" s="105"/>
    </row>
    <row r="594">
      <c r="A594" s="105"/>
      <c r="B594" s="105"/>
      <c r="C594" s="97"/>
      <c r="D594" s="105"/>
      <c r="E594" s="105"/>
      <c r="F594" s="105"/>
      <c r="G594" s="105"/>
      <c r="H594" s="105"/>
    </row>
    <row r="595">
      <c r="A595" s="105"/>
      <c r="B595" s="105"/>
      <c r="C595" s="97"/>
      <c r="D595" s="105"/>
      <c r="E595" s="105"/>
      <c r="F595" s="105"/>
      <c r="G595" s="105"/>
      <c r="H595" s="105"/>
    </row>
    <row r="596">
      <c r="A596" s="105"/>
      <c r="B596" s="105"/>
      <c r="C596" s="97"/>
      <c r="D596" s="105"/>
      <c r="E596" s="105"/>
      <c r="F596" s="105"/>
      <c r="G596" s="105"/>
      <c r="H596" s="105"/>
    </row>
    <row r="597">
      <c r="A597" s="105"/>
      <c r="B597" s="105"/>
      <c r="C597" s="97"/>
      <c r="D597" s="105"/>
      <c r="E597" s="105"/>
      <c r="F597" s="105"/>
      <c r="G597" s="105"/>
      <c r="H597" s="105"/>
    </row>
    <row r="598">
      <c r="A598" s="105"/>
      <c r="B598" s="105"/>
      <c r="C598" s="97"/>
      <c r="D598" s="105"/>
      <c r="E598" s="105"/>
      <c r="F598" s="105"/>
      <c r="G598" s="105"/>
      <c r="H598" s="105"/>
    </row>
    <row r="599">
      <c r="A599" s="105"/>
      <c r="B599" s="105"/>
      <c r="C599" s="97"/>
      <c r="D599" s="105"/>
      <c r="E599" s="105"/>
      <c r="F599" s="105"/>
      <c r="G599" s="105"/>
      <c r="H599" s="105"/>
    </row>
    <row r="600">
      <c r="A600" s="105"/>
      <c r="B600" s="105"/>
      <c r="C600" s="97"/>
      <c r="D600" s="105"/>
      <c r="E600" s="105"/>
      <c r="F600" s="105"/>
      <c r="G600" s="105"/>
      <c r="H600" s="105"/>
    </row>
    <row r="601">
      <c r="A601" s="105"/>
      <c r="B601" s="105"/>
      <c r="C601" s="97"/>
      <c r="D601" s="105"/>
      <c r="E601" s="105"/>
      <c r="F601" s="105"/>
      <c r="G601" s="105"/>
      <c r="H601" s="105"/>
    </row>
    <row r="602">
      <c r="A602" s="105"/>
      <c r="B602" s="105"/>
      <c r="C602" s="97"/>
      <c r="D602" s="105"/>
      <c r="E602" s="105"/>
      <c r="F602" s="105"/>
      <c r="G602" s="105"/>
      <c r="H602" s="105"/>
    </row>
    <row r="603">
      <c r="A603" s="105"/>
      <c r="B603" s="105"/>
      <c r="C603" s="97"/>
      <c r="D603" s="105"/>
      <c r="E603" s="105"/>
      <c r="F603" s="105"/>
      <c r="G603" s="105"/>
      <c r="H603" s="105"/>
    </row>
    <row r="604">
      <c r="A604" s="105"/>
      <c r="B604" s="105"/>
      <c r="C604" s="97"/>
      <c r="D604" s="105"/>
      <c r="E604" s="105"/>
      <c r="F604" s="105"/>
      <c r="G604" s="105"/>
      <c r="H604" s="105"/>
    </row>
    <row r="605">
      <c r="A605" s="105"/>
      <c r="B605" s="105"/>
      <c r="C605" s="97"/>
      <c r="D605" s="105"/>
      <c r="E605" s="105"/>
      <c r="F605" s="105"/>
      <c r="G605" s="105"/>
      <c r="H605" s="105"/>
    </row>
    <row r="606">
      <c r="A606" s="105"/>
      <c r="B606" s="105"/>
      <c r="C606" s="97"/>
      <c r="D606" s="105"/>
      <c r="E606" s="105"/>
      <c r="F606" s="105"/>
      <c r="G606" s="105"/>
      <c r="H606" s="105"/>
    </row>
    <row r="607">
      <c r="A607" s="105"/>
      <c r="B607" s="105"/>
      <c r="C607" s="97"/>
      <c r="D607" s="105"/>
      <c r="E607" s="105"/>
      <c r="F607" s="105"/>
      <c r="G607" s="105"/>
      <c r="H607" s="105"/>
    </row>
    <row r="608">
      <c r="A608" s="105"/>
      <c r="B608" s="105"/>
      <c r="C608" s="97"/>
      <c r="D608" s="105"/>
      <c r="E608" s="105"/>
      <c r="F608" s="105"/>
      <c r="G608" s="105"/>
      <c r="H608" s="105"/>
    </row>
    <row r="609">
      <c r="A609" s="105"/>
      <c r="B609" s="105"/>
      <c r="C609" s="97"/>
      <c r="D609" s="105"/>
      <c r="E609" s="105"/>
      <c r="F609" s="105"/>
      <c r="G609" s="105"/>
      <c r="H609" s="105"/>
    </row>
    <row r="610">
      <c r="A610" s="105"/>
      <c r="B610" s="105"/>
      <c r="C610" s="97"/>
      <c r="D610" s="105"/>
      <c r="E610" s="105"/>
      <c r="F610" s="105"/>
      <c r="G610" s="105"/>
      <c r="H610" s="105"/>
    </row>
    <row r="611">
      <c r="A611" s="105"/>
      <c r="B611" s="105"/>
      <c r="C611" s="97"/>
      <c r="D611" s="105"/>
      <c r="E611" s="105"/>
      <c r="F611" s="105"/>
      <c r="G611" s="105"/>
      <c r="H611" s="105"/>
    </row>
    <row r="612">
      <c r="A612" s="105"/>
      <c r="B612" s="105"/>
      <c r="C612" s="97"/>
      <c r="D612" s="105"/>
      <c r="E612" s="105"/>
      <c r="F612" s="105"/>
      <c r="G612" s="105"/>
      <c r="H612" s="105"/>
    </row>
    <row r="613">
      <c r="A613" s="105"/>
      <c r="B613" s="105"/>
      <c r="C613" s="97"/>
      <c r="D613" s="105"/>
      <c r="E613" s="105"/>
      <c r="F613" s="105"/>
      <c r="G613" s="105"/>
      <c r="H613" s="105"/>
    </row>
    <row r="614">
      <c r="A614" s="105"/>
      <c r="B614" s="105"/>
      <c r="C614" s="97"/>
      <c r="D614" s="105"/>
      <c r="E614" s="105"/>
      <c r="F614" s="105"/>
      <c r="G614" s="105"/>
      <c r="H614" s="105"/>
    </row>
    <row r="615">
      <c r="A615" s="105"/>
      <c r="B615" s="105"/>
      <c r="C615" s="97"/>
      <c r="D615" s="105"/>
      <c r="E615" s="105"/>
      <c r="F615" s="105"/>
      <c r="G615" s="105"/>
      <c r="H615" s="105"/>
    </row>
    <row r="616">
      <c r="A616" s="105"/>
      <c r="B616" s="105"/>
      <c r="C616" s="97"/>
      <c r="D616" s="105"/>
      <c r="E616" s="105"/>
      <c r="F616" s="105"/>
      <c r="G616" s="105"/>
      <c r="H616" s="105"/>
    </row>
    <row r="617">
      <c r="A617" s="105"/>
      <c r="B617" s="105"/>
      <c r="C617" s="97"/>
      <c r="D617" s="105"/>
      <c r="E617" s="105"/>
      <c r="F617" s="105"/>
      <c r="G617" s="105"/>
      <c r="H617" s="105"/>
    </row>
    <row r="618">
      <c r="A618" s="105"/>
      <c r="B618" s="105"/>
      <c r="C618" s="97"/>
      <c r="D618" s="105"/>
      <c r="E618" s="105"/>
      <c r="F618" s="105"/>
      <c r="G618" s="105"/>
      <c r="H618" s="105"/>
    </row>
    <row r="619">
      <c r="A619" s="105"/>
      <c r="B619" s="105"/>
      <c r="C619" s="97"/>
      <c r="D619" s="105"/>
      <c r="E619" s="105"/>
      <c r="F619" s="105"/>
      <c r="G619" s="105"/>
      <c r="H619" s="105"/>
    </row>
    <row r="620">
      <c r="A620" s="105"/>
      <c r="B620" s="105"/>
      <c r="C620" s="97"/>
      <c r="D620" s="105"/>
      <c r="E620" s="105"/>
      <c r="F620" s="105"/>
      <c r="G620" s="105"/>
      <c r="H620" s="105"/>
    </row>
    <row r="621">
      <c r="A621" s="105"/>
      <c r="B621" s="105"/>
      <c r="C621" s="97"/>
      <c r="D621" s="105"/>
      <c r="E621" s="105"/>
      <c r="F621" s="105"/>
      <c r="G621" s="105"/>
      <c r="H621" s="105"/>
    </row>
    <row r="622">
      <c r="A622" s="105"/>
      <c r="B622" s="105"/>
      <c r="C622" s="97"/>
      <c r="D622" s="105"/>
      <c r="E622" s="105"/>
      <c r="F622" s="105"/>
      <c r="G622" s="105"/>
      <c r="H622" s="105"/>
    </row>
    <row r="623">
      <c r="A623" s="105"/>
      <c r="B623" s="105"/>
      <c r="C623" s="97"/>
      <c r="D623" s="105"/>
      <c r="E623" s="105"/>
      <c r="F623" s="105"/>
      <c r="G623" s="105"/>
      <c r="H623" s="105"/>
    </row>
    <row r="624">
      <c r="A624" s="105"/>
      <c r="B624" s="105"/>
      <c r="C624" s="97"/>
      <c r="D624" s="105"/>
      <c r="E624" s="105"/>
      <c r="F624" s="105"/>
      <c r="G624" s="105"/>
      <c r="H624" s="105"/>
    </row>
    <row r="625">
      <c r="A625" s="105"/>
      <c r="B625" s="105"/>
      <c r="C625" s="97"/>
      <c r="D625" s="105"/>
      <c r="E625" s="105"/>
      <c r="F625" s="105"/>
      <c r="G625" s="105"/>
      <c r="H625" s="105"/>
    </row>
    <row r="626">
      <c r="A626" s="105"/>
      <c r="B626" s="105"/>
      <c r="C626" s="97"/>
      <c r="D626" s="105"/>
      <c r="E626" s="105"/>
      <c r="F626" s="105"/>
      <c r="G626" s="105"/>
      <c r="H626" s="105"/>
    </row>
    <row r="627">
      <c r="A627" s="105"/>
      <c r="B627" s="105"/>
      <c r="C627" s="97"/>
      <c r="D627" s="105"/>
      <c r="E627" s="105"/>
      <c r="F627" s="105"/>
      <c r="G627" s="105"/>
      <c r="H627" s="105"/>
    </row>
    <row r="628">
      <c r="A628" s="105"/>
      <c r="B628" s="105"/>
      <c r="C628" s="97"/>
      <c r="D628" s="105"/>
      <c r="E628" s="105"/>
      <c r="F628" s="105"/>
      <c r="G628" s="105"/>
      <c r="H628" s="105"/>
    </row>
    <row r="629">
      <c r="A629" s="105"/>
      <c r="B629" s="105"/>
      <c r="C629" s="97"/>
      <c r="D629" s="105"/>
      <c r="E629" s="105"/>
      <c r="F629" s="105"/>
      <c r="G629" s="105"/>
      <c r="H629" s="105"/>
    </row>
    <row r="630">
      <c r="A630" s="105"/>
      <c r="B630" s="105"/>
      <c r="C630" s="97"/>
      <c r="D630" s="105"/>
      <c r="E630" s="105"/>
      <c r="F630" s="105"/>
      <c r="G630" s="105"/>
      <c r="H630" s="105"/>
    </row>
    <row r="631">
      <c r="A631" s="105"/>
      <c r="B631" s="105"/>
      <c r="C631" s="97"/>
      <c r="D631" s="105"/>
      <c r="E631" s="105"/>
      <c r="F631" s="105"/>
      <c r="G631" s="105"/>
      <c r="H631" s="105"/>
    </row>
    <row r="632">
      <c r="A632" s="105"/>
      <c r="B632" s="105"/>
      <c r="C632" s="97"/>
      <c r="D632" s="105"/>
      <c r="E632" s="105"/>
      <c r="F632" s="105"/>
      <c r="G632" s="105"/>
      <c r="H632" s="105"/>
    </row>
    <row r="633">
      <c r="A633" s="105"/>
      <c r="B633" s="105"/>
      <c r="C633" s="97"/>
      <c r="D633" s="105"/>
      <c r="E633" s="105"/>
      <c r="F633" s="105"/>
      <c r="G633" s="105"/>
      <c r="H633" s="105"/>
    </row>
    <row r="634">
      <c r="A634" s="105"/>
      <c r="B634" s="105"/>
      <c r="C634" s="97"/>
      <c r="D634" s="105"/>
      <c r="E634" s="105"/>
      <c r="F634" s="105"/>
      <c r="G634" s="105"/>
      <c r="H634" s="105"/>
    </row>
    <row r="635">
      <c r="A635" s="105"/>
      <c r="B635" s="105"/>
      <c r="C635" s="97"/>
      <c r="D635" s="105"/>
      <c r="E635" s="105"/>
      <c r="F635" s="105"/>
      <c r="G635" s="105"/>
      <c r="H635" s="105"/>
    </row>
    <row r="636">
      <c r="A636" s="105"/>
      <c r="B636" s="105"/>
      <c r="C636" s="97"/>
      <c r="D636" s="105"/>
      <c r="E636" s="105"/>
      <c r="F636" s="105"/>
      <c r="G636" s="105"/>
      <c r="H636" s="105"/>
    </row>
    <row r="637">
      <c r="A637" s="105"/>
      <c r="B637" s="105"/>
      <c r="C637" s="97"/>
      <c r="D637" s="105"/>
      <c r="E637" s="105"/>
      <c r="F637" s="105"/>
      <c r="G637" s="105"/>
      <c r="H637" s="105"/>
    </row>
    <row r="638">
      <c r="A638" s="105"/>
      <c r="B638" s="105"/>
      <c r="C638" s="97"/>
      <c r="D638" s="105"/>
      <c r="E638" s="105"/>
      <c r="F638" s="105"/>
      <c r="G638" s="105"/>
      <c r="H638" s="105"/>
    </row>
    <row r="639">
      <c r="A639" s="105"/>
      <c r="B639" s="105"/>
      <c r="C639" s="97"/>
      <c r="D639" s="105"/>
      <c r="E639" s="105"/>
      <c r="F639" s="105"/>
      <c r="G639" s="105"/>
      <c r="H639" s="105"/>
    </row>
    <row r="640">
      <c r="A640" s="105"/>
      <c r="B640" s="105"/>
      <c r="C640" s="97"/>
      <c r="D640" s="105"/>
      <c r="E640" s="105"/>
      <c r="F640" s="105"/>
      <c r="G640" s="105"/>
      <c r="H640" s="105"/>
    </row>
    <row r="641">
      <c r="A641" s="105"/>
      <c r="B641" s="105"/>
      <c r="C641" s="97"/>
      <c r="D641" s="105"/>
      <c r="E641" s="105"/>
      <c r="F641" s="105"/>
      <c r="G641" s="105"/>
      <c r="H641" s="105"/>
    </row>
    <row r="642">
      <c r="A642" s="105"/>
      <c r="B642" s="105"/>
      <c r="C642" s="97"/>
      <c r="D642" s="105"/>
      <c r="E642" s="105"/>
      <c r="F642" s="105"/>
      <c r="G642" s="105"/>
      <c r="H642" s="105"/>
    </row>
    <row r="643">
      <c r="A643" s="105"/>
      <c r="B643" s="105"/>
      <c r="C643" s="97"/>
      <c r="D643" s="105"/>
      <c r="E643" s="105"/>
      <c r="F643" s="105"/>
      <c r="G643" s="105"/>
      <c r="H643" s="105"/>
    </row>
    <row r="644">
      <c r="A644" s="105"/>
      <c r="B644" s="105"/>
      <c r="C644" s="97"/>
      <c r="D644" s="105"/>
      <c r="E644" s="105"/>
      <c r="F644" s="105"/>
      <c r="G644" s="105"/>
      <c r="H644" s="105"/>
    </row>
    <row r="645">
      <c r="A645" s="105"/>
      <c r="B645" s="105"/>
      <c r="C645" s="97"/>
      <c r="D645" s="105"/>
      <c r="E645" s="105"/>
      <c r="F645" s="105"/>
      <c r="G645" s="105"/>
      <c r="H645" s="105"/>
    </row>
    <row r="646">
      <c r="A646" s="105"/>
      <c r="B646" s="105"/>
      <c r="C646" s="97"/>
      <c r="D646" s="105"/>
      <c r="E646" s="105"/>
      <c r="F646" s="105"/>
      <c r="G646" s="105"/>
      <c r="H646" s="105"/>
    </row>
    <row r="647">
      <c r="A647" s="105"/>
      <c r="B647" s="105"/>
      <c r="C647" s="97"/>
      <c r="D647" s="105"/>
      <c r="E647" s="105"/>
      <c r="F647" s="105"/>
      <c r="G647" s="105"/>
      <c r="H647" s="105"/>
    </row>
    <row r="648">
      <c r="A648" s="105"/>
      <c r="B648" s="105"/>
      <c r="C648" s="97"/>
      <c r="D648" s="105"/>
      <c r="E648" s="105"/>
      <c r="F648" s="105"/>
      <c r="G648" s="105"/>
      <c r="H648" s="105"/>
    </row>
    <row r="649">
      <c r="A649" s="105"/>
      <c r="B649" s="105"/>
      <c r="C649" s="97"/>
      <c r="D649" s="105"/>
      <c r="E649" s="105"/>
      <c r="F649" s="105"/>
      <c r="G649" s="105"/>
      <c r="H649" s="105"/>
    </row>
    <row r="650">
      <c r="A650" s="105"/>
      <c r="B650" s="105"/>
      <c r="C650" s="97"/>
      <c r="D650" s="105"/>
      <c r="E650" s="105"/>
      <c r="F650" s="105"/>
      <c r="G650" s="105"/>
      <c r="H650" s="105"/>
    </row>
    <row r="651">
      <c r="A651" s="105"/>
      <c r="B651" s="105"/>
      <c r="C651" s="97"/>
      <c r="D651" s="105"/>
      <c r="E651" s="105"/>
      <c r="F651" s="105"/>
      <c r="G651" s="105"/>
      <c r="H651" s="105"/>
    </row>
    <row r="652">
      <c r="A652" s="105"/>
      <c r="B652" s="105"/>
      <c r="C652" s="97"/>
      <c r="D652" s="105"/>
      <c r="E652" s="105"/>
      <c r="F652" s="105"/>
      <c r="G652" s="105"/>
      <c r="H652" s="105"/>
    </row>
    <row r="653">
      <c r="A653" s="105"/>
      <c r="B653" s="105"/>
      <c r="C653" s="97"/>
      <c r="D653" s="105"/>
      <c r="E653" s="105"/>
      <c r="F653" s="105"/>
      <c r="G653" s="105"/>
      <c r="H653" s="105"/>
    </row>
    <row r="654">
      <c r="A654" s="105"/>
      <c r="B654" s="105"/>
      <c r="C654" s="97"/>
      <c r="D654" s="105"/>
      <c r="E654" s="105"/>
      <c r="F654" s="105"/>
      <c r="G654" s="105"/>
      <c r="H654" s="105"/>
    </row>
    <row r="655">
      <c r="A655" s="105"/>
      <c r="B655" s="105"/>
      <c r="C655" s="97"/>
      <c r="D655" s="105"/>
      <c r="E655" s="105"/>
      <c r="F655" s="105"/>
      <c r="G655" s="105"/>
      <c r="H655" s="105"/>
    </row>
    <row r="656">
      <c r="A656" s="105"/>
      <c r="B656" s="105"/>
      <c r="C656" s="97"/>
      <c r="D656" s="105"/>
      <c r="E656" s="105"/>
      <c r="F656" s="105"/>
      <c r="G656" s="105"/>
      <c r="H656" s="105"/>
    </row>
    <row r="657">
      <c r="A657" s="105"/>
      <c r="B657" s="105"/>
      <c r="C657" s="97"/>
      <c r="D657" s="105"/>
      <c r="E657" s="105"/>
      <c r="F657" s="105"/>
      <c r="G657" s="105"/>
      <c r="H657" s="105"/>
    </row>
    <row r="658">
      <c r="A658" s="105"/>
      <c r="B658" s="105"/>
      <c r="C658" s="97"/>
      <c r="D658" s="105"/>
      <c r="E658" s="105"/>
      <c r="F658" s="105"/>
      <c r="G658" s="105"/>
      <c r="H658" s="105"/>
    </row>
    <row r="659">
      <c r="A659" s="105"/>
      <c r="B659" s="105"/>
      <c r="C659" s="97"/>
      <c r="D659" s="105"/>
      <c r="E659" s="105"/>
      <c r="F659" s="105"/>
      <c r="G659" s="105"/>
      <c r="H659" s="105"/>
    </row>
    <row r="660">
      <c r="A660" s="105"/>
      <c r="B660" s="105"/>
      <c r="C660" s="97"/>
      <c r="D660" s="105"/>
      <c r="E660" s="105"/>
      <c r="F660" s="105"/>
      <c r="G660" s="105"/>
      <c r="H660" s="105"/>
    </row>
    <row r="661">
      <c r="A661" s="105"/>
      <c r="B661" s="105"/>
      <c r="C661" s="97"/>
      <c r="D661" s="105"/>
      <c r="E661" s="105"/>
      <c r="F661" s="105"/>
      <c r="G661" s="105"/>
      <c r="H661" s="105"/>
    </row>
    <row r="662">
      <c r="A662" s="105"/>
      <c r="B662" s="105"/>
      <c r="C662" s="97"/>
      <c r="D662" s="105"/>
      <c r="E662" s="105"/>
      <c r="F662" s="105"/>
      <c r="G662" s="105"/>
      <c r="H662" s="105"/>
    </row>
    <row r="663">
      <c r="A663" s="105"/>
      <c r="B663" s="105"/>
      <c r="C663" s="97"/>
      <c r="D663" s="105"/>
      <c r="E663" s="105"/>
      <c r="F663" s="105"/>
      <c r="G663" s="105"/>
      <c r="H663" s="105"/>
    </row>
    <row r="664">
      <c r="A664" s="105"/>
      <c r="B664" s="105"/>
      <c r="C664" s="97"/>
      <c r="D664" s="105"/>
      <c r="E664" s="105"/>
      <c r="F664" s="105"/>
      <c r="G664" s="105"/>
      <c r="H664" s="105"/>
    </row>
    <row r="665">
      <c r="A665" s="105"/>
      <c r="B665" s="105"/>
      <c r="C665" s="97"/>
      <c r="D665" s="105"/>
      <c r="E665" s="105"/>
      <c r="F665" s="105"/>
      <c r="G665" s="105"/>
      <c r="H665" s="105"/>
    </row>
    <row r="666">
      <c r="A666" s="105"/>
      <c r="B666" s="105"/>
      <c r="C666" s="97"/>
      <c r="D666" s="105"/>
      <c r="E666" s="105"/>
      <c r="F666" s="105"/>
      <c r="G666" s="105"/>
      <c r="H666" s="105"/>
    </row>
    <row r="667">
      <c r="A667" s="105"/>
      <c r="B667" s="105"/>
      <c r="C667" s="97"/>
      <c r="D667" s="105"/>
      <c r="E667" s="105"/>
      <c r="F667" s="105"/>
      <c r="G667" s="105"/>
      <c r="H667" s="105"/>
    </row>
    <row r="668">
      <c r="A668" s="105"/>
      <c r="B668" s="105"/>
      <c r="C668" s="97"/>
      <c r="D668" s="105"/>
      <c r="E668" s="105"/>
      <c r="F668" s="105"/>
      <c r="G668" s="105"/>
      <c r="H668" s="105"/>
    </row>
    <row r="669">
      <c r="A669" s="105"/>
      <c r="B669" s="105"/>
      <c r="C669" s="97"/>
      <c r="D669" s="105"/>
      <c r="E669" s="105"/>
      <c r="F669" s="105"/>
      <c r="G669" s="105"/>
      <c r="H669" s="105"/>
    </row>
    <row r="670">
      <c r="A670" s="105"/>
      <c r="B670" s="105"/>
      <c r="C670" s="97"/>
      <c r="D670" s="105"/>
      <c r="E670" s="105"/>
      <c r="F670" s="105"/>
      <c r="G670" s="105"/>
      <c r="H670" s="105"/>
    </row>
    <row r="671">
      <c r="A671" s="105"/>
      <c r="B671" s="105"/>
      <c r="C671" s="97"/>
      <c r="D671" s="105"/>
      <c r="E671" s="105"/>
      <c r="F671" s="105"/>
      <c r="G671" s="105"/>
      <c r="H671" s="105"/>
    </row>
    <row r="672">
      <c r="A672" s="105"/>
      <c r="B672" s="105"/>
      <c r="C672" s="97"/>
      <c r="D672" s="105"/>
      <c r="E672" s="105"/>
      <c r="F672" s="105"/>
      <c r="G672" s="105"/>
      <c r="H672" s="105"/>
    </row>
    <row r="673">
      <c r="A673" s="105"/>
      <c r="B673" s="105"/>
      <c r="C673" s="97"/>
      <c r="D673" s="105"/>
      <c r="E673" s="105"/>
      <c r="F673" s="105"/>
      <c r="G673" s="105"/>
      <c r="H673" s="105"/>
    </row>
    <row r="674">
      <c r="A674" s="105"/>
      <c r="B674" s="105"/>
      <c r="C674" s="97"/>
      <c r="D674" s="105"/>
      <c r="E674" s="105"/>
      <c r="F674" s="105"/>
      <c r="G674" s="105"/>
      <c r="H674" s="105"/>
    </row>
    <row r="675">
      <c r="A675" s="105"/>
      <c r="B675" s="105"/>
      <c r="C675" s="97"/>
      <c r="D675" s="105"/>
      <c r="E675" s="105"/>
      <c r="F675" s="105"/>
      <c r="G675" s="105"/>
      <c r="H675" s="105"/>
    </row>
    <row r="676">
      <c r="A676" s="105"/>
      <c r="B676" s="105"/>
      <c r="C676" s="97"/>
      <c r="D676" s="105"/>
      <c r="E676" s="105"/>
      <c r="F676" s="105"/>
      <c r="G676" s="105"/>
      <c r="H676" s="105"/>
    </row>
    <row r="677">
      <c r="A677" s="105"/>
      <c r="B677" s="105"/>
      <c r="C677" s="97"/>
      <c r="D677" s="105"/>
      <c r="E677" s="105"/>
      <c r="F677" s="105"/>
      <c r="G677" s="105"/>
      <c r="H677" s="105"/>
    </row>
    <row r="678">
      <c r="A678" s="105"/>
      <c r="B678" s="105"/>
      <c r="C678" s="97"/>
      <c r="D678" s="105"/>
      <c r="E678" s="105"/>
      <c r="F678" s="105"/>
      <c r="G678" s="105"/>
      <c r="H678" s="105"/>
    </row>
    <row r="679">
      <c r="A679" s="105"/>
      <c r="B679" s="105"/>
      <c r="C679" s="97"/>
      <c r="D679" s="105"/>
      <c r="E679" s="105"/>
      <c r="F679" s="105"/>
      <c r="G679" s="105"/>
      <c r="H679" s="105"/>
    </row>
    <row r="680">
      <c r="A680" s="105"/>
      <c r="B680" s="105"/>
      <c r="C680" s="97"/>
      <c r="D680" s="105"/>
      <c r="E680" s="105"/>
      <c r="F680" s="105"/>
      <c r="G680" s="105"/>
      <c r="H680" s="105"/>
    </row>
    <row r="681">
      <c r="A681" s="105"/>
      <c r="B681" s="105"/>
      <c r="C681" s="97"/>
      <c r="D681" s="105"/>
      <c r="E681" s="105"/>
      <c r="F681" s="105"/>
      <c r="G681" s="105"/>
      <c r="H681" s="105"/>
    </row>
    <row r="682">
      <c r="A682" s="105"/>
      <c r="B682" s="105"/>
      <c r="C682" s="97"/>
      <c r="D682" s="105"/>
      <c r="E682" s="105"/>
      <c r="F682" s="105"/>
      <c r="G682" s="105"/>
      <c r="H682" s="105"/>
    </row>
    <row r="683">
      <c r="A683" s="105"/>
      <c r="B683" s="105"/>
      <c r="C683" s="97"/>
      <c r="D683" s="105"/>
      <c r="E683" s="105"/>
      <c r="F683" s="105"/>
      <c r="G683" s="105"/>
      <c r="H683" s="105"/>
    </row>
    <row r="684">
      <c r="A684" s="105"/>
      <c r="B684" s="105"/>
      <c r="C684" s="97"/>
      <c r="D684" s="105"/>
      <c r="E684" s="105"/>
      <c r="F684" s="105"/>
      <c r="G684" s="105"/>
      <c r="H684" s="105"/>
    </row>
    <row r="685">
      <c r="A685" s="105"/>
      <c r="B685" s="105"/>
      <c r="C685" s="97"/>
      <c r="D685" s="105"/>
      <c r="E685" s="105"/>
      <c r="F685" s="105"/>
      <c r="G685" s="105"/>
      <c r="H685" s="105"/>
    </row>
    <row r="686">
      <c r="A686" s="105"/>
      <c r="B686" s="105"/>
      <c r="C686" s="97"/>
      <c r="D686" s="105"/>
      <c r="E686" s="105"/>
      <c r="F686" s="105"/>
      <c r="G686" s="105"/>
      <c r="H686" s="105"/>
    </row>
    <row r="687">
      <c r="A687" s="105"/>
      <c r="B687" s="105"/>
      <c r="C687" s="97"/>
      <c r="D687" s="105"/>
      <c r="E687" s="105"/>
      <c r="F687" s="105"/>
      <c r="G687" s="105"/>
      <c r="H687" s="105"/>
    </row>
    <row r="688">
      <c r="A688" s="105"/>
      <c r="B688" s="105"/>
      <c r="C688" s="97"/>
      <c r="D688" s="105"/>
      <c r="E688" s="105"/>
      <c r="F688" s="105"/>
      <c r="G688" s="105"/>
      <c r="H688" s="105"/>
    </row>
    <row r="689">
      <c r="A689" s="105"/>
      <c r="B689" s="105"/>
      <c r="C689" s="97"/>
      <c r="D689" s="105"/>
      <c r="E689" s="105"/>
      <c r="F689" s="105"/>
      <c r="G689" s="105"/>
      <c r="H689" s="105"/>
    </row>
    <row r="690">
      <c r="A690" s="105"/>
      <c r="B690" s="105"/>
      <c r="C690" s="97"/>
      <c r="D690" s="105"/>
      <c r="E690" s="105"/>
      <c r="F690" s="105"/>
      <c r="G690" s="105"/>
      <c r="H690" s="105"/>
    </row>
    <row r="691">
      <c r="A691" s="105"/>
      <c r="B691" s="105"/>
      <c r="C691" s="97"/>
      <c r="D691" s="105"/>
      <c r="E691" s="105"/>
      <c r="F691" s="105"/>
      <c r="G691" s="105"/>
      <c r="H691" s="105"/>
    </row>
    <row r="692">
      <c r="A692" s="105"/>
      <c r="B692" s="105"/>
      <c r="C692" s="97"/>
      <c r="D692" s="105"/>
      <c r="E692" s="105"/>
      <c r="F692" s="105"/>
      <c r="G692" s="105"/>
      <c r="H692" s="105"/>
    </row>
    <row r="693">
      <c r="A693" s="105"/>
      <c r="B693" s="105"/>
      <c r="C693" s="97"/>
      <c r="D693" s="105"/>
      <c r="E693" s="105"/>
      <c r="F693" s="105"/>
      <c r="G693" s="105"/>
      <c r="H693" s="105"/>
    </row>
    <row r="694">
      <c r="A694" s="105"/>
      <c r="B694" s="105"/>
      <c r="C694" s="97"/>
      <c r="D694" s="105"/>
      <c r="E694" s="105"/>
      <c r="F694" s="105"/>
      <c r="G694" s="105"/>
      <c r="H694" s="105"/>
    </row>
    <row r="695">
      <c r="A695" s="105"/>
      <c r="B695" s="105"/>
      <c r="C695" s="97"/>
      <c r="D695" s="105"/>
      <c r="E695" s="105"/>
      <c r="F695" s="105"/>
      <c r="G695" s="105"/>
      <c r="H695" s="105"/>
    </row>
    <row r="696">
      <c r="A696" s="105"/>
      <c r="B696" s="105"/>
      <c r="C696" s="97"/>
      <c r="D696" s="105"/>
      <c r="E696" s="105"/>
      <c r="F696" s="105"/>
      <c r="G696" s="105"/>
      <c r="H696" s="105"/>
    </row>
    <row r="697">
      <c r="A697" s="105"/>
      <c r="B697" s="105"/>
      <c r="C697" s="97"/>
      <c r="D697" s="105"/>
      <c r="E697" s="105"/>
      <c r="F697" s="105"/>
      <c r="G697" s="105"/>
      <c r="H697" s="105"/>
    </row>
    <row r="698">
      <c r="A698" s="105"/>
      <c r="B698" s="105"/>
      <c r="C698" s="97"/>
      <c r="D698" s="105"/>
      <c r="E698" s="105"/>
      <c r="F698" s="105"/>
      <c r="G698" s="105"/>
      <c r="H698" s="105"/>
    </row>
    <row r="699">
      <c r="A699" s="105"/>
      <c r="B699" s="105"/>
      <c r="C699" s="97"/>
      <c r="D699" s="105"/>
      <c r="E699" s="105"/>
      <c r="F699" s="105"/>
      <c r="G699" s="105"/>
      <c r="H699" s="105"/>
    </row>
    <row r="700">
      <c r="A700" s="105"/>
      <c r="B700" s="105"/>
      <c r="C700" s="97"/>
      <c r="D700" s="105"/>
      <c r="E700" s="105"/>
      <c r="F700" s="105"/>
      <c r="G700" s="105"/>
      <c r="H700" s="105"/>
    </row>
    <row r="701">
      <c r="A701" s="105"/>
      <c r="B701" s="105"/>
      <c r="C701" s="97"/>
      <c r="D701" s="105"/>
      <c r="E701" s="105"/>
      <c r="F701" s="105"/>
      <c r="G701" s="105"/>
      <c r="H701" s="105"/>
    </row>
    <row r="702">
      <c r="A702" s="105"/>
      <c r="B702" s="105"/>
      <c r="C702" s="97"/>
      <c r="D702" s="105"/>
      <c r="E702" s="105"/>
      <c r="F702" s="105"/>
      <c r="G702" s="105"/>
      <c r="H702" s="105"/>
    </row>
    <row r="703">
      <c r="A703" s="105"/>
      <c r="B703" s="105"/>
      <c r="C703" s="97"/>
      <c r="D703" s="105"/>
      <c r="E703" s="105"/>
      <c r="F703" s="105"/>
      <c r="G703" s="105"/>
      <c r="H703" s="105"/>
    </row>
    <row r="704">
      <c r="A704" s="105"/>
      <c r="B704" s="105"/>
      <c r="C704" s="97"/>
      <c r="D704" s="105"/>
      <c r="E704" s="105"/>
      <c r="F704" s="105"/>
      <c r="G704" s="105"/>
      <c r="H704" s="105"/>
    </row>
    <row r="705">
      <c r="A705" s="105"/>
      <c r="B705" s="105"/>
      <c r="C705" s="97"/>
      <c r="D705" s="105"/>
      <c r="E705" s="105"/>
      <c r="F705" s="105"/>
      <c r="G705" s="105"/>
      <c r="H705" s="105"/>
    </row>
    <row r="706">
      <c r="A706" s="105"/>
      <c r="B706" s="105"/>
      <c r="C706" s="97"/>
      <c r="D706" s="105"/>
      <c r="E706" s="105"/>
      <c r="F706" s="105"/>
      <c r="G706" s="105"/>
      <c r="H706" s="105"/>
    </row>
    <row r="707">
      <c r="A707" s="105"/>
      <c r="B707" s="105"/>
      <c r="C707" s="97"/>
      <c r="D707" s="105"/>
      <c r="E707" s="105"/>
      <c r="F707" s="105"/>
      <c r="G707" s="105"/>
      <c r="H707" s="105"/>
    </row>
    <row r="708">
      <c r="A708" s="105"/>
      <c r="B708" s="105"/>
      <c r="C708" s="97"/>
      <c r="D708" s="105"/>
      <c r="E708" s="105"/>
      <c r="F708" s="105"/>
      <c r="G708" s="105"/>
      <c r="H708" s="105"/>
    </row>
    <row r="709">
      <c r="A709" s="105"/>
      <c r="B709" s="105"/>
      <c r="C709" s="97"/>
      <c r="D709" s="105"/>
      <c r="E709" s="105"/>
      <c r="F709" s="105"/>
      <c r="G709" s="105"/>
      <c r="H709" s="105"/>
    </row>
    <row r="710">
      <c r="A710" s="105"/>
      <c r="B710" s="105"/>
      <c r="C710" s="97"/>
      <c r="D710" s="105"/>
      <c r="E710" s="105"/>
      <c r="F710" s="105"/>
      <c r="G710" s="105"/>
      <c r="H710" s="105"/>
    </row>
    <row r="711">
      <c r="A711" s="105"/>
      <c r="B711" s="105"/>
      <c r="C711" s="97"/>
      <c r="D711" s="105"/>
      <c r="E711" s="105"/>
      <c r="F711" s="105"/>
      <c r="G711" s="105"/>
      <c r="H711" s="105"/>
    </row>
    <row r="712">
      <c r="A712" s="105"/>
      <c r="B712" s="105"/>
      <c r="C712" s="97"/>
      <c r="D712" s="105"/>
      <c r="E712" s="105"/>
      <c r="F712" s="105"/>
      <c r="G712" s="105"/>
      <c r="H712" s="105"/>
    </row>
    <row r="713">
      <c r="A713" s="105"/>
      <c r="B713" s="105"/>
      <c r="C713" s="97"/>
      <c r="D713" s="105"/>
      <c r="E713" s="105"/>
      <c r="F713" s="105"/>
      <c r="G713" s="105"/>
      <c r="H713" s="105"/>
    </row>
    <row r="714">
      <c r="A714" s="105"/>
      <c r="B714" s="105"/>
      <c r="C714" s="97"/>
      <c r="D714" s="105"/>
      <c r="E714" s="105"/>
      <c r="F714" s="105"/>
      <c r="G714" s="105"/>
      <c r="H714" s="105"/>
    </row>
    <row r="715">
      <c r="A715" s="105"/>
      <c r="B715" s="105"/>
      <c r="C715" s="97"/>
      <c r="D715" s="105"/>
      <c r="E715" s="105"/>
      <c r="F715" s="105"/>
      <c r="G715" s="105"/>
      <c r="H715" s="105"/>
    </row>
    <row r="716">
      <c r="A716" s="105"/>
      <c r="B716" s="105"/>
      <c r="C716" s="97"/>
      <c r="D716" s="105"/>
      <c r="E716" s="105"/>
      <c r="F716" s="105"/>
      <c r="G716" s="105"/>
      <c r="H716" s="105"/>
    </row>
    <row r="717">
      <c r="A717" s="105"/>
      <c r="B717" s="105"/>
      <c r="C717" s="97"/>
      <c r="D717" s="105"/>
      <c r="E717" s="105"/>
      <c r="F717" s="105"/>
      <c r="G717" s="105"/>
      <c r="H717" s="105"/>
    </row>
    <row r="718">
      <c r="A718" s="105"/>
      <c r="B718" s="105"/>
      <c r="C718" s="97"/>
      <c r="D718" s="105"/>
      <c r="E718" s="105"/>
      <c r="F718" s="105"/>
      <c r="G718" s="105"/>
      <c r="H718" s="105"/>
    </row>
    <row r="719">
      <c r="A719" s="105"/>
      <c r="B719" s="105"/>
      <c r="C719" s="97"/>
      <c r="D719" s="105"/>
      <c r="E719" s="105"/>
      <c r="F719" s="105"/>
      <c r="G719" s="105"/>
      <c r="H719" s="105"/>
    </row>
    <row r="720">
      <c r="A720" s="105"/>
      <c r="B720" s="105"/>
      <c r="C720" s="97"/>
      <c r="D720" s="105"/>
      <c r="E720" s="105"/>
      <c r="F720" s="105"/>
      <c r="G720" s="105"/>
      <c r="H720" s="105"/>
    </row>
    <row r="721">
      <c r="A721" s="105"/>
      <c r="B721" s="105"/>
      <c r="C721" s="97"/>
      <c r="D721" s="105"/>
      <c r="E721" s="105"/>
      <c r="F721" s="105"/>
      <c r="G721" s="105"/>
      <c r="H721" s="105"/>
    </row>
    <row r="722">
      <c r="A722" s="105"/>
      <c r="B722" s="105"/>
      <c r="C722" s="97"/>
      <c r="D722" s="105"/>
      <c r="E722" s="105"/>
      <c r="F722" s="105"/>
      <c r="G722" s="105"/>
      <c r="H722" s="105"/>
    </row>
    <row r="723">
      <c r="A723" s="105"/>
      <c r="B723" s="105"/>
      <c r="C723" s="97"/>
      <c r="D723" s="105"/>
      <c r="E723" s="105"/>
      <c r="F723" s="105"/>
      <c r="G723" s="105"/>
      <c r="H723" s="105"/>
    </row>
    <row r="724">
      <c r="A724" s="105"/>
      <c r="B724" s="105"/>
      <c r="C724" s="97"/>
      <c r="D724" s="105"/>
      <c r="E724" s="105"/>
      <c r="F724" s="105"/>
      <c r="G724" s="105"/>
      <c r="H724" s="105"/>
    </row>
    <row r="725">
      <c r="A725" s="105"/>
      <c r="B725" s="105"/>
      <c r="C725" s="97"/>
      <c r="D725" s="105"/>
      <c r="E725" s="105"/>
      <c r="F725" s="105"/>
      <c r="G725" s="105"/>
      <c r="H725" s="105"/>
    </row>
    <row r="726">
      <c r="A726" s="105"/>
      <c r="B726" s="105"/>
      <c r="C726" s="97"/>
      <c r="D726" s="105"/>
      <c r="E726" s="105"/>
      <c r="F726" s="105"/>
      <c r="G726" s="105"/>
      <c r="H726" s="105"/>
    </row>
    <row r="727">
      <c r="A727" s="105"/>
      <c r="B727" s="105"/>
      <c r="C727" s="97"/>
      <c r="D727" s="105"/>
      <c r="E727" s="105"/>
      <c r="F727" s="105"/>
      <c r="G727" s="105"/>
      <c r="H727" s="105"/>
    </row>
    <row r="728">
      <c r="A728" s="105"/>
      <c r="B728" s="105"/>
      <c r="C728" s="97"/>
      <c r="D728" s="105"/>
      <c r="E728" s="105"/>
      <c r="F728" s="105"/>
      <c r="G728" s="105"/>
      <c r="H728" s="105"/>
    </row>
    <row r="729">
      <c r="A729" s="105"/>
      <c r="B729" s="105"/>
      <c r="C729" s="97"/>
      <c r="D729" s="105"/>
      <c r="E729" s="105"/>
      <c r="F729" s="105"/>
      <c r="G729" s="105"/>
      <c r="H729" s="105"/>
    </row>
    <row r="730">
      <c r="A730" s="105"/>
      <c r="B730" s="105"/>
      <c r="C730" s="97"/>
      <c r="D730" s="105"/>
      <c r="E730" s="105"/>
      <c r="F730" s="105"/>
      <c r="G730" s="105"/>
      <c r="H730" s="105"/>
    </row>
    <row r="731">
      <c r="A731" s="105"/>
      <c r="B731" s="105"/>
      <c r="C731" s="97"/>
      <c r="D731" s="105"/>
      <c r="E731" s="105"/>
      <c r="F731" s="105"/>
      <c r="G731" s="105"/>
      <c r="H731" s="105"/>
    </row>
    <row r="732">
      <c r="A732" s="105"/>
      <c r="B732" s="105"/>
      <c r="C732" s="97"/>
      <c r="D732" s="105"/>
      <c r="E732" s="105"/>
      <c r="F732" s="105"/>
      <c r="G732" s="105"/>
      <c r="H732" s="105"/>
    </row>
    <row r="733">
      <c r="A733" s="105"/>
      <c r="B733" s="105"/>
      <c r="C733" s="97"/>
      <c r="D733" s="105"/>
      <c r="E733" s="105"/>
      <c r="F733" s="105"/>
      <c r="G733" s="105"/>
      <c r="H733" s="105"/>
    </row>
    <row r="734">
      <c r="A734" s="105"/>
      <c r="B734" s="105"/>
      <c r="C734" s="97"/>
      <c r="D734" s="105"/>
      <c r="E734" s="105"/>
      <c r="F734" s="105"/>
      <c r="G734" s="105"/>
      <c r="H734" s="105"/>
    </row>
    <row r="735">
      <c r="A735" s="105"/>
      <c r="B735" s="105"/>
      <c r="C735" s="97"/>
      <c r="D735" s="105"/>
      <c r="E735" s="105"/>
      <c r="F735" s="105"/>
      <c r="G735" s="105"/>
      <c r="H735" s="105"/>
    </row>
    <row r="736">
      <c r="A736" s="105"/>
      <c r="B736" s="105"/>
      <c r="C736" s="97"/>
      <c r="D736" s="105"/>
      <c r="E736" s="105"/>
      <c r="F736" s="105"/>
      <c r="G736" s="105"/>
      <c r="H736" s="105"/>
    </row>
    <row r="737">
      <c r="A737" s="105"/>
      <c r="B737" s="105"/>
      <c r="C737" s="97"/>
      <c r="D737" s="105"/>
      <c r="E737" s="105"/>
      <c r="F737" s="105"/>
      <c r="G737" s="105"/>
      <c r="H737" s="105"/>
    </row>
    <row r="738">
      <c r="A738" s="105"/>
      <c r="B738" s="105"/>
      <c r="C738" s="97"/>
      <c r="D738" s="105"/>
      <c r="E738" s="105"/>
      <c r="F738" s="105"/>
      <c r="G738" s="105"/>
      <c r="H738" s="105"/>
    </row>
    <row r="739">
      <c r="A739" s="105"/>
      <c r="B739" s="105"/>
      <c r="C739" s="97"/>
      <c r="D739" s="105"/>
      <c r="E739" s="105"/>
      <c r="F739" s="105"/>
      <c r="G739" s="105"/>
      <c r="H739" s="105"/>
    </row>
    <row r="740">
      <c r="A740" s="105"/>
      <c r="B740" s="105"/>
      <c r="C740" s="97"/>
      <c r="D740" s="105"/>
      <c r="E740" s="105"/>
      <c r="F740" s="105"/>
      <c r="G740" s="105"/>
      <c r="H740" s="105"/>
    </row>
    <row r="741">
      <c r="A741" s="105"/>
      <c r="B741" s="105"/>
      <c r="C741" s="97"/>
      <c r="D741" s="105"/>
      <c r="E741" s="105"/>
      <c r="F741" s="105"/>
      <c r="G741" s="105"/>
      <c r="H741" s="105"/>
    </row>
    <row r="742">
      <c r="A742" s="105"/>
      <c r="B742" s="105"/>
      <c r="C742" s="97"/>
      <c r="D742" s="105"/>
      <c r="E742" s="105"/>
      <c r="F742" s="105"/>
      <c r="G742" s="105"/>
      <c r="H742" s="105"/>
    </row>
    <row r="743">
      <c r="A743" s="105"/>
      <c r="B743" s="105"/>
      <c r="C743" s="97"/>
      <c r="D743" s="105"/>
      <c r="E743" s="105"/>
      <c r="F743" s="105"/>
      <c r="G743" s="105"/>
      <c r="H743" s="105"/>
    </row>
    <row r="744">
      <c r="A744" s="105"/>
      <c r="B744" s="105"/>
      <c r="C744" s="97"/>
      <c r="D744" s="105"/>
      <c r="E744" s="105"/>
      <c r="F744" s="105"/>
      <c r="G744" s="105"/>
      <c r="H744" s="105"/>
    </row>
    <row r="745">
      <c r="A745" s="105"/>
      <c r="B745" s="105"/>
      <c r="C745" s="97"/>
      <c r="D745" s="105"/>
      <c r="E745" s="105"/>
      <c r="F745" s="105"/>
      <c r="G745" s="105"/>
      <c r="H745" s="105"/>
    </row>
    <row r="746">
      <c r="A746" s="105"/>
      <c r="B746" s="105"/>
      <c r="C746" s="97"/>
      <c r="D746" s="105"/>
      <c r="E746" s="105"/>
      <c r="F746" s="105"/>
      <c r="G746" s="105"/>
      <c r="H746" s="105"/>
    </row>
    <row r="747">
      <c r="A747" s="105"/>
      <c r="B747" s="105"/>
      <c r="C747" s="97"/>
      <c r="D747" s="105"/>
      <c r="E747" s="105"/>
      <c r="F747" s="105"/>
      <c r="G747" s="105"/>
      <c r="H747" s="105"/>
    </row>
    <row r="748">
      <c r="A748" s="105"/>
      <c r="B748" s="105"/>
      <c r="C748" s="97"/>
      <c r="D748" s="105"/>
      <c r="E748" s="105"/>
      <c r="F748" s="105"/>
      <c r="G748" s="105"/>
      <c r="H748" s="105"/>
    </row>
    <row r="749">
      <c r="A749" s="105"/>
      <c r="B749" s="105"/>
      <c r="C749" s="97"/>
      <c r="D749" s="105"/>
      <c r="E749" s="105"/>
      <c r="F749" s="105"/>
      <c r="G749" s="105"/>
      <c r="H749" s="105"/>
    </row>
    <row r="750">
      <c r="A750" s="105"/>
      <c r="B750" s="105"/>
      <c r="C750" s="97"/>
      <c r="D750" s="105"/>
      <c r="E750" s="105"/>
      <c r="F750" s="105"/>
      <c r="G750" s="105"/>
      <c r="H750" s="105"/>
    </row>
    <row r="751">
      <c r="A751" s="105"/>
      <c r="B751" s="105"/>
      <c r="C751" s="97"/>
      <c r="D751" s="105"/>
      <c r="E751" s="105"/>
      <c r="F751" s="105"/>
      <c r="G751" s="105"/>
      <c r="H751" s="105"/>
    </row>
    <row r="752">
      <c r="A752" s="105"/>
      <c r="B752" s="105"/>
      <c r="C752" s="97"/>
      <c r="D752" s="105"/>
      <c r="E752" s="105"/>
      <c r="F752" s="105"/>
      <c r="G752" s="105"/>
      <c r="H752" s="105"/>
    </row>
    <row r="753">
      <c r="A753" s="105"/>
      <c r="B753" s="105"/>
      <c r="C753" s="97"/>
      <c r="D753" s="105"/>
      <c r="E753" s="105"/>
      <c r="F753" s="105"/>
      <c r="G753" s="105"/>
      <c r="H753" s="105"/>
    </row>
    <row r="754">
      <c r="A754" s="105"/>
      <c r="B754" s="105"/>
      <c r="C754" s="97"/>
      <c r="D754" s="105"/>
      <c r="E754" s="105"/>
      <c r="F754" s="105"/>
      <c r="G754" s="105"/>
      <c r="H754" s="105"/>
    </row>
    <row r="755">
      <c r="A755" s="105"/>
      <c r="B755" s="105"/>
      <c r="C755" s="97"/>
      <c r="D755" s="105"/>
      <c r="E755" s="105"/>
      <c r="F755" s="105"/>
      <c r="G755" s="105"/>
      <c r="H755" s="105"/>
    </row>
    <row r="756">
      <c r="A756" s="105"/>
      <c r="B756" s="105"/>
      <c r="C756" s="97"/>
      <c r="D756" s="105"/>
      <c r="E756" s="105"/>
      <c r="F756" s="105"/>
      <c r="G756" s="105"/>
      <c r="H756" s="105"/>
    </row>
    <row r="757">
      <c r="A757" s="105"/>
      <c r="B757" s="105"/>
      <c r="C757" s="97"/>
      <c r="D757" s="105"/>
      <c r="E757" s="105"/>
      <c r="F757" s="105"/>
      <c r="G757" s="105"/>
      <c r="H757" s="105"/>
    </row>
    <row r="758">
      <c r="A758" s="105"/>
      <c r="B758" s="105"/>
      <c r="C758" s="97"/>
      <c r="D758" s="105"/>
      <c r="E758" s="105"/>
      <c r="F758" s="105"/>
      <c r="G758" s="105"/>
      <c r="H758" s="105"/>
    </row>
    <row r="759">
      <c r="A759" s="105"/>
      <c r="B759" s="105"/>
      <c r="C759" s="97"/>
      <c r="D759" s="105"/>
      <c r="E759" s="105"/>
      <c r="F759" s="105"/>
      <c r="G759" s="105"/>
      <c r="H759" s="105"/>
    </row>
    <row r="760">
      <c r="A760" s="105"/>
      <c r="B760" s="105"/>
      <c r="C760" s="97"/>
      <c r="D760" s="105"/>
      <c r="E760" s="105"/>
      <c r="F760" s="105"/>
      <c r="G760" s="105"/>
      <c r="H760" s="105"/>
    </row>
    <row r="761">
      <c r="A761" s="105"/>
      <c r="B761" s="105"/>
      <c r="C761" s="97"/>
      <c r="D761" s="105"/>
      <c r="E761" s="105"/>
      <c r="F761" s="105"/>
      <c r="G761" s="105"/>
      <c r="H761" s="105"/>
    </row>
    <row r="762">
      <c r="A762" s="105"/>
      <c r="B762" s="105"/>
      <c r="C762" s="97"/>
      <c r="D762" s="105"/>
      <c r="E762" s="105"/>
      <c r="F762" s="105"/>
      <c r="G762" s="105"/>
      <c r="H762" s="105"/>
    </row>
    <row r="763">
      <c r="A763" s="105"/>
      <c r="B763" s="105"/>
      <c r="C763" s="97"/>
      <c r="D763" s="105"/>
      <c r="E763" s="105"/>
      <c r="F763" s="105"/>
      <c r="G763" s="105"/>
      <c r="H763" s="105"/>
    </row>
    <row r="764">
      <c r="A764" s="105"/>
      <c r="B764" s="105"/>
      <c r="C764" s="97"/>
      <c r="D764" s="105"/>
      <c r="E764" s="105"/>
      <c r="F764" s="105"/>
      <c r="G764" s="105"/>
      <c r="H764" s="105"/>
    </row>
    <row r="765">
      <c r="A765" s="105"/>
      <c r="B765" s="105"/>
      <c r="C765" s="97"/>
      <c r="D765" s="105"/>
      <c r="E765" s="105"/>
      <c r="F765" s="105"/>
      <c r="G765" s="105"/>
      <c r="H765" s="105"/>
    </row>
    <row r="766">
      <c r="A766" s="105"/>
      <c r="B766" s="105"/>
      <c r="C766" s="97"/>
      <c r="D766" s="105"/>
      <c r="E766" s="105"/>
      <c r="F766" s="105"/>
      <c r="G766" s="105"/>
      <c r="H766" s="105"/>
    </row>
    <row r="767">
      <c r="A767" s="105"/>
      <c r="B767" s="105"/>
      <c r="C767" s="97"/>
      <c r="D767" s="105"/>
      <c r="E767" s="105"/>
      <c r="F767" s="105"/>
      <c r="G767" s="105"/>
      <c r="H767" s="105"/>
    </row>
    <row r="768">
      <c r="A768" s="105"/>
      <c r="B768" s="105"/>
      <c r="C768" s="97"/>
      <c r="D768" s="105"/>
      <c r="E768" s="105"/>
      <c r="F768" s="105"/>
      <c r="G768" s="105"/>
      <c r="H768" s="105"/>
    </row>
    <row r="769">
      <c r="A769" s="105"/>
      <c r="B769" s="105"/>
      <c r="C769" s="97"/>
      <c r="D769" s="105"/>
      <c r="E769" s="105"/>
      <c r="F769" s="105"/>
      <c r="G769" s="105"/>
      <c r="H769" s="105"/>
    </row>
    <row r="770">
      <c r="A770" s="105"/>
      <c r="B770" s="105"/>
      <c r="C770" s="97"/>
      <c r="D770" s="105"/>
      <c r="E770" s="105"/>
      <c r="F770" s="105"/>
      <c r="G770" s="105"/>
      <c r="H770" s="105"/>
    </row>
    <row r="771">
      <c r="A771" s="105"/>
      <c r="B771" s="105"/>
      <c r="C771" s="97"/>
      <c r="D771" s="105"/>
      <c r="E771" s="105"/>
      <c r="F771" s="105"/>
      <c r="G771" s="105"/>
      <c r="H771" s="105"/>
    </row>
    <row r="772">
      <c r="A772" s="105"/>
      <c r="B772" s="105"/>
      <c r="C772" s="97"/>
      <c r="D772" s="105"/>
      <c r="E772" s="105"/>
      <c r="F772" s="105"/>
      <c r="G772" s="105"/>
      <c r="H772" s="105"/>
    </row>
    <row r="773">
      <c r="A773" s="105"/>
      <c r="B773" s="105"/>
      <c r="C773" s="97"/>
      <c r="D773" s="105"/>
      <c r="E773" s="105"/>
      <c r="F773" s="105"/>
      <c r="G773" s="105"/>
      <c r="H773" s="105"/>
    </row>
    <row r="774">
      <c r="A774" s="105"/>
      <c r="B774" s="105"/>
      <c r="C774" s="97"/>
      <c r="D774" s="105"/>
      <c r="E774" s="105"/>
      <c r="F774" s="105"/>
      <c r="G774" s="105"/>
      <c r="H774" s="105"/>
    </row>
    <row r="775">
      <c r="A775" s="105"/>
      <c r="B775" s="105"/>
      <c r="C775" s="97"/>
      <c r="D775" s="105"/>
      <c r="E775" s="105"/>
      <c r="F775" s="105"/>
      <c r="G775" s="105"/>
      <c r="H775" s="105"/>
    </row>
    <row r="776">
      <c r="A776" s="105"/>
      <c r="B776" s="105"/>
      <c r="C776" s="97"/>
      <c r="D776" s="105"/>
      <c r="E776" s="105"/>
      <c r="F776" s="105"/>
      <c r="G776" s="105"/>
      <c r="H776" s="105"/>
    </row>
    <row r="777">
      <c r="A777" s="105"/>
      <c r="B777" s="105"/>
      <c r="C777" s="97"/>
      <c r="D777" s="105"/>
      <c r="E777" s="105"/>
      <c r="F777" s="105"/>
      <c r="G777" s="105"/>
      <c r="H777" s="105"/>
    </row>
    <row r="778">
      <c r="A778" s="105"/>
      <c r="B778" s="105"/>
      <c r="C778" s="97"/>
      <c r="D778" s="105"/>
      <c r="E778" s="105"/>
      <c r="F778" s="105"/>
      <c r="G778" s="105"/>
      <c r="H778" s="105"/>
    </row>
    <row r="779">
      <c r="A779" s="105"/>
      <c r="B779" s="105"/>
      <c r="C779" s="97"/>
      <c r="D779" s="105"/>
      <c r="E779" s="105"/>
      <c r="F779" s="105"/>
      <c r="G779" s="105"/>
      <c r="H779" s="105"/>
    </row>
    <row r="780">
      <c r="A780" s="105"/>
      <c r="B780" s="105"/>
      <c r="C780" s="97"/>
      <c r="D780" s="105"/>
      <c r="E780" s="105"/>
      <c r="F780" s="105"/>
      <c r="G780" s="105"/>
      <c r="H780" s="105"/>
    </row>
    <row r="781">
      <c r="A781" s="105"/>
      <c r="B781" s="105"/>
      <c r="C781" s="97"/>
      <c r="D781" s="105"/>
      <c r="E781" s="105"/>
      <c r="F781" s="105"/>
      <c r="G781" s="105"/>
      <c r="H781" s="105"/>
    </row>
    <row r="782">
      <c r="A782" s="105"/>
      <c r="B782" s="105"/>
      <c r="C782" s="97"/>
      <c r="D782" s="105"/>
      <c r="E782" s="105"/>
      <c r="F782" s="105"/>
      <c r="G782" s="105"/>
      <c r="H782" s="105"/>
    </row>
    <row r="783">
      <c r="A783" s="105"/>
      <c r="B783" s="105"/>
      <c r="C783" s="97"/>
      <c r="D783" s="105"/>
      <c r="E783" s="105"/>
      <c r="F783" s="105"/>
      <c r="G783" s="105"/>
      <c r="H783" s="105"/>
    </row>
    <row r="784">
      <c r="A784" s="105"/>
      <c r="B784" s="105"/>
      <c r="C784" s="97"/>
      <c r="D784" s="105"/>
      <c r="E784" s="105"/>
      <c r="F784" s="105"/>
      <c r="G784" s="105"/>
      <c r="H784" s="105"/>
    </row>
    <row r="785">
      <c r="A785" s="105"/>
      <c r="B785" s="105"/>
      <c r="C785" s="97"/>
      <c r="D785" s="105"/>
      <c r="E785" s="105"/>
      <c r="F785" s="105"/>
      <c r="G785" s="105"/>
      <c r="H785" s="105"/>
    </row>
    <row r="786">
      <c r="A786" s="105"/>
      <c r="B786" s="105"/>
      <c r="C786" s="97"/>
      <c r="D786" s="105"/>
      <c r="E786" s="105"/>
      <c r="F786" s="105"/>
      <c r="G786" s="105"/>
      <c r="H786" s="105"/>
    </row>
    <row r="787">
      <c r="A787" s="105"/>
      <c r="B787" s="105"/>
      <c r="C787" s="97"/>
      <c r="D787" s="105"/>
      <c r="E787" s="105"/>
      <c r="F787" s="105"/>
      <c r="G787" s="105"/>
      <c r="H787" s="105"/>
    </row>
    <row r="788">
      <c r="A788" s="105"/>
      <c r="B788" s="105"/>
      <c r="C788" s="97"/>
      <c r="D788" s="105"/>
      <c r="E788" s="105"/>
      <c r="F788" s="105"/>
      <c r="G788" s="105"/>
      <c r="H788" s="105"/>
    </row>
    <row r="789">
      <c r="A789" s="105"/>
      <c r="B789" s="105"/>
      <c r="C789" s="97"/>
      <c r="D789" s="105"/>
      <c r="E789" s="105"/>
      <c r="F789" s="105"/>
      <c r="G789" s="105"/>
      <c r="H789" s="105"/>
    </row>
    <row r="790">
      <c r="A790" s="105"/>
      <c r="B790" s="105"/>
      <c r="C790" s="97"/>
      <c r="D790" s="105"/>
      <c r="E790" s="105"/>
      <c r="F790" s="105"/>
      <c r="G790" s="105"/>
      <c r="H790" s="105"/>
    </row>
    <row r="791">
      <c r="A791" s="105"/>
      <c r="B791" s="105"/>
      <c r="C791" s="97"/>
      <c r="D791" s="105"/>
      <c r="E791" s="105"/>
      <c r="F791" s="105"/>
      <c r="G791" s="105"/>
      <c r="H791" s="105"/>
    </row>
    <row r="792">
      <c r="A792" s="105"/>
      <c r="B792" s="105"/>
      <c r="C792" s="97"/>
      <c r="D792" s="105"/>
      <c r="E792" s="105"/>
      <c r="F792" s="105"/>
      <c r="G792" s="105"/>
      <c r="H792" s="105"/>
    </row>
    <row r="793">
      <c r="A793" s="105"/>
      <c r="B793" s="105"/>
      <c r="C793" s="97"/>
      <c r="D793" s="105"/>
      <c r="E793" s="105"/>
      <c r="F793" s="105"/>
      <c r="G793" s="105"/>
      <c r="H793" s="105"/>
    </row>
    <row r="794">
      <c r="A794" s="105"/>
      <c r="B794" s="105"/>
      <c r="C794" s="97"/>
      <c r="D794" s="105"/>
      <c r="E794" s="105"/>
      <c r="F794" s="105"/>
      <c r="G794" s="105"/>
      <c r="H794" s="105"/>
    </row>
    <row r="795">
      <c r="A795" s="105"/>
      <c r="B795" s="105"/>
      <c r="C795" s="97"/>
      <c r="D795" s="105"/>
      <c r="E795" s="105"/>
      <c r="F795" s="105"/>
      <c r="G795" s="105"/>
      <c r="H795" s="105"/>
    </row>
    <row r="796">
      <c r="A796" s="105"/>
      <c r="B796" s="105"/>
      <c r="C796" s="97"/>
      <c r="D796" s="105"/>
      <c r="E796" s="105"/>
      <c r="F796" s="105"/>
      <c r="G796" s="105"/>
      <c r="H796" s="105"/>
    </row>
    <row r="797">
      <c r="A797" s="105"/>
      <c r="B797" s="105"/>
      <c r="C797" s="97"/>
      <c r="D797" s="105"/>
      <c r="E797" s="105"/>
      <c r="F797" s="105"/>
      <c r="G797" s="105"/>
      <c r="H797" s="105"/>
    </row>
    <row r="798">
      <c r="A798" s="105"/>
      <c r="B798" s="105"/>
      <c r="C798" s="97"/>
      <c r="D798" s="105"/>
      <c r="E798" s="105"/>
      <c r="F798" s="105"/>
      <c r="G798" s="105"/>
      <c r="H798" s="105"/>
    </row>
    <row r="799">
      <c r="A799" s="105"/>
      <c r="B799" s="105"/>
      <c r="C799" s="97"/>
      <c r="D799" s="105"/>
      <c r="E799" s="105"/>
      <c r="F799" s="105"/>
      <c r="G799" s="105"/>
      <c r="H799" s="105"/>
    </row>
    <row r="800">
      <c r="A800" s="105"/>
      <c r="B800" s="105"/>
      <c r="C800" s="97"/>
      <c r="D800" s="105"/>
      <c r="E800" s="105"/>
      <c r="F800" s="105"/>
      <c r="G800" s="105"/>
      <c r="H800" s="105"/>
    </row>
    <row r="801">
      <c r="A801" s="105"/>
      <c r="B801" s="105"/>
      <c r="C801" s="97"/>
      <c r="D801" s="105"/>
      <c r="E801" s="105"/>
      <c r="F801" s="105"/>
      <c r="G801" s="105"/>
      <c r="H801" s="105"/>
    </row>
    <row r="802">
      <c r="A802" s="105"/>
      <c r="B802" s="105"/>
      <c r="C802" s="97"/>
      <c r="D802" s="105"/>
      <c r="E802" s="105"/>
      <c r="F802" s="105"/>
      <c r="G802" s="105"/>
      <c r="H802" s="105"/>
    </row>
    <row r="803">
      <c r="A803" s="105"/>
      <c r="B803" s="105"/>
      <c r="C803" s="97"/>
      <c r="D803" s="105"/>
      <c r="E803" s="105"/>
      <c r="F803" s="105"/>
      <c r="G803" s="105"/>
      <c r="H803" s="105"/>
    </row>
    <row r="804">
      <c r="A804" s="105"/>
      <c r="B804" s="105"/>
      <c r="C804" s="97"/>
      <c r="D804" s="105"/>
      <c r="E804" s="105"/>
      <c r="F804" s="105"/>
      <c r="G804" s="105"/>
      <c r="H804" s="105"/>
    </row>
    <row r="805">
      <c r="A805" s="105"/>
      <c r="B805" s="105"/>
      <c r="C805" s="97"/>
      <c r="D805" s="105"/>
      <c r="E805" s="105"/>
      <c r="F805" s="105"/>
      <c r="G805" s="105"/>
      <c r="H805" s="105"/>
    </row>
    <row r="806">
      <c r="A806" s="105"/>
      <c r="B806" s="105"/>
      <c r="C806" s="97"/>
      <c r="D806" s="105"/>
      <c r="E806" s="105"/>
      <c r="F806" s="105"/>
      <c r="G806" s="105"/>
      <c r="H806" s="105"/>
    </row>
    <row r="807">
      <c r="A807" s="105"/>
      <c r="B807" s="105"/>
      <c r="C807" s="97"/>
      <c r="D807" s="105"/>
      <c r="E807" s="105"/>
      <c r="F807" s="105"/>
      <c r="G807" s="105"/>
      <c r="H807" s="105"/>
    </row>
    <row r="808">
      <c r="A808" s="105"/>
      <c r="B808" s="105"/>
      <c r="C808" s="97"/>
      <c r="D808" s="105"/>
      <c r="E808" s="105"/>
      <c r="F808" s="105"/>
      <c r="G808" s="105"/>
      <c r="H808" s="105"/>
    </row>
    <row r="809">
      <c r="A809" s="105"/>
      <c r="B809" s="105"/>
      <c r="C809" s="97"/>
      <c r="D809" s="105"/>
      <c r="E809" s="105"/>
      <c r="F809" s="105"/>
      <c r="G809" s="105"/>
      <c r="H809" s="105"/>
    </row>
    <row r="810">
      <c r="A810" s="105"/>
      <c r="B810" s="105"/>
      <c r="C810" s="97"/>
      <c r="D810" s="105"/>
      <c r="E810" s="105"/>
      <c r="F810" s="105"/>
      <c r="G810" s="105"/>
      <c r="H810" s="105"/>
    </row>
    <row r="811">
      <c r="A811" s="105"/>
      <c r="B811" s="105"/>
      <c r="C811" s="97"/>
      <c r="D811" s="105"/>
      <c r="E811" s="105"/>
      <c r="F811" s="105"/>
      <c r="G811" s="105"/>
      <c r="H811" s="105"/>
    </row>
    <row r="812">
      <c r="A812" s="105"/>
      <c r="B812" s="105"/>
      <c r="C812" s="97"/>
      <c r="D812" s="105"/>
      <c r="E812" s="105"/>
      <c r="F812" s="105"/>
      <c r="G812" s="105"/>
      <c r="H812" s="105"/>
    </row>
    <row r="813">
      <c r="A813" s="105"/>
      <c r="B813" s="105"/>
      <c r="C813" s="97"/>
      <c r="D813" s="105"/>
      <c r="E813" s="105"/>
      <c r="F813" s="105"/>
      <c r="G813" s="105"/>
      <c r="H813" s="105"/>
    </row>
    <row r="814">
      <c r="A814" s="105"/>
      <c r="B814" s="105"/>
      <c r="C814" s="97"/>
      <c r="D814" s="105"/>
      <c r="E814" s="105"/>
      <c r="F814" s="105"/>
      <c r="G814" s="105"/>
      <c r="H814" s="105"/>
    </row>
    <row r="815">
      <c r="A815" s="105"/>
      <c r="B815" s="105"/>
      <c r="C815" s="97"/>
      <c r="D815" s="105"/>
      <c r="E815" s="105"/>
      <c r="F815" s="105"/>
      <c r="G815" s="105"/>
      <c r="H815" s="105"/>
    </row>
    <row r="816">
      <c r="A816" s="105"/>
      <c r="B816" s="105"/>
      <c r="C816" s="97"/>
      <c r="D816" s="105"/>
      <c r="E816" s="105"/>
      <c r="F816" s="105"/>
      <c r="G816" s="105"/>
      <c r="H816" s="105"/>
    </row>
    <row r="817">
      <c r="A817" s="105"/>
      <c r="B817" s="105"/>
      <c r="C817" s="97"/>
      <c r="D817" s="105"/>
      <c r="E817" s="105"/>
      <c r="F817" s="105"/>
      <c r="G817" s="105"/>
      <c r="H817" s="105"/>
    </row>
    <row r="818">
      <c r="A818" s="105"/>
      <c r="B818" s="105"/>
      <c r="C818" s="97"/>
      <c r="D818" s="105"/>
      <c r="E818" s="105"/>
      <c r="F818" s="105"/>
      <c r="G818" s="105"/>
      <c r="H818" s="105"/>
    </row>
    <row r="819">
      <c r="A819" s="105"/>
      <c r="B819" s="105"/>
      <c r="C819" s="97"/>
      <c r="D819" s="105"/>
      <c r="E819" s="105"/>
      <c r="F819" s="105"/>
      <c r="G819" s="105"/>
      <c r="H819" s="105"/>
    </row>
    <row r="820">
      <c r="A820" s="105"/>
      <c r="B820" s="105"/>
      <c r="C820" s="97"/>
      <c r="D820" s="105"/>
      <c r="E820" s="105"/>
      <c r="F820" s="105"/>
      <c r="G820" s="105"/>
      <c r="H820" s="105"/>
    </row>
    <row r="821">
      <c r="A821" s="105"/>
      <c r="B821" s="105"/>
      <c r="C821" s="97"/>
      <c r="D821" s="105"/>
      <c r="E821" s="105"/>
      <c r="F821" s="105"/>
      <c r="G821" s="105"/>
      <c r="H821" s="105"/>
    </row>
    <row r="822">
      <c r="A822" s="105"/>
      <c r="B822" s="105"/>
      <c r="C822" s="97"/>
      <c r="D822" s="105"/>
      <c r="E822" s="105"/>
      <c r="F822" s="105"/>
      <c r="G822" s="105"/>
      <c r="H822" s="105"/>
    </row>
    <row r="823">
      <c r="A823" s="105"/>
      <c r="B823" s="105"/>
      <c r="C823" s="97"/>
      <c r="D823" s="105"/>
      <c r="E823" s="105"/>
      <c r="F823" s="105"/>
      <c r="G823" s="105"/>
      <c r="H823" s="105"/>
    </row>
    <row r="824">
      <c r="A824" s="105"/>
      <c r="B824" s="105"/>
      <c r="C824" s="97"/>
      <c r="D824" s="105"/>
      <c r="E824" s="105"/>
      <c r="F824" s="105"/>
      <c r="G824" s="105"/>
      <c r="H824" s="105"/>
    </row>
    <row r="825">
      <c r="A825" s="105"/>
      <c r="B825" s="105"/>
      <c r="C825" s="97"/>
      <c r="D825" s="105"/>
      <c r="E825" s="105"/>
      <c r="F825" s="105"/>
      <c r="G825" s="105"/>
      <c r="H825" s="105"/>
    </row>
    <row r="826">
      <c r="A826" s="105"/>
      <c r="B826" s="105"/>
      <c r="C826" s="97"/>
      <c r="D826" s="105"/>
      <c r="E826" s="105"/>
      <c r="F826" s="105"/>
      <c r="G826" s="105"/>
      <c r="H826" s="105"/>
    </row>
    <row r="827">
      <c r="A827" s="105"/>
      <c r="B827" s="105"/>
      <c r="C827" s="97"/>
      <c r="D827" s="105"/>
      <c r="E827" s="105"/>
      <c r="F827" s="105"/>
      <c r="G827" s="105"/>
      <c r="H827" s="105"/>
    </row>
    <row r="828">
      <c r="A828" s="105"/>
      <c r="B828" s="105"/>
      <c r="C828" s="97"/>
      <c r="D828" s="105"/>
      <c r="E828" s="105"/>
      <c r="F828" s="105"/>
      <c r="G828" s="105"/>
      <c r="H828" s="105"/>
    </row>
    <row r="829">
      <c r="A829" s="105"/>
      <c r="B829" s="105"/>
      <c r="C829" s="97"/>
      <c r="D829" s="105"/>
      <c r="E829" s="105"/>
      <c r="F829" s="105"/>
      <c r="G829" s="105"/>
      <c r="H829" s="105"/>
    </row>
    <row r="830">
      <c r="A830" s="105"/>
      <c r="B830" s="105"/>
      <c r="C830" s="97"/>
      <c r="D830" s="105"/>
      <c r="E830" s="105"/>
      <c r="F830" s="105"/>
      <c r="G830" s="105"/>
      <c r="H830" s="105"/>
    </row>
    <row r="831">
      <c r="A831" s="105"/>
      <c r="B831" s="105"/>
      <c r="C831" s="97"/>
      <c r="D831" s="105"/>
      <c r="E831" s="105"/>
      <c r="F831" s="105"/>
      <c r="G831" s="105"/>
      <c r="H831" s="105"/>
    </row>
    <row r="832">
      <c r="A832" s="105"/>
      <c r="B832" s="105"/>
      <c r="C832" s="97"/>
      <c r="D832" s="105"/>
      <c r="E832" s="105"/>
      <c r="F832" s="105"/>
      <c r="G832" s="105"/>
      <c r="H832" s="105"/>
    </row>
    <row r="833">
      <c r="A833" s="105"/>
      <c r="B833" s="105"/>
      <c r="C833" s="97"/>
      <c r="D833" s="105"/>
      <c r="E833" s="105"/>
      <c r="F833" s="105"/>
      <c r="G833" s="105"/>
      <c r="H833" s="105"/>
    </row>
    <row r="834">
      <c r="A834" s="105"/>
      <c r="B834" s="105"/>
      <c r="C834" s="97"/>
      <c r="D834" s="105"/>
      <c r="E834" s="105"/>
      <c r="F834" s="105"/>
      <c r="G834" s="105"/>
      <c r="H834" s="105"/>
    </row>
    <row r="835">
      <c r="A835" s="105"/>
      <c r="B835" s="105"/>
      <c r="C835" s="97"/>
      <c r="D835" s="105"/>
      <c r="E835" s="105"/>
      <c r="F835" s="105"/>
      <c r="G835" s="105"/>
      <c r="H835" s="105"/>
    </row>
    <row r="836">
      <c r="A836" s="105"/>
      <c r="B836" s="105"/>
      <c r="C836" s="97"/>
      <c r="D836" s="105"/>
      <c r="E836" s="105"/>
      <c r="F836" s="105"/>
      <c r="G836" s="105"/>
      <c r="H836" s="105"/>
    </row>
    <row r="837">
      <c r="A837" s="105"/>
      <c r="B837" s="105"/>
      <c r="C837" s="97"/>
      <c r="D837" s="105"/>
      <c r="E837" s="105"/>
      <c r="F837" s="105"/>
      <c r="G837" s="105"/>
      <c r="H837" s="105"/>
    </row>
    <row r="838">
      <c r="A838" s="105"/>
      <c r="B838" s="105"/>
      <c r="C838" s="97"/>
      <c r="D838" s="105"/>
      <c r="E838" s="105"/>
      <c r="F838" s="105"/>
      <c r="G838" s="105"/>
      <c r="H838" s="105"/>
    </row>
    <row r="839">
      <c r="A839" s="105"/>
      <c r="B839" s="105"/>
      <c r="C839" s="97"/>
      <c r="D839" s="105"/>
      <c r="E839" s="105"/>
      <c r="F839" s="105"/>
      <c r="G839" s="105"/>
      <c r="H839" s="105"/>
    </row>
    <row r="840">
      <c r="A840" s="105"/>
      <c r="B840" s="105"/>
      <c r="C840" s="97"/>
      <c r="D840" s="105"/>
      <c r="E840" s="105"/>
      <c r="F840" s="105"/>
      <c r="G840" s="105"/>
      <c r="H840" s="105"/>
    </row>
    <row r="841">
      <c r="A841" s="105"/>
      <c r="B841" s="105"/>
      <c r="C841" s="97"/>
      <c r="D841" s="105"/>
      <c r="E841" s="105"/>
      <c r="F841" s="105"/>
      <c r="G841" s="105"/>
      <c r="H841" s="105"/>
    </row>
    <row r="842">
      <c r="A842" s="105"/>
      <c r="B842" s="105"/>
      <c r="C842" s="97"/>
      <c r="D842" s="105"/>
      <c r="E842" s="105"/>
      <c r="F842" s="105"/>
      <c r="G842" s="105"/>
      <c r="H842" s="105"/>
    </row>
    <row r="843">
      <c r="A843" s="105"/>
      <c r="B843" s="105"/>
      <c r="C843" s="97"/>
      <c r="D843" s="105"/>
      <c r="E843" s="105"/>
      <c r="F843" s="105"/>
      <c r="G843" s="105"/>
      <c r="H843" s="105"/>
    </row>
    <row r="844">
      <c r="A844" s="105"/>
      <c r="B844" s="105"/>
      <c r="C844" s="97"/>
      <c r="D844" s="105"/>
      <c r="E844" s="105"/>
      <c r="F844" s="105"/>
      <c r="G844" s="105"/>
      <c r="H844" s="105"/>
    </row>
    <row r="845">
      <c r="A845" s="105"/>
      <c r="B845" s="105"/>
      <c r="C845" s="97"/>
      <c r="D845" s="105"/>
      <c r="E845" s="105"/>
      <c r="F845" s="105"/>
      <c r="G845" s="105"/>
      <c r="H845" s="105"/>
    </row>
    <row r="846">
      <c r="A846" s="105"/>
      <c r="B846" s="105"/>
      <c r="C846" s="97"/>
      <c r="D846" s="105"/>
      <c r="E846" s="105"/>
      <c r="F846" s="105"/>
      <c r="G846" s="105"/>
      <c r="H846" s="105"/>
    </row>
    <row r="847">
      <c r="A847" s="105"/>
      <c r="B847" s="105"/>
      <c r="C847" s="97"/>
      <c r="D847" s="105"/>
      <c r="E847" s="105"/>
      <c r="F847" s="105"/>
      <c r="G847" s="105"/>
      <c r="H847" s="105"/>
    </row>
    <row r="848">
      <c r="A848" s="105"/>
      <c r="B848" s="105"/>
      <c r="C848" s="97"/>
      <c r="D848" s="105"/>
      <c r="E848" s="105"/>
      <c r="F848" s="105"/>
      <c r="G848" s="105"/>
      <c r="H848" s="105"/>
    </row>
    <row r="849">
      <c r="A849" s="105"/>
      <c r="B849" s="105"/>
      <c r="C849" s="97"/>
      <c r="D849" s="105"/>
      <c r="E849" s="105"/>
      <c r="F849" s="105"/>
      <c r="G849" s="105"/>
      <c r="H849" s="105"/>
    </row>
    <row r="850">
      <c r="A850" s="105"/>
      <c r="B850" s="105"/>
      <c r="C850" s="97"/>
      <c r="D850" s="105"/>
      <c r="E850" s="105"/>
      <c r="F850" s="105"/>
      <c r="G850" s="105"/>
      <c r="H850" s="105"/>
    </row>
    <row r="851">
      <c r="A851" s="105"/>
      <c r="B851" s="105"/>
      <c r="C851" s="97"/>
      <c r="D851" s="105"/>
      <c r="E851" s="105"/>
      <c r="F851" s="105"/>
      <c r="G851" s="105"/>
      <c r="H851" s="105"/>
    </row>
    <row r="852">
      <c r="A852" s="105"/>
      <c r="B852" s="105"/>
      <c r="C852" s="97"/>
      <c r="D852" s="105"/>
      <c r="E852" s="105"/>
      <c r="F852" s="105"/>
      <c r="G852" s="105"/>
      <c r="H852" s="105"/>
    </row>
    <row r="853">
      <c r="A853" s="105"/>
      <c r="B853" s="105"/>
      <c r="C853" s="97"/>
      <c r="D853" s="105"/>
      <c r="E853" s="105"/>
      <c r="F853" s="105"/>
      <c r="G853" s="105"/>
      <c r="H853" s="105"/>
    </row>
    <row r="854">
      <c r="A854" s="105"/>
      <c r="B854" s="105"/>
      <c r="C854" s="97"/>
      <c r="D854" s="105"/>
      <c r="E854" s="105"/>
      <c r="F854" s="105"/>
      <c r="G854" s="105"/>
      <c r="H854" s="105"/>
    </row>
    <row r="855">
      <c r="A855" s="105"/>
      <c r="B855" s="105"/>
      <c r="C855" s="97"/>
      <c r="D855" s="105"/>
      <c r="E855" s="105"/>
      <c r="F855" s="105"/>
      <c r="G855" s="105"/>
      <c r="H855" s="105"/>
    </row>
    <row r="856">
      <c r="A856" s="105"/>
      <c r="B856" s="105"/>
      <c r="C856" s="97"/>
      <c r="D856" s="105"/>
      <c r="E856" s="105"/>
      <c r="F856" s="105"/>
      <c r="G856" s="105"/>
      <c r="H856" s="105"/>
    </row>
    <row r="857">
      <c r="A857" s="105"/>
      <c r="B857" s="105"/>
      <c r="C857" s="97"/>
      <c r="D857" s="105"/>
      <c r="E857" s="105"/>
      <c r="F857" s="105"/>
      <c r="G857" s="105"/>
      <c r="H857" s="105"/>
    </row>
    <row r="858">
      <c r="A858" s="105"/>
      <c r="B858" s="105"/>
      <c r="C858" s="97"/>
      <c r="D858" s="105"/>
      <c r="E858" s="105"/>
      <c r="F858" s="105"/>
      <c r="G858" s="105"/>
      <c r="H858" s="105"/>
    </row>
    <row r="859">
      <c r="A859" s="105"/>
      <c r="B859" s="105"/>
      <c r="C859" s="97"/>
      <c r="D859" s="105"/>
      <c r="E859" s="105"/>
      <c r="F859" s="105"/>
      <c r="G859" s="105"/>
      <c r="H859" s="105"/>
    </row>
    <row r="860">
      <c r="A860" s="105"/>
      <c r="B860" s="105"/>
      <c r="C860" s="97"/>
      <c r="D860" s="105"/>
      <c r="E860" s="105"/>
      <c r="F860" s="105"/>
      <c r="G860" s="105"/>
      <c r="H860" s="105"/>
    </row>
    <row r="861">
      <c r="A861" s="105"/>
      <c r="B861" s="105"/>
      <c r="C861" s="97"/>
      <c r="D861" s="105"/>
      <c r="E861" s="105"/>
      <c r="F861" s="105"/>
      <c r="G861" s="105"/>
      <c r="H861" s="105"/>
    </row>
    <row r="862">
      <c r="A862" s="105"/>
      <c r="B862" s="105"/>
      <c r="C862" s="97"/>
      <c r="D862" s="105"/>
      <c r="E862" s="105"/>
      <c r="F862" s="105"/>
      <c r="G862" s="105"/>
      <c r="H862" s="105"/>
    </row>
    <row r="863">
      <c r="A863" s="105"/>
      <c r="B863" s="105"/>
      <c r="C863" s="97"/>
      <c r="D863" s="105"/>
      <c r="E863" s="105"/>
      <c r="F863" s="105"/>
      <c r="G863" s="105"/>
      <c r="H863" s="105"/>
    </row>
    <row r="864">
      <c r="A864" s="105"/>
      <c r="B864" s="105"/>
      <c r="C864" s="97"/>
      <c r="D864" s="105"/>
      <c r="E864" s="105"/>
      <c r="F864" s="105"/>
      <c r="G864" s="105"/>
      <c r="H864" s="105"/>
    </row>
    <row r="865">
      <c r="A865" s="105"/>
      <c r="B865" s="105"/>
      <c r="C865" s="97"/>
      <c r="D865" s="105"/>
      <c r="E865" s="105"/>
      <c r="F865" s="105"/>
      <c r="G865" s="105"/>
      <c r="H865" s="105"/>
    </row>
    <row r="866">
      <c r="A866" s="105"/>
      <c r="B866" s="105"/>
      <c r="C866" s="97"/>
      <c r="D866" s="105"/>
      <c r="E866" s="105"/>
      <c r="F866" s="105"/>
      <c r="G866" s="105"/>
      <c r="H866" s="105"/>
    </row>
    <row r="867">
      <c r="A867" s="105"/>
      <c r="B867" s="105"/>
      <c r="C867" s="97"/>
      <c r="D867" s="105"/>
      <c r="E867" s="105"/>
      <c r="F867" s="105"/>
      <c r="G867" s="105"/>
      <c r="H867" s="105"/>
    </row>
    <row r="868">
      <c r="A868" s="105"/>
      <c r="B868" s="105"/>
      <c r="C868" s="97"/>
      <c r="D868" s="105"/>
      <c r="E868" s="105"/>
      <c r="F868" s="105"/>
      <c r="G868" s="105"/>
      <c r="H868" s="105"/>
    </row>
    <row r="869">
      <c r="A869" s="105"/>
      <c r="B869" s="105"/>
      <c r="C869" s="97"/>
      <c r="D869" s="105"/>
      <c r="E869" s="105"/>
      <c r="F869" s="105"/>
      <c r="G869" s="105"/>
      <c r="H869" s="105"/>
    </row>
    <row r="870">
      <c r="A870" s="105"/>
      <c r="B870" s="105"/>
      <c r="C870" s="97"/>
      <c r="D870" s="105"/>
      <c r="E870" s="105"/>
      <c r="F870" s="105"/>
      <c r="G870" s="105"/>
      <c r="H870" s="105"/>
    </row>
    <row r="871">
      <c r="A871" s="105"/>
      <c r="B871" s="105"/>
      <c r="C871" s="97"/>
      <c r="D871" s="105"/>
      <c r="E871" s="105"/>
      <c r="F871" s="105"/>
      <c r="G871" s="105"/>
      <c r="H871" s="105"/>
    </row>
    <row r="872">
      <c r="A872" s="105"/>
      <c r="B872" s="105"/>
      <c r="C872" s="97"/>
      <c r="D872" s="105"/>
      <c r="E872" s="105"/>
      <c r="F872" s="105"/>
      <c r="G872" s="105"/>
      <c r="H872" s="105"/>
    </row>
    <row r="873">
      <c r="A873" s="105"/>
      <c r="B873" s="105"/>
      <c r="C873" s="97"/>
      <c r="D873" s="105"/>
      <c r="E873" s="105"/>
      <c r="F873" s="105"/>
      <c r="G873" s="105"/>
      <c r="H873" s="105"/>
    </row>
    <row r="874">
      <c r="A874" s="105"/>
      <c r="B874" s="105"/>
      <c r="C874" s="97"/>
      <c r="D874" s="105"/>
      <c r="E874" s="105"/>
      <c r="F874" s="105"/>
      <c r="G874" s="105"/>
      <c r="H874" s="105"/>
    </row>
    <row r="875">
      <c r="A875" s="105"/>
      <c r="B875" s="105"/>
      <c r="C875" s="97"/>
      <c r="D875" s="105"/>
      <c r="E875" s="105"/>
      <c r="F875" s="105"/>
      <c r="G875" s="105"/>
      <c r="H875" s="105"/>
    </row>
    <row r="876">
      <c r="A876" s="105"/>
      <c r="B876" s="105"/>
      <c r="C876" s="97"/>
      <c r="D876" s="105"/>
      <c r="E876" s="105"/>
      <c r="F876" s="105"/>
      <c r="G876" s="105"/>
      <c r="H876" s="105"/>
    </row>
    <row r="877">
      <c r="A877" s="105"/>
      <c r="B877" s="105"/>
      <c r="C877" s="97"/>
      <c r="D877" s="105"/>
      <c r="E877" s="105"/>
      <c r="F877" s="105"/>
      <c r="G877" s="105"/>
      <c r="H877" s="105"/>
    </row>
    <row r="878">
      <c r="A878" s="105"/>
      <c r="B878" s="105"/>
      <c r="C878" s="97"/>
      <c r="D878" s="105"/>
      <c r="E878" s="105"/>
      <c r="F878" s="105"/>
      <c r="G878" s="105"/>
      <c r="H878" s="105"/>
    </row>
    <row r="879">
      <c r="A879" s="105"/>
      <c r="B879" s="105"/>
      <c r="C879" s="97"/>
      <c r="D879" s="105"/>
      <c r="E879" s="105"/>
      <c r="F879" s="105"/>
      <c r="G879" s="105"/>
      <c r="H879" s="105"/>
    </row>
    <row r="880">
      <c r="A880" s="105"/>
      <c r="B880" s="105"/>
      <c r="C880" s="97"/>
      <c r="D880" s="105"/>
      <c r="E880" s="105"/>
      <c r="F880" s="105"/>
      <c r="G880" s="105"/>
      <c r="H880" s="105"/>
    </row>
    <row r="881">
      <c r="A881" s="105"/>
      <c r="B881" s="105"/>
      <c r="C881" s="97"/>
      <c r="D881" s="105"/>
      <c r="E881" s="105"/>
      <c r="F881" s="105"/>
      <c r="G881" s="105"/>
      <c r="H881" s="105"/>
    </row>
    <row r="882">
      <c r="A882" s="105"/>
      <c r="B882" s="105"/>
      <c r="C882" s="97"/>
      <c r="D882" s="105"/>
      <c r="E882" s="105"/>
      <c r="F882" s="105"/>
      <c r="G882" s="105"/>
      <c r="H882" s="105"/>
    </row>
    <row r="883">
      <c r="A883" s="105"/>
      <c r="B883" s="105"/>
      <c r="C883" s="97"/>
      <c r="D883" s="105"/>
      <c r="E883" s="105"/>
      <c r="F883" s="105"/>
      <c r="G883" s="105"/>
      <c r="H883" s="105"/>
    </row>
    <row r="884">
      <c r="A884" s="105"/>
      <c r="B884" s="105"/>
      <c r="C884" s="97"/>
      <c r="D884" s="105"/>
      <c r="E884" s="105"/>
      <c r="F884" s="105"/>
      <c r="G884" s="105"/>
      <c r="H884" s="105"/>
    </row>
    <row r="885">
      <c r="A885" s="105"/>
      <c r="B885" s="105"/>
      <c r="C885" s="97"/>
      <c r="D885" s="105"/>
      <c r="E885" s="105"/>
      <c r="F885" s="105"/>
      <c r="G885" s="105"/>
      <c r="H885" s="105"/>
    </row>
    <row r="886">
      <c r="A886" s="105"/>
      <c r="B886" s="105"/>
      <c r="C886" s="97"/>
      <c r="D886" s="105"/>
      <c r="E886" s="105"/>
      <c r="F886" s="105"/>
      <c r="G886" s="105"/>
      <c r="H886" s="105"/>
    </row>
    <row r="887">
      <c r="A887" s="105"/>
      <c r="B887" s="105"/>
      <c r="C887" s="97"/>
      <c r="D887" s="105"/>
      <c r="E887" s="105"/>
      <c r="F887" s="105"/>
      <c r="G887" s="105"/>
      <c r="H887" s="105"/>
    </row>
    <row r="888">
      <c r="A888" s="105"/>
      <c r="B888" s="105"/>
      <c r="C888" s="97"/>
      <c r="D888" s="105"/>
      <c r="E888" s="105"/>
      <c r="F888" s="105"/>
      <c r="G888" s="105"/>
      <c r="H888" s="105"/>
    </row>
    <row r="889">
      <c r="A889" s="105"/>
      <c r="B889" s="105"/>
      <c r="C889" s="97"/>
      <c r="D889" s="105"/>
      <c r="E889" s="105"/>
      <c r="F889" s="105"/>
      <c r="G889" s="105"/>
      <c r="H889" s="105"/>
    </row>
    <row r="890">
      <c r="A890" s="105"/>
      <c r="B890" s="105"/>
      <c r="C890" s="97"/>
      <c r="D890" s="105"/>
      <c r="E890" s="105"/>
      <c r="F890" s="105"/>
      <c r="G890" s="105"/>
      <c r="H890" s="105"/>
    </row>
    <row r="891">
      <c r="A891" s="105"/>
      <c r="B891" s="105"/>
      <c r="C891" s="97"/>
      <c r="D891" s="105"/>
      <c r="E891" s="105"/>
      <c r="F891" s="105"/>
      <c r="G891" s="105"/>
      <c r="H891" s="105"/>
    </row>
    <row r="892">
      <c r="A892" s="105"/>
      <c r="B892" s="105"/>
      <c r="C892" s="97"/>
      <c r="D892" s="105"/>
      <c r="E892" s="105"/>
      <c r="F892" s="105"/>
      <c r="G892" s="105"/>
      <c r="H892" s="105"/>
    </row>
    <row r="893">
      <c r="A893" s="105"/>
      <c r="B893" s="105"/>
      <c r="C893" s="97"/>
      <c r="D893" s="105"/>
      <c r="E893" s="105"/>
      <c r="F893" s="105"/>
      <c r="G893" s="105"/>
      <c r="H893" s="105"/>
    </row>
    <row r="894">
      <c r="A894" s="105"/>
      <c r="B894" s="105"/>
      <c r="C894" s="97"/>
      <c r="D894" s="105"/>
      <c r="E894" s="105"/>
      <c r="F894" s="105"/>
      <c r="G894" s="105"/>
      <c r="H894" s="105"/>
    </row>
    <row r="895">
      <c r="A895" s="105"/>
      <c r="B895" s="105"/>
      <c r="C895" s="97"/>
      <c r="D895" s="105"/>
      <c r="E895" s="105"/>
      <c r="F895" s="105"/>
      <c r="G895" s="105"/>
      <c r="H895" s="105"/>
    </row>
    <row r="896">
      <c r="A896" s="105"/>
      <c r="B896" s="105"/>
      <c r="C896" s="97"/>
      <c r="D896" s="105"/>
      <c r="E896" s="105"/>
      <c r="F896" s="105"/>
      <c r="G896" s="105"/>
      <c r="H896" s="105"/>
    </row>
    <row r="897">
      <c r="A897" s="105"/>
      <c r="B897" s="105"/>
      <c r="C897" s="97"/>
      <c r="D897" s="105"/>
      <c r="E897" s="105"/>
      <c r="F897" s="105"/>
      <c r="G897" s="105"/>
      <c r="H897" s="105"/>
    </row>
    <row r="898">
      <c r="A898" s="105"/>
      <c r="B898" s="105"/>
      <c r="C898" s="97"/>
      <c r="D898" s="105"/>
      <c r="E898" s="105"/>
      <c r="F898" s="105"/>
      <c r="G898" s="105"/>
      <c r="H898" s="105"/>
    </row>
    <row r="899">
      <c r="A899" s="105"/>
      <c r="B899" s="105"/>
      <c r="C899" s="97"/>
      <c r="D899" s="105"/>
      <c r="E899" s="105"/>
      <c r="F899" s="105"/>
      <c r="G899" s="105"/>
      <c r="H899" s="105"/>
    </row>
    <row r="900">
      <c r="A900" s="105"/>
      <c r="B900" s="105"/>
      <c r="C900" s="97"/>
      <c r="D900" s="105"/>
      <c r="E900" s="105"/>
      <c r="F900" s="105"/>
      <c r="G900" s="105"/>
      <c r="H900" s="105"/>
    </row>
    <row r="901">
      <c r="A901" s="105"/>
      <c r="B901" s="105"/>
      <c r="C901" s="97"/>
      <c r="D901" s="105"/>
      <c r="E901" s="105"/>
      <c r="F901" s="105"/>
      <c r="G901" s="105"/>
      <c r="H901" s="105"/>
    </row>
    <row r="902">
      <c r="A902" s="105"/>
      <c r="B902" s="105"/>
      <c r="C902" s="97"/>
      <c r="D902" s="105"/>
      <c r="E902" s="105"/>
      <c r="F902" s="105"/>
      <c r="G902" s="105"/>
      <c r="H902" s="105"/>
    </row>
    <row r="903">
      <c r="A903" s="105"/>
      <c r="B903" s="105"/>
      <c r="C903" s="97"/>
      <c r="D903" s="105"/>
      <c r="E903" s="105"/>
      <c r="F903" s="105"/>
      <c r="G903" s="105"/>
      <c r="H903" s="105"/>
    </row>
    <row r="904">
      <c r="A904" s="105"/>
      <c r="B904" s="105"/>
      <c r="C904" s="97"/>
      <c r="D904" s="105"/>
      <c r="E904" s="105"/>
      <c r="F904" s="105"/>
      <c r="G904" s="105"/>
      <c r="H904" s="105"/>
    </row>
    <row r="905">
      <c r="A905" s="105"/>
      <c r="B905" s="105"/>
      <c r="C905" s="97"/>
      <c r="D905" s="105"/>
      <c r="E905" s="105"/>
      <c r="F905" s="105"/>
      <c r="G905" s="105"/>
      <c r="H905" s="105"/>
    </row>
    <row r="906">
      <c r="A906" s="105"/>
      <c r="B906" s="105"/>
      <c r="C906" s="97"/>
      <c r="D906" s="105"/>
      <c r="E906" s="105"/>
      <c r="F906" s="105"/>
      <c r="G906" s="105"/>
      <c r="H906" s="105"/>
    </row>
    <row r="907">
      <c r="A907" s="105"/>
      <c r="B907" s="105"/>
      <c r="C907" s="97"/>
      <c r="D907" s="105"/>
      <c r="E907" s="105"/>
      <c r="F907" s="105"/>
      <c r="G907" s="105"/>
      <c r="H907" s="105"/>
    </row>
    <row r="908">
      <c r="A908" s="105"/>
      <c r="B908" s="105"/>
      <c r="C908" s="97"/>
      <c r="D908" s="105"/>
      <c r="E908" s="105"/>
      <c r="F908" s="105"/>
      <c r="G908" s="105"/>
      <c r="H908" s="105"/>
    </row>
    <row r="909">
      <c r="A909" s="105"/>
      <c r="B909" s="105"/>
      <c r="C909" s="97"/>
      <c r="D909" s="105"/>
      <c r="E909" s="105"/>
      <c r="F909" s="105"/>
      <c r="G909" s="105"/>
      <c r="H909" s="105"/>
    </row>
    <row r="910">
      <c r="A910" s="105"/>
      <c r="B910" s="105"/>
      <c r="C910" s="97"/>
      <c r="D910" s="105"/>
      <c r="E910" s="105"/>
      <c r="F910" s="105"/>
      <c r="G910" s="105"/>
      <c r="H910" s="105"/>
    </row>
    <row r="911">
      <c r="A911" s="105"/>
      <c r="B911" s="105"/>
      <c r="C911" s="97"/>
      <c r="D911" s="105"/>
      <c r="E911" s="105"/>
      <c r="F911" s="105"/>
      <c r="G911" s="105"/>
      <c r="H911" s="105"/>
    </row>
    <row r="912">
      <c r="A912" s="105"/>
      <c r="B912" s="105"/>
      <c r="C912" s="97"/>
      <c r="D912" s="105"/>
      <c r="E912" s="105"/>
      <c r="F912" s="105"/>
      <c r="G912" s="105"/>
      <c r="H912" s="105"/>
    </row>
    <row r="913">
      <c r="A913" s="105"/>
      <c r="B913" s="105"/>
      <c r="C913" s="97"/>
      <c r="D913" s="105"/>
      <c r="E913" s="105"/>
      <c r="F913" s="105"/>
      <c r="G913" s="105"/>
      <c r="H913" s="105"/>
    </row>
    <row r="914">
      <c r="A914" s="105"/>
      <c r="B914" s="105"/>
      <c r="C914" s="97"/>
      <c r="D914" s="105"/>
      <c r="E914" s="105"/>
      <c r="F914" s="105"/>
      <c r="G914" s="105"/>
      <c r="H914" s="105"/>
    </row>
    <row r="915">
      <c r="A915" s="105"/>
      <c r="B915" s="105"/>
      <c r="C915" s="97"/>
      <c r="D915" s="105"/>
      <c r="E915" s="105"/>
      <c r="F915" s="105"/>
      <c r="G915" s="105"/>
      <c r="H915" s="105"/>
    </row>
    <row r="916">
      <c r="A916" s="105"/>
      <c r="B916" s="105"/>
      <c r="C916" s="97"/>
      <c r="D916" s="105"/>
      <c r="E916" s="105"/>
      <c r="F916" s="105"/>
      <c r="G916" s="105"/>
      <c r="H916" s="105"/>
    </row>
    <row r="917">
      <c r="A917" s="105"/>
      <c r="B917" s="105"/>
      <c r="C917" s="97"/>
      <c r="D917" s="105"/>
      <c r="E917" s="105"/>
      <c r="F917" s="105"/>
      <c r="G917" s="105"/>
      <c r="H917" s="105"/>
    </row>
    <row r="918">
      <c r="A918" s="105"/>
      <c r="B918" s="105"/>
      <c r="C918" s="97"/>
      <c r="D918" s="105"/>
      <c r="E918" s="105"/>
      <c r="F918" s="105"/>
      <c r="G918" s="105"/>
      <c r="H918" s="105"/>
    </row>
    <row r="919">
      <c r="A919" s="105"/>
      <c r="B919" s="105"/>
      <c r="C919" s="97"/>
      <c r="D919" s="105"/>
      <c r="E919" s="105"/>
      <c r="F919" s="105"/>
      <c r="G919" s="105"/>
      <c r="H919" s="105"/>
    </row>
    <row r="920">
      <c r="A920" s="105"/>
      <c r="B920" s="105"/>
      <c r="C920" s="97"/>
      <c r="D920" s="105"/>
      <c r="E920" s="105"/>
      <c r="F920" s="105"/>
      <c r="G920" s="105"/>
      <c r="H920" s="105"/>
    </row>
    <row r="921">
      <c r="A921" s="105"/>
      <c r="B921" s="105"/>
      <c r="C921" s="97"/>
      <c r="D921" s="105"/>
      <c r="E921" s="105"/>
      <c r="F921" s="105"/>
      <c r="G921" s="105"/>
      <c r="H921" s="105"/>
    </row>
    <row r="922">
      <c r="A922" s="105"/>
      <c r="B922" s="105"/>
      <c r="C922" s="97"/>
      <c r="D922" s="105"/>
      <c r="E922" s="105"/>
      <c r="F922" s="105"/>
      <c r="G922" s="105"/>
      <c r="H922" s="105"/>
    </row>
    <row r="923">
      <c r="A923" s="105"/>
      <c r="B923" s="105"/>
      <c r="C923" s="97"/>
      <c r="D923" s="105"/>
      <c r="E923" s="105"/>
      <c r="F923" s="105"/>
      <c r="G923" s="105"/>
      <c r="H923" s="105"/>
    </row>
    <row r="924">
      <c r="A924" s="105"/>
      <c r="B924" s="105"/>
      <c r="C924" s="97"/>
      <c r="D924" s="105"/>
      <c r="E924" s="105"/>
      <c r="F924" s="105"/>
      <c r="G924" s="105"/>
      <c r="H924" s="105"/>
    </row>
    <row r="925">
      <c r="A925" s="105"/>
      <c r="B925" s="105"/>
      <c r="C925" s="97"/>
      <c r="D925" s="105"/>
      <c r="E925" s="105"/>
      <c r="F925" s="105"/>
      <c r="G925" s="105"/>
      <c r="H925" s="105"/>
    </row>
    <row r="926">
      <c r="A926" s="105"/>
      <c r="B926" s="105"/>
      <c r="C926" s="97"/>
      <c r="D926" s="105"/>
      <c r="E926" s="105"/>
      <c r="F926" s="105"/>
      <c r="G926" s="105"/>
      <c r="H926" s="105"/>
    </row>
    <row r="927">
      <c r="A927" s="105"/>
      <c r="B927" s="105"/>
      <c r="C927" s="97"/>
      <c r="D927" s="105"/>
      <c r="E927" s="105"/>
      <c r="F927" s="105"/>
      <c r="G927" s="105"/>
      <c r="H927" s="105"/>
    </row>
    <row r="928">
      <c r="A928" s="105"/>
      <c r="B928" s="105"/>
      <c r="C928" s="97"/>
      <c r="D928" s="105"/>
      <c r="E928" s="105"/>
      <c r="F928" s="105"/>
      <c r="G928" s="105"/>
      <c r="H928" s="105"/>
    </row>
    <row r="929">
      <c r="A929" s="105"/>
      <c r="B929" s="105"/>
      <c r="C929" s="97"/>
      <c r="D929" s="105"/>
      <c r="E929" s="105"/>
      <c r="F929" s="105"/>
      <c r="G929" s="105"/>
      <c r="H929" s="105"/>
    </row>
    <row r="930">
      <c r="A930" s="105"/>
      <c r="B930" s="105"/>
      <c r="C930" s="97"/>
      <c r="D930" s="105"/>
      <c r="E930" s="105"/>
      <c r="F930" s="105"/>
      <c r="G930" s="105"/>
      <c r="H930" s="105"/>
    </row>
    <row r="931">
      <c r="A931" s="105"/>
      <c r="B931" s="105"/>
      <c r="C931" s="97"/>
      <c r="D931" s="105"/>
      <c r="E931" s="105"/>
      <c r="F931" s="105"/>
      <c r="G931" s="105"/>
      <c r="H931" s="105"/>
    </row>
    <row r="932">
      <c r="A932" s="105"/>
      <c r="B932" s="105"/>
      <c r="C932" s="97"/>
      <c r="D932" s="105"/>
      <c r="E932" s="105"/>
      <c r="F932" s="105"/>
      <c r="G932" s="105"/>
      <c r="H932" s="105"/>
    </row>
    <row r="933">
      <c r="A933" s="105"/>
      <c r="B933" s="105"/>
      <c r="C933" s="97"/>
      <c r="D933" s="105"/>
      <c r="E933" s="105"/>
      <c r="F933" s="105"/>
      <c r="G933" s="105"/>
      <c r="H933" s="105"/>
    </row>
    <row r="934">
      <c r="A934" s="105"/>
      <c r="B934" s="105"/>
      <c r="C934" s="97"/>
      <c r="D934" s="105"/>
      <c r="E934" s="105"/>
      <c r="F934" s="105"/>
      <c r="G934" s="105"/>
      <c r="H934" s="105"/>
    </row>
    <row r="935">
      <c r="A935" s="105"/>
      <c r="B935" s="105"/>
      <c r="C935" s="97"/>
      <c r="D935" s="105"/>
      <c r="E935" s="105"/>
      <c r="F935" s="105"/>
      <c r="G935" s="105"/>
      <c r="H935" s="105"/>
    </row>
    <row r="936">
      <c r="A936" s="105"/>
      <c r="B936" s="105"/>
      <c r="C936" s="97"/>
      <c r="D936" s="105"/>
      <c r="E936" s="105"/>
      <c r="F936" s="105"/>
      <c r="G936" s="105"/>
      <c r="H936" s="105"/>
    </row>
    <row r="937">
      <c r="A937" s="105"/>
      <c r="B937" s="105"/>
      <c r="C937" s="97"/>
      <c r="D937" s="105"/>
      <c r="E937" s="105"/>
      <c r="F937" s="105"/>
      <c r="G937" s="105"/>
      <c r="H937" s="105"/>
    </row>
    <row r="938">
      <c r="A938" s="105"/>
      <c r="B938" s="105"/>
      <c r="C938" s="97"/>
      <c r="D938" s="105"/>
      <c r="E938" s="105"/>
      <c r="F938" s="105"/>
      <c r="G938" s="105"/>
      <c r="H938" s="105"/>
    </row>
    <row r="939">
      <c r="A939" s="105"/>
      <c r="B939" s="105"/>
      <c r="C939" s="97"/>
      <c r="D939" s="105"/>
      <c r="E939" s="105"/>
      <c r="F939" s="105"/>
      <c r="G939" s="105"/>
      <c r="H939" s="105"/>
    </row>
    <row r="940">
      <c r="A940" s="105"/>
      <c r="B940" s="105"/>
      <c r="C940" s="97"/>
      <c r="D940" s="105"/>
      <c r="E940" s="105"/>
      <c r="F940" s="105"/>
      <c r="G940" s="105"/>
      <c r="H940" s="105"/>
    </row>
    <row r="941">
      <c r="A941" s="105"/>
      <c r="B941" s="105"/>
      <c r="C941" s="97"/>
      <c r="D941" s="105"/>
      <c r="E941" s="105"/>
      <c r="F941" s="105"/>
      <c r="G941" s="105"/>
      <c r="H941" s="105"/>
    </row>
    <row r="942">
      <c r="A942" s="105"/>
      <c r="B942" s="105"/>
      <c r="C942" s="97"/>
      <c r="D942" s="105"/>
      <c r="E942" s="105"/>
      <c r="F942" s="105"/>
      <c r="G942" s="105"/>
      <c r="H942" s="105"/>
    </row>
    <row r="943">
      <c r="A943" s="105"/>
      <c r="B943" s="105"/>
      <c r="C943" s="97"/>
      <c r="D943" s="105"/>
      <c r="E943" s="105"/>
      <c r="F943" s="105"/>
      <c r="G943" s="105"/>
      <c r="H943" s="105"/>
    </row>
    <row r="944">
      <c r="A944" s="105"/>
      <c r="B944" s="105"/>
      <c r="C944" s="97"/>
      <c r="D944" s="105"/>
      <c r="E944" s="105"/>
      <c r="F944" s="105"/>
      <c r="G944" s="105"/>
      <c r="H944" s="105"/>
    </row>
    <row r="945">
      <c r="A945" s="105"/>
      <c r="B945" s="105"/>
      <c r="C945" s="97"/>
      <c r="D945" s="105"/>
      <c r="E945" s="105"/>
      <c r="F945" s="105"/>
      <c r="G945" s="105"/>
      <c r="H945" s="105"/>
    </row>
    <row r="946">
      <c r="A946" s="105"/>
      <c r="B946" s="105"/>
      <c r="C946" s="97"/>
      <c r="D946" s="105"/>
      <c r="E946" s="105"/>
      <c r="F946" s="105"/>
      <c r="G946" s="105"/>
      <c r="H946" s="105"/>
    </row>
    <row r="947">
      <c r="A947" s="105"/>
      <c r="B947" s="105"/>
      <c r="C947" s="97"/>
      <c r="D947" s="105"/>
      <c r="E947" s="105"/>
      <c r="F947" s="105"/>
      <c r="G947" s="105"/>
      <c r="H947" s="105"/>
    </row>
    <row r="948">
      <c r="A948" s="105"/>
      <c r="B948" s="105"/>
      <c r="C948" s="97"/>
      <c r="D948" s="105"/>
      <c r="E948" s="105"/>
      <c r="F948" s="105"/>
      <c r="G948" s="105"/>
      <c r="H948" s="105"/>
    </row>
    <row r="949">
      <c r="A949" s="105"/>
      <c r="B949" s="105"/>
      <c r="C949" s="97"/>
      <c r="D949" s="105"/>
      <c r="E949" s="105"/>
      <c r="F949" s="105"/>
      <c r="G949" s="105"/>
      <c r="H949" s="105"/>
    </row>
    <row r="950">
      <c r="A950" s="105"/>
      <c r="B950" s="105"/>
      <c r="C950" s="97"/>
      <c r="D950" s="105"/>
      <c r="E950" s="105"/>
      <c r="F950" s="105"/>
      <c r="G950" s="105"/>
      <c r="H950" s="105"/>
    </row>
    <row r="951">
      <c r="A951" s="105"/>
      <c r="B951" s="105"/>
      <c r="C951" s="97"/>
      <c r="D951" s="105"/>
      <c r="E951" s="105"/>
      <c r="F951" s="105"/>
      <c r="G951" s="105"/>
      <c r="H951" s="105"/>
    </row>
    <row r="952">
      <c r="A952" s="105"/>
      <c r="B952" s="105"/>
      <c r="C952" s="97"/>
      <c r="D952" s="105"/>
      <c r="E952" s="105"/>
      <c r="F952" s="105"/>
      <c r="G952" s="105"/>
      <c r="H952" s="105"/>
    </row>
    <row r="953">
      <c r="A953" s="105"/>
      <c r="B953" s="105"/>
      <c r="C953" s="97"/>
      <c r="D953" s="105"/>
      <c r="E953" s="105"/>
      <c r="F953" s="105"/>
      <c r="G953" s="105"/>
      <c r="H953" s="105"/>
    </row>
    <row r="954">
      <c r="A954" s="105"/>
      <c r="B954" s="105"/>
      <c r="C954" s="97"/>
      <c r="D954" s="105"/>
      <c r="E954" s="105"/>
      <c r="F954" s="105"/>
      <c r="G954" s="105"/>
      <c r="H954" s="105"/>
    </row>
    <row r="955">
      <c r="A955" s="105"/>
      <c r="B955" s="105"/>
      <c r="C955" s="97"/>
      <c r="D955" s="105"/>
      <c r="E955" s="105"/>
      <c r="F955" s="105"/>
      <c r="G955" s="105"/>
      <c r="H955" s="105"/>
    </row>
    <row r="956">
      <c r="A956" s="105"/>
      <c r="B956" s="105"/>
      <c r="C956" s="97"/>
      <c r="D956" s="105"/>
      <c r="E956" s="105"/>
      <c r="F956" s="105"/>
      <c r="G956" s="105"/>
      <c r="H956" s="105"/>
    </row>
    <row r="957">
      <c r="A957" s="105"/>
      <c r="B957" s="105"/>
      <c r="C957" s="97"/>
      <c r="D957" s="105"/>
      <c r="E957" s="105"/>
      <c r="F957" s="105"/>
      <c r="G957" s="105"/>
      <c r="H957" s="105"/>
    </row>
    <row r="958">
      <c r="A958" s="105"/>
      <c r="B958" s="105"/>
      <c r="C958" s="97"/>
      <c r="D958" s="105"/>
      <c r="E958" s="105"/>
      <c r="F958" s="105"/>
      <c r="G958" s="105"/>
      <c r="H958" s="105"/>
    </row>
    <row r="959">
      <c r="A959" s="105"/>
      <c r="B959" s="105"/>
      <c r="C959" s="97"/>
      <c r="D959" s="105"/>
      <c r="E959" s="105"/>
      <c r="F959" s="105"/>
      <c r="G959" s="105"/>
      <c r="H959" s="105"/>
    </row>
    <row r="960">
      <c r="A960" s="105"/>
      <c r="B960" s="105"/>
      <c r="C960" s="97"/>
      <c r="D960" s="105"/>
      <c r="E960" s="105"/>
      <c r="F960" s="105"/>
      <c r="G960" s="105"/>
      <c r="H960" s="105"/>
    </row>
    <row r="961">
      <c r="A961" s="105"/>
      <c r="B961" s="105"/>
      <c r="C961" s="97"/>
      <c r="D961" s="105"/>
      <c r="E961" s="105"/>
      <c r="F961" s="105"/>
      <c r="G961" s="105"/>
      <c r="H961" s="105"/>
    </row>
    <row r="962">
      <c r="A962" s="105"/>
      <c r="B962" s="105"/>
      <c r="C962" s="97"/>
      <c r="D962" s="105"/>
      <c r="E962" s="105"/>
      <c r="F962" s="105"/>
      <c r="G962" s="105"/>
      <c r="H962" s="105"/>
    </row>
    <row r="963">
      <c r="A963" s="105"/>
      <c r="B963" s="105"/>
      <c r="C963" s="97"/>
      <c r="D963" s="105"/>
      <c r="E963" s="105"/>
      <c r="F963" s="105"/>
      <c r="G963" s="105"/>
      <c r="H963" s="105"/>
    </row>
    <row r="964">
      <c r="A964" s="105"/>
      <c r="B964" s="105"/>
      <c r="C964" s="97"/>
      <c r="D964" s="105"/>
      <c r="E964" s="105"/>
      <c r="F964" s="105"/>
      <c r="G964" s="105"/>
      <c r="H964" s="105"/>
    </row>
    <row r="965">
      <c r="A965" s="105"/>
      <c r="B965" s="105"/>
      <c r="C965" s="97"/>
      <c r="D965" s="105"/>
      <c r="E965" s="105"/>
      <c r="F965" s="105"/>
      <c r="G965" s="105"/>
      <c r="H965" s="105"/>
    </row>
    <row r="966">
      <c r="A966" s="105"/>
      <c r="B966" s="105"/>
      <c r="C966" s="97"/>
      <c r="D966" s="105"/>
      <c r="E966" s="105"/>
      <c r="F966" s="105"/>
      <c r="G966" s="105"/>
      <c r="H966" s="105"/>
    </row>
    <row r="967">
      <c r="A967" s="105"/>
      <c r="B967" s="105"/>
      <c r="C967" s="97"/>
      <c r="D967" s="105"/>
      <c r="E967" s="105"/>
      <c r="F967" s="105"/>
      <c r="G967" s="105"/>
      <c r="H967" s="105"/>
    </row>
    <row r="968">
      <c r="A968" s="105"/>
      <c r="B968" s="105"/>
      <c r="C968" s="97"/>
      <c r="D968" s="105"/>
      <c r="E968" s="105"/>
      <c r="F968" s="105"/>
      <c r="G968" s="105"/>
      <c r="H968" s="105"/>
    </row>
    <row r="969">
      <c r="A969" s="105"/>
      <c r="B969" s="105"/>
      <c r="C969" s="97"/>
      <c r="D969" s="105"/>
      <c r="E969" s="105"/>
      <c r="F969" s="105"/>
      <c r="G969" s="105"/>
      <c r="H969" s="105"/>
    </row>
    <row r="970">
      <c r="A970" s="105"/>
      <c r="B970" s="105"/>
      <c r="C970" s="97"/>
      <c r="D970" s="105"/>
      <c r="E970" s="105"/>
      <c r="F970" s="105"/>
      <c r="G970" s="105"/>
      <c r="H970" s="105"/>
    </row>
    <row r="971">
      <c r="A971" s="105"/>
      <c r="B971" s="105"/>
      <c r="C971" s="97"/>
      <c r="D971" s="105"/>
      <c r="E971" s="105"/>
      <c r="F971" s="105"/>
      <c r="G971" s="105"/>
      <c r="H971" s="105"/>
    </row>
    <row r="972">
      <c r="A972" s="105"/>
      <c r="B972" s="105"/>
      <c r="C972" s="97"/>
      <c r="D972" s="105"/>
      <c r="E972" s="105"/>
      <c r="F972" s="105"/>
      <c r="G972" s="105"/>
      <c r="H972" s="105"/>
    </row>
    <row r="973">
      <c r="A973" s="105"/>
      <c r="B973" s="105"/>
      <c r="C973" s="97"/>
      <c r="D973" s="105"/>
      <c r="E973" s="105"/>
      <c r="F973" s="105"/>
      <c r="G973" s="105"/>
      <c r="H973" s="105"/>
    </row>
    <row r="974">
      <c r="A974" s="105"/>
      <c r="B974" s="105"/>
      <c r="C974" s="97"/>
      <c r="D974" s="105"/>
      <c r="E974" s="105"/>
      <c r="F974" s="105"/>
      <c r="G974" s="105"/>
      <c r="H974" s="105"/>
    </row>
    <row r="975">
      <c r="A975" s="105"/>
      <c r="B975" s="105"/>
      <c r="C975" s="97"/>
      <c r="D975" s="105"/>
      <c r="E975" s="105"/>
      <c r="F975" s="105"/>
      <c r="G975" s="105"/>
      <c r="H975" s="105"/>
    </row>
    <row r="976">
      <c r="A976" s="105"/>
      <c r="B976" s="105"/>
      <c r="C976" s="97"/>
      <c r="D976" s="105"/>
      <c r="E976" s="105"/>
      <c r="F976" s="105"/>
      <c r="G976" s="105"/>
      <c r="H976" s="105"/>
    </row>
    <row r="977">
      <c r="A977" s="105"/>
      <c r="B977" s="105"/>
      <c r="C977" s="97"/>
      <c r="D977" s="105"/>
      <c r="E977" s="105"/>
      <c r="F977" s="105"/>
      <c r="G977" s="105"/>
      <c r="H977" s="105"/>
    </row>
    <row r="978">
      <c r="A978" s="105"/>
      <c r="B978" s="105"/>
      <c r="C978" s="97"/>
      <c r="D978" s="105"/>
      <c r="E978" s="105"/>
      <c r="F978" s="105"/>
      <c r="G978" s="105"/>
      <c r="H978" s="105"/>
    </row>
    <row r="979">
      <c r="A979" s="105"/>
      <c r="B979" s="105"/>
      <c r="C979" s="97"/>
      <c r="D979" s="105"/>
      <c r="E979" s="105"/>
      <c r="F979" s="105"/>
      <c r="G979" s="105"/>
      <c r="H979" s="105"/>
    </row>
    <row r="980">
      <c r="A980" s="105"/>
      <c r="B980" s="105"/>
      <c r="C980" s="97"/>
      <c r="D980" s="105"/>
      <c r="E980" s="105"/>
      <c r="F980" s="105"/>
      <c r="G980" s="105"/>
      <c r="H980" s="105"/>
    </row>
    <row r="981">
      <c r="A981" s="105"/>
      <c r="B981" s="105"/>
      <c r="C981" s="97"/>
      <c r="D981" s="105"/>
      <c r="E981" s="105"/>
      <c r="F981" s="105"/>
      <c r="G981" s="105"/>
      <c r="H981" s="105"/>
    </row>
    <row r="982">
      <c r="A982" s="105"/>
      <c r="B982" s="105"/>
      <c r="C982" s="97"/>
      <c r="D982" s="105"/>
      <c r="E982" s="105"/>
      <c r="F982" s="105"/>
      <c r="G982" s="105"/>
      <c r="H982" s="105"/>
    </row>
    <row r="983">
      <c r="A983" s="105"/>
      <c r="B983" s="105"/>
      <c r="C983" s="97"/>
      <c r="D983" s="105"/>
      <c r="E983" s="105"/>
      <c r="F983" s="105"/>
      <c r="G983" s="105"/>
      <c r="H983" s="105"/>
    </row>
    <row r="984">
      <c r="A984" s="105"/>
      <c r="B984" s="105"/>
      <c r="C984" s="97"/>
      <c r="D984" s="105"/>
      <c r="E984" s="105"/>
      <c r="F984" s="105"/>
      <c r="G984" s="105"/>
      <c r="H984" s="105"/>
    </row>
    <row r="985">
      <c r="A985" s="105"/>
      <c r="B985" s="105"/>
      <c r="C985" s="97"/>
      <c r="D985" s="105"/>
      <c r="E985" s="105"/>
      <c r="F985" s="105"/>
      <c r="G985" s="105"/>
      <c r="H985" s="105"/>
    </row>
    <row r="986">
      <c r="A986" s="105"/>
      <c r="B986" s="105"/>
      <c r="C986" s="97"/>
      <c r="D986" s="105"/>
      <c r="E986" s="105"/>
      <c r="F986" s="105"/>
      <c r="G986" s="105"/>
      <c r="H986" s="105"/>
    </row>
    <row r="987">
      <c r="A987" s="105"/>
      <c r="B987" s="105"/>
      <c r="C987" s="97"/>
      <c r="D987" s="105"/>
      <c r="E987" s="105"/>
      <c r="F987" s="105"/>
      <c r="G987" s="105"/>
      <c r="H987" s="105"/>
    </row>
    <row r="988">
      <c r="A988" s="105"/>
      <c r="B988" s="105"/>
      <c r="C988" s="97"/>
      <c r="D988" s="105"/>
      <c r="E988" s="105"/>
      <c r="F988" s="105"/>
      <c r="G988" s="105"/>
      <c r="H988" s="105"/>
    </row>
    <row r="989">
      <c r="A989" s="105"/>
      <c r="B989" s="105"/>
      <c r="C989" s="97"/>
      <c r="D989" s="105"/>
      <c r="E989" s="105"/>
      <c r="F989" s="105"/>
      <c r="G989" s="105"/>
      <c r="H989" s="105"/>
    </row>
    <row r="990">
      <c r="A990" s="105"/>
      <c r="B990" s="105"/>
      <c r="C990" s="97"/>
      <c r="D990" s="105"/>
      <c r="E990" s="105"/>
      <c r="F990" s="105"/>
      <c r="G990" s="105"/>
      <c r="H990" s="105"/>
    </row>
    <row r="991">
      <c r="A991" s="105"/>
      <c r="B991" s="105"/>
      <c r="C991" s="97"/>
      <c r="D991" s="105"/>
      <c r="E991" s="105"/>
      <c r="F991" s="105"/>
      <c r="G991" s="105"/>
      <c r="H991" s="105"/>
    </row>
    <row r="992">
      <c r="A992" s="105"/>
      <c r="B992" s="105"/>
      <c r="C992" s="97"/>
      <c r="D992" s="105"/>
      <c r="E992" s="105"/>
      <c r="F992" s="105"/>
      <c r="G992" s="105"/>
      <c r="H992" s="105"/>
    </row>
    <row r="993">
      <c r="A993" s="105"/>
      <c r="B993" s="105"/>
      <c r="C993" s="97"/>
      <c r="D993" s="105"/>
      <c r="E993" s="105"/>
      <c r="F993" s="105"/>
      <c r="G993" s="105"/>
      <c r="H993" s="105"/>
    </row>
    <row r="994">
      <c r="A994" s="105"/>
      <c r="B994" s="105"/>
      <c r="C994" s="97"/>
      <c r="D994" s="105"/>
      <c r="E994" s="105"/>
      <c r="F994" s="105"/>
      <c r="G994" s="105"/>
      <c r="H994" s="105"/>
    </row>
    <row r="995">
      <c r="A995" s="105"/>
      <c r="B995" s="105"/>
      <c r="C995" s="97"/>
      <c r="D995" s="105"/>
      <c r="E995" s="105"/>
      <c r="F995" s="105"/>
      <c r="G995" s="105"/>
      <c r="H995" s="105"/>
    </row>
    <row r="996">
      <c r="A996" s="105"/>
      <c r="B996" s="105"/>
      <c r="C996" s="97"/>
      <c r="D996" s="105"/>
      <c r="E996" s="105"/>
      <c r="F996" s="105"/>
      <c r="G996" s="105"/>
      <c r="H996" s="105"/>
    </row>
    <row r="997">
      <c r="A997" s="105"/>
      <c r="B997" s="105"/>
      <c r="C997" s="97"/>
      <c r="D997" s="105"/>
      <c r="E997" s="105"/>
      <c r="F997" s="105"/>
      <c r="G997" s="105"/>
      <c r="H997" s="105"/>
    </row>
    <row r="998">
      <c r="A998" s="105"/>
      <c r="B998" s="105"/>
      <c r="C998" s="97"/>
      <c r="D998" s="105"/>
      <c r="E998" s="105"/>
      <c r="F998" s="105"/>
      <c r="G998" s="105"/>
      <c r="H998" s="105"/>
    </row>
    <row r="999">
      <c r="A999" s="105"/>
      <c r="B999" s="105"/>
      <c r="C999" s="97"/>
      <c r="D999" s="105"/>
      <c r="E999" s="105"/>
      <c r="F999" s="105"/>
      <c r="G999" s="105"/>
      <c r="H999" s="105"/>
    </row>
    <row r="1000">
      <c r="A1000" s="105"/>
      <c r="B1000" s="105"/>
      <c r="C1000" s="97"/>
      <c r="D1000" s="105"/>
      <c r="E1000" s="105"/>
      <c r="F1000" s="105"/>
      <c r="G1000" s="105"/>
      <c r="H1000" s="105"/>
    </row>
    <row r="1001">
      <c r="A1001" s="105"/>
      <c r="B1001" s="105"/>
      <c r="C1001" s="97"/>
      <c r="D1001" s="105"/>
      <c r="E1001" s="105"/>
      <c r="F1001" s="105"/>
      <c r="G1001" s="105"/>
      <c r="H1001" s="105"/>
    </row>
    <row r="1002">
      <c r="A1002" s="105"/>
      <c r="B1002" s="105"/>
      <c r="C1002" s="97"/>
      <c r="D1002" s="105"/>
      <c r="E1002" s="105"/>
      <c r="F1002" s="105"/>
      <c r="G1002" s="105"/>
      <c r="H1002" s="105"/>
    </row>
    <row r="1003">
      <c r="A1003" s="105"/>
      <c r="B1003" s="105"/>
      <c r="C1003" s="97"/>
      <c r="D1003" s="105"/>
      <c r="E1003" s="105"/>
      <c r="F1003" s="105"/>
      <c r="G1003" s="105"/>
      <c r="H1003" s="105"/>
    </row>
    <row r="1004">
      <c r="A1004" s="105"/>
      <c r="B1004" s="105"/>
      <c r="C1004" s="97"/>
      <c r="D1004" s="105"/>
      <c r="E1004" s="105"/>
      <c r="F1004" s="105"/>
      <c r="G1004" s="105"/>
      <c r="H1004" s="105"/>
    </row>
    <row r="1005">
      <c r="A1005" s="105"/>
      <c r="B1005" s="105"/>
      <c r="C1005" s="97"/>
      <c r="D1005" s="105"/>
      <c r="E1005" s="105"/>
      <c r="F1005" s="105"/>
      <c r="G1005" s="105"/>
      <c r="H1005" s="105"/>
    </row>
    <row r="1006">
      <c r="A1006" s="105"/>
      <c r="B1006" s="105"/>
      <c r="C1006" s="97"/>
      <c r="D1006" s="105"/>
      <c r="E1006" s="105"/>
      <c r="F1006" s="105"/>
      <c r="G1006" s="105"/>
      <c r="H1006" s="105"/>
    </row>
    <row r="1007">
      <c r="A1007" s="105"/>
      <c r="B1007" s="105"/>
      <c r="C1007" s="97"/>
      <c r="D1007" s="105"/>
      <c r="E1007" s="105"/>
      <c r="F1007" s="105"/>
      <c r="G1007" s="105"/>
      <c r="H1007" s="105"/>
    </row>
    <row r="1008">
      <c r="A1008" s="105"/>
      <c r="B1008" s="105"/>
      <c r="C1008" s="97"/>
      <c r="D1008" s="105"/>
      <c r="E1008" s="105"/>
      <c r="F1008" s="105"/>
      <c r="G1008" s="105"/>
      <c r="H1008" s="105"/>
    </row>
    <row r="1009">
      <c r="A1009" s="105"/>
      <c r="B1009" s="105"/>
      <c r="C1009" s="97"/>
      <c r="D1009" s="105"/>
      <c r="E1009" s="105"/>
      <c r="F1009" s="105"/>
      <c r="G1009" s="105"/>
      <c r="H1009" s="105"/>
    </row>
    <row r="1010">
      <c r="A1010" s="105"/>
      <c r="B1010" s="105"/>
      <c r="C1010" s="97"/>
      <c r="D1010" s="105"/>
      <c r="E1010" s="105"/>
      <c r="F1010" s="105"/>
      <c r="G1010" s="105"/>
      <c r="H1010" s="105"/>
    </row>
    <row r="1011">
      <c r="A1011" s="105"/>
      <c r="B1011" s="105"/>
      <c r="C1011" s="97"/>
      <c r="D1011" s="105"/>
      <c r="E1011" s="105"/>
      <c r="F1011" s="105"/>
      <c r="G1011" s="105"/>
      <c r="H1011" s="105"/>
    </row>
    <row r="1012">
      <c r="A1012" s="105"/>
      <c r="B1012" s="105"/>
      <c r="C1012" s="97"/>
      <c r="D1012" s="105"/>
      <c r="E1012" s="105"/>
      <c r="F1012" s="105"/>
      <c r="G1012" s="105"/>
      <c r="H1012" s="105"/>
    </row>
    <row r="1013">
      <c r="A1013" s="105"/>
      <c r="B1013" s="105"/>
      <c r="C1013" s="97"/>
      <c r="D1013" s="105"/>
      <c r="E1013" s="105"/>
      <c r="F1013" s="105"/>
      <c r="G1013" s="105"/>
      <c r="H1013" s="105"/>
    </row>
    <row r="1014">
      <c r="A1014" s="105"/>
      <c r="B1014" s="105"/>
      <c r="C1014" s="97"/>
      <c r="D1014" s="105"/>
      <c r="E1014" s="105"/>
      <c r="F1014" s="105"/>
      <c r="G1014" s="105"/>
      <c r="H1014" s="105"/>
    </row>
    <row r="1015">
      <c r="A1015" s="105"/>
      <c r="B1015" s="105"/>
      <c r="C1015" s="97"/>
      <c r="D1015" s="105"/>
      <c r="E1015" s="105"/>
      <c r="F1015" s="105"/>
      <c r="G1015" s="105"/>
      <c r="H1015" s="105"/>
    </row>
    <row r="1016">
      <c r="A1016" s="105"/>
      <c r="B1016" s="105"/>
      <c r="C1016" s="97"/>
      <c r="D1016" s="105"/>
      <c r="E1016" s="105"/>
      <c r="F1016" s="105"/>
      <c r="G1016" s="105"/>
      <c r="H1016" s="105"/>
    </row>
    <row r="1017">
      <c r="A1017" s="105"/>
      <c r="B1017" s="105"/>
      <c r="C1017" s="97"/>
      <c r="D1017" s="105"/>
      <c r="E1017" s="105"/>
      <c r="F1017" s="105"/>
      <c r="G1017" s="105"/>
      <c r="H1017" s="105"/>
    </row>
    <row r="1018">
      <c r="A1018" s="105"/>
      <c r="B1018" s="105"/>
      <c r="C1018" s="97"/>
      <c r="D1018" s="105"/>
      <c r="E1018" s="105"/>
      <c r="F1018" s="105"/>
      <c r="G1018" s="105"/>
      <c r="H1018" s="105"/>
    </row>
    <row r="1019">
      <c r="A1019" s="105"/>
      <c r="B1019" s="105"/>
      <c r="C1019" s="97"/>
      <c r="D1019" s="105"/>
      <c r="E1019" s="105"/>
      <c r="F1019" s="105"/>
      <c r="G1019" s="105"/>
      <c r="H1019" s="105"/>
    </row>
    <row r="1020">
      <c r="A1020" s="105"/>
      <c r="B1020" s="105"/>
      <c r="C1020" s="97"/>
      <c r="D1020" s="105"/>
      <c r="E1020" s="105"/>
      <c r="F1020" s="105"/>
      <c r="G1020" s="105"/>
      <c r="H1020" s="105"/>
    </row>
    <row r="1021">
      <c r="A1021" s="105"/>
      <c r="B1021" s="105"/>
      <c r="C1021" s="97"/>
      <c r="D1021" s="105"/>
      <c r="E1021" s="105"/>
      <c r="F1021" s="105"/>
      <c r="G1021" s="105"/>
      <c r="H1021" s="105"/>
    </row>
    <row r="1022">
      <c r="A1022" s="105"/>
      <c r="B1022" s="105"/>
      <c r="C1022" s="97"/>
      <c r="D1022" s="105"/>
      <c r="E1022" s="105"/>
      <c r="F1022" s="105"/>
      <c r="G1022" s="105"/>
      <c r="H1022" s="105"/>
    </row>
    <row r="1023">
      <c r="A1023" s="105"/>
      <c r="B1023" s="105"/>
      <c r="C1023" s="97"/>
      <c r="D1023" s="105"/>
      <c r="E1023" s="105"/>
      <c r="F1023" s="105"/>
      <c r="G1023" s="105"/>
      <c r="H1023" s="105"/>
    </row>
    <row r="1024">
      <c r="A1024" s="105"/>
      <c r="B1024" s="105"/>
      <c r="C1024" s="97"/>
      <c r="D1024" s="105"/>
      <c r="E1024" s="105"/>
      <c r="F1024" s="105"/>
      <c r="G1024" s="105"/>
      <c r="H1024" s="105"/>
    </row>
    <row r="1025">
      <c r="A1025" s="105"/>
      <c r="B1025" s="105"/>
      <c r="C1025" s="97"/>
      <c r="D1025" s="105"/>
      <c r="E1025" s="105"/>
      <c r="F1025" s="105"/>
      <c r="G1025" s="105"/>
      <c r="H1025" s="105"/>
    </row>
    <row r="1026">
      <c r="A1026" s="105"/>
      <c r="B1026" s="105"/>
      <c r="C1026" s="97"/>
      <c r="D1026" s="105"/>
      <c r="E1026" s="105"/>
      <c r="F1026" s="105"/>
      <c r="G1026" s="105"/>
      <c r="H1026" s="105"/>
    </row>
    <row r="1027">
      <c r="A1027" s="105"/>
      <c r="B1027" s="105"/>
      <c r="C1027" s="97"/>
      <c r="D1027" s="105"/>
      <c r="E1027" s="105"/>
      <c r="F1027" s="105"/>
      <c r="G1027" s="105"/>
      <c r="H1027" s="105"/>
    </row>
    <row r="1028">
      <c r="A1028" s="105"/>
      <c r="B1028" s="105"/>
      <c r="C1028" s="97"/>
      <c r="D1028" s="105"/>
      <c r="E1028" s="105"/>
      <c r="F1028" s="105"/>
      <c r="G1028" s="105"/>
      <c r="H1028" s="105"/>
    </row>
    <row r="1029">
      <c r="A1029" s="105"/>
      <c r="B1029" s="105"/>
      <c r="C1029" s="97"/>
      <c r="D1029" s="105"/>
      <c r="E1029" s="105"/>
      <c r="F1029" s="105"/>
      <c r="G1029" s="105"/>
      <c r="H1029" s="105"/>
    </row>
    <row r="1030">
      <c r="A1030" s="105"/>
      <c r="B1030" s="105"/>
      <c r="C1030" s="97"/>
      <c r="D1030" s="105"/>
      <c r="E1030" s="105"/>
      <c r="F1030" s="105"/>
      <c r="G1030" s="105"/>
      <c r="H1030" s="105"/>
    </row>
    <row r="1031">
      <c r="A1031" s="105"/>
      <c r="B1031" s="105"/>
      <c r="C1031" s="97"/>
      <c r="D1031" s="105"/>
      <c r="E1031" s="105"/>
      <c r="F1031" s="105"/>
      <c r="G1031" s="105"/>
      <c r="H1031" s="105"/>
    </row>
    <row r="1032">
      <c r="A1032" s="105"/>
      <c r="B1032" s="105"/>
      <c r="C1032" s="97"/>
      <c r="D1032" s="105"/>
      <c r="E1032" s="105"/>
      <c r="F1032" s="105"/>
      <c r="G1032" s="105"/>
      <c r="H1032" s="105"/>
    </row>
    <row r="1033">
      <c r="A1033" s="105"/>
      <c r="B1033" s="105"/>
      <c r="C1033" s="97"/>
      <c r="D1033" s="105"/>
      <c r="E1033" s="105"/>
      <c r="F1033" s="105"/>
      <c r="G1033" s="105"/>
      <c r="H1033" s="105"/>
    </row>
    <row r="1034">
      <c r="A1034" s="105"/>
      <c r="B1034" s="105"/>
      <c r="C1034" s="97"/>
      <c r="D1034" s="105"/>
      <c r="E1034" s="105"/>
      <c r="F1034" s="105"/>
      <c r="G1034" s="105"/>
      <c r="H1034" s="105"/>
    </row>
    <row r="1035">
      <c r="A1035" s="105"/>
      <c r="B1035" s="105"/>
      <c r="C1035" s="97"/>
      <c r="D1035" s="105"/>
      <c r="E1035" s="105"/>
      <c r="F1035" s="105"/>
      <c r="G1035" s="105"/>
      <c r="H1035" s="105"/>
    </row>
    <row r="1036">
      <c r="A1036" s="105"/>
      <c r="B1036" s="105"/>
      <c r="C1036" s="97"/>
      <c r="D1036" s="105"/>
      <c r="E1036" s="105"/>
      <c r="F1036" s="105"/>
      <c r="G1036" s="105"/>
      <c r="H1036" s="105"/>
    </row>
    <row r="1037">
      <c r="A1037" s="105"/>
      <c r="B1037" s="105"/>
      <c r="C1037" s="97"/>
      <c r="D1037" s="105"/>
      <c r="E1037" s="105"/>
      <c r="F1037" s="105"/>
      <c r="G1037" s="105"/>
      <c r="H1037" s="105"/>
    </row>
    <row r="1038">
      <c r="A1038" s="105"/>
      <c r="B1038" s="105"/>
      <c r="C1038" s="97"/>
      <c r="D1038" s="105"/>
      <c r="E1038" s="105"/>
      <c r="F1038" s="105"/>
      <c r="G1038" s="105"/>
      <c r="H1038" s="105"/>
    </row>
    <row r="1039">
      <c r="A1039" s="105"/>
      <c r="B1039" s="105"/>
      <c r="C1039" s="97"/>
      <c r="D1039" s="105"/>
      <c r="E1039" s="105"/>
      <c r="F1039" s="105"/>
      <c r="G1039" s="105"/>
      <c r="H1039" s="105"/>
    </row>
    <row r="1040">
      <c r="A1040" s="105"/>
      <c r="B1040" s="105"/>
      <c r="C1040" s="97"/>
      <c r="D1040" s="105"/>
      <c r="E1040" s="105"/>
      <c r="F1040" s="105"/>
      <c r="G1040" s="105"/>
      <c r="H1040" s="105"/>
    </row>
    <row r="1041">
      <c r="A1041" s="105"/>
      <c r="B1041" s="105"/>
      <c r="C1041" s="97"/>
      <c r="D1041" s="105"/>
      <c r="E1041" s="105"/>
      <c r="F1041" s="105"/>
      <c r="G1041" s="105"/>
      <c r="H1041" s="105"/>
    </row>
    <row r="1042">
      <c r="A1042" s="105"/>
      <c r="B1042" s="105"/>
      <c r="C1042" s="97"/>
      <c r="D1042" s="105"/>
      <c r="E1042" s="105"/>
      <c r="F1042" s="105"/>
      <c r="G1042" s="105"/>
      <c r="H1042" s="105"/>
    </row>
    <row r="1043">
      <c r="A1043" s="105"/>
      <c r="B1043" s="105"/>
      <c r="C1043" s="97"/>
      <c r="D1043" s="105"/>
      <c r="E1043" s="105"/>
      <c r="F1043" s="105"/>
      <c r="G1043" s="105"/>
      <c r="H1043" s="105"/>
    </row>
    <row r="1044">
      <c r="A1044" s="105"/>
      <c r="B1044" s="105"/>
      <c r="C1044" s="97"/>
      <c r="D1044" s="105"/>
      <c r="E1044" s="105"/>
      <c r="F1044" s="105"/>
      <c r="G1044" s="105"/>
      <c r="H1044" s="105"/>
    </row>
    <row r="1045">
      <c r="A1045" s="105"/>
      <c r="B1045" s="105"/>
      <c r="C1045" s="97"/>
      <c r="D1045" s="105"/>
      <c r="E1045" s="105"/>
      <c r="F1045" s="105"/>
      <c r="G1045" s="105"/>
      <c r="H1045" s="105"/>
    </row>
    <row r="1046">
      <c r="A1046" s="105"/>
      <c r="B1046" s="105"/>
      <c r="C1046" s="97"/>
      <c r="D1046" s="105"/>
      <c r="E1046" s="105"/>
      <c r="F1046" s="105"/>
      <c r="G1046" s="105"/>
      <c r="H1046" s="105"/>
    </row>
    <row r="1047">
      <c r="A1047" s="105"/>
      <c r="B1047" s="105"/>
      <c r="C1047" s="97"/>
      <c r="D1047" s="105"/>
      <c r="E1047" s="105"/>
      <c r="F1047" s="105"/>
      <c r="G1047" s="105"/>
      <c r="H1047" s="105"/>
    </row>
    <row r="1048">
      <c r="A1048" s="105"/>
      <c r="B1048" s="105"/>
      <c r="C1048" s="97"/>
      <c r="D1048" s="105"/>
      <c r="E1048" s="105"/>
      <c r="F1048" s="105"/>
      <c r="G1048" s="105"/>
      <c r="H1048" s="105"/>
    </row>
    <row r="1049">
      <c r="A1049" s="105"/>
      <c r="B1049" s="105"/>
      <c r="C1049" s="97"/>
      <c r="D1049" s="105"/>
      <c r="E1049" s="105"/>
      <c r="F1049" s="105"/>
      <c r="G1049" s="105"/>
      <c r="H1049" s="105"/>
    </row>
    <row r="1050">
      <c r="A1050" s="105"/>
      <c r="B1050" s="105"/>
      <c r="C1050" s="97"/>
      <c r="D1050" s="105"/>
      <c r="E1050" s="105"/>
      <c r="F1050" s="105"/>
      <c r="G1050" s="105"/>
      <c r="H1050" s="105"/>
    </row>
    <row r="1051">
      <c r="A1051" s="105"/>
      <c r="B1051" s="105"/>
      <c r="C1051" s="97"/>
      <c r="D1051" s="105"/>
      <c r="E1051" s="105"/>
      <c r="F1051" s="105"/>
      <c r="G1051" s="105"/>
      <c r="H1051" s="105"/>
    </row>
    <row r="1052">
      <c r="A1052" s="105"/>
      <c r="B1052" s="105"/>
      <c r="C1052" s="97"/>
      <c r="D1052" s="105"/>
      <c r="E1052" s="105"/>
      <c r="F1052" s="105"/>
      <c r="G1052" s="105"/>
      <c r="H1052" s="105"/>
    </row>
    <row r="1053">
      <c r="A1053" s="105"/>
      <c r="B1053" s="105"/>
      <c r="C1053" s="97"/>
      <c r="D1053" s="105"/>
      <c r="E1053" s="105"/>
      <c r="F1053" s="105"/>
      <c r="G1053" s="105"/>
      <c r="H1053" s="105"/>
    </row>
    <row r="1054">
      <c r="A1054" s="105"/>
      <c r="B1054" s="105"/>
      <c r="C1054" s="97"/>
      <c r="D1054" s="105"/>
      <c r="E1054" s="105"/>
      <c r="F1054" s="105"/>
      <c r="G1054" s="105"/>
      <c r="H1054" s="105"/>
    </row>
    <row r="1055">
      <c r="A1055" s="105"/>
      <c r="B1055" s="105"/>
      <c r="C1055" s="97"/>
      <c r="D1055" s="105"/>
      <c r="E1055" s="105"/>
      <c r="F1055" s="105"/>
      <c r="G1055" s="105"/>
      <c r="H1055" s="105"/>
    </row>
    <row r="1056">
      <c r="A1056" s="105"/>
      <c r="B1056" s="105"/>
      <c r="C1056" s="97"/>
      <c r="D1056" s="105"/>
      <c r="E1056" s="105"/>
      <c r="F1056" s="105"/>
      <c r="G1056" s="105"/>
      <c r="H1056" s="105"/>
    </row>
    <row r="1057">
      <c r="A1057" s="105"/>
      <c r="B1057" s="105"/>
      <c r="C1057" s="97"/>
      <c r="D1057" s="105"/>
      <c r="E1057" s="105"/>
      <c r="F1057" s="105"/>
      <c r="G1057" s="105"/>
      <c r="H1057" s="105"/>
    </row>
    <row r="1058">
      <c r="A1058" s="105"/>
      <c r="B1058" s="105"/>
      <c r="C1058" s="97"/>
      <c r="D1058" s="105"/>
      <c r="E1058" s="105"/>
      <c r="F1058" s="105"/>
      <c r="G1058" s="105"/>
      <c r="H1058" s="105"/>
    </row>
    <row r="1059">
      <c r="A1059" s="105"/>
      <c r="B1059" s="105"/>
      <c r="C1059" s="97"/>
      <c r="D1059" s="105"/>
      <c r="E1059" s="105"/>
      <c r="F1059" s="105"/>
      <c r="G1059" s="105"/>
      <c r="H1059" s="105"/>
    </row>
    <row r="1060">
      <c r="A1060" s="105"/>
      <c r="B1060" s="105"/>
      <c r="C1060" s="97"/>
      <c r="D1060" s="105"/>
      <c r="E1060" s="105"/>
      <c r="F1060" s="105"/>
      <c r="G1060" s="105"/>
      <c r="H1060" s="105"/>
    </row>
    <row r="1061">
      <c r="A1061" s="105"/>
      <c r="B1061" s="105"/>
      <c r="C1061" s="97"/>
      <c r="D1061" s="105"/>
      <c r="E1061" s="105"/>
      <c r="F1061" s="105"/>
      <c r="G1061" s="105"/>
      <c r="H1061" s="105"/>
    </row>
    <row r="1062">
      <c r="A1062" s="105"/>
      <c r="B1062" s="105"/>
      <c r="C1062" s="97"/>
      <c r="D1062" s="105"/>
      <c r="E1062" s="105"/>
      <c r="F1062" s="105"/>
      <c r="G1062" s="105"/>
      <c r="H1062" s="105"/>
    </row>
    <row r="1063">
      <c r="A1063" s="105"/>
      <c r="B1063" s="105"/>
      <c r="C1063" s="97"/>
      <c r="D1063" s="105"/>
      <c r="E1063" s="105"/>
      <c r="F1063" s="105"/>
      <c r="G1063" s="105"/>
      <c r="H1063" s="105"/>
    </row>
    <row r="1064">
      <c r="A1064" s="105"/>
      <c r="B1064" s="105"/>
      <c r="C1064" s="97"/>
      <c r="D1064" s="105"/>
      <c r="E1064" s="105"/>
      <c r="F1064" s="105"/>
      <c r="G1064" s="105"/>
      <c r="H1064" s="105"/>
    </row>
    <row r="1065">
      <c r="A1065" s="105"/>
      <c r="B1065" s="105"/>
      <c r="C1065" s="97"/>
      <c r="D1065" s="105"/>
      <c r="E1065" s="105"/>
      <c r="F1065" s="105"/>
      <c r="G1065" s="105"/>
      <c r="H1065" s="105"/>
    </row>
    <row r="1066">
      <c r="A1066" s="105"/>
      <c r="B1066" s="105"/>
      <c r="C1066" s="97"/>
      <c r="D1066" s="105"/>
      <c r="E1066" s="105"/>
      <c r="F1066" s="105"/>
      <c r="G1066" s="105"/>
      <c r="H1066" s="105"/>
    </row>
    <row r="1067">
      <c r="A1067" s="105"/>
      <c r="B1067" s="105"/>
      <c r="C1067" s="97"/>
      <c r="D1067" s="105"/>
      <c r="E1067" s="105"/>
      <c r="F1067" s="105"/>
      <c r="G1067" s="105"/>
      <c r="H1067" s="105"/>
    </row>
    <row r="1068">
      <c r="A1068" s="105"/>
      <c r="B1068" s="105"/>
      <c r="C1068" s="97"/>
      <c r="D1068" s="105"/>
      <c r="E1068" s="105"/>
      <c r="F1068" s="105"/>
      <c r="G1068" s="105"/>
      <c r="H1068" s="105"/>
    </row>
    <row r="1069">
      <c r="A1069" s="105"/>
      <c r="B1069" s="105"/>
      <c r="C1069" s="97"/>
      <c r="D1069" s="105"/>
      <c r="E1069" s="105"/>
      <c r="F1069" s="105"/>
      <c r="G1069" s="105"/>
      <c r="H1069" s="105"/>
    </row>
    <row r="1070">
      <c r="A1070" s="105"/>
      <c r="B1070" s="105"/>
      <c r="C1070" s="97"/>
      <c r="D1070" s="105"/>
      <c r="E1070" s="105"/>
      <c r="F1070" s="105"/>
      <c r="G1070" s="105"/>
      <c r="H1070" s="105"/>
    </row>
    <row r="1071">
      <c r="A1071" s="105"/>
      <c r="B1071" s="105"/>
      <c r="C1071" s="97"/>
      <c r="D1071" s="105"/>
      <c r="E1071" s="105"/>
      <c r="F1071" s="105"/>
      <c r="G1071" s="105"/>
      <c r="H1071" s="105"/>
    </row>
    <row r="1072">
      <c r="A1072" s="105"/>
      <c r="B1072" s="105"/>
      <c r="C1072" s="97"/>
      <c r="D1072" s="105"/>
      <c r="E1072" s="105"/>
      <c r="F1072" s="105"/>
      <c r="G1072" s="105"/>
      <c r="H1072" s="105"/>
    </row>
    <row r="1073">
      <c r="A1073" s="105"/>
      <c r="B1073" s="105"/>
      <c r="C1073" s="97"/>
      <c r="D1073" s="105"/>
      <c r="E1073" s="105"/>
      <c r="F1073" s="105"/>
      <c r="G1073" s="105"/>
      <c r="H1073" s="105"/>
    </row>
    <row r="1074">
      <c r="A1074" s="105"/>
      <c r="B1074" s="105"/>
      <c r="C1074" s="97"/>
      <c r="D1074" s="105"/>
      <c r="E1074" s="105"/>
      <c r="F1074" s="105"/>
      <c r="G1074" s="105"/>
      <c r="H1074" s="105"/>
    </row>
    <row r="1075">
      <c r="A1075" s="105"/>
      <c r="B1075" s="105"/>
      <c r="C1075" s="97"/>
      <c r="D1075" s="105"/>
      <c r="E1075" s="105"/>
      <c r="F1075" s="105"/>
      <c r="G1075" s="105"/>
      <c r="H1075" s="105"/>
    </row>
    <row r="1076">
      <c r="A1076" s="105"/>
      <c r="B1076" s="105"/>
      <c r="C1076" s="97"/>
      <c r="D1076" s="105"/>
      <c r="E1076" s="105"/>
      <c r="F1076" s="105"/>
      <c r="G1076" s="105"/>
      <c r="H1076" s="105"/>
    </row>
    <row r="1077">
      <c r="A1077" s="105"/>
      <c r="B1077" s="105"/>
      <c r="C1077" s="97"/>
      <c r="D1077" s="105"/>
      <c r="E1077" s="105"/>
      <c r="F1077" s="105"/>
      <c r="G1077" s="105"/>
      <c r="H1077" s="105"/>
    </row>
    <row r="1078">
      <c r="A1078" s="105"/>
      <c r="B1078" s="105"/>
      <c r="C1078" s="97"/>
      <c r="D1078" s="105"/>
      <c r="E1078" s="105"/>
      <c r="F1078" s="105"/>
      <c r="G1078" s="105"/>
      <c r="H1078" s="105"/>
    </row>
    <row r="1079">
      <c r="A1079" s="105"/>
      <c r="B1079" s="105"/>
      <c r="C1079" s="97"/>
      <c r="D1079" s="105"/>
      <c r="E1079" s="105"/>
      <c r="F1079" s="105"/>
      <c r="G1079" s="105"/>
      <c r="H1079" s="105"/>
    </row>
    <row r="1080">
      <c r="A1080" s="105"/>
      <c r="B1080" s="105"/>
      <c r="C1080" s="97"/>
      <c r="D1080" s="105"/>
      <c r="E1080" s="105"/>
      <c r="F1080" s="105"/>
      <c r="G1080" s="105"/>
      <c r="H1080" s="105"/>
    </row>
    <row r="1081">
      <c r="A1081" s="105"/>
      <c r="B1081" s="105"/>
      <c r="C1081" s="97"/>
      <c r="D1081" s="105"/>
      <c r="E1081" s="105"/>
      <c r="F1081" s="105"/>
      <c r="G1081" s="105"/>
      <c r="H1081" s="105"/>
    </row>
    <row r="1082">
      <c r="A1082" s="105"/>
      <c r="B1082" s="105"/>
      <c r="C1082" s="97"/>
      <c r="D1082" s="105"/>
      <c r="E1082" s="105"/>
      <c r="F1082" s="105"/>
      <c r="G1082" s="105"/>
      <c r="H1082" s="105"/>
    </row>
    <row r="1083">
      <c r="A1083" s="105"/>
      <c r="B1083" s="105"/>
      <c r="C1083" s="97"/>
      <c r="D1083" s="105"/>
      <c r="E1083" s="105"/>
      <c r="F1083" s="105"/>
      <c r="G1083" s="105"/>
      <c r="H1083" s="105"/>
    </row>
    <row r="1084">
      <c r="A1084" s="105"/>
      <c r="B1084" s="105"/>
      <c r="C1084" s="97"/>
      <c r="D1084" s="105"/>
      <c r="E1084" s="105"/>
      <c r="F1084" s="105"/>
      <c r="G1084" s="105"/>
      <c r="H1084" s="105"/>
    </row>
    <row r="1085">
      <c r="A1085" s="105"/>
      <c r="B1085" s="105"/>
      <c r="C1085" s="97"/>
      <c r="D1085" s="105"/>
      <c r="E1085" s="105"/>
      <c r="F1085" s="105"/>
      <c r="G1085" s="105"/>
      <c r="H1085" s="105"/>
    </row>
    <row r="1086">
      <c r="A1086" s="105"/>
      <c r="B1086" s="105"/>
      <c r="C1086" s="97"/>
      <c r="D1086" s="105"/>
      <c r="E1086" s="105"/>
      <c r="F1086" s="105"/>
      <c r="G1086" s="105"/>
      <c r="H1086" s="105"/>
    </row>
    <row r="1087">
      <c r="A1087" s="105"/>
      <c r="B1087" s="105"/>
      <c r="C1087" s="97"/>
      <c r="D1087" s="105"/>
      <c r="E1087" s="105"/>
      <c r="F1087" s="105"/>
      <c r="G1087" s="105"/>
      <c r="H1087" s="105"/>
    </row>
    <row r="1088">
      <c r="A1088" s="105"/>
      <c r="B1088" s="105"/>
      <c r="C1088" s="97"/>
      <c r="D1088" s="105"/>
      <c r="E1088" s="105"/>
      <c r="F1088" s="105"/>
      <c r="G1088" s="105"/>
      <c r="H1088" s="105"/>
    </row>
    <row r="1089">
      <c r="A1089" s="105"/>
      <c r="B1089" s="105"/>
      <c r="C1089" s="97"/>
      <c r="D1089" s="105"/>
      <c r="E1089" s="105"/>
      <c r="F1089" s="105"/>
      <c r="G1089" s="105"/>
      <c r="H1089" s="105"/>
    </row>
    <row r="1090">
      <c r="A1090" s="105"/>
      <c r="B1090" s="105"/>
      <c r="C1090" s="97"/>
      <c r="D1090" s="105"/>
      <c r="E1090" s="105"/>
      <c r="F1090" s="105"/>
      <c r="G1090" s="105"/>
      <c r="H1090" s="105"/>
    </row>
    <row r="1091">
      <c r="A1091" s="105"/>
      <c r="B1091" s="105"/>
      <c r="C1091" s="97"/>
      <c r="D1091" s="105"/>
      <c r="E1091" s="105"/>
      <c r="F1091" s="105"/>
      <c r="G1091" s="105"/>
      <c r="H1091" s="105"/>
    </row>
    <row r="1092">
      <c r="A1092" s="105"/>
      <c r="B1092" s="105"/>
      <c r="C1092" s="97"/>
      <c r="D1092" s="105"/>
      <c r="E1092" s="105"/>
      <c r="F1092" s="105"/>
      <c r="G1092" s="105"/>
      <c r="H1092" s="105"/>
    </row>
    <row r="1093">
      <c r="A1093" s="105"/>
      <c r="B1093" s="105"/>
      <c r="C1093" s="97"/>
      <c r="D1093" s="105"/>
      <c r="E1093" s="105"/>
      <c r="F1093" s="105"/>
      <c r="G1093" s="105"/>
      <c r="H1093" s="105"/>
    </row>
    <row r="1094">
      <c r="A1094" s="105"/>
      <c r="B1094" s="105"/>
      <c r="C1094" s="97"/>
      <c r="D1094" s="105"/>
      <c r="E1094" s="105"/>
      <c r="F1094" s="105"/>
      <c r="G1094" s="105"/>
      <c r="H1094" s="105"/>
    </row>
    <row r="1095">
      <c r="A1095" s="105"/>
      <c r="B1095" s="105"/>
      <c r="C1095" s="97"/>
      <c r="D1095" s="105"/>
      <c r="E1095" s="105"/>
      <c r="F1095" s="105"/>
      <c r="G1095" s="105"/>
      <c r="H1095" s="105"/>
    </row>
    <row r="1096">
      <c r="A1096" s="105"/>
      <c r="B1096" s="105"/>
      <c r="C1096" s="97"/>
      <c r="D1096" s="105"/>
      <c r="E1096" s="105"/>
      <c r="F1096" s="105"/>
      <c r="G1096" s="105"/>
      <c r="H1096" s="105"/>
    </row>
    <row r="1097">
      <c r="A1097" s="105"/>
      <c r="B1097" s="105"/>
      <c r="C1097" s="97"/>
      <c r="D1097" s="105"/>
      <c r="E1097" s="105"/>
      <c r="F1097" s="105"/>
      <c r="G1097" s="105"/>
      <c r="H1097" s="105"/>
    </row>
    <row r="1098">
      <c r="A1098" s="105"/>
      <c r="B1098" s="105"/>
      <c r="C1098" s="97"/>
      <c r="D1098" s="105"/>
      <c r="E1098" s="105"/>
      <c r="F1098" s="105"/>
      <c r="G1098" s="105"/>
      <c r="H1098" s="105"/>
    </row>
    <row r="1099">
      <c r="A1099" s="105"/>
      <c r="B1099" s="105"/>
      <c r="C1099" s="97"/>
      <c r="D1099" s="105"/>
      <c r="E1099" s="105"/>
      <c r="F1099" s="105"/>
      <c r="G1099" s="105"/>
      <c r="H1099" s="105"/>
    </row>
    <row r="1100">
      <c r="A1100" s="105"/>
      <c r="B1100" s="105"/>
      <c r="C1100" s="97"/>
      <c r="D1100" s="105"/>
      <c r="E1100" s="105"/>
      <c r="F1100" s="105"/>
      <c r="G1100" s="105"/>
      <c r="H1100" s="105"/>
    </row>
    <row r="1101">
      <c r="A1101" s="105"/>
      <c r="B1101" s="105"/>
      <c r="C1101" s="97"/>
      <c r="D1101" s="105"/>
      <c r="E1101" s="105"/>
      <c r="F1101" s="105"/>
      <c r="G1101" s="105"/>
      <c r="H1101" s="105"/>
    </row>
    <row r="1102">
      <c r="A1102" s="105"/>
      <c r="B1102" s="105"/>
      <c r="C1102" s="97"/>
      <c r="D1102" s="105"/>
      <c r="E1102" s="105"/>
      <c r="F1102" s="105"/>
      <c r="G1102" s="105"/>
      <c r="H1102" s="105"/>
    </row>
    <row r="1103">
      <c r="A1103" s="105"/>
      <c r="B1103" s="105"/>
      <c r="C1103" s="97"/>
      <c r="D1103" s="105"/>
      <c r="E1103" s="105"/>
      <c r="F1103" s="105"/>
      <c r="G1103" s="105"/>
      <c r="H1103" s="105"/>
    </row>
    <row r="1104">
      <c r="A1104" s="105"/>
      <c r="B1104" s="105"/>
      <c r="C1104" s="97"/>
      <c r="D1104" s="105"/>
      <c r="E1104" s="105"/>
      <c r="F1104" s="105"/>
      <c r="G1104" s="105"/>
      <c r="H1104" s="105"/>
    </row>
    <row r="1105">
      <c r="A1105" s="105"/>
      <c r="B1105" s="105"/>
      <c r="C1105" s="97"/>
      <c r="D1105" s="105"/>
      <c r="E1105" s="105"/>
      <c r="F1105" s="105"/>
      <c r="G1105" s="105"/>
      <c r="H1105" s="105"/>
    </row>
    <row r="1106">
      <c r="A1106" s="105"/>
      <c r="B1106" s="105"/>
      <c r="C1106" s="97"/>
      <c r="D1106" s="105"/>
      <c r="E1106" s="105"/>
      <c r="F1106" s="105"/>
      <c r="G1106" s="105"/>
      <c r="H1106" s="105"/>
    </row>
    <row r="1107">
      <c r="A1107" s="105"/>
      <c r="B1107" s="105"/>
      <c r="C1107" s="97"/>
      <c r="D1107" s="105"/>
      <c r="E1107" s="105"/>
      <c r="F1107" s="105"/>
      <c r="G1107" s="105"/>
      <c r="H1107" s="105"/>
    </row>
    <row r="1108">
      <c r="A1108" s="105"/>
      <c r="B1108" s="105"/>
      <c r="C1108" s="97"/>
      <c r="D1108" s="105"/>
      <c r="E1108" s="105"/>
      <c r="F1108" s="105"/>
      <c r="G1108" s="105"/>
      <c r="H1108" s="105"/>
    </row>
    <row r="1109">
      <c r="A1109" s="105"/>
      <c r="B1109" s="105"/>
      <c r="C1109" s="97"/>
      <c r="D1109" s="105"/>
      <c r="E1109" s="105"/>
      <c r="F1109" s="105"/>
      <c r="G1109" s="105"/>
      <c r="H1109" s="105"/>
    </row>
    <row r="1110">
      <c r="A1110" s="105"/>
      <c r="B1110" s="105"/>
      <c r="C1110" s="97"/>
      <c r="D1110" s="105"/>
      <c r="E1110" s="105"/>
      <c r="F1110" s="105"/>
      <c r="G1110" s="105"/>
      <c r="H1110" s="105"/>
    </row>
    <row r="1111">
      <c r="A1111" s="105"/>
      <c r="B1111" s="105"/>
      <c r="C1111" s="97"/>
      <c r="D1111" s="105"/>
      <c r="E1111" s="105"/>
      <c r="F1111" s="105"/>
      <c r="G1111" s="105"/>
      <c r="H1111" s="105"/>
    </row>
    <row r="1112">
      <c r="A1112" s="105"/>
      <c r="B1112" s="105"/>
      <c r="C1112" s="97"/>
      <c r="D1112" s="105"/>
      <c r="E1112" s="105"/>
      <c r="F1112" s="105"/>
      <c r="G1112" s="105"/>
      <c r="H1112" s="105"/>
    </row>
    <row r="1113">
      <c r="A1113" s="105"/>
      <c r="B1113" s="105"/>
      <c r="C1113" s="97"/>
      <c r="D1113" s="105"/>
      <c r="E1113" s="105"/>
      <c r="F1113" s="105"/>
      <c r="G1113" s="105"/>
      <c r="H1113" s="105"/>
    </row>
    <row r="1114">
      <c r="A1114" s="105"/>
      <c r="B1114" s="105"/>
      <c r="C1114" s="97"/>
      <c r="D1114" s="105"/>
      <c r="E1114" s="105"/>
      <c r="F1114" s="105"/>
      <c r="G1114" s="105"/>
      <c r="H1114" s="105"/>
    </row>
    <row r="1115">
      <c r="A1115" s="105"/>
      <c r="B1115" s="105"/>
      <c r="C1115" s="97"/>
      <c r="D1115" s="105"/>
      <c r="E1115" s="105"/>
      <c r="F1115" s="105"/>
      <c r="G1115" s="105"/>
      <c r="H1115" s="105"/>
    </row>
    <row r="1116">
      <c r="A1116" s="105"/>
      <c r="B1116" s="105"/>
      <c r="C1116" s="97"/>
      <c r="D1116" s="105"/>
      <c r="E1116" s="105"/>
      <c r="F1116" s="105"/>
      <c r="G1116" s="105"/>
      <c r="H1116" s="105"/>
    </row>
    <row r="1117">
      <c r="A1117" s="105"/>
      <c r="B1117" s="105"/>
      <c r="C1117" s="97"/>
      <c r="D1117" s="105"/>
      <c r="E1117" s="105"/>
      <c r="F1117" s="105"/>
      <c r="G1117" s="105"/>
      <c r="H1117" s="105"/>
    </row>
    <row r="1118">
      <c r="A1118" s="105"/>
      <c r="B1118" s="105"/>
      <c r="C1118" s="97"/>
      <c r="D1118" s="105"/>
      <c r="E1118" s="105"/>
      <c r="F1118" s="105"/>
      <c r="G1118" s="105"/>
      <c r="H1118" s="105"/>
    </row>
    <row r="1119">
      <c r="A1119" s="105"/>
      <c r="B1119" s="105"/>
      <c r="C1119" s="97"/>
      <c r="D1119" s="105"/>
      <c r="E1119" s="105"/>
      <c r="F1119" s="105"/>
      <c r="G1119" s="105"/>
      <c r="H1119" s="105"/>
    </row>
    <row r="1120">
      <c r="A1120" s="105"/>
      <c r="B1120" s="105"/>
      <c r="C1120" s="97"/>
      <c r="D1120" s="105"/>
      <c r="E1120" s="105"/>
      <c r="F1120" s="105"/>
      <c r="G1120" s="105"/>
      <c r="H1120" s="105"/>
    </row>
    <row r="1121">
      <c r="A1121" s="105"/>
      <c r="B1121" s="105"/>
      <c r="C1121" s="97"/>
      <c r="D1121" s="105"/>
      <c r="E1121" s="105"/>
      <c r="F1121" s="105"/>
      <c r="G1121" s="105"/>
      <c r="H1121" s="105"/>
    </row>
    <row r="1122">
      <c r="A1122" s="105"/>
      <c r="B1122" s="105"/>
      <c r="C1122" s="97"/>
      <c r="D1122" s="105"/>
      <c r="E1122" s="105"/>
      <c r="F1122" s="105"/>
      <c r="G1122" s="105"/>
      <c r="H1122" s="105"/>
    </row>
    <row r="1123">
      <c r="A1123" s="105"/>
      <c r="B1123" s="105"/>
      <c r="C1123" s="97"/>
      <c r="D1123" s="105"/>
      <c r="E1123" s="105"/>
      <c r="F1123" s="105"/>
      <c r="G1123" s="105"/>
      <c r="H1123" s="105"/>
    </row>
    <row r="1124">
      <c r="A1124" s="105"/>
      <c r="B1124" s="105"/>
      <c r="C1124" s="97"/>
      <c r="D1124" s="105"/>
      <c r="E1124" s="105"/>
      <c r="F1124" s="105"/>
      <c r="G1124" s="105"/>
      <c r="H1124" s="105"/>
    </row>
    <row r="1125">
      <c r="A1125" s="105"/>
      <c r="B1125" s="105"/>
      <c r="C1125" s="97"/>
      <c r="D1125" s="105"/>
      <c r="E1125" s="105"/>
      <c r="F1125" s="105"/>
      <c r="G1125" s="105"/>
      <c r="H1125" s="105"/>
    </row>
    <row r="1126">
      <c r="A1126" s="105"/>
      <c r="B1126" s="105"/>
      <c r="C1126" s="97"/>
      <c r="D1126" s="105"/>
      <c r="E1126" s="105"/>
      <c r="F1126" s="105"/>
      <c r="G1126" s="105"/>
      <c r="H1126" s="105"/>
    </row>
    <row r="1127">
      <c r="A1127" s="105"/>
      <c r="B1127" s="105"/>
      <c r="C1127" s="97"/>
      <c r="D1127" s="105"/>
      <c r="E1127" s="105"/>
      <c r="F1127" s="105"/>
      <c r="G1127" s="105"/>
      <c r="H1127" s="105"/>
    </row>
    <row r="1128">
      <c r="A1128" s="105"/>
      <c r="B1128" s="105"/>
      <c r="C1128" s="97"/>
      <c r="D1128" s="105"/>
      <c r="E1128" s="105"/>
      <c r="F1128" s="105"/>
      <c r="G1128" s="105"/>
      <c r="H1128" s="105"/>
    </row>
    <row r="1129">
      <c r="A1129" s="105"/>
      <c r="B1129" s="105"/>
      <c r="C1129" s="97"/>
      <c r="D1129" s="105"/>
      <c r="E1129" s="105"/>
      <c r="F1129" s="105"/>
      <c r="G1129" s="105"/>
      <c r="H1129" s="105"/>
    </row>
    <row r="1130">
      <c r="A1130" s="105"/>
      <c r="B1130" s="105"/>
      <c r="C1130" s="97"/>
      <c r="D1130" s="105"/>
      <c r="E1130" s="105"/>
      <c r="F1130" s="105"/>
      <c r="G1130" s="105"/>
      <c r="H1130" s="105"/>
    </row>
    <row r="1131">
      <c r="A1131" s="105"/>
      <c r="B1131" s="105"/>
      <c r="C1131" s="97"/>
      <c r="D1131" s="105"/>
      <c r="E1131" s="105"/>
      <c r="F1131" s="105"/>
      <c r="G1131" s="105"/>
      <c r="H1131" s="105"/>
    </row>
    <row r="1132">
      <c r="A1132" s="105"/>
      <c r="B1132" s="105"/>
      <c r="C1132" s="97"/>
      <c r="D1132" s="105"/>
      <c r="E1132" s="105"/>
      <c r="F1132" s="105"/>
      <c r="G1132" s="105"/>
      <c r="H1132" s="105"/>
    </row>
    <row r="1133">
      <c r="A1133" s="105"/>
      <c r="B1133" s="105"/>
      <c r="C1133" s="97"/>
      <c r="D1133" s="105"/>
      <c r="E1133" s="105"/>
      <c r="F1133" s="105"/>
      <c r="G1133" s="105"/>
      <c r="H1133" s="105"/>
    </row>
    <row r="1134">
      <c r="A1134" s="105"/>
      <c r="B1134" s="105"/>
      <c r="C1134" s="97"/>
      <c r="D1134" s="105"/>
      <c r="E1134" s="105"/>
      <c r="F1134" s="105"/>
      <c r="G1134" s="105"/>
      <c r="H1134" s="105"/>
    </row>
    <row r="1135">
      <c r="A1135" s="105"/>
      <c r="B1135" s="105"/>
      <c r="C1135" s="97"/>
      <c r="D1135" s="105"/>
      <c r="E1135" s="105"/>
      <c r="F1135" s="105"/>
      <c r="G1135" s="105"/>
      <c r="H1135" s="105"/>
    </row>
    <row r="1136">
      <c r="A1136" s="105"/>
      <c r="B1136" s="105"/>
      <c r="C1136" s="97"/>
      <c r="D1136" s="105"/>
      <c r="E1136" s="105"/>
      <c r="F1136" s="105"/>
      <c r="G1136" s="105"/>
      <c r="H1136" s="105"/>
    </row>
    <row r="1137">
      <c r="A1137" s="105"/>
      <c r="B1137" s="105"/>
      <c r="C1137" s="97"/>
      <c r="D1137" s="105"/>
      <c r="E1137" s="105"/>
      <c r="F1137" s="105"/>
      <c r="G1137" s="105"/>
      <c r="H1137" s="105"/>
    </row>
    <row r="1138">
      <c r="A1138" s="105"/>
      <c r="B1138" s="105"/>
      <c r="C1138" s="97"/>
      <c r="D1138" s="105"/>
      <c r="E1138" s="105"/>
      <c r="F1138" s="105"/>
      <c r="G1138" s="105"/>
      <c r="H1138" s="105"/>
    </row>
    <row r="1139">
      <c r="A1139" s="105"/>
      <c r="B1139" s="105"/>
      <c r="C1139" s="97"/>
      <c r="D1139" s="105"/>
      <c r="E1139" s="105"/>
      <c r="F1139" s="105"/>
      <c r="G1139" s="105"/>
      <c r="H1139" s="105"/>
    </row>
    <row r="1140">
      <c r="A1140" s="105"/>
      <c r="B1140" s="105"/>
      <c r="C1140" s="97"/>
      <c r="D1140" s="105"/>
      <c r="E1140" s="105"/>
      <c r="F1140" s="105"/>
      <c r="G1140" s="105"/>
      <c r="H1140" s="105"/>
    </row>
    <row r="1141">
      <c r="A1141" s="105"/>
      <c r="B1141" s="105"/>
      <c r="C1141" s="97"/>
      <c r="D1141" s="105"/>
      <c r="E1141" s="105"/>
      <c r="F1141" s="105"/>
      <c r="G1141" s="105"/>
      <c r="H1141" s="105"/>
    </row>
    <row r="1142">
      <c r="A1142" s="105"/>
      <c r="B1142" s="105"/>
      <c r="C1142" s="97"/>
      <c r="D1142" s="105"/>
      <c r="E1142" s="105"/>
      <c r="F1142" s="105"/>
      <c r="G1142" s="105"/>
      <c r="H1142" s="105"/>
    </row>
    <row r="1143">
      <c r="A1143" s="105"/>
      <c r="B1143" s="105"/>
      <c r="C1143" s="97"/>
      <c r="D1143" s="105"/>
      <c r="E1143" s="105"/>
      <c r="F1143" s="105"/>
      <c r="G1143" s="105"/>
      <c r="H1143" s="105"/>
    </row>
    <row r="1144">
      <c r="A1144" s="105"/>
      <c r="B1144" s="105"/>
      <c r="C1144" s="97"/>
      <c r="D1144" s="105"/>
      <c r="E1144" s="105"/>
      <c r="F1144" s="105"/>
      <c r="G1144" s="105"/>
      <c r="H1144" s="105"/>
    </row>
    <row r="1145">
      <c r="A1145" s="105"/>
      <c r="B1145" s="105"/>
      <c r="C1145" s="97"/>
      <c r="D1145" s="105"/>
      <c r="E1145" s="105"/>
      <c r="F1145" s="105"/>
      <c r="G1145" s="105"/>
      <c r="H1145" s="105"/>
    </row>
    <row r="1146">
      <c r="A1146" s="105"/>
      <c r="B1146" s="105"/>
      <c r="C1146" s="97"/>
      <c r="D1146" s="105"/>
      <c r="E1146" s="105"/>
      <c r="F1146" s="105"/>
      <c r="G1146" s="105"/>
      <c r="H1146" s="105"/>
    </row>
    <row r="1147">
      <c r="A1147" s="105"/>
      <c r="B1147" s="105"/>
      <c r="C1147" s="97"/>
      <c r="D1147" s="105"/>
      <c r="E1147" s="105"/>
      <c r="F1147" s="105"/>
      <c r="G1147" s="105"/>
      <c r="H1147" s="105"/>
    </row>
    <row r="1148">
      <c r="A1148" s="105"/>
      <c r="B1148" s="105"/>
      <c r="C1148" s="97"/>
      <c r="D1148" s="105"/>
      <c r="E1148" s="105"/>
      <c r="F1148" s="105"/>
      <c r="G1148" s="105"/>
      <c r="H1148" s="105"/>
    </row>
    <row r="1149">
      <c r="A1149" s="105"/>
      <c r="B1149" s="105"/>
      <c r="C1149" s="97"/>
      <c r="D1149" s="105"/>
      <c r="E1149" s="105"/>
      <c r="F1149" s="105"/>
      <c r="G1149" s="105"/>
      <c r="H1149" s="105"/>
    </row>
    <row r="1150">
      <c r="A1150" s="105"/>
      <c r="B1150" s="105"/>
      <c r="C1150" s="97"/>
      <c r="D1150" s="105"/>
      <c r="E1150" s="105"/>
      <c r="F1150" s="105"/>
      <c r="G1150" s="105"/>
      <c r="H1150" s="105"/>
    </row>
    <row r="1151">
      <c r="A1151" s="105"/>
      <c r="B1151" s="105"/>
      <c r="C1151" s="97"/>
      <c r="D1151" s="105"/>
      <c r="E1151" s="105"/>
      <c r="F1151" s="105"/>
      <c r="G1151" s="105"/>
      <c r="H1151" s="105"/>
    </row>
    <row r="1152">
      <c r="A1152" s="105"/>
      <c r="B1152" s="105"/>
      <c r="C1152" s="97"/>
      <c r="D1152" s="105"/>
      <c r="E1152" s="105"/>
      <c r="F1152" s="105"/>
      <c r="G1152" s="105"/>
      <c r="H1152" s="105"/>
    </row>
    <row r="1153">
      <c r="A1153" s="105"/>
      <c r="B1153" s="105"/>
      <c r="C1153" s="97"/>
      <c r="D1153" s="105"/>
      <c r="E1153" s="105"/>
      <c r="F1153" s="105"/>
      <c r="G1153" s="105"/>
      <c r="H1153" s="105"/>
    </row>
    <row r="1154">
      <c r="A1154" s="105"/>
      <c r="B1154" s="105"/>
      <c r="C1154" s="97"/>
      <c r="D1154" s="105"/>
      <c r="E1154" s="105"/>
      <c r="F1154" s="105"/>
      <c r="G1154" s="105"/>
      <c r="H1154" s="105"/>
    </row>
    <row r="1155">
      <c r="A1155" s="105"/>
      <c r="B1155" s="105"/>
      <c r="C1155" s="97"/>
      <c r="D1155" s="105"/>
      <c r="E1155" s="105"/>
      <c r="F1155" s="105"/>
      <c r="G1155" s="105"/>
      <c r="H1155" s="105"/>
    </row>
    <row r="1156">
      <c r="A1156" s="105"/>
      <c r="B1156" s="105"/>
      <c r="C1156" s="97"/>
      <c r="D1156" s="105"/>
      <c r="E1156" s="105"/>
      <c r="F1156" s="105"/>
      <c r="G1156" s="105"/>
      <c r="H1156" s="105"/>
    </row>
    <row r="1157">
      <c r="A1157" s="105"/>
      <c r="B1157" s="105"/>
      <c r="C1157" s="97"/>
      <c r="D1157" s="105"/>
      <c r="E1157" s="105"/>
      <c r="F1157" s="105"/>
      <c r="G1157" s="105"/>
      <c r="H1157" s="105"/>
    </row>
    <row r="1158">
      <c r="A1158" s="105"/>
      <c r="B1158" s="105"/>
      <c r="C1158" s="97"/>
      <c r="D1158" s="105"/>
      <c r="E1158" s="105"/>
      <c r="F1158" s="105"/>
      <c r="G1158" s="105"/>
      <c r="H1158" s="105"/>
    </row>
    <row r="1159">
      <c r="A1159" s="105"/>
      <c r="B1159" s="105"/>
      <c r="C1159" s="97"/>
      <c r="D1159" s="105"/>
      <c r="E1159" s="105"/>
      <c r="F1159" s="105"/>
      <c r="G1159" s="105"/>
      <c r="H1159" s="105"/>
    </row>
    <row r="1160">
      <c r="A1160" s="105"/>
      <c r="B1160" s="105"/>
      <c r="C1160" s="97"/>
      <c r="D1160" s="105"/>
      <c r="E1160" s="105"/>
      <c r="F1160" s="105"/>
      <c r="G1160" s="105"/>
      <c r="H1160" s="105"/>
    </row>
    <row r="1161">
      <c r="A1161" s="105"/>
      <c r="B1161" s="105"/>
      <c r="C1161" s="97"/>
      <c r="D1161" s="105"/>
      <c r="E1161" s="105"/>
      <c r="F1161" s="105"/>
      <c r="G1161" s="105"/>
      <c r="H1161" s="105"/>
    </row>
    <row r="1162">
      <c r="A1162" s="105"/>
      <c r="B1162" s="105"/>
      <c r="C1162" s="97"/>
      <c r="D1162" s="105"/>
      <c r="E1162" s="105"/>
      <c r="F1162" s="105"/>
      <c r="G1162" s="105"/>
      <c r="H1162" s="105"/>
    </row>
    <row r="1163">
      <c r="A1163" s="105"/>
      <c r="B1163" s="105"/>
      <c r="C1163" s="97"/>
      <c r="D1163" s="105"/>
      <c r="E1163" s="105"/>
      <c r="F1163" s="105"/>
      <c r="G1163" s="105"/>
      <c r="H1163" s="105"/>
    </row>
    <row r="1164">
      <c r="A1164" s="105"/>
      <c r="B1164" s="105"/>
      <c r="C1164" s="97"/>
      <c r="D1164" s="105"/>
      <c r="E1164" s="105"/>
      <c r="F1164" s="105"/>
      <c r="G1164" s="105"/>
      <c r="H1164" s="105"/>
    </row>
    <row r="1165">
      <c r="A1165" s="105"/>
      <c r="B1165" s="105"/>
      <c r="C1165" s="97"/>
      <c r="D1165" s="105"/>
      <c r="E1165" s="105"/>
      <c r="F1165" s="105"/>
      <c r="G1165" s="105"/>
      <c r="H1165" s="105"/>
    </row>
    <row r="1166">
      <c r="A1166" s="105"/>
      <c r="B1166" s="105"/>
      <c r="C1166" s="97"/>
      <c r="D1166" s="105"/>
      <c r="E1166" s="105"/>
      <c r="F1166" s="105"/>
      <c r="G1166" s="105"/>
      <c r="H1166" s="105"/>
    </row>
    <row r="1167">
      <c r="A1167" s="105"/>
      <c r="B1167" s="105"/>
      <c r="C1167" s="97"/>
      <c r="D1167" s="105"/>
      <c r="E1167" s="105"/>
      <c r="F1167" s="105"/>
      <c r="G1167" s="105"/>
      <c r="H1167" s="105"/>
    </row>
    <row r="1168">
      <c r="A1168" s="105"/>
      <c r="B1168" s="105"/>
      <c r="C1168" s="97"/>
      <c r="D1168" s="105"/>
      <c r="E1168" s="105"/>
      <c r="F1168" s="105"/>
      <c r="G1168" s="105"/>
      <c r="H1168" s="105"/>
    </row>
    <row r="1169">
      <c r="A1169" s="105"/>
      <c r="B1169" s="105"/>
      <c r="C1169" s="97"/>
      <c r="D1169" s="105"/>
      <c r="E1169" s="105"/>
      <c r="F1169" s="105"/>
      <c r="G1169" s="105"/>
      <c r="H1169" s="105"/>
    </row>
    <row r="1170">
      <c r="A1170" s="105"/>
      <c r="B1170" s="105"/>
      <c r="C1170" s="97"/>
      <c r="D1170" s="105"/>
      <c r="E1170" s="105"/>
      <c r="F1170" s="105"/>
      <c r="G1170" s="105"/>
      <c r="H1170" s="105"/>
    </row>
    <row r="1171">
      <c r="A1171" s="105"/>
      <c r="B1171" s="105"/>
      <c r="C1171" s="97"/>
      <c r="D1171" s="105"/>
      <c r="E1171" s="105"/>
      <c r="F1171" s="105"/>
      <c r="G1171" s="105"/>
      <c r="H1171" s="105"/>
    </row>
    <row r="1172">
      <c r="A1172" s="105"/>
      <c r="B1172" s="105"/>
      <c r="C1172" s="97"/>
      <c r="D1172" s="105"/>
      <c r="E1172" s="105"/>
      <c r="F1172" s="105"/>
      <c r="G1172" s="105"/>
      <c r="H1172" s="105"/>
    </row>
    <row r="1173">
      <c r="A1173" s="105"/>
      <c r="B1173" s="105"/>
      <c r="C1173" s="97"/>
      <c r="D1173" s="105"/>
      <c r="E1173" s="105"/>
      <c r="F1173" s="105"/>
      <c r="G1173" s="105"/>
      <c r="H1173" s="105"/>
    </row>
    <row r="1174">
      <c r="A1174" s="105"/>
      <c r="B1174" s="105"/>
      <c r="C1174" s="97"/>
      <c r="D1174" s="105"/>
      <c r="E1174" s="105"/>
      <c r="F1174" s="105"/>
      <c r="G1174" s="105"/>
      <c r="H1174" s="105"/>
    </row>
    <row r="1175">
      <c r="A1175" s="105"/>
      <c r="B1175" s="105"/>
      <c r="C1175" s="97"/>
      <c r="D1175" s="105"/>
      <c r="E1175" s="105"/>
      <c r="F1175" s="105"/>
      <c r="G1175" s="105"/>
      <c r="H1175" s="105"/>
    </row>
    <row r="1176">
      <c r="A1176" s="105"/>
      <c r="B1176" s="105"/>
      <c r="C1176" s="97"/>
      <c r="D1176" s="105"/>
      <c r="E1176" s="105"/>
      <c r="F1176" s="105"/>
      <c r="G1176" s="105"/>
      <c r="H1176" s="105"/>
    </row>
    <row r="1177">
      <c r="A1177" s="105"/>
      <c r="B1177" s="105"/>
      <c r="C1177" s="97"/>
      <c r="D1177" s="105"/>
      <c r="E1177" s="105"/>
      <c r="F1177" s="105"/>
      <c r="G1177" s="105"/>
      <c r="H1177" s="105"/>
    </row>
    <row r="1178">
      <c r="A1178" s="105"/>
      <c r="B1178" s="105"/>
      <c r="C1178" s="97"/>
      <c r="D1178" s="105"/>
      <c r="E1178" s="105"/>
      <c r="F1178" s="105"/>
      <c r="G1178" s="105"/>
      <c r="H1178" s="105"/>
    </row>
    <row r="1179">
      <c r="A1179" s="105"/>
      <c r="B1179" s="105"/>
      <c r="C1179" s="97"/>
      <c r="D1179" s="105"/>
      <c r="E1179" s="105"/>
      <c r="F1179" s="105"/>
      <c r="G1179" s="105"/>
      <c r="H1179" s="105"/>
    </row>
    <row r="1180">
      <c r="A1180" s="105"/>
      <c r="B1180" s="105"/>
      <c r="C1180" s="97"/>
      <c r="D1180" s="105"/>
      <c r="E1180" s="105"/>
      <c r="F1180" s="105"/>
      <c r="G1180" s="105"/>
      <c r="H1180" s="105"/>
    </row>
    <row r="1181">
      <c r="A1181" s="105"/>
      <c r="B1181" s="105"/>
      <c r="C1181" s="97"/>
      <c r="D1181" s="105"/>
      <c r="E1181" s="105"/>
      <c r="F1181" s="105"/>
      <c r="G1181" s="105"/>
      <c r="H1181" s="105"/>
    </row>
    <row r="1182">
      <c r="A1182" s="105"/>
      <c r="B1182" s="105"/>
      <c r="C1182" s="97"/>
      <c r="D1182" s="105"/>
      <c r="E1182" s="105"/>
      <c r="F1182" s="105"/>
      <c r="G1182" s="105"/>
      <c r="H1182" s="105"/>
    </row>
    <row r="1183">
      <c r="A1183" s="105"/>
      <c r="B1183" s="105"/>
      <c r="C1183" s="97"/>
      <c r="D1183" s="105"/>
      <c r="E1183" s="105"/>
      <c r="F1183" s="105"/>
      <c r="G1183" s="105"/>
      <c r="H1183" s="105"/>
    </row>
    <row r="1184">
      <c r="A1184" s="105"/>
      <c r="B1184" s="105"/>
      <c r="C1184" s="97"/>
      <c r="D1184" s="105"/>
      <c r="E1184" s="105"/>
      <c r="F1184" s="105"/>
      <c r="G1184" s="105"/>
      <c r="H1184" s="105"/>
    </row>
    <row r="1185">
      <c r="A1185" s="105"/>
      <c r="B1185" s="105"/>
      <c r="C1185" s="97"/>
      <c r="D1185" s="105"/>
      <c r="E1185" s="105"/>
      <c r="F1185" s="105"/>
      <c r="G1185" s="105"/>
      <c r="H1185" s="105"/>
    </row>
    <row r="1186">
      <c r="A1186" s="105"/>
      <c r="B1186" s="105"/>
      <c r="C1186" s="97"/>
      <c r="D1186" s="105"/>
      <c r="E1186" s="105"/>
      <c r="F1186" s="105"/>
      <c r="G1186" s="105"/>
      <c r="H1186" s="105"/>
    </row>
    <row r="1187">
      <c r="A1187" s="105"/>
      <c r="B1187" s="105"/>
      <c r="C1187" s="97"/>
      <c r="D1187" s="105"/>
      <c r="E1187" s="105"/>
      <c r="F1187" s="105"/>
      <c r="G1187" s="105"/>
      <c r="H1187" s="105"/>
    </row>
    <row r="1188">
      <c r="A1188" s="105"/>
      <c r="B1188" s="105"/>
      <c r="C1188" s="97"/>
      <c r="D1188" s="105"/>
      <c r="E1188" s="105"/>
      <c r="F1188" s="105"/>
      <c r="G1188" s="105"/>
      <c r="H1188" s="105"/>
    </row>
    <row r="1189">
      <c r="A1189" s="105"/>
      <c r="B1189" s="105"/>
      <c r="C1189" s="97"/>
      <c r="D1189" s="105"/>
      <c r="E1189" s="105"/>
      <c r="F1189" s="105"/>
      <c r="G1189" s="105"/>
      <c r="H1189" s="105"/>
    </row>
    <row r="1190">
      <c r="A1190" s="105"/>
      <c r="B1190" s="105"/>
      <c r="C1190" s="97"/>
      <c r="D1190" s="105"/>
      <c r="E1190" s="105"/>
      <c r="F1190" s="105"/>
      <c r="G1190" s="105"/>
      <c r="H1190" s="105"/>
    </row>
    <row r="1191">
      <c r="A1191" s="105"/>
      <c r="B1191" s="105"/>
      <c r="C1191" s="97"/>
      <c r="D1191" s="105"/>
      <c r="E1191" s="105"/>
      <c r="F1191" s="105"/>
      <c r="G1191" s="105"/>
      <c r="H1191" s="105"/>
    </row>
    <row r="1192">
      <c r="A1192" s="105"/>
      <c r="B1192" s="105"/>
      <c r="C1192" s="97"/>
      <c r="D1192" s="105"/>
      <c r="E1192" s="105"/>
      <c r="F1192" s="105"/>
      <c r="G1192" s="105"/>
      <c r="H1192" s="105"/>
    </row>
    <row r="1193">
      <c r="A1193" s="105"/>
      <c r="B1193" s="105"/>
      <c r="C1193" s="97"/>
      <c r="D1193" s="105"/>
      <c r="E1193" s="105"/>
      <c r="F1193" s="105"/>
      <c r="G1193" s="105"/>
      <c r="H1193" s="105"/>
    </row>
    <row r="1194">
      <c r="A1194" s="105"/>
      <c r="B1194" s="105"/>
      <c r="C1194" s="97"/>
      <c r="D1194" s="105"/>
      <c r="E1194" s="105"/>
      <c r="F1194" s="105"/>
      <c r="G1194" s="105"/>
      <c r="H1194" s="105"/>
    </row>
    <row r="1195">
      <c r="A1195" s="105"/>
      <c r="B1195" s="105"/>
      <c r="C1195" s="97"/>
      <c r="D1195" s="105"/>
      <c r="E1195" s="105"/>
      <c r="F1195" s="105"/>
      <c r="G1195" s="105"/>
      <c r="H1195" s="105"/>
    </row>
    <row r="1196">
      <c r="A1196" s="105"/>
      <c r="B1196" s="105"/>
      <c r="C1196" s="97"/>
      <c r="D1196" s="105"/>
      <c r="E1196" s="105"/>
      <c r="F1196" s="105"/>
      <c r="G1196" s="105"/>
      <c r="H1196" s="105"/>
    </row>
    <row r="1197">
      <c r="A1197" s="105"/>
      <c r="B1197" s="105"/>
      <c r="C1197" s="97"/>
      <c r="D1197" s="105"/>
      <c r="E1197" s="105"/>
      <c r="F1197" s="105"/>
      <c r="G1197" s="105"/>
      <c r="H1197" s="105"/>
    </row>
    <row r="1198">
      <c r="A1198" s="105"/>
      <c r="B1198" s="105"/>
      <c r="C1198" s="97"/>
      <c r="D1198" s="105"/>
      <c r="E1198" s="105"/>
      <c r="F1198" s="105"/>
      <c r="G1198" s="105"/>
      <c r="H1198" s="105"/>
    </row>
    <row r="1199">
      <c r="A1199" s="105"/>
      <c r="B1199" s="105"/>
      <c r="C1199" s="97"/>
      <c r="D1199" s="105"/>
      <c r="E1199" s="105"/>
      <c r="F1199" s="105"/>
      <c r="G1199" s="105"/>
      <c r="H1199" s="105"/>
    </row>
    <row r="1200">
      <c r="A1200" s="105"/>
      <c r="B1200" s="105"/>
      <c r="C1200" s="97"/>
      <c r="D1200" s="105"/>
      <c r="E1200" s="105"/>
      <c r="F1200" s="105"/>
      <c r="G1200" s="105"/>
      <c r="H1200" s="105"/>
    </row>
    <row r="1201">
      <c r="A1201" s="105"/>
      <c r="B1201" s="105"/>
      <c r="C1201" s="97"/>
      <c r="D1201" s="105"/>
      <c r="E1201" s="105"/>
      <c r="F1201" s="105"/>
      <c r="G1201" s="105"/>
      <c r="H1201" s="105"/>
    </row>
    <row r="1202">
      <c r="A1202" s="105"/>
      <c r="B1202" s="105"/>
      <c r="C1202" s="97"/>
      <c r="D1202" s="105"/>
      <c r="E1202" s="105"/>
      <c r="F1202" s="105"/>
      <c r="G1202" s="105"/>
      <c r="H1202" s="105"/>
    </row>
    <row r="1203">
      <c r="A1203" s="105"/>
      <c r="B1203" s="105"/>
      <c r="C1203" s="97"/>
      <c r="D1203" s="105"/>
      <c r="E1203" s="105"/>
      <c r="F1203" s="105"/>
      <c r="G1203" s="105"/>
      <c r="H1203" s="105"/>
    </row>
    <row r="1204">
      <c r="A1204" s="105"/>
      <c r="B1204" s="105"/>
      <c r="C1204" s="97"/>
      <c r="D1204" s="105"/>
      <c r="E1204" s="105"/>
      <c r="F1204" s="105"/>
      <c r="G1204" s="105"/>
      <c r="H1204" s="105"/>
    </row>
    <row r="1205">
      <c r="A1205" s="105"/>
      <c r="B1205" s="105"/>
      <c r="C1205" s="97"/>
      <c r="D1205" s="105"/>
      <c r="E1205" s="105"/>
      <c r="F1205" s="105"/>
      <c r="G1205" s="105"/>
      <c r="H1205" s="105"/>
    </row>
    <row r="1206">
      <c r="A1206" s="105"/>
      <c r="B1206" s="105"/>
      <c r="C1206" s="97"/>
      <c r="D1206" s="105"/>
      <c r="E1206" s="105"/>
      <c r="F1206" s="105"/>
      <c r="G1206" s="105"/>
      <c r="H1206" s="105"/>
    </row>
    <row r="1207">
      <c r="A1207" s="105"/>
      <c r="B1207" s="105"/>
      <c r="C1207" s="97"/>
      <c r="D1207" s="105"/>
      <c r="E1207" s="105"/>
      <c r="F1207" s="105"/>
      <c r="G1207" s="105"/>
      <c r="H1207" s="105"/>
    </row>
    <row r="1208">
      <c r="A1208" s="105"/>
      <c r="B1208" s="105"/>
      <c r="C1208" s="97"/>
      <c r="D1208" s="105"/>
      <c r="E1208" s="105"/>
      <c r="F1208" s="105"/>
      <c r="G1208" s="105"/>
      <c r="H1208" s="105"/>
    </row>
    <row r="1209">
      <c r="A1209" s="105"/>
      <c r="B1209" s="105"/>
      <c r="C1209" s="97"/>
      <c r="D1209" s="105"/>
      <c r="E1209" s="105"/>
      <c r="F1209" s="105"/>
      <c r="G1209" s="105"/>
      <c r="H1209" s="105"/>
    </row>
    <row r="1210">
      <c r="A1210" s="105"/>
      <c r="B1210" s="105"/>
      <c r="C1210" s="97"/>
      <c r="D1210" s="105"/>
      <c r="E1210" s="105"/>
      <c r="F1210" s="105"/>
      <c r="G1210" s="105"/>
      <c r="H1210" s="105"/>
    </row>
    <row r="1211">
      <c r="A1211" s="105"/>
      <c r="B1211" s="105"/>
      <c r="C1211" s="97"/>
      <c r="D1211" s="105"/>
      <c r="E1211" s="105"/>
      <c r="F1211" s="105"/>
      <c r="G1211" s="105"/>
      <c r="H1211" s="105"/>
    </row>
    <row r="1212">
      <c r="A1212" s="105"/>
      <c r="B1212" s="105"/>
      <c r="C1212" s="97"/>
      <c r="D1212" s="105"/>
      <c r="E1212" s="105"/>
      <c r="F1212" s="105"/>
      <c r="G1212" s="105"/>
      <c r="H1212" s="105"/>
    </row>
    <row r="1213">
      <c r="A1213" s="105"/>
      <c r="B1213" s="105"/>
      <c r="C1213" s="97"/>
      <c r="D1213" s="105"/>
      <c r="E1213" s="105"/>
      <c r="F1213" s="105"/>
      <c r="G1213" s="105"/>
      <c r="H1213" s="105"/>
    </row>
    <row r="1214">
      <c r="A1214" s="105"/>
      <c r="B1214" s="105"/>
      <c r="C1214" s="97"/>
      <c r="D1214" s="105"/>
      <c r="E1214" s="105"/>
      <c r="F1214" s="105"/>
      <c r="G1214" s="105"/>
      <c r="H1214" s="105"/>
    </row>
    <row r="1215">
      <c r="A1215" s="105"/>
      <c r="B1215" s="105"/>
      <c r="C1215" s="97"/>
      <c r="D1215" s="105"/>
      <c r="E1215" s="105"/>
      <c r="F1215" s="105"/>
      <c r="G1215" s="105"/>
      <c r="H1215" s="105"/>
    </row>
    <row r="1216">
      <c r="A1216" s="105"/>
      <c r="B1216" s="105"/>
      <c r="C1216" s="97"/>
      <c r="D1216" s="105"/>
      <c r="E1216" s="105"/>
      <c r="F1216" s="105"/>
      <c r="G1216" s="105"/>
      <c r="H1216" s="105"/>
    </row>
    <row r="1217">
      <c r="A1217" s="105"/>
      <c r="B1217" s="105"/>
      <c r="C1217" s="97"/>
      <c r="D1217" s="105"/>
      <c r="E1217" s="105"/>
      <c r="F1217" s="105"/>
      <c r="G1217" s="105"/>
      <c r="H1217" s="105"/>
    </row>
    <row r="1218">
      <c r="A1218" s="105"/>
      <c r="B1218" s="105"/>
      <c r="C1218" s="97"/>
      <c r="D1218" s="105"/>
      <c r="E1218" s="105"/>
      <c r="F1218" s="105"/>
      <c r="G1218" s="105"/>
      <c r="H1218" s="105"/>
    </row>
    <row r="1219">
      <c r="A1219" s="105"/>
      <c r="B1219" s="105"/>
      <c r="C1219" s="97"/>
      <c r="D1219" s="105"/>
      <c r="E1219" s="105"/>
      <c r="F1219" s="105"/>
      <c r="G1219" s="105"/>
      <c r="H1219" s="105"/>
    </row>
    <row r="1220">
      <c r="A1220" s="105"/>
      <c r="B1220" s="105"/>
      <c r="C1220" s="97"/>
      <c r="D1220" s="105"/>
      <c r="E1220" s="105"/>
      <c r="F1220" s="105"/>
      <c r="G1220" s="105"/>
      <c r="H1220" s="105"/>
    </row>
    <row r="1221">
      <c r="A1221" s="105"/>
      <c r="B1221" s="105"/>
      <c r="C1221" s="97"/>
      <c r="D1221" s="105"/>
      <c r="E1221" s="105"/>
      <c r="F1221" s="105"/>
      <c r="G1221" s="105"/>
      <c r="H1221" s="105"/>
    </row>
    <row r="1222">
      <c r="A1222" s="105"/>
      <c r="B1222" s="105"/>
      <c r="C1222" s="97"/>
      <c r="D1222" s="105"/>
      <c r="E1222" s="105"/>
      <c r="F1222" s="105"/>
      <c r="G1222" s="105"/>
      <c r="H1222" s="105"/>
    </row>
    <row r="1223">
      <c r="A1223" s="105"/>
      <c r="B1223" s="105"/>
      <c r="C1223" s="97"/>
      <c r="D1223" s="105"/>
      <c r="E1223" s="105"/>
      <c r="F1223" s="105"/>
      <c r="G1223" s="105"/>
      <c r="H1223" s="105"/>
    </row>
    <row r="1224">
      <c r="A1224" s="105"/>
      <c r="B1224" s="105"/>
      <c r="C1224" s="97"/>
      <c r="D1224" s="105"/>
      <c r="E1224" s="105"/>
      <c r="F1224" s="105"/>
      <c r="G1224" s="105"/>
      <c r="H1224" s="105"/>
    </row>
    <row r="1225">
      <c r="A1225" s="105"/>
      <c r="B1225" s="105"/>
      <c r="C1225" s="97"/>
      <c r="D1225" s="105"/>
      <c r="E1225" s="105"/>
      <c r="F1225" s="105"/>
      <c r="G1225" s="105"/>
      <c r="H1225" s="105"/>
    </row>
    <row r="1226">
      <c r="A1226" s="105"/>
      <c r="B1226" s="105"/>
      <c r="C1226" s="97"/>
      <c r="D1226" s="105"/>
      <c r="E1226" s="105"/>
      <c r="F1226" s="105"/>
      <c r="G1226" s="105"/>
      <c r="H1226" s="105"/>
    </row>
    <row r="1227">
      <c r="A1227" s="105"/>
      <c r="B1227" s="105"/>
      <c r="C1227" s="97"/>
      <c r="D1227" s="105"/>
      <c r="E1227" s="105"/>
      <c r="F1227" s="105"/>
      <c r="G1227" s="105"/>
      <c r="H1227" s="105"/>
    </row>
    <row r="1228">
      <c r="A1228" s="105"/>
      <c r="B1228" s="105"/>
      <c r="C1228" s="97"/>
      <c r="D1228" s="105"/>
      <c r="E1228" s="105"/>
      <c r="F1228" s="105"/>
      <c r="G1228" s="105"/>
      <c r="H1228" s="105"/>
    </row>
    <row r="1229">
      <c r="A1229" s="105"/>
      <c r="B1229" s="105"/>
      <c r="C1229" s="97"/>
      <c r="D1229" s="105"/>
      <c r="E1229" s="105"/>
      <c r="F1229" s="105"/>
      <c r="G1229" s="105"/>
      <c r="H1229" s="105"/>
    </row>
    <row r="1230">
      <c r="A1230" s="105"/>
      <c r="B1230" s="105"/>
      <c r="C1230" s="97"/>
      <c r="D1230" s="105"/>
      <c r="E1230" s="105"/>
      <c r="F1230" s="105"/>
      <c r="G1230" s="105"/>
      <c r="H1230" s="105"/>
    </row>
    <row r="1231">
      <c r="A1231" s="105"/>
      <c r="B1231" s="105"/>
      <c r="C1231" s="97"/>
      <c r="D1231" s="105"/>
      <c r="E1231" s="105"/>
      <c r="F1231" s="105"/>
      <c r="G1231" s="105"/>
      <c r="H1231" s="105"/>
    </row>
    <row r="1232">
      <c r="A1232" s="105"/>
      <c r="B1232" s="105"/>
      <c r="C1232" s="97"/>
      <c r="D1232" s="105"/>
      <c r="E1232" s="105"/>
      <c r="F1232" s="105"/>
      <c r="G1232" s="105"/>
      <c r="H1232" s="105"/>
    </row>
    <row r="1233">
      <c r="A1233" s="105"/>
      <c r="B1233" s="105"/>
      <c r="C1233" s="97"/>
      <c r="D1233" s="105"/>
      <c r="E1233" s="105"/>
      <c r="F1233" s="105"/>
      <c r="G1233" s="105"/>
      <c r="H1233" s="105"/>
    </row>
    <row r="1234">
      <c r="A1234" s="105"/>
      <c r="B1234" s="105"/>
      <c r="C1234" s="97"/>
      <c r="D1234" s="105"/>
      <c r="E1234" s="105"/>
      <c r="F1234" s="105"/>
      <c r="G1234" s="105"/>
      <c r="H1234" s="105"/>
    </row>
    <row r="1235">
      <c r="A1235" s="105"/>
      <c r="B1235" s="105"/>
      <c r="C1235" s="97"/>
      <c r="D1235" s="105"/>
      <c r="E1235" s="105"/>
      <c r="F1235" s="105"/>
      <c r="G1235" s="105"/>
      <c r="H1235" s="105"/>
    </row>
    <row r="1236">
      <c r="A1236" s="105"/>
      <c r="B1236" s="105"/>
      <c r="C1236" s="97"/>
      <c r="D1236" s="105"/>
      <c r="E1236" s="105"/>
      <c r="F1236" s="105"/>
      <c r="G1236" s="105"/>
      <c r="H1236" s="105"/>
    </row>
    <row r="1237">
      <c r="A1237" s="105"/>
      <c r="B1237" s="105"/>
      <c r="C1237" s="97"/>
      <c r="D1237" s="105"/>
      <c r="E1237" s="105"/>
      <c r="F1237" s="105"/>
      <c r="G1237" s="105"/>
      <c r="H1237" s="105"/>
    </row>
    <row r="1238">
      <c r="A1238" s="105"/>
      <c r="B1238" s="105"/>
      <c r="C1238" s="97"/>
      <c r="D1238" s="105"/>
      <c r="E1238" s="105"/>
      <c r="F1238" s="105"/>
      <c r="G1238" s="105"/>
      <c r="H1238" s="105"/>
    </row>
    <row r="1239">
      <c r="A1239" s="105"/>
      <c r="B1239" s="105"/>
      <c r="C1239" s="97"/>
      <c r="D1239" s="105"/>
      <c r="E1239" s="105"/>
      <c r="F1239" s="105"/>
      <c r="G1239" s="105"/>
      <c r="H1239" s="105"/>
    </row>
    <row r="1240">
      <c r="A1240" s="105"/>
      <c r="B1240" s="105"/>
      <c r="C1240" s="97"/>
      <c r="D1240" s="105"/>
      <c r="E1240" s="105"/>
      <c r="F1240" s="105"/>
      <c r="G1240" s="105"/>
      <c r="H1240" s="105"/>
    </row>
    <row r="1241">
      <c r="A1241" s="105"/>
      <c r="B1241" s="105"/>
      <c r="C1241" s="97"/>
      <c r="D1241" s="105"/>
      <c r="E1241" s="105"/>
      <c r="F1241" s="105"/>
      <c r="G1241" s="105"/>
      <c r="H1241" s="105"/>
    </row>
    <row r="1242">
      <c r="A1242" s="105"/>
      <c r="B1242" s="105"/>
      <c r="C1242" s="97"/>
      <c r="D1242" s="105"/>
      <c r="E1242" s="105"/>
      <c r="F1242" s="105"/>
      <c r="G1242" s="105"/>
      <c r="H1242" s="105"/>
    </row>
    <row r="1243">
      <c r="A1243" s="105"/>
      <c r="B1243" s="105"/>
      <c r="C1243" s="97"/>
      <c r="D1243" s="105"/>
      <c r="E1243" s="105"/>
      <c r="F1243" s="105"/>
      <c r="G1243" s="105"/>
      <c r="H1243" s="105"/>
    </row>
    <row r="1244">
      <c r="A1244" s="105"/>
      <c r="B1244" s="105"/>
      <c r="C1244" s="97"/>
      <c r="D1244" s="105"/>
      <c r="E1244" s="105"/>
      <c r="F1244" s="105"/>
      <c r="G1244" s="105"/>
      <c r="H1244" s="105"/>
    </row>
    <row r="1245">
      <c r="A1245" s="105"/>
      <c r="B1245" s="105"/>
      <c r="C1245" s="97"/>
      <c r="D1245" s="105"/>
      <c r="E1245" s="105"/>
      <c r="F1245" s="105"/>
      <c r="G1245" s="105"/>
      <c r="H1245" s="105"/>
    </row>
    <row r="1246">
      <c r="A1246" s="105"/>
      <c r="B1246" s="105"/>
      <c r="C1246" s="97"/>
      <c r="D1246" s="105"/>
      <c r="E1246" s="105"/>
      <c r="F1246" s="105"/>
      <c r="G1246" s="105"/>
      <c r="H1246" s="105"/>
    </row>
    <row r="1247">
      <c r="A1247" s="105"/>
      <c r="B1247" s="105"/>
      <c r="C1247" s="97"/>
      <c r="D1247" s="105"/>
      <c r="E1247" s="105"/>
      <c r="F1247" s="105"/>
      <c r="G1247" s="105"/>
      <c r="H1247" s="105"/>
    </row>
    <row r="1248">
      <c r="A1248" s="105"/>
      <c r="B1248" s="105"/>
      <c r="C1248" s="97"/>
      <c r="D1248" s="105"/>
      <c r="E1248" s="105"/>
      <c r="F1248" s="105"/>
      <c r="G1248" s="105"/>
      <c r="H1248" s="105"/>
    </row>
    <row r="1249">
      <c r="A1249" s="105"/>
      <c r="B1249" s="105"/>
      <c r="C1249" s="97"/>
      <c r="D1249" s="105"/>
      <c r="E1249" s="105"/>
      <c r="F1249" s="105"/>
      <c r="G1249" s="105"/>
      <c r="H1249" s="105"/>
    </row>
    <row r="1250">
      <c r="A1250" s="105"/>
      <c r="B1250" s="105"/>
      <c r="C1250" s="97"/>
      <c r="D1250" s="105"/>
      <c r="E1250" s="105"/>
      <c r="F1250" s="105"/>
      <c r="G1250" s="105"/>
      <c r="H1250" s="105"/>
    </row>
    <row r="1251">
      <c r="A1251" s="105"/>
      <c r="B1251" s="105"/>
      <c r="C1251" s="97"/>
      <c r="D1251" s="105"/>
      <c r="E1251" s="105"/>
      <c r="F1251" s="105"/>
      <c r="G1251" s="105"/>
      <c r="H1251" s="105"/>
    </row>
    <row r="1252">
      <c r="A1252" s="105"/>
      <c r="B1252" s="105"/>
      <c r="C1252" s="97"/>
      <c r="D1252" s="105"/>
      <c r="E1252" s="105"/>
      <c r="F1252" s="105"/>
      <c r="G1252" s="105"/>
      <c r="H1252" s="105"/>
    </row>
    <row r="1253">
      <c r="A1253" s="105"/>
      <c r="B1253" s="105"/>
      <c r="C1253" s="97"/>
      <c r="D1253" s="105"/>
      <c r="E1253" s="105"/>
      <c r="F1253" s="105"/>
      <c r="G1253" s="105"/>
      <c r="H1253" s="105"/>
    </row>
    <row r="1254">
      <c r="A1254" s="105"/>
      <c r="B1254" s="105"/>
      <c r="C1254" s="97"/>
      <c r="D1254" s="105"/>
      <c r="E1254" s="105"/>
      <c r="F1254" s="105"/>
      <c r="G1254" s="105"/>
      <c r="H1254" s="105"/>
    </row>
    <row r="1255">
      <c r="A1255" s="105"/>
      <c r="B1255" s="105"/>
      <c r="C1255" s="97"/>
      <c r="D1255" s="105"/>
      <c r="E1255" s="105"/>
      <c r="F1255" s="105"/>
      <c r="G1255" s="105"/>
      <c r="H1255" s="105"/>
    </row>
    <row r="1256">
      <c r="A1256" s="105"/>
      <c r="B1256" s="105"/>
      <c r="C1256" s="97"/>
      <c r="D1256" s="105"/>
      <c r="E1256" s="105"/>
      <c r="F1256" s="105"/>
      <c r="G1256" s="105"/>
      <c r="H1256" s="105"/>
    </row>
    <row r="1257">
      <c r="A1257" s="105"/>
      <c r="B1257" s="105"/>
      <c r="C1257" s="97"/>
      <c r="D1257" s="105"/>
      <c r="E1257" s="105"/>
      <c r="F1257" s="105"/>
      <c r="G1257" s="105"/>
      <c r="H1257" s="105"/>
    </row>
    <row r="1258">
      <c r="A1258" s="105"/>
      <c r="B1258" s="105"/>
      <c r="C1258" s="97"/>
      <c r="D1258" s="105"/>
      <c r="E1258" s="105"/>
      <c r="F1258" s="105"/>
      <c r="G1258" s="105"/>
      <c r="H1258" s="105"/>
    </row>
    <row r="1259">
      <c r="A1259" s="105"/>
      <c r="B1259" s="105"/>
      <c r="C1259" s="97"/>
      <c r="D1259" s="105"/>
      <c r="E1259" s="105"/>
      <c r="F1259" s="105"/>
      <c r="G1259" s="105"/>
      <c r="H1259" s="105"/>
    </row>
    <row r="1260">
      <c r="A1260" s="105"/>
      <c r="B1260" s="105"/>
      <c r="C1260" s="97"/>
      <c r="D1260" s="105"/>
      <c r="E1260" s="105"/>
      <c r="F1260" s="105"/>
      <c r="G1260" s="105"/>
      <c r="H1260" s="105"/>
    </row>
    <row r="1261">
      <c r="A1261" s="105"/>
      <c r="B1261" s="105"/>
      <c r="C1261" s="97"/>
      <c r="D1261" s="105"/>
      <c r="E1261" s="105"/>
      <c r="F1261" s="105"/>
      <c r="G1261" s="105"/>
      <c r="H1261" s="105"/>
    </row>
    <row r="1262">
      <c r="A1262" s="105"/>
      <c r="B1262" s="105"/>
      <c r="C1262" s="97"/>
      <c r="D1262" s="105"/>
      <c r="E1262" s="105"/>
      <c r="F1262" s="105"/>
      <c r="G1262" s="105"/>
      <c r="H1262" s="105"/>
    </row>
    <row r="1263">
      <c r="A1263" s="105"/>
      <c r="B1263" s="105"/>
      <c r="C1263" s="97"/>
      <c r="D1263" s="105"/>
      <c r="E1263" s="105"/>
      <c r="F1263" s="105"/>
      <c r="G1263" s="105"/>
      <c r="H1263" s="105"/>
    </row>
    <row r="1264">
      <c r="A1264" s="105"/>
      <c r="B1264" s="105"/>
      <c r="C1264" s="97"/>
      <c r="D1264" s="105"/>
      <c r="E1264" s="105"/>
      <c r="F1264" s="105"/>
      <c r="G1264" s="105"/>
      <c r="H1264" s="105"/>
    </row>
    <row r="1265">
      <c r="A1265" s="105"/>
      <c r="B1265" s="105"/>
      <c r="C1265" s="97"/>
      <c r="D1265" s="105"/>
      <c r="E1265" s="105"/>
      <c r="F1265" s="105"/>
      <c r="G1265" s="105"/>
      <c r="H1265" s="105"/>
    </row>
    <row r="1266">
      <c r="A1266" s="105"/>
      <c r="B1266" s="105"/>
      <c r="C1266" s="97"/>
      <c r="D1266" s="105"/>
      <c r="E1266" s="105"/>
      <c r="F1266" s="105"/>
      <c r="G1266" s="105"/>
      <c r="H1266" s="105"/>
    </row>
    <row r="1267">
      <c r="A1267" s="105"/>
      <c r="B1267" s="105"/>
      <c r="C1267" s="97"/>
      <c r="D1267" s="105"/>
      <c r="E1267" s="105"/>
      <c r="F1267" s="105"/>
      <c r="G1267" s="105"/>
      <c r="H1267" s="105"/>
    </row>
    <row r="1268">
      <c r="A1268" s="105"/>
      <c r="B1268" s="105"/>
      <c r="C1268" s="97"/>
      <c r="D1268" s="105"/>
      <c r="E1268" s="105"/>
      <c r="F1268" s="105"/>
      <c r="G1268" s="105"/>
      <c r="H1268" s="105"/>
    </row>
    <row r="1269">
      <c r="A1269" s="105"/>
      <c r="B1269" s="105"/>
      <c r="C1269" s="97"/>
      <c r="D1269" s="105"/>
      <c r="E1269" s="105"/>
      <c r="F1269" s="105"/>
      <c r="G1269" s="105"/>
      <c r="H1269" s="105"/>
    </row>
    <row r="1270">
      <c r="A1270" s="105"/>
      <c r="B1270" s="105"/>
      <c r="C1270" s="97"/>
      <c r="D1270" s="105"/>
      <c r="E1270" s="105"/>
      <c r="F1270" s="105"/>
      <c r="G1270" s="105"/>
      <c r="H1270" s="105"/>
    </row>
    <row r="1271">
      <c r="A1271" s="105"/>
      <c r="B1271" s="105"/>
      <c r="C1271" s="97"/>
      <c r="D1271" s="105"/>
      <c r="E1271" s="105"/>
      <c r="F1271" s="105"/>
      <c r="G1271" s="105"/>
      <c r="H1271" s="105"/>
    </row>
    <row r="1272">
      <c r="A1272" s="105"/>
      <c r="B1272" s="105"/>
      <c r="C1272" s="97"/>
      <c r="D1272" s="105"/>
      <c r="E1272" s="105"/>
      <c r="F1272" s="105"/>
      <c r="G1272" s="105"/>
      <c r="H1272" s="105"/>
    </row>
    <row r="1273">
      <c r="A1273" s="105"/>
      <c r="B1273" s="105"/>
      <c r="C1273" s="97"/>
      <c r="D1273" s="105"/>
      <c r="E1273" s="105"/>
      <c r="F1273" s="105"/>
      <c r="G1273" s="105"/>
      <c r="H1273" s="105"/>
    </row>
    <row r="1274">
      <c r="A1274" s="105"/>
      <c r="B1274" s="105"/>
      <c r="C1274" s="97"/>
      <c r="D1274" s="105"/>
      <c r="E1274" s="105"/>
      <c r="F1274" s="105"/>
      <c r="G1274" s="105"/>
      <c r="H1274" s="105"/>
    </row>
    <row r="1275">
      <c r="A1275" s="105"/>
      <c r="B1275" s="105"/>
      <c r="C1275" s="97"/>
      <c r="D1275" s="105"/>
      <c r="E1275" s="105"/>
      <c r="F1275" s="105"/>
      <c r="G1275" s="105"/>
      <c r="H1275" s="105"/>
    </row>
    <row r="1276">
      <c r="A1276" s="105"/>
      <c r="B1276" s="105"/>
      <c r="C1276" s="97"/>
      <c r="D1276" s="105"/>
      <c r="E1276" s="105"/>
      <c r="F1276" s="105"/>
      <c r="G1276" s="105"/>
      <c r="H1276" s="105"/>
    </row>
    <row r="1277">
      <c r="A1277" s="105"/>
      <c r="B1277" s="105"/>
      <c r="C1277" s="97"/>
      <c r="D1277" s="105"/>
      <c r="E1277" s="105"/>
      <c r="F1277" s="105"/>
      <c r="G1277" s="105"/>
      <c r="H1277" s="105"/>
    </row>
    <row r="1278">
      <c r="A1278" s="105"/>
      <c r="B1278" s="105"/>
      <c r="C1278" s="97"/>
      <c r="D1278" s="105"/>
      <c r="E1278" s="105"/>
      <c r="F1278" s="105"/>
      <c r="G1278" s="105"/>
      <c r="H1278" s="105"/>
    </row>
    <row r="1279">
      <c r="A1279" s="105"/>
      <c r="B1279" s="105"/>
      <c r="C1279" s="97"/>
      <c r="D1279" s="105"/>
      <c r="E1279" s="105"/>
      <c r="F1279" s="105"/>
      <c r="G1279" s="105"/>
      <c r="H1279" s="105"/>
    </row>
    <row r="1280">
      <c r="A1280" s="105"/>
      <c r="B1280" s="105"/>
      <c r="C1280" s="97"/>
      <c r="D1280" s="105"/>
      <c r="E1280" s="105"/>
      <c r="F1280" s="105"/>
      <c r="G1280" s="105"/>
      <c r="H1280" s="105"/>
    </row>
    <row r="1281">
      <c r="A1281" s="105"/>
      <c r="B1281" s="105"/>
      <c r="C1281" s="97"/>
      <c r="D1281" s="105"/>
      <c r="E1281" s="105"/>
      <c r="F1281" s="105"/>
      <c r="G1281" s="105"/>
      <c r="H1281" s="105"/>
    </row>
    <row r="1282">
      <c r="A1282" s="105"/>
      <c r="B1282" s="105"/>
      <c r="C1282" s="97"/>
      <c r="D1282" s="105"/>
      <c r="E1282" s="105"/>
      <c r="F1282" s="105"/>
      <c r="G1282" s="105"/>
      <c r="H1282" s="105"/>
    </row>
    <row r="1283">
      <c r="A1283" s="105"/>
      <c r="B1283" s="105"/>
      <c r="C1283" s="97"/>
      <c r="D1283" s="105"/>
      <c r="E1283" s="105"/>
      <c r="F1283" s="105"/>
      <c r="G1283" s="105"/>
      <c r="H1283" s="105"/>
    </row>
    <row r="1284">
      <c r="A1284" s="105"/>
      <c r="B1284" s="105"/>
      <c r="C1284" s="97"/>
      <c r="D1284" s="105"/>
      <c r="E1284" s="105"/>
      <c r="F1284" s="105"/>
      <c r="G1284" s="105"/>
      <c r="H1284" s="105"/>
    </row>
    <row r="1285">
      <c r="A1285" s="105"/>
      <c r="B1285" s="105"/>
      <c r="C1285" s="97"/>
      <c r="D1285" s="105"/>
      <c r="E1285" s="105"/>
      <c r="F1285" s="105"/>
      <c r="G1285" s="105"/>
      <c r="H1285" s="105"/>
    </row>
    <row r="1286">
      <c r="A1286" s="105"/>
      <c r="B1286" s="105"/>
      <c r="C1286" s="97"/>
      <c r="D1286" s="105"/>
      <c r="E1286" s="105"/>
      <c r="F1286" s="105"/>
      <c r="G1286" s="105"/>
      <c r="H1286" s="105"/>
    </row>
    <row r="1287">
      <c r="A1287" s="105"/>
      <c r="B1287" s="105"/>
      <c r="C1287" s="97"/>
      <c r="D1287" s="105"/>
      <c r="E1287" s="105"/>
      <c r="F1287" s="105"/>
      <c r="G1287" s="105"/>
      <c r="H1287" s="105"/>
    </row>
    <row r="1288">
      <c r="A1288" s="105"/>
      <c r="B1288" s="105"/>
      <c r="C1288" s="97"/>
      <c r="D1288" s="105"/>
      <c r="E1288" s="105"/>
      <c r="F1288" s="105"/>
      <c r="G1288" s="105"/>
      <c r="H1288" s="105"/>
    </row>
    <row r="1289">
      <c r="A1289" s="105"/>
      <c r="B1289" s="105"/>
      <c r="C1289" s="97"/>
      <c r="D1289" s="105"/>
      <c r="E1289" s="105"/>
      <c r="F1289" s="105"/>
      <c r="G1289" s="105"/>
      <c r="H1289" s="105"/>
    </row>
    <row r="1290">
      <c r="A1290" s="105"/>
      <c r="B1290" s="105"/>
      <c r="C1290" s="97"/>
      <c r="D1290" s="105"/>
      <c r="E1290" s="105"/>
      <c r="F1290" s="105"/>
      <c r="G1290" s="105"/>
      <c r="H1290" s="105"/>
    </row>
    <row r="1291">
      <c r="A1291" s="105"/>
      <c r="B1291" s="105"/>
      <c r="C1291" s="97"/>
      <c r="D1291" s="105"/>
      <c r="E1291" s="105"/>
      <c r="F1291" s="105"/>
      <c r="G1291" s="105"/>
      <c r="H1291" s="105"/>
    </row>
    <row r="1292">
      <c r="A1292" s="105"/>
      <c r="B1292" s="105"/>
      <c r="C1292" s="97"/>
      <c r="D1292" s="105"/>
      <c r="E1292" s="105"/>
      <c r="F1292" s="105"/>
      <c r="G1292" s="105"/>
      <c r="H1292" s="105"/>
    </row>
    <row r="1293">
      <c r="A1293" s="105"/>
      <c r="B1293" s="105"/>
      <c r="C1293" s="97"/>
      <c r="D1293" s="105"/>
      <c r="E1293" s="105"/>
      <c r="F1293" s="105"/>
      <c r="G1293" s="105"/>
      <c r="H1293" s="105"/>
    </row>
    <row r="1294">
      <c r="A1294" s="105"/>
      <c r="B1294" s="105"/>
      <c r="C1294" s="97"/>
      <c r="D1294" s="105"/>
      <c r="E1294" s="105"/>
      <c r="F1294" s="105"/>
      <c r="G1294" s="105"/>
      <c r="H1294" s="105"/>
    </row>
    <row r="1295">
      <c r="A1295" s="105"/>
      <c r="B1295" s="105"/>
      <c r="C1295" s="97"/>
      <c r="D1295" s="105"/>
      <c r="E1295" s="105"/>
      <c r="F1295" s="105"/>
      <c r="G1295" s="105"/>
      <c r="H1295" s="105"/>
    </row>
    <row r="1296">
      <c r="A1296" s="105"/>
      <c r="B1296" s="105"/>
      <c r="C1296" s="97"/>
      <c r="D1296" s="105"/>
      <c r="E1296" s="105"/>
      <c r="F1296" s="105"/>
      <c r="G1296" s="105"/>
      <c r="H1296" s="105"/>
    </row>
    <row r="1297">
      <c r="A1297" s="105"/>
      <c r="B1297" s="105"/>
      <c r="C1297" s="97"/>
      <c r="D1297" s="105"/>
      <c r="E1297" s="105"/>
      <c r="F1297" s="105"/>
      <c r="G1297" s="105"/>
      <c r="H1297" s="105"/>
    </row>
    <row r="1298">
      <c r="A1298" s="105"/>
      <c r="B1298" s="105"/>
      <c r="C1298" s="97"/>
      <c r="D1298" s="105"/>
      <c r="E1298" s="105"/>
      <c r="F1298" s="105"/>
      <c r="G1298" s="105"/>
      <c r="H1298" s="105"/>
    </row>
    <row r="1299">
      <c r="A1299" s="105"/>
      <c r="B1299" s="105"/>
      <c r="C1299" s="97"/>
      <c r="D1299" s="105"/>
      <c r="E1299" s="105"/>
      <c r="F1299" s="105"/>
      <c r="G1299" s="105"/>
      <c r="H1299" s="105"/>
    </row>
    <row r="1300">
      <c r="A1300" s="105"/>
      <c r="B1300" s="105"/>
      <c r="C1300" s="97"/>
      <c r="D1300" s="105"/>
      <c r="E1300" s="105"/>
      <c r="F1300" s="105"/>
      <c r="G1300" s="105"/>
      <c r="H1300" s="105"/>
    </row>
    <row r="1301">
      <c r="A1301" s="105"/>
      <c r="B1301" s="105"/>
      <c r="C1301" s="97"/>
      <c r="D1301" s="105"/>
      <c r="E1301" s="105"/>
      <c r="F1301" s="105"/>
      <c r="G1301" s="105"/>
      <c r="H1301" s="105"/>
    </row>
    <row r="1302">
      <c r="A1302" s="105"/>
      <c r="B1302" s="105"/>
      <c r="C1302" s="97"/>
      <c r="D1302" s="105"/>
      <c r="E1302" s="105"/>
      <c r="F1302" s="105"/>
      <c r="G1302" s="105"/>
      <c r="H1302" s="105"/>
    </row>
    <row r="1303">
      <c r="A1303" s="105"/>
      <c r="B1303" s="105"/>
      <c r="C1303" s="97"/>
      <c r="D1303" s="105"/>
      <c r="E1303" s="105"/>
      <c r="F1303" s="105"/>
      <c r="G1303" s="105"/>
      <c r="H1303" s="105"/>
    </row>
    <row r="1304">
      <c r="A1304" s="105"/>
      <c r="B1304" s="105"/>
      <c r="C1304" s="97"/>
      <c r="D1304" s="105"/>
      <c r="E1304" s="105"/>
      <c r="F1304" s="105"/>
      <c r="G1304" s="105"/>
      <c r="H1304" s="105"/>
    </row>
    <row r="1305">
      <c r="A1305" s="105"/>
      <c r="B1305" s="105"/>
      <c r="C1305" s="97"/>
      <c r="D1305" s="105"/>
      <c r="E1305" s="105"/>
      <c r="F1305" s="105"/>
      <c r="G1305" s="105"/>
      <c r="H1305" s="105"/>
    </row>
    <row r="1306">
      <c r="A1306" s="105"/>
      <c r="B1306" s="105"/>
      <c r="C1306" s="97"/>
      <c r="D1306" s="105"/>
      <c r="E1306" s="105"/>
      <c r="F1306" s="105"/>
      <c r="G1306" s="105"/>
      <c r="H1306" s="105"/>
    </row>
    <row r="1307">
      <c r="A1307" s="105"/>
      <c r="B1307" s="105"/>
      <c r="C1307" s="97"/>
      <c r="D1307" s="105"/>
      <c r="E1307" s="105"/>
      <c r="F1307" s="105"/>
      <c r="G1307" s="105"/>
      <c r="H1307" s="105"/>
    </row>
    <row r="1308">
      <c r="A1308" s="105"/>
      <c r="B1308" s="105"/>
      <c r="C1308" s="97"/>
      <c r="D1308" s="105"/>
      <c r="E1308" s="105"/>
      <c r="F1308" s="105"/>
      <c r="G1308" s="105"/>
      <c r="H1308" s="105"/>
    </row>
    <row r="1309">
      <c r="A1309" s="105"/>
      <c r="B1309" s="105"/>
      <c r="C1309" s="97"/>
      <c r="D1309" s="105"/>
      <c r="E1309" s="105"/>
      <c r="F1309" s="105"/>
      <c r="G1309" s="105"/>
      <c r="H1309" s="105"/>
    </row>
    <row r="1310">
      <c r="A1310" s="105"/>
      <c r="B1310" s="105"/>
      <c r="C1310" s="97"/>
      <c r="D1310" s="105"/>
      <c r="E1310" s="105"/>
      <c r="F1310" s="105"/>
      <c r="G1310" s="105"/>
      <c r="H1310" s="105"/>
    </row>
    <row r="1311">
      <c r="A1311" s="105"/>
      <c r="B1311" s="105"/>
      <c r="C1311" s="97"/>
      <c r="D1311" s="105"/>
      <c r="E1311" s="105"/>
      <c r="F1311" s="105"/>
      <c r="G1311" s="105"/>
      <c r="H1311" s="105"/>
    </row>
    <row r="1312">
      <c r="A1312" s="105"/>
      <c r="B1312" s="105"/>
      <c r="C1312" s="97"/>
      <c r="D1312" s="105"/>
      <c r="E1312" s="105"/>
      <c r="F1312" s="105"/>
      <c r="G1312" s="105"/>
      <c r="H1312" s="105"/>
    </row>
    <row r="1313">
      <c r="A1313" s="105"/>
      <c r="B1313" s="105"/>
      <c r="C1313" s="97"/>
      <c r="D1313" s="105"/>
      <c r="E1313" s="105"/>
      <c r="F1313" s="105"/>
      <c r="G1313" s="105"/>
      <c r="H1313" s="105"/>
    </row>
    <row r="1314">
      <c r="A1314" s="105"/>
      <c r="B1314" s="105"/>
      <c r="C1314" s="97"/>
      <c r="D1314" s="105"/>
      <c r="E1314" s="105"/>
      <c r="F1314" s="105"/>
      <c r="G1314" s="105"/>
      <c r="H1314" s="105"/>
    </row>
    <row r="1315">
      <c r="A1315" s="105"/>
      <c r="B1315" s="105"/>
      <c r="C1315" s="97"/>
      <c r="D1315" s="105"/>
      <c r="E1315" s="105"/>
      <c r="F1315" s="105"/>
      <c r="G1315" s="105"/>
      <c r="H1315" s="105"/>
    </row>
    <row r="1316">
      <c r="A1316" s="105"/>
      <c r="B1316" s="105"/>
      <c r="C1316" s="97"/>
      <c r="D1316" s="105"/>
      <c r="E1316" s="105"/>
      <c r="F1316" s="105"/>
      <c r="G1316" s="105"/>
      <c r="H1316" s="105"/>
    </row>
    <row r="1317">
      <c r="A1317" s="105"/>
      <c r="B1317" s="105"/>
      <c r="C1317" s="97"/>
      <c r="D1317" s="105"/>
      <c r="E1317" s="105"/>
      <c r="F1317" s="105"/>
      <c r="G1317" s="105"/>
      <c r="H1317" s="105"/>
    </row>
    <row r="1318">
      <c r="A1318" s="105"/>
      <c r="B1318" s="105"/>
      <c r="C1318" s="97"/>
      <c r="D1318" s="105"/>
      <c r="E1318" s="105"/>
      <c r="F1318" s="105"/>
      <c r="G1318" s="105"/>
      <c r="H1318" s="105"/>
    </row>
    <row r="1319">
      <c r="A1319" s="105"/>
      <c r="B1319" s="105"/>
      <c r="C1319" s="97"/>
      <c r="D1319" s="105"/>
      <c r="E1319" s="105"/>
      <c r="F1319" s="105"/>
      <c r="G1319" s="105"/>
      <c r="H1319" s="105"/>
    </row>
    <row r="1320">
      <c r="A1320" s="105"/>
      <c r="B1320" s="105"/>
      <c r="C1320" s="97"/>
      <c r="D1320" s="105"/>
      <c r="E1320" s="105"/>
      <c r="F1320" s="105"/>
      <c r="G1320" s="105"/>
      <c r="H1320" s="105"/>
    </row>
    <row r="1321">
      <c r="A1321" s="105"/>
      <c r="B1321" s="105"/>
      <c r="C1321" s="97"/>
      <c r="D1321" s="105"/>
      <c r="E1321" s="105"/>
      <c r="F1321" s="105"/>
      <c r="G1321" s="105"/>
      <c r="H1321" s="105"/>
    </row>
    <row r="1322">
      <c r="A1322" s="105"/>
      <c r="B1322" s="105"/>
      <c r="C1322" s="97"/>
      <c r="D1322" s="105"/>
      <c r="E1322" s="105"/>
      <c r="F1322" s="105"/>
      <c r="G1322" s="105"/>
      <c r="H1322" s="105"/>
    </row>
    <row r="1323">
      <c r="A1323" s="105"/>
      <c r="B1323" s="105"/>
      <c r="C1323" s="97"/>
      <c r="D1323" s="105"/>
      <c r="E1323" s="105"/>
      <c r="F1323" s="105"/>
      <c r="G1323" s="105"/>
      <c r="H1323" s="105"/>
    </row>
    <row r="1324">
      <c r="A1324" s="105"/>
      <c r="B1324" s="105"/>
      <c r="C1324" s="97"/>
      <c r="D1324" s="105"/>
      <c r="E1324" s="105"/>
      <c r="F1324" s="105"/>
      <c r="G1324" s="105"/>
      <c r="H1324" s="105"/>
    </row>
    <row r="1325">
      <c r="A1325" s="105"/>
      <c r="B1325" s="105"/>
      <c r="C1325" s="97"/>
      <c r="D1325" s="105"/>
      <c r="E1325" s="105"/>
      <c r="F1325" s="105"/>
      <c r="G1325" s="105"/>
      <c r="H1325" s="105"/>
    </row>
    <row r="1326">
      <c r="A1326" s="105"/>
      <c r="B1326" s="105"/>
      <c r="C1326" s="97"/>
      <c r="D1326" s="105"/>
      <c r="E1326" s="105"/>
      <c r="F1326" s="105"/>
      <c r="G1326" s="105"/>
      <c r="H1326" s="105"/>
    </row>
    <row r="1327">
      <c r="A1327" s="105"/>
      <c r="B1327" s="105"/>
      <c r="C1327" s="97"/>
      <c r="D1327" s="105"/>
      <c r="E1327" s="105"/>
      <c r="F1327" s="105"/>
      <c r="G1327" s="105"/>
      <c r="H1327" s="105"/>
    </row>
    <row r="1328">
      <c r="A1328" s="105"/>
      <c r="B1328" s="105"/>
      <c r="C1328" s="97"/>
      <c r="D1328" s="105"/>
      <c r="E1328" s="105"/>
      <c r="F1328" s="105"/>
      <c r="G1328" s="105"/>
      <c r="H1328" s="105"/>
    </row>
    <row r="1329">
      <c r="A1329" s="105"/>
      <c r="B1329" s="105"/>
      <c r="C1329" s="97"/>
      <c r="D1329" s="105"/>
      <c r="E1329" s="105"/>
      <c r="F1329" s="105"/>
      <c r="G1329" s="105"/>
      <c r="H1329" s="105"/>
    </row>
    <row r="1330">
      <c r="A1330" s="105"/>
      <c r="B1330" s="105"/>
      <c r="C1330" s="97"/>
      <c r="D1330" s="105"/>
      <c r="E1330" s="105"/>
      <c r="F1330" s="105"/>
      <c r="G1330" s="105"/>
      <c r="H1330" s="105"/>
    </row>
    <row r="1331">
      <c r="A1331" s="105"/>
      <c r="B1331" s="105"/>
      <c r="C1331" s="97"/>
      <c r="D1331" s="105"/>
      <c r="E1331" s="105"/>
      <c r="F1331" s="105"/>
      <c r="G1331" s="105"/>
      <c r="H1331" s="105"/>
    </row>
    <row r="1332">
      <c r="A1332" s="105"/>
      <c r="B1332" s="105"/>
      <c r="C1332" s="97"/>
      <c r="D1332" s="105"/>
      <c r="E1332" s="105"/>
      <c r="F1332" s="105"/>
      <c r="G1332" s="105"/>
      <c r="H1332" s="105"/>
    </row>
    <row r="1333">
      <c r="A1333" s="105"/>
      <c r="B1333" s="105"/>
      <c r="C1333" s="97"/>
      <c r="D1333" s="105"/>
      <c r="E1333" s="105"/>
      <c r="F1333" s="105"/>
      <c r="G1333" s="105"/>
      <c r="H1333" s="105"/>
    </row>
    <row r="1334">
      <c r="A1334" s="105"/>
      <c r="B1334" s="105"/>
      <c r="C1334" s="97"/>
      <c r="D1334" s="105"/>
      <c r="E1334" s="105"/>
      <c r="F1334" s="105"/>
      <c r="G1334" s="105"/>
      <c r="H1334" s="105"/>
    </row>
    <row r="1335">
      <c r="A1335" s="105"/>
      <c r="B1335" s="105"/>
      <c r="C1335" s="97"/>
      <c r="D1335" s="105"/>
      <c r="E1335" s="105"/>
      <c r="F1335" s="105"/>
      <c r="G1335" s="105"/>
      <c r="H1335" s="105"/>
    </row>
    <row r="1336">
      <c r="A1336" s="105"/>
      <c r="B1336" s="105"/>
      <c r="C1336" s="97"/>
      <c r="D1336" s="105"/>
      <c r="E1336" s="105"/>
      <c r="F1336" s="105"/>
      <c r="G1336" s="105"/>
      <c r="H1336" s="105"/>
    </row>
    <row r="1337">
      <c r="A1337" s="105"/>
      <c r="B1337" s="105"/>
      <c r="C1337" s="97"/>
      <c r="D1337" s="105"/>
      <c r="E1337" s="105"/>
      <c r="F1337" s="105"/>
      <c r="G1337" s="105"/>
      <c r="H1337" s="105"/>
    </row>
    <row r="1338">
      <c r="A1338" s="105"/>
      <c r="B1338" s="105"/>
      <c r="C1338" s="97"/>
      <c r="D1338" s="105"/>
      <c r="E1338" s="105"/>
      <c r="F1338" s="105"/>
      <c r="G1338" s="105"/>
      <c r="H1338" s="105"/>
    </row>
    <row r="1339">
      <c r="A1339" s="105"/>
      <c r="B1339" s="105"/>
      <c r="C1339" s="97"/>
      <c r="D1339" s="105"/>
      <c r="E1339" s="105"/>
      <c r="F1339" s="105"/>
      <c r="G1339" s="105"/>
      <c r="H1339" s="105"/>
    </row>
    <row r="1340">
      <c r="A1340" s="105"/>
      <c r="B1340" s="105"/>
      <c r="C1340" s="97"/>
      <c r="D1340" s="105"/>
      <c r="E1340" s="105"/>
      <c r="F1340" s="105"/>
      <c r="G1340" s="105"/>
      <c r="H1340" s="105"/>
    </row>
    <row r="1341">
      <c r="A1341" s="105"/>
      <c r="B1341" s="105"/>
      <c r="C1341" s="97"/>
      <c r="D1341" s="105"/>
      <c r="E1341" s="105"/>
      <c r="F1341" s="105"/>
      <c r="G1341" s="105"/>
      <c r="H1341" s="105"/>
    </row>
    <row r="1342">
      <c r="A1342" s="105"/>
      <c r="B1342" s="105"/>
      <c r="C1342" s="97"/>
      <c r="D1342" s="105"/>
      <c r="E1342" s="105"/>
      <c r="F1342" s="105"/>
      <c r="G1342" s="105"/>
      <c r="H1342" s="105"/>
    </row>
    <row r="1343">
      <c r="A1343" s="105"/>
      <c r="B1343" s="105"/>
      <c r="C1343" s="97"/>
      <c r="D1343" s="105"/>
      <c r="E1343" s="105"/>
      <c r="F1343" s="105"/>
      <c r="G1343" s="105"/>
      <c r="H1343" s="105"/>
    </row>
    <row r="1344">
      <c r="A1344" s="105"/>
      <c r="B1344" s="105"/>
      <c r="C1344" s="97"/>
      <c r="D1344" s="105"/>
      <c r="E1344" s="105"/>
      <c r="F1344" s="105"/>
      <c r="G1344" s="105"/>
      <c r="H1344" s="105"/>
    </row>
    <row r="1345">
      <c r="A1345" s="105"/>
      <c r="B1345" s="105"/>
      <c r="C1345" s="97"/>
      <c r="D1345" s="105"/>
      <c r="E1345" s="105"/>
      <c r="F1345" s="105"/>
      <c r="G1345" s="105"/>
      <c r="H1345" s="105"/>
    </row>
    <row r="1346">
      <c r="A1346" s="105"/>
      <c r="B1346" s="105"/>
      <c r="C1346" s="97"/>
      <c r="D1346" s="105"/>
      <c r="E1346" s="105"/>
      <c r="F1346" s="105"/>
      <c r="G1346" s="105"/>
      <c r="H1346" s="105"/>
    </row>
    <row r="1347">
      <c r="A1347" s="105"/>
      <c r="B1347" s="105"/>
      <c r="C1347" s="97"/>
      <c r="D1347" s="105"/>
      <c r="E1347" s="105"/>
      <c r="F1347" s="105"/>
      <c r="G1347" s="105"/>
      <c r="H1347" s="105"/>
    </row>
    <row r="1348">
      <c r="A1348" s="105"/>
      <c r="B1348" s="105"/>
      <c r="C1348" s="97"/>
      <c r="D1348" s="105"/>
      <c r="E1348" s="105"/>
      <c r="F1348" s="105"/>
      <c r="G1348" s="105"/>
      <c r="H1348" s="105"/>
    </row>
    <row r="1349">
      <c r="A1349" s="105"/>
      <c r="B1349" s="105"/>
      <c r="C1349" s="97"/>
      <c r="D1349" s="105"/>
      <c r="E1349" s="105"/>
      <c r="F1349" s="105"/>
      <c r="G1349" s="105"/>
      <c r="H1349" s="105"/>
    </row>
    <row r="1350">
      <c r="A1350" s="105"/>
      <c r="B1350" s="105"/>
      <c r="C1350" s="97"/>
      <c r="D1350" s="105"/>
      <c r="E1350" s="105"/>
      <c r="F1350" s="105"/>
      <c r="G1350" s="105"/>
      <c r="H1350" s="105"/>
    </row>
    <row r="1351">
      <c r="A1351" s="105"/>
      <c r="B1351" s="105"/>
      <c r="C1351" s="97"/>
      <c r="D1351" s="105"/>
      <c r="E1351" s="105"/>
      <c r="F1351" s="105"/>
      <c r="G1351" s="105"/>
      <c r="H1351" s="105"/>
    </row>
    <row r="1352">
      <c r="A1352" s="105"/>
      <c r="B1352" s="105"/>
      <c r="C1352" s="97"/>
      <c r="D1352" s="105"/>
      <c r="E1352" s="105"/>
      <c r="F1352" s="105"/>
      <c r="G1352" s="105"/>
      <c r="H1352" s="105"/>
    </row>
    <row r="1353">
      <c r="A1353" s="105"/>
      <c r="B1353" s="105"/>
      <c r="C1353" s="97"/>
      <c r="D1353" s="105"/>
      <c r="E1353" s="105"/>
      <c r="F1353" s="105"/>
      <c r="G1353" s="105"/>
      <c r="H1353" s="105"/>
    </row>
    <row r="1354">
      <c r="A1354" s="105"/>
      <c r="B1354" s="105"/>
      <c r="C1354" s="97"/>
      <c r="D1354" s="105"/>
      <c r="E1354" s="105"/>
      <c r="F1354" s="105"/>
      <c r="G1354" s="105"/>
      <c r="H1354" s="105"/>
    </row>
    <row r="1355">
      <c r="A1355" s="105"/>
      <c r="B1355" s="105"/>
      <c r="C1355" s="97"/>
      <c r="D1355" s="105"/>
      <c r="E1355" s="105"/>
      <c r="F1355" s="105"/>
      <c r="G1355" s="105"/>
      <c r="H1355" s="105"/>
    </row>
    <row r="1356">
      <c r="A1356" s="105"/>
      <c r="B1356" s="105"/>
      <c r="C1356" s="97"/>
      <c r="D1356" s="105"/>
      <c r="E1356" s="105"/>
      <c r="F1356" s="105"/>
      <c r="G1356" s="105"/>
      <c r="H1356" s="105"/>
    </row>
    <row r="1357">
      <c r="A1357" s="105"/>
      <c r="B1357" s="105"/>
      <c r="C1357" s="97"/>
      <c r="D1357" s="105"/>
      <c r="E1357" s="105"/>
      <c r="F1357" s="105"/>
      <c r="G1357" s="105"/>
      <c r="H1357" s="105"/>
    </row>
    <row r="1358">
      <c r="A1358" s="105"/>
      <c r="B1358" s="105"/>
      <c r="C1358" s="97"/>
      <c r="D1358" s="105"/>
      <c r="E1358" s="105"/>
      <c r="F1358" s="105"/>
      <c r="G1358" s="105"/>
      <c r="H1358" s="105"/>
    </row>
    <row r="1359">
      <c r="A1359" s="105"/>
      <c r="B1359" s="105"/>
      <c r="C1359" s="97"/>
      <c r="D1359" s="105"/>
      <c r="E1359" s="105"/>
      <c r="F1359" s="105"/>
      <c r="G1359" s="105"/>
      <c r="H1359" s="105"/>
    </row>
    <row r="1360">
      <c r="A1360" s="105"/>
      <c r="B1360" s="105"/>
      <c r="C1360" s="97"/>
      <c r="D1360" s="105"/>
      <c r="E1360" s="105"/>
      <c r="F1360" s="105"/>
      <c r="G1360" s="105"/>
      <c r="H1360" s="105"/>
    </row>
    <row r="1361">
      <c r="A1361" s="105"/>
      <c r="B1361" s="105"/>
      <c r="C1361" s="97"/>
      <c r="D1361" s="105"/>
      <c r="E1361" s="105"/>
      <c r="F1361" s="105"/>
      <c r="G1361" s="105"/>
      <c r="H1361" s="105"/>
    </row>
    <row r="1362">
      <c r="A1362" s="105"/>
      <c r="B1362" s="105"/>
      <c r="C1362" s="97"/>
      <c r="D1362" s="105"/>
      <c r="E1362" s="105"/>
      <c r="F1362" s="105"/>
      <c r="G1362" s="105"/>
      <c r="H1362" s="105"/>
    </row>
    <row r="1363">
      <c r="A1363" s="105"/>
      <c r="B1363" s="105"/>
      <c r="C1363" s="97"/>
      <c r="D1363" s="105"/>
      <c r="E1363" s="105"/>
      <c r="F1363" s="105"/>
      <c r="G1363" s="105"/>
      <c r="H1363" s="105"/>
    </row>
    <row r="1364">
      <c r="A1364" s="105"/>
      <c r="B1364" s="105"/>
      <c r="C1364" s="97"/>
      <c r="D1364" s="105"/>
      <c r="E1364" s="105"/>
      <c r="F1364" s="105"/>
      <c r="G1364" s="105"/>
      <c r="H1364" s="105"/>
    </row>
    <row r="1365">
      <c r="A1365" s="105"/>
      <c r="B1365" s="105"/>
      <c r="C1365" s="97"/>
      <c r="D1365" s="105"/>
      <c r="E1365" s="105"/>
      <c r="F1365" s="105"/>
      <c r="G1365" s="105"/>
      <c r="H1365" s="105"/>
    </row>
    <row r="1366">
      <c r="A1366" s="105"/>
      <c r="B1366" s="105"/>
      <c r="C1366" s="97"/>
      <c r="D1366" s="105"/>
      <c r="E1366" s="105"/>
      <c r="F1366" s="105"/>
      <c r="G1366" s="105"/>
      <c r="H1366" s="105"/>
    </row>
    <row r="1367">
      <c r="A1367" s="105"/>
      <c r="B1367" s="105"/>
      <c r="C1367" s="97"/>
      <c r="D1367" s="105"/>
      <c r="E1367" s="105"/>
      <c r="F1367" s="105"/>
      <c r="G1367" s="105"/>
      <c r="H1367" s="105"/>
    </row>
    <row r="1368">
      <c r="A1368" s="105"/>
      <c r="B1368" s="105"/>
      <c r="C1368" s="97"/>
      <c r="D1368" s="105"/>
      <c r="E1368" s="105"/>
      <c r="F1368" s="105"/>
      <c r="G1368" s="105"/>
      <c r="H1368" s="105"/>
    </row>
    <row r="1369">
      <c r="A1369" s="105"/>
      <c r="B1369" s="105"/>
      <c r="C1369" s="97"/>
      <c r="D1369" s="105"/>
      <c r="E1369" s="105"/>
      <c r="F1369" s="105"/>
      <c r="G1369" s="105"/>
      <c r="H1369" s="105"/>
    </row>
    <row r="1370">
      <c r="A1370" s="105"/>
      <c r="B1370" s="105"/>
      <c r="C1370" s="97"/>
      <c r="D1370" s="105"/>
      <c r="E1370" s="105"/>
      <c r="F1370" s="105"/>
      <c r="G1370" s="105"/>
      <c r="H1370" s="105"/>
    </row>
    <row r="1371">
      <c r="A1371" s="105"/>
      <c r="B1371" s="105"/>
      <c r="C1371" s="97"/>
      <c r="D1371" s="105"/>
      <c r="E1371" s="105"/>
      <c r="F1371" s="105"/>
      <c r="G1371" s="105"/>
      <c r="H1371" s="105"/>
    </row>
    <row r="1372">
      <c r="A1372" s="105"/>
      <c r="B1372" s="105"/>
      <c r="C1372" s="97"/>
      <c r="D1372" s="105"/>
      <c r="E1372" s="105"/>
      <c r="F1372" s="105"/>
      <c r="G1372" s="105"/>
      <c r="H1372" s="105"/>
    </row>
    <row r="1373">
      <c r="A1373" s="105"/>
      <c r="B1373" s="105"/>
      <c r="C1373" s="97"/>
      <c r="D1373" s="105"/>
      <c r="E1373" s="105"/>
      <c r="F1373" s="105"/>
      <c r="G1373" s="105"/>
      <c r="H1373" s="105"/>
    </row>
    <row r="1374">
      <c r="A1374" s="105"/>
      <c r="B1374" s="105"/>
      <c r="C1374" s="97"/>
      <c r="D1374" s="105"/>
      <c r="E1374" s="105"/>
      <c r="F1374" s="105"/>
      <c r="G1374" s="105"/>
      <c r="H1374" s="105"/>
    </row>
    <row r="1375">
      <c r="A1375" s="105"/>
      <c r="B1375" s="105"/>
      <c r="C1375" s="97"/>
      <c r="D1375" s="105"/>
      <c r="E1375" s="105"/>
      <c r="F1375" s="105"/>
      <c r="G1375" s="105"/>
      <c r="H1375" s="105"/>
    </row>
    <row r="1376">
      <c r="A1376" s="105"/>
      <c r="B1376" s="105"/>
      <c r="C1376" s="97"/>
      <c r="D1376" s="105"/>
      <c r="E1376" s="105"/>
      <c r="F1376" s="105"/>
      <c r="G1376" s="105"/>
      <c r="H1376" s="105"/>
    </row>
    <row r="1377">
      <c r="A1377" s="105"/>
      <c r="B1377" s="105"/>
      <c r="C1377" s="97"/>
      <c r="D1377" s="105"/>
      <c r="E1377" s="105"/>
      <c r="F1377" s="105"/>
      <c r="G1377" s="105"/>
      <c r="H1377" s="105"/>
    </row>
    <row r="1378">
      <c r="A1378" s="105"/>
      <c r="B1378" s="105"/>
      <c r="C1378" s="97"/>
      <c r="D1378" s="105"/>
      <c r="E1378" s="105"/>
      <c r="F1378" s="105"/>
      <c r="G1378" s="105"/>
      <c r="H1378" s="105"/>
    </row>
    <row r="1379">
      <c r="A1379" s="105"/>
      <c r="B1379" s="105"/>
      <c r="C1379" s="97"/>
      <c r="D1379" s="105"/>
      <c r="E1379" s="105"/>
      <c r="F1379" s="105"/>
      <c r="G1379" s="105"/>
      <c r="H1379" s="105"/>
    </row>
    <row r="1380">
      <c r="A1380" s="105"/>
      <c r="B1380" s="105"/>
      <c r="C1380" s="97"/>
      <c r="D1380" s="105"/>
      <c r="E1380" s="105"/>
      <c r="F1380" s="105"/>
      <c r="G1380" s="105"/>
      <c r="H1380" s="105"/>
    </row>
    <row r="1381">
      <c r="A1381" s="105"/>
      <c r="B1381" s="105"/>
      <c r="C1381" s="97"/>
      <c r="D1381" s="105"/>
      <c r="E1381" s="105"/>
      <c r="F1381" s="105"/>
      <c r="G1381" s="105"/>
      <c r="H1381" s="105"/>
    </row>
    <row r="1382">
      <c r="A1382" s="105"/>
      <c r="B1382" s="105"/>
      <c r="C1382" s="97"/>
      <c r="D1382" s="105"/>
      <c r="E1382" s="105"/>
      <c r="F1382" s="105"/>
      <c r="G1382" s="105"/>
      <c r="H1382" s="105"/>
    </row>
    <row r="1383">
      <c r="A1383" s="105"/>
      <c r="B1383" s="105"/>
      <c r="C1383" s="97"/>
      <c r="D1383" s="105"/>
      <c r="E1383" s="105"/>
      <c r="F1383" s="105"/>
      <c r="G1383" s="105"/>
      <c r="H1383" s="105"/>
    </row>
    <row r="1384">
      <c r="A1384" s="105"/>
      <c r="B1384" s="105"/>
      <c r="C1384" s="97"/>
      <c r="D1384" s="105"/>
      <c r="E1384" s="105"/>
      <c r="F1384" s="105"/>
      <c r="G1384" s="105"/>
      <c r="H1384" s="105"/>
    </row>
    <row r="1385">
      <c r="A1385" s="105"/>
      <c r="B1385" s="105"/>
      <c r="C1385" s="97"/>
      <c r="D1385" s="105"/>
      <c r="E1385" s="105"/>
      <c r="F1385" s="105"/>
      <c r="G1385" s="105"/>
      <c r="H1385" s="105"/>
    </row>
    <row r="1386">
      <c r="A1386" s="105"/>
      <c r="B1386" s="105"/>
      <c r="C1386" s="97"/>
      <c r="D1386" s="105"/>
      <c r="E1386" s="105"/>
      <c r="F1386" s="105"/>
      <c r="G1386" s="105"/>
      <c r="H1386" s="105"/>
    </row>
    <row r="1387">
      <c r="A1387" s="105"/>
      <c r="B1387" s="105"/>
      <c r="C1387" s="97"/>
      <c r="D1387" s="105"/>
      <c r="E1387" s="105"/>
      <c r="F1387" s="105"/>
      <c r="G1387" s="105"/>
      <c r="H1387" s="105"/>
    </row>
    <row r="1388">
      <c r="A1388" s="105"/>
      <c r="B1388" s="105"/>
      <c r="C1388" s="97"/>
      <c r="D1388" s="105"/>
      <c r="E1388" s="105"/>
      <c r="F1388" s="105"/>
      <c r="G1388" s="105"/>
      <c r="H1388" s="105"/>
    </row>
    <row r="1389">
      <c r="A1389" s="105"/>
      <c r="B1389" s="105"/>
      <c r="C1389" s="97"/>
      <c r="D1389" s="105"/>
      <c r="E1389" s="105"/>
      <c r="F1389" s="105"/>
      <c r="G1389" s="105"/>
      <c r="H1389" s="105"/>
    </row>
    <row r="1390">
      <c r="A1390" s="105"/>
      <c r="B1390" s="105"/>
      <c r="C1390" s="97"/>
      <c r="D1390" s="105"/>
      <c r="E1390" s="105"/>
      <c r="F1390" s="105"/>
      <c r="G1390" s="105"/>
      <c r="H1390" s="105"/>
    </row>
    <row r="1391">
      <c r="A1391" s="105"/>
      <c r="B1391" s="105"/>
      <c r="C1391" s="97"/>
      <c r="D1391" s="105"/>
      <c r="E1391" s="105"/>
      <c r="F1391" s="105"/>
      <c r="G1391" s="105"/>
      <c r="H1391" s="105"/>
    </row>
    <row r="1392">
      <c r="A1392" s="105"/>
      <c r="B1392" s="105"/>
      <c r="C1392" s="97"/>
      <c r="D1392" s="105"/>
      <c r="E1392" s="105"/>
      <c r="F1392" s="105"/>
      <c r="G1392" s="105"/>
      <c r="H1392" s="105"/>
    </row>
    <row r="1393">
      <c r="A1393" s="105"/>
      <c r="B1393" s="105"/>
      <c r="C1393" s="97"/>
      <c r="D1393" s="105"/>
      <c r="E1393" s="105"/>
      <c r="F1393" s="105"/>
      <c r="G1393" s="105"/>
      <c r="H1393" s="105"/>
    </row>
    <row r="1394">
      <c r="A1394" s="105"/>
      <c r="B1394" s="105"/>
      <c r="C1394" s="97"/>
      <c r="D1394" s="105"/>
      <c r="E1394" s="105"/>
      <c r="F1394" s="105"/>
      <c r="G1394" s="105"/>
      <c r="H1394" s="105"/>
    </row>
    <row r="1395">
      <c r="A1395" s="105"/>
      <c r="B1395" s="105"/>
      <c r="C1395" s="97"/>
      <c r="D1395" s="105"/>
      <c r="E1395" s="105"/>
      <c r="F1395" s="105"/>
      <c r="G1395" s="105"/>
      <c r="H1395" s="105"/>
    </row>
    <row r="1396">
      <c r="A1396" s="105"/>
      <c r="B1396" s="105"/>
      <c r="C1396" s="97"/>
      <c r="D1396" s="105"/>
      <c r="E1396" s="105"/>
      <c r="F1396" s="105"/>
      <c r="G1396" s="105"/>
      <c r="H1396" s="105"/>
    </row>
    <row r="1397">
      <c r="A1397" s="105"/>
      <c r="B1397" s="105"/>
      <c r="C1397" s="97"/>
      <c r="D1397" s="105"/>
      <c r="E1397" s="105"/>
      <c r="F1397" s="105"/>
      <c r="G1397" s="105"/>
      <c r="H1397" s="105"/>
    </row>
    <row r="1398">
      <c r="A1398" s="105"/>
      <c r="B1398" s="105"/>
      <c r="C1398" s="97"/>
      <c r="D1398" s="105"/>
      <c r="E1398" s="105"/>
      <c r="F1398" s="105"/>
      <c r="G1398" s="105"/>
      <c r="H1398" s="105"/>
    </row>
    <row r="1399">
      <c r="A1399" s="105"/>
      <c r="B1399" s="105"/>
      <c r="C1399" s="97"/>
      <c r="D1399" s="105"/>
      <c r="E1399" s="105"/>
      <c r="F1399" s="105"/>
      <c r="G1399" s="105"/>
      <c r="H1399" s="105"/>
    </row>
    <row r="1400">
      <c r="A1400" s="105"/>
      <c r="B1400" s="105"/>
      <c r="C1400" s="97"/>
      <c r="D1400" s="105"/>
      <c r="E1400" s="105"/>
      <c r="F1400" s="105"/>
      <c r="G1400" s="105"/>
      <c r="H1400" s="105"/>
    </row>
    <row r="1401">
      <c r="A1401" s="105"/>
      <c r="B1401" s="105"/>
      <c r="C1401" s="97"/>
      <c r="D1401" s="105"/>
      <c r="E1401" s="105"/>
      <c r="F1401" s="105"/>
      <c r="G1401" s="105"/>
      <c r="H1401" s="105"/>
    </row>
    <row r="1402">
      <c r="A1402" s="105"/>
      <c r="B1402" s="105"/>
      <c r="C1402" s="97"/>
      <c r="D1402" s="105"/>
      <c r="E1402" s="105"/>
      <c r="F1402" s="105"/>
      <c r="G1402" s="105"/>
      <c r="H1402" s="105"/>
    </row>
    <row r="1403">
      <c r="A1403" s="105"/>
      <c r="B1403" s="105"/>
      <c r="C1403" s="97"/>
      <c r="D1403" s="105"/>
      <c r="E1403" s="105"/>
      <c r="F1403" s="105"/>
      <c r="G1403" s="105"/>
      <c r="H1403" s="105"/>
    </row>
    <row r="1404">
      <c r="A1404" s="105"/>
      <c r="B1404" s="105"/>
      <c r="C1404" s="97"/>
      <c r="D1404" s="105"/>
      <c r="E1404" s="105"/>
      <c r="F1404" s="105"/>
      <c r="G1404" s="105"/>
      <c r="H1404" s="105"/>
    </row>
    <row r="1405">
      <c r="A1405" s="105"/>
      <c r="B1405" s="105"/>
      <c r="C1405" s="97"/>
      <c r="D1405" s="105"/>
      <c r="E1405" s="105"/>
      <c r="F1405" s="105"/>
      <c r="G1405" s="105"/>
      <c r="H1405" s="105"/>
    </row>
    <row r="1406">
      <c r="A1406" s="105"/>
      <c r="B1406" s="105"/>
      <c r="C1406" s="97"/>
      <c r="D1406" s="105"/>
      <c r="E1406" s="105"/>
      <c r="F1406" s="105"/>
      <c r="G1406" s="105"/>
      <c r="H1406" s="105"/>
    </row>
    <row r="1407">
      <c r="A1407" s="105"/>
      <c r="B1407" s="105"/>
      <c r="C1407" s="97"/>
      <c r="D1407" s="105"/>
      <c r="E1407" s="105"/>
      <c r="F1407" s="105"/>
      <c r="G1407" s="105"/>
      <c r="H1407" s="105"/>
    </row>
    <row r="1408">
      <c r="A1408" s="105"/>
      <c r="B1408" s="105"/>
      <c r="C1408" s="97"/>
      <c r="D1408" s="105"/>
      <c r="E1408" s="105"/>
      <c r="F1408" s="105"/>
      <c r="G1408" s="105"/>
      <c r="H1408" s="105"/>
    </row>
    <row r="1409">
      <c r="A1409" s="105"/>
      <c r="B1409" s="105"/>
      <c r="C1409" s="97"/>
      <c r="D1409" s="105"/>
      <c r="E1409" s="105"/>
      <c r="F1409" s="105"/>
      <c r="G1409" s="105"/>
      <c r="H1409" s="105"/>
    </row>
    <row r="1410">
      <c r="A1410" s="105"/>
      <c r="B1410" s="105"/>
      <c r="C1410" s="97"/>
      <c r="D1410" s="105"/>
      <c r="E1410" s="105"/>
      <c r="F1410" s="105"/>
      <c r="G1410" s="105"/>
      <c r="H1410" s="105"/>
    </row>
    <row r="1411">
      <c r="A1411" s="105"/>
      <c r="B1411" s="105"/>
      <c r="C1411" s="97"/>
      <c r="D1411" s="105"/>
      <c r="E1411" s="105"/>
      <c r="F1411" s="105"/>
      <c r="G1411" s="105"/>
      <c r="H1411" s="105"/>
    </row>
    <row r="1412">
      <c r="A1412" s="105"/>
      <c r="B1412" s="105"/>
      <c r="C1412" s="97"/>
      <c r="D1412" s="105"/>
      <c r="E1412" s="105"/>
      <c r="F1412" s="105"/>
      <c r="G1412" s="105"/>
      <c r="H1412" s="105"/>
    </row>
    <row r="1413">
      <c r="A1413" s="105"/>
      <c r="B1413" s="105"/>
      <c r="C1413" s="97"/>
      <c r="D1413" s="105"/>
      <c r="E1413" s="105"/>
      <c r="F1413" s="105"/>
      <c r="G1413" s="105"/>
      <c r="H1413" s="105"/>
    </row>
    <row r="1414">
      <c r="A1414" s="105"/>
      <c r="B1414" s="105"/>
      <c r="C1414" s="97"/>
      <c r="D1414" s="105"/>
      <c r="E1414" s="105"/>
      <c r="F1414" s="105"/>
      <c r="G1414" s="105"/>
      <c r="H1414" s="105"/>
    </row>
    <row r="1415">
      <c r="A1415" s="105"/>
      <c r="B1415" s="105"/>
      <c r="C1415" s="97"/>
      <c r="D1415" s="105"/>
      <c r="E1415" s="105"/>
      <c r="F1415" s="105"/>
      <c r="G1415" s="105"/>
      <c r="H1415" s="105"/>
    </row>
    <row r="1416">
      <c r="A1416" s="105"/>
      <c r="B1416" s="105"/>
      <c r="C1416" s="97"/>
      <c r="D1416" s="105"/>
      <c r="E1416" s="105"/>
      <c r="F1416" s="105"/>
      <c r="G1416" s="105"/>
      <c r="H1416" s="105"/>
    </row>
    <row r="1417">
      <c r="A1417" s="105"/>
      <c r="B1417" s="105"/>
      <c r="C1417" s="97"/>
      <c r="D1417" s="105"/>
      <c r="E1417" s="105"/>
      <c r="F1417" s="105"/>
      <c r="G1417" s="105"/>
      <c r="H1417" s="105"/>
    </row>
    <row r="1418">
      <c r="A1418" s="105"/>
      <c r="B1418" s="105"/>
      <c r="C1418" s="97"/>
      <c r="D1418" s="105"/>
      <c r="E1418" s="105"/>
      <c r="F1418" s="105"/>
      <c r="G1418" s="105"/>
      <c r="H1418" s="105"/>
    </row>
    <row r="1419">
      <c r="A1419" s="105"/>
      <c r="B1419" s="105"/>
      <c r="C1419" s="97"/>
      <c r="D1419" s="105"/>
      <c r="E1419" s="105"/>
      <c r="F1419" s="105"/>
      <c r="G1419" s="105"/>
      <c r="H1419" s="105"/>
    </row>
    <row r="1420">
      <c r="A1420" s="105"/>
      <c r="B1420" s="105"/>
      <c r="C1420" s="97"/>
      <c r="D1420" s="105"/>
      <c r="E1420" s="105"/>
      <c r="F1420" s="105"/>
      <c r="G1420" s="105"/>
      <c r="H1420" s="105"/>
    </row>
    <row r="1421">
      <c r="A1421" s="105"/>
      <c r="B1421" s="105"/>
      <c r="C1421" s="97"/>
      <c r="D1421" s="105"/>
      <c r="E1421" s="105"/>
      <c r="F1421" s="105"/>
      <c r="G1421" s="105"/>
      <c r="H1421" s="105"/>
    </row>
    <row r="1422">
      <c r="A1422" s="105"/>
      <c r="B1422" s="105"/>
      <c r="C1422" s="97"/>
      <c r="D1422" s="105"/>
      <c r="E1422" s="105"/>
      <c r="F1422" s="105"/>
      <c r="G1422" s="105"/>
      <c r="H1422" s="105"/>
    </row>
    <row r="1423">
      <c r="A1423" s="105"/>
      <c r="B1423" s="105"/>
      <c r="C1423" s="97"/>
      <c r="D1423" s="105"/>
      <c r="E1423" s="105"/>
      <c r="F1423" s="105"/>
      <c r="G1423" s="105"/>
      <c r="H1423" s="105"/>
    </row>
    <row r="1424">
      <c r="A1424" s="105"/>
      <c r="B1424" s="105"/>
      <c r="C1424" s="97"/>
      <c r="D1424" s="105"/>
      <c r="E1424" s="105"/>
      <c r="F1424" s="105"/>
      <c r="G1424" s="105"/>
      <c r="H1424" s="105"/>
    </row>
    <row r="1425">
      <c r="A1425" s="105"/>
      <c r="B1425" s="105"/>
      <c r="C1425" s="97"/>
      <c r="D1425" s="105"/>
      <c r="E1425" s="105"/>
      <c r="F1425" s="105"/>
      <c r="G1425" s="105"/>
      <c r="H1425" s="105"/>
    </row>
    <row r="1426">
      <c r="A1426" s="105"/>
      <c r="B1426" s="105"/>
      <c r="C1426" s="97"/>
      <c r="D1426" s="105"/>
      <c r="E1426" s="105"/>
      <c r="F1426" s="105"/>
      <c r="G1426" s="105"/>
      <c r="H1426" s="105"/>
    </row>
    <row r="1427">
      <c r="A1427" s="105"/>
      <c r="B1427" s="105"/>
      <c r="C1427" s="97"/>
      <c r="D1427" s="105"/>
      <c r="E1427" s="105"/>
      <c r="F1427" s="105"/>
      <c r="G1427" s="105"/>
      <c r="H1427" s="105"/>
    </row>
    <row r="1428">
      <c r="A1428" s="105"/>
      <c r="B1428" s="105"/>
      <c r="C1428" s="97"/>
      <c r="D1428" s="105"/>
      <c r="E1428" s="105"/>
      <c r="F1428" s="105"/>
      <c r="G1428" s="105"/>
      <c r="H1428" s="105"/>
    </row>
    <row r="1429">
      <c r="A1429" s="105"/>
      <c r="B1429" s="105"/>
      <c r="C1429" s="97"/>
      <c r="D1429" s="105"/>
      <c r="E1429" s="105"/>
      <c r="F1429" s="105"/>
      <c r="G1429" s="105"/>
      <c r="H1429" s="105"/>
    </row>
    <row r="1430">
      <c r="A1430" s="105"/>
      <c r="B1430" s="105"/>
      <c r="C1430" s="97"/>
      <c r="D1430" s="105"/>
      <c r="E1430" s="105"/>
      <c r="F1430" s="105"/>
      <c r="G1430" s="105"/>
      <c r="H1430" s="105"/>
    </row>
    <row r="1431">
      <c r="A1431" s="105"/>
      <c r="B1431" s="105"/>
      <c r="C1431" s="97"/>
      <c r="D1431" s="105"/>
      <c r="E1431" s="105"/>
      <c r="F1431" s="105"/>
      <c r="G1431" s="105"/>
      <c r="H1431" s="105"/>
    </row>
    <row r="1432">
      <c r="A1432" s="105"/>
      <c r="B1432" s="105"/>
      <c r="C1432" s="97"/>
      <c r="D1432" s="105"/>
      <c r="E1432" s="105"/>
      <c r="F1432" s="105"/>
      <c r="G1432" s="105"/>
      <c r="H1432" s="105"/>
    </row>
    <row r="1433">
      <c r="A1433" s="105"/>
      <c r="B1433" s="105"/>
      <c r="C1433" s="97"/>
      <c r="D1433" s="105"/>
      <c r="E1433" s="105"/>
      <c r="F1433" s="105"/>
      <c r="G1433" s="105"/>
      <c r="H1433" s="105"/>
    </row>
    <row r="1434">
      <c r="A1434" s="105"/>
      <c r="B1434" s="105"/>
      <c r="C1434" s="97"/>
      <c r="D1434" s="105"/>
      <c r="E1434" s="105"/>
      <c r="F1434" s="105"/>
      <c r="G1434" s="105"/>
      <c r="H1434" s="105"/>
    </row>
    <row r="1435">
      <c r="A1435" s="105"/>
      <c r="B1435" s="105"/>
      <c r="C1435" s="97"/>
      <c r="D1435" s="105"/>
      <c r="E1435" s="105"/>
      <c r="F1435" s="105"/>
      <c r="G1435" s="105"/>
      <c r="H1435" s="105"/>
    </row>
    <row r="1436">
      <c r="A1436" s="105"/>
      <c r="B1436" s="105"/>
      <c r="C1436" s="97"/>
      <c r="D1436" s="105"/>
      <c r="E1436" s="105"/>
      <c r="F1436" s="105"/>
      <c r="G1436" s="105"/>
      <c r="H1436" s="105"/>
    </row>
    <row r="1437">
      <c r="A1437" s="105"/>
      <c r="B1437" s="105"/>
      <c r="C1437" s="97"/>
      <c r="D1437" s="105"/>
      <c r="E1437" s="105"/>
      <c r="F1437" s="105"/>
      <c r="G1437" s="105"/>
      <c r="H1437" s="105"/>
    </row>
    <row r="1438">
      <c r="A1438" s="105"/>
      <c r="B1438" s="105"/>
      <c r="C1438" s="97"/>
      <c r="D1438" s="105"/>
      <c r="E1438" s="105"/>
      <c r="F1438" s="105"/>
      <c r="G1438" s="105"/>
      <c r="H1438" s="105"/>
    </row>
    <row r="1439">
      <c r="A1439" s="105"/>
      <c r="B1439" s="105"/>
      <c r="C1439" s="97"/>
      <c r="D1439" s="105"/>
      <c r="E1439" s="105"/>
      <c r="F1439" s="105"/>
      <c r="G1439" s="105"/>
      <c r="H1439" s="105"/>
    </row>
    <row r="1440">
      <c r="A1440" s="105"/>
      <c r="B1440" s="105"/>
      <c r="C1440" s="97"/>
      <c r="D1440" s="105"/>
      <c r="E1440" s="105"/>
      <c r="F1440" s="105"/>
      <c r="G1440" s="105"/>
      <c r="H1440" s="105"/>
    </row>
    <row r="1441">
      <c r="A1441" s="105"/>
      <c r="B1441" s="105"/>
      <c r="C1441" s="97"/>
      <c r="D1441" s="105"/>
      <c r="E1441" s="105"/>
      <c r="F1441" s="105"/>
      <c r="G1441" s="105"/>
      <c r="H1441" s="105"/>
    </row>
    <row r="1442">
      <c r="A1442" s="105"/>
      <c r="B1442" s="105"/>
      <c r="C1442" s="97"/>
      <c r="D1442" s="105"/>
      <c r="E1442" s="105"/>
      <c r="F1442" s="105"/>
      <c r="G1442" s="105"/>
      <c r="H1442" s="105"/>
    </row>
    <row r="1443">
      <c r="A1443" s="105"/>
      <c r="B1443" s="105"/>
      <c r="C1443" s="97"/>
      <c r="D1443" s="105"/>
      <c r="E1443" s="105"/>
      <c r="F1443" s="105"/>
      <c r="G1443" s="105"/>
      <c r="H1443" s="105"/>
    </row>
    <row r="1444">
      <c r="A1444" s="105"/>
      <c r="B1444" s="105"/>
      <c r="C1444" s="97"/>
      <c r="D1444" s="105"/>
      <c r="E1444" s="105"/>
      <c r="F1444" s="105"/>
      <c r="G1444" s="105"/>
      <c r="H1444" s="105"/>
    </row>
    <row r="1445">
      <c r="A1445" s="105"/>
      <c r="B1445" s="105"/>
      <c r="C1445" s="97"/>
      <c r="D1445" s="105"/>
      <c r="E1445" s="105"/>
      <c r="F1445" s="105"/>
      <c r="G1445" s="105"/>
      <c r="H1445" s="105"/>
    </row>
    <row r="1446">
      <c r="A1446" s="105"/>
      <c r="B1446" s="105"/>
      <c r="C1446" s="97"/>
      <c r="D1446" s="105"/>
      <c r="E1446" s="105"/>
      <c r="F1446" s="105"/>
      <c r="G1446" s="105"/>
      <c r="H1446" s="105"/>
    </row>
    <row r="1447">
      <c r="A1447" s="105"/>
      <c r="B1447" s="105"/>
      <c r="C1447" s="97"/>
      <c r="D1447" s="105"/>
      <c r="E1447" s="105"/>
      <c r="F1447" s="105"/>
      <c r="G1447" s="105"/>
      <c r="H1447" s="105"/>
    </row>
    <row r="1448">
      <c r="A1448" s="105"/>
      <c r="B1448" s="105"/>
      <c r="C1448" s="97"/>
      <c r="D1448" s="105"/>
      <c r="E1448" s="105"/>
      <c r="F1448" s="105"/>
      <c r="G1448" s="105"/>
      <c r="H1448" s="105"/>
    </row>
    <row r="1449">
      <c r="A1449" s="105"/>
      <c r="B1449" s="105"/>
      <c r="C1449" s="97"/>
      <c r="D1449" s="105"/>
      <c r="E1449" s="105"/>
      <c r="F1449" s="105"/>
      <c r="G1449" s="105"/>
      <c r="H1449" s="105"/>
    </row>
    <row r="1450">
      <c r="A1450" s="105"/>
      <c r="B1450" s="105"/>
      <c r="C1450" s="97"/>
      <c r="D1450" s="105"/>
      <c r="E1450" s="105"/>
      <c r="F1450" s="105"/>
      <c r="G1450" s="105"/>
      <c r="H1450" s="105"/>
    </row>
    <row r="1451">
      <c r="A1451" s="105"/>
      <c r="B1451" s="105"/>
      <c r="C1451" s="97"/>
      <c r="D1451" s="105"/>
      <c r="E1451" s="105"/>
      <c r="F1451" s="105"/>
      <c r="G1451" s="105"/>
      <c r="H1451" s="105"/>
    </row>
    <row r="1452">
      <c r="A1452" s="105"/>
      <c r="B1452" s="105"/>
      <c r="C1452" s="97"/>
      <c r="D1452" s="105"/>
      <c r="E1452" s="105"/>
      <c r="F1452" s="105"/>
      <c r="G1452" s="105"/>
      <c r="H1452" s="105"/>
    </row>
    <row r="1453">
      <c r="A1453" s="105"/>
      <c r="B1453" s="105"/>
      <c r="C1453" s="97"/>
      <c r="D1453" s="105"/>
      <c r="E1453" s="105"/>
      <c r="F1453" s="105"/>
      <c r="G1453" s="105"/>
      <c r="H1453" s="105"/>
    </row>
    <row r="1454">
      <c r="A1454" s="105"/>
      <c r="B1454" s="105"/>
      <c r="C1454" s="97"/>
      <c r="D1454" s="105"/>
      <c r="E1454" s="105"/>
      <c r="F1454" s="105"/>
      <c r="G1454" s="105"/>
      <c r="H1454" s="105"/>
    </row>
    <row r="1455">
      <c r="A1455" s="105"/>
      <c r="B1455" s="105"/>
      <c r="C1455" s="97"/>
      <c r="D1455" s="105"/>
      <c r="E1455" s="105"/>
      <c r="F1455" s="105"/>
      <c r="G1455" s="105"/>
      <c r="H1455" s="105"/>
    </row>
    <row r="1456">
      <c r="A1456" s="105"/>
      <c r="B1456" s="105"/>
      <c r="C1456" s="97"/>
      <c r="D1456" s="105"/>
      <c r="E1456" s="105"/>
      <c r="F1456" s="105"/>
      <c r="G1456" s="105"/>
      <c r="H1456" s="105"/>
    </row>
    <row r="1457">
      <c r="A1457" s="105"/>
      <c r="B1457" s="105"/>
      <c r="C1457" s="97"/>
      <c r="D1457" s="105"/>
      <c r="E1457" s="105"/>
      <c r="F1457" s="105"/>
      <c r="G1457" s="105"/>
      <c r="H1457" s="105"/>
    </row>
    <row r="1458">
      <c r="A1458" s="105"/>
      <c r="B1458" s="105"/>
      <c r="C1458" s="97"/>
      <c r="D1458" s="105"/>
      <c r="E1458" s="105"/>
      <c r="F1458" s="105"/>
      <c r="G1458" s="105"/>
      <c r="H1458" s="105"/>
    </row>
    <row r="1459">
      <c r="A1459" s="105"/>
      <c r="B1459" s="105"/>
      <c r="C1459" s="97"/>
      <c r="D1459" s="105"/>
      <c r="E1459" s="105"/>
      <c r="F1459" s="105"/>
      <c r="G1459" s="105"/>
      <c r="H1459" s="105"/>
    </row>
    <row r="1460">
      <c r="A1460" s="105"/>
      <c r="B1460" s="105"/>
      <c r="C1460" s="97"/>
      <c r="D1460" s="105"/>
      <c r="E1460" s="105"/>
      <c r="F1460" s="105"/>
      <c r="G1460" s="105"/>
      <c r="H1460" s="105"/>
    </row>
    <row r="1461">
      <c r="A1461" s="105"/>
      <c r="B1461" s="105"/>
      <c r="C1461" s="97"/>
      <c r="D1461" s="105"/>
      <c r="E1461" s="105"/>
      <c r="F1461" s="105"/>
      <c r="G1461" s="105"/>
      <c r="H1461" s="105"/>
    </row>
    <row r="1462">
      <c r="A1462" s="105"/>
      <c r="B1462" s="105"/>
      <c r="C1462" s="97"/>
      <c r="D1462" s="105"/>
      <c r="E1462" s="105"/>
      <c r="F1462" s="105"/>
      <c r="G1462" s="105"/>
      <c r="H1462" s="105"/>
    </row>
    <row r="1463">
      <c r="A1463" s="105"/>
      <c r="B1463" s="105"/>
      <c r="C1463" s="97"/>
      <c r="D1463" s="105"/>
      <c r="E1463" s="105"/>
      <c r="F1463" s="105"/>
      <c r="G1463" s="105"/>
      <c r="H1463" s="105"/>
    </row>
    <row r="1464">
      <c r="A1464" s="105"/>
      <c r="B1464" s="105"/>
      <c r="C1464" s="97"/>
      <c r="D1464" s="105"/>
      <c r="E1464" s="105"/>
      <c r="F1464" s="105"/>
      <c r="G1464" s="105"/>
      <c r="H1464" s="105"/>
    </row>
    <row r="1465">
      <c r="A1465" s="105"/>
      <c r="B1465" s="105"/>
      <c r="C1465" s="97"/>
      <c r="D1465" s="105"/>
      <c r="E1465" s="105"/>
      <c r="F1465" s="105"/>
      <c r="G1465" s="105"/>
      <c r="H1465" s="105"/>
    </row>
    <row r="1466">
      <c r="A1466" s="105"/>
      <c r="B1466" s="105"/>
      <c r="C1466" s="97"/>
      <c r="D1466" s="105"/>
      <c r="E1466" s="105"/>
      <c r="F1466" s="105"/>
      <c r="G1466" s="105"/>
      <c r="H1466" s="105"/>
    </row>
    <row r="1467">
      <c r="A1467" s="105"/>
      <c r="B1467" s="105"/>
      <c r="C1467" s="97"/>
      <c r="D1467" s="105"/>
      <c r="E1467" s="105"/>
      <c r="F1467" s="105"/>
      <c r="G1467" s="105"/>
      <c r="H1467" s="105"/>
    </row>
    <row r="1468">
      <c r="A1468" s="105"/>
      <c r="B1468" s="105"/>
      <c r="C1468" s="97"/>
      <c r="D1468" s="105"/>
      <c r="E1468" s="105"/>
      <c r="F1468" s="105"/>
      <c r="G1468" s="105"/>
      <c r="H1468" s="105"/>
    </row>
    <row r="1469">
      <c r="A1469" s="105"/>
      <c r="B1469" s="105"/>
      <c r="C1469" s="97"/>
      <c r="D1469" s="105"/>
      <c r="E1469" s="105"/>
      <c r="F1469" s="105"/>
      <c r="G1469" s="105"/>
      <c r="H1469" s="105"/>
    </row>
    <row r="1470">
      <c r="A1470" s="105"/>
      <c r="B1470" s="105"/>
      <c r="C1470" s="97"/>
      <c r="D1470" s="105"/>
      <c r="E1470" s="105"/>
      <c r="F1470" s="105"/>
      <c r="G1470" s="105"/>
      <c r="H1470" s="105"/>
    </row>
    <row r="1471">
      <c r="A1471" s="105"/>
      <c r="B1471" s="105"/>
      <c r="C1471" s="97"/>
      <c r="D1471" s="105"/>
      <c r="E1471" s="105"/>
      <c r="F1471" s="105"/>
      <c r="G1471" s="105"/>
      <c r="H1471" s="105"/>
    </row>
    <row r="1472">
      <c r="A1472" s="105"/>
      <c r="B1472" s="105"/>
      <c r="C1472" s="97"/>
      <c r="D1472" s="105"/>
      <c r="E1472" s="105"/>
      <c r="F1472" s="105"/>
      <c r="G1472" s="105"/>
      <c r="H1472" s="105"/>
    </row>
    <row r="1473">
      <c r="A1473" s="105"/>
      <c r="B1473" s="105"/>
      <c r="C1473" s="97"/>
      <c r="D1473" s="105"/>
      <c r="E1473" s="105"/>
      <c r="F1473" s="105"/>
      <c r="G1473" s="105"/>
      <c r="H1473" s="105"/>
    </row>
    <row r="1474">
      <c r="A1474" s="105"/>
      <c r="B1474" s="105"/>
      <c r="C1474" s="97"/>
      <c r="D1474" s="105"/>
      <c r="E1474" s="105"/>
      <c r="F1474" s="105"/>
      <c r="G1474" s="105"/>
      <c r="H1474" s="105"/>
    </row>
    <row r="1475">
      <c r="A1475" s="105"/>
      <c r="B1475" s="105"/>
      <c r="C1475" s="97"/>
      <c r="D1475" s="105"/>
      <c r="E1475" s="105"/>
      <c r="F1475" s="105"/>
      <c r="G1475" s="105"/>
      <c r="H1475" s="105"/>
    </row>
    <row r="1476">
      <c r="A1476" s="105"/>
      <c r="B1476" s="105"/>
      <c r="C1476" s="97"/>
      <c r="D1476" s="105"/>
      <c r="E1476" s="105"/>
      <c r="F1476" s="105"/>
      <c r="G1476" s="105"/>
      <c r="H1476" s="105"/>
    </row>
    <row r="1477">
      <c r="A1477" s="105"/>
      <c r="B1477" s="105"/>
      <c r="C1477" s="97"/>
      <c r="D1477" s="105"/>
      <c r="E1477" s="105"/>
      <c r="F1477" s="105"/>
      <c r="G1477" s="105"/>
      <c r="H1477" s="105"/>
    </row>
    <row r="1478">
      <c r="A1478" s="105"/>
      <c r="B1478" s="105"/>
      <c r="C1478" s="97"/>
      <c r="D1478" s="105"/>
      <c r="E1478" s="105"/>
      <c r="F1478" s="105"/>
      <c r="G1478" s="105"/>
      <c r="H1478" s="105"/>
    </row>
    <row r="1479">
      <c r="A1479" s="105"/>
      <c r="B1479" s="105"/>
      <c r="C1479" s="97"/>
      <c r="D1479" s="105"/>
      <c r="E1479" s="105"/>
      <c r="F1479" s="105"/>
      <c r="G1479" s="105"/>
      <c r="H1479" s="105"/>
    </row>
    <row r="1480">
      <c r="A1480" s="105"/>
      <c r="B1480" s="105"/>
      <c r="C1480" s="97"/>
      <c r="D1480" s="105"/>
      <c r="E1480" s="105"/>
      <c r="F1480" s="105"/>
      <c r="G1480" s="105"/>
      <c r="H1480" s="105"/>
    </row>
    <row r="1481">
      <c r="A1481" s="105"/>
      <c r="B1481" s="105"/>
      <c r="C1481" s="97"/>
      <c r="D1481" s="105"/>
      <c r="E1481" s="105"/>
      <c r="F1481" s="105"/>
      <c r="G1481" s="105"/>
      <c r="H1481" s="105"/>
    </row>
    <row r="1482">
      <c r="A1482" s="105"/>
      <c r="B1482" s="105"/>
      <c r="C1482" s="97"/>
      <c r="D1482" s="105"/>
      <c r="E1482" s="105"/>
      <c r="F1482" s="105"/>
      <c r="G1482" s="105"/>
      <c r="H1482" s="105"/>
    </row>
    <row r="1483">
      <c r="A1483" s="105"/>
      <c r="B1483" s="105"/>
      <c r="C1483" s="97"/>
      <c r="D1483" s="105"/>
      <c r="E1483" s="105"/>
      <c r="F1483" s="105"/>
      <c r="G1483" s="105"/>
      <c r="H1483" s="105"/>
    </row>
    <row r="1484">
      <c r="A1484" s="105"/>
      <c r="B1484" s="105"/>
      <c r="C1484" s="97"/>
      <c r="D1484" s="105"/>
      <c r="E1484" s="105"/>
      <c r="F1484" s="105"/>
      <c r="G1484" s="105"/>
      <c r="H1484" s="105"/>
    </row>
    <row r="1485">
      <c r="A1485" s="105"/>
      <c r="B1485" s="105"/>
      <c r="C1485" s="97"/>
      <c r="D1485" s="105"/>
      <c r="E1485" s="105"/>
      <c r="F1485" s="105"/>
      <c r="G1485" s="105"/>
      <c r="H1485" s="105"/>
    </row>
    <row r="1486">
      <c r="A1486" s="105"/>
      <c r="B1486" s="105"/>
      <c r="C1486" s="97"/>
      <c r="D1486" s="105"/>
      <c r="E1486" s="105"/>
      <c r="F1486" s="105"/>
      <c r="G1486" s="105"/>
      <c r="H1486" s="105"/>
    </row>
    <row r="1487">
      <c r="A1487" s="105"/>
      <c r="B1487" s="105"/>
      <c r="C1487" s="97"/>
      <c r="D1487" s="105"/>
      <c r="E1487" s="105"/>
      <c r="F1487" s="105"/>
      <c r="G1487" s="105"/>
      <c r="H1487" s="105"/>
    </row>
    <row r="1488">
      <c r="A1488" s="105"/>
      <c r="B1488" s="105"/>
      <c r="C1488" s="97"/>
      <c r="D1488" s="105"/>
      <c r="E1488" s="105"/>
      <c r="F1488" s="105"/>
      <c r="G1488" s="105"/>
      <c r="H1488" s="105"/>
    </row>
    <row r="1489">
      <c r="A1489" s="105"/>
      <c r="B1489" s="105"/>
      <c r="C1489" s="97"/>
      <c r="D1489" s="105"/>
      <c r="E1489" s="105"/>
      <c r="F1489" s="105"/>
      <c r="G1489" s="105"/>
      <c r="H1489" s="105"/>
    </row>
    <row r="1490">
      <c r="A1490" s="105"/>
      <c r="B1490" s="105"/>
      <c r="C1490" s="97"/>
      <c r="D1490" s="105"/>
      <c r="E1490" s="105"/>
      <c r="F1490" s="105"/>
      <c r="G1490" s="105"/>
      <c r="H1490" s="105"/>
    </row>
    <row r="1491">
      <c r="A1491" s="105"/>
      <c r="B1491" s="105"/>
      <c r="C1491" s="97"/>
      <c r="D1491" s="105"/>
      <c r="E1491" s="105"/>
      <c r="F1491" s="105"/>
      <c r="G1491" s="105"/>
      <c r="H1491" s="105"/>
    </row>
    <row r="1492">
      <c r="A1492" s="105"/>
      <c r="B1492" s="105"/>
      <c r="C1492" s="97"/>
      <c r="D1492" s="105"/>
      <c r="E1492" s="105"/>
      <c r="F1492" s="105"/>
      <c r="G1492" s="105"/>
      <c r="H1492" s="105"/>
    </row>
    <row r="1493">
      <c r="A1493" s="105"/>
      <c r="B1493" s="105"/>
      <c r="C1493" s="97"/>
      <c r="D1493" s="105"/>
      <c r="E1493" s="105"/>
      <c r="F1493" s="105"/>
      <c r="G1493" s="105"/>
      <c r="H1493" s="105"/>
    </row>
    <row r="1494">
      <c r="A1494" s="105"/>
      <c r="B1494" s="105"/>
      <c r="C1494" s="97"/>
      <c r="D1494" s="105"/>
      <c r="E1494" s="105"/>
      <c r="F1494" s="105"/>
      <c r="G1494" s="105"/>
      <c r="H1494" s="105"/>
    </row>
    <row r="1495">
      <c r="A1495" s="105"/>
      <c r="B1495" s="105"/>
      <c r="C1495" s="97"/>
      <c r="D1495" s="105"/>
      <c r="E1495" s="105"/>
      <c r="F1495" s="105"/>
      <c r="G1495" s="105"/>
      <c r="H1495" s="105"/>
    </row>
    <row r="1496">
      <c r="A1496" s="105"/>
      <c r="B1496" s="105"/>
      <c r="C1496" s="97"/>
      <c r="D1496" s="105"/>
      <c r="E1496" s="105"/>
      <c r="F1496" s="105"/>
      <c r="G1496" s="105"/>
      <c r="H1496" s="105"/>
    </row>
    <row r="1497">
      <c r="A1497" s="105"/>
      <c r="B1497" s="105"/>
      <c r="C1497" s="97"/>
      <c r="D1497" s="105"/>
      <c r="E1497" s="105"/>
      <c r="F1497" s="105"/>
      <c r="G1497" s="105"/>
      <c r="H1497" s="105"/>
    </row>
    <row r="1498">
      <c r="A1498" s="105"/>
      <c r="B1498" s="105"/>
      <c r="C1498" s="97"/>
      <c r="D1498" s="105"/>
      <c r="E1498" s="105"/>
      <c r="F1498" s="105"/>
      <c r="G1498" s="105"/>
      <c r="H1498" s="105"/>
    </row>
    <row r="1499">
      <c r="A1499" s="105"/>
      <c r="B1499" s="105"/>
      <c r="C1499" s="97"/>
      <c r="D1499" s="105"/>
      <c r="E1499" s="105"/>
      <c r="F1499" s="105"/>
      <c r="G1499" s="105"/>
      <c r="H1499" s="105"/>
    </row>
    <row r="1500">
      <c r="A1500" s="105"/>
      <c r="B1500" s="105"/>
      <c r="C1500" s="97"/>
      <c r="D1500" s="105"/>
      <c r="E1500" s="105"/>
      <c r="F1500" s="105"/>
      <c r="G1500" s="105"/>
      <c r="H1500" s="105"/>
    </row>
    <row r="1501">
      <c r="A1501" s="105"/>
      <c r="B1501" s="105"/>
      <c r="C1501" s="97"/>
      <c r="D1501" s="105"/>
      <c r="E1501" s="105"/>
      <c r="F1501" s="105"/>
      <c r="G1501" s="105"/>
      <c r="H1501" s="105"/>
    </row>
    <row r="1502">
      <c r="A1502" s="105"/>
      <c r="B1502" s="105"/>
      <c r="C1502" s="97"/>
      <c r="D1502" s="105"/>
      <c r="E1502" s="105"/>
      <c r="F1502" s="105"/>
      <c r="G1502" s="105"/>
      <c r="H1502" s="105"/>
    </row>
    <row r="1503">
      <c r="A1503" s="105"/>
      <c r="B1503" s="105"/>
      <c r="C1503" s="97"/>
      <c r="D1503" s="105"/>
      <c r="E1503" s="105"/>
      <c r="F1503" s="105"/>
      <c r="G1503" s="105"/>
      <c r="H1503" s="105"/>
    </row>
    <row r="1504">
      <c r="A1504" s="105"/>
      <c r="B1504" s="105"/>
      <c r="C1504" s="97"/>
      <c r="D1504" s="105"/>
      <c r="E1504" s="105"/>
      <c r="F1504" s="105"/>
      <c r="G1504" s="105"/>
      <c r="H1504" s="105"/>
    </row>
    <row r="1505">
      <c r="A1505" s="105"/>
      <c r="B1505" s="105"/>
      <c r="C1505" s="97"/>
      <c r="D1505" s="105"/>
      <c r="E1505" s="105"/>
      <c r="F1505" s="105"/>
      <c r="G1505" s="105"/>
      <c r="H1505" s="105"/>
    </row>
    <row r="1506">
      <c r="A1506" s="105"/>
      <c r="B1506" s="105"/>
      <c r="C1506" s="97"/>
      <c r="D1506" s="105"/>
      <c r="E1506" s="105"/>
      <c r="F1506" s="105"/>
      <c r="G1506" s="105"/>
      <c r="H1506" s="105"/>
    </row>
    <row r="1507">
      <c r="A1507" s="105"/>
      <c r="B1507" s="105"/>
      <c r="C1507" s="97"/>
      <c r="D1507" s="105"/>
      <c r="E1507" s="105"/>
      <c r="F1507" s="105"/>
      <c r="G1507" s="105"/>
      <c r="H1507" s="105"/>
    </row>
    <row r="1508">
      <c r="A1508" s="105"/>
      <c r="B1508" s="105"/>
      <c r="C1508" s="97"/>
      <c r="D1508" s="105"/>
      <c r="E1508" s="105"/>
      <c r="F1508" s="105"/>
      <c r="G1508" s="105"/>
      <c r="H1508" s="105"/>
    </row>
    <row r="1509">
      <c r="A1509" s="105"/>
      <c r="B1509" s="105"/>
      <c r="C1509" s="97"/>
      <c r="D1509" s="105"/>
      <c r="E1509" s="105"/>
      <c r="F1509" s="105"/>
      <c r="G1509" s="105"/>
      <c r="H1509" s="105"/>
    </row>
    <row r="1510">
      <c r="A1510" s="105"/>
      <c r="B1510" s="105"/>
      <c r="C1510" s="97"/>
      <c r="D1510" s="105"/>
      <c r="E1510" s="105"/>
      <c r="F1510" s="105"/>
      <c r="G1510" s="105"/>
      <c r="H1510" s="105"/>
    </row>
    <row r="1511">
      <c r="A1511" s="105"/>
      <c r="B1511" s="105"/>
      <c r="C1511" s="97"/>
      <c r="D1511" s="105"/>
      <c r="E1511" s="105"/>
      <c r="F1511" s="105"/>
      <c r="G1511" s="105"/>
      <c r="H1511" s="105"/>
    </row>
    <row r="1512">
      <c r="A1512" s="105"/>
      <c r="B1512" s="105"/>
      <c r="C1512" s="97"/>
      <c r="D1512" s="105"/>
      <c r="E1512" s="105"/>
      <c r="F1512" s="105"/>
      <c r="G1512" s="105"/>
      <c r="H1512" s="105"/>
    </row>
    <row r="1513">
      <c r="A1513" s="105"/>
      <c r="B1513" s="105"/>
      <c r="C1513" s="97"/>
      <c r="D1513" s="105"/>
      <c r="E1513" s="105"/>
      <c r="F1513" s="105"/>
      <c r="G1513" s="105"/>
      <c r="H1513" s="105"/>
    </row>
    <row r="1514">
      <c r="A1514" s="105"/>
      <c r="B1514" s="105"/>
      <c r="C1514" s="97"/>
      <c r="D1514" s="105"/>
      <c r="E1514" s="105"/>
      <c r="F1514" s="105"/>
      <c r="G1514" s="105"/>
      <c r="H1514" s="105"/>
    </row>
    <row r="1515">
      <c r="A1515" s="105"/>
      <c r="B1515" s="105"/>
      <c r="C1515" s="97"/>
      <c r="D1515" s="105"/>
      <c r="E1515" s="105"/>
      <c r="F1515" s="105"/>
      <c r="G1515" s="105"/>
      <c r="H1515" s="105"/>
    </row>
    <row r="1516">
      <c r="A1516" s="105"/>
      <c r="B1516" s="105"/>
      <c r="C1516" s="97"/>
      <c r="D1516" s="105"/>
      <c r="E1516" s="105"/>
      <c r="F1516" s="105"/>
      <c r="G1516" s="105"/>
      <c r="H1516" s="105"/>
    </row>
    <row r="1517">
      <c r="A1517" s="105"/>
      <c r="B1517" s="105"/>
      <c r="C1517" s="97"/>
      <c r="D1517" s="105"/>
      <c r="E1517" s="105"/>
      <c r="F1517" s="105"/>
      <c r="G1517" s="105"/>
      <c r="H1517" s="105"/>
    </row>
    <row r="1518">
      <c r="A1518" s="105"/>
      <c r="B1518" s="105"/>
      <c r="C1518" s="97"/>
      <c r="D1518" s="105"/>
      <c r="E1518" s="105"/>
      <c r="F1518" s="105"/>
      <c r="G1518" s="105"/>
      <c r="H1518" s="105"/>
    </row>
    <row r="1519">
      <c r="A1519" s="105"/>
      <c r="B1519" s="105"/>
      <c r="C1519" s="97"/>
      <c r="D1519" s="105"/>
      <c r="E1519" s="105"/>
      <c r="F1519" s="105"/>
      <c r="G1519" s="105"/>
      <c r="H1519" s="105"/>
    </row>
    <row r="1520">
      <c r="A1520" s="105"/>
      <c r="B1520" s="105"/>
      <c r="C1520" s="97"/>
      <c r="D1520" s="105"/>
      <c r="E1520" s="105"/>
      <c r="F1520" s="105"/>
      <c r="G1520" s="105"/>
      <c r="H1520" s="105"/>
    </row>
    <row r="1521">
      <c r="A1521" s="105"/>
      <c r="B1521" s="105"/>
      <c r="C1521" s="97"/>
      <c r="D1521" s="105"/>
      <c r="E1521" s="105"/>
      <c r="F1521" s="105"/>
      <c r="G1521" s="105"/>
      <c r="H1521" s="105"/>
    </row>
    <row r="1522">
      <c r="A1522" s="105"/>
      <c r="B1522" s="105"/>
      <c r="C1522" s="97"/>
      <c r="D1522" s="105"/>
      <c r="E1522" s="105"/>
      <c r="F1522" s="105"/>
      <c r="G1522" s="105"/>
      <c r="H1522" s="105"/>
    </row>
    <row r="1523">
      <c r="A1523" s="105"/>
      <c r="B1523" s="105"/>
      <c r="C1523" s="97"/>
      <c r="D1523" s="105"/>
      <c r="E1523" s="105"/>
      <c r="F1523" s="105"/>
      <c r="G1523" s="105"/>
      <c r="H1523" s="105"/>
    </row>
    <row r="1524">
      <c r="A1524" s="105"/>
      <c r="B1524" s="105"/>
      <c r="C1524" s="97"/>
      <c r="D1524" s="105"/>
      <c r="E1524" s="105"/>
      <c r="F1524" s="105"/>
      <c r="G1524" s="105"/>
      <c r="H1524" s="105"/>
    </row>
    <row r="1525">
      <c r="A1525" s="105"/>
      <c r="B1525" s="105"/>
      <c r="C1525" s="97"/>
      <c r="D1525" s="105"/>
      <c r="E1525" s="105"/>
      <c r="F1525" s="105"/>
      <c r="G1525" s="105"/>
      <c r="H1525" s="105"/>
    </row>
    <row r="1526">
      <c r="A1526" s="105"/>
      <c r="B1526" s="105"/>
      <c r="C1526" s="97"/>
      <c r="D1526" s="105"/>
      <c r="E1526" s="105"/>
      <c r="F1526" s="105"/>
      <c r="G1526" s="105"/>
      <c r="H1526" s="105"/>
    </row>
    <row r="1527">
      <c r="A1527" s="105"/>
      <c r="B1527" s="105"/>
      <c r="C1527" s="97"/>
      <c r="D1527" s="105"/>
      <c r="E1527" s="105"/>
      <c r="F1527" s="105"/>
      <c r="G1527" s="105"/>
      <c r="H1527" s="105"/>
    </row>
    <row r="1528">
      <c r="A1528" s="105"/>
      <c r="B1528" s="105"/>
      <c r="C1528" s="97"/>
      <c r="D1528" s="105"/>
      <c r="E1528" s="105"/>
      <c r="F1528" s="105"/>
      <c r="G1528" s="105"/>
      <c r="H1528" s="105"/>
    </row>
    <row r="1529">
      <c r="A1529" s="105"/>
      <c r="B1529" s="105"/>
      <c r="C1529" s="97"/>
      <c r="D1529" s="105"/>
      <c r="E1529" s="105"/>
      <c r="F1529" s="105"/>
      <c r="G1529" s="105"/>
      <c r="H1529" s="105"/>
    </row>
    <row r="1530">
      <c r="A1530" s="105"/>
      <c r="B1530" s="105"/>
      <c r="C1530" s="97"/>
      <c r="D1530" s="105"/>
      <c r="E1530" s="105"/>
      <c r="F1530" s="105"/>
      <c r="G1530" s="105"/>
      <c r="H1530" s="105"/>
    </row>
    <row r="1531">
      <c r="A1531" s="105"/>
      <c r="B1531" s="105"/>
      <c r="C1531" s="97"/>
      <c r="D1531" s="105"/>
      <c r="E1531" s="105"/>
      <c r="F1531" s="105"/>
      <c r="G1531" s="105"/>
      <c r="H1531" s="105"/>
    </row>
    <row r="1532">
      <c r="A1532" s="105"/>
      <c r="B1532" s="105"/>
      <c r="C1532" s="97"/>
      <c r="D1532" s="105"/>
      <c r="E1532" s="105"/>
      <c r="F1532" s="105"/>
      <c r="G1532" s="105"/>
      <c r="H1532" s="105"/>
    </row>
    <row r="1533">
      <c r="A1533" s="105"/>
      <c r="B1533" s="105"/>
      <c r="C1533" s="97"/>
      <c r="D1533" s="105"/>
      <c r="E1533" s="105"/>
      <c r="F1533" s="105"/>
      <c r="G1533" s="105"/>
      <c r="H1533" s="105"/>
    </row>
    <row r="1534">
      <c r="A1534" s="105"/>
      <c r="B1534" s="105"/>
      <c r="C1534" s="97"/>
      <c r="D1534" s="105"/>
      <c r="E1534" s="105"/>
      <c r="F1534" s="105"/>
      <c r="G1534" s="105"/>
      <c r="H1534" s="105"/>
    </row>
    <row r="1535">
      <c r="A1535" s="105"/>
      <c r="B1535" s="105"/>
      <c r="C1535" s="97"/>
      <c r="D1535" s="105"/>
      <c r="E1535" s="105"/>
      <c r="F1535" s="105"/>
      <c r="G1535" s="105"/>
      <c r="H1535" s="105"/>
    </row>
    <row r="1536">
      <c r="A1536" s="105"/>
      <c r="B1536" s="105"/>
      <c r="C1536" s="97"/>
      <c r="D1536" s="105"/>
      <c r="E1536" s="105"/>
      <c r="F1536" s="105"/>
      <c r="G1536" s="105"/>
      <c r="H1536" s="105"/>
    </row>
    <row r="1537">
      <c r="A1537" s="105"/>
      <c r="B1537" s="105"/>
      <c r="C1537" s="97"/>
      <c r="D1537" s="105"/>
      <c r="E1537" s="105"/>
      <c r="F1537" s="105"/>
      <c r="G1537" s="105"/>
      <c r="H1537" s="105"/>
    </row>
    <row r="1538">
      <c r="A1538" s="105"/>
      <c r="B1538" s="105"/>
      <c r="C1538" s="97"/>
      <c r="D1538" s="105"/>
      <c r="E1538" s="105"/>
      <c r="F1538" s="105"/>
      <c r="G1538" s="105"/>
      <c r="H1538" s="105"/>
    </row>
    <row r="1539">
      <c r="A1539" s="105"/>
      <c r="B1539" s="105"/>
      <c r="C1539" s="97"/>
      <c r="D1539" s="105"/>
      <c r="E1539" s="105"/>
      <c r="F1539" s="105"/>
      <c r="G1539" s="105"/>
      <c r="H1539" s="105"/>
    </row>
    <row r="1540">
      <c r="A1540" s="105"/>
      <c r="B1540" s="105"/>
      <c r="C1540" s="97"/>
      <c r="D1540" s="105"/>
      <c r="E1540" s="105"/>
      <c r="F1540" s="105"/>
      <c r="G1540" s="105"/>
      <c r="H1540" s="105"/>
    </row>
    <row r="1541">
      <c r="A1541" s="105"/>
      <c r="B1541" s="105"/>
      <c r="C1541" s="97"/>
      <c r="D1541" s="105"/>
      <c r="E1541" s="105"/>
      <c r="F1541" s="105"/>
      <c r="G1541" s="105"/>
      <c r="H1541" s="105"/>
    </row>
    <row r="1542">
      <c r="A1542" s="105"/>
      <c r="B1542" s="105"/>
      <c r="C1542" s="97"/>
      <c r="D1542" s="105"/>
      <c r="E1542" s="105"/>
      <c r="F1542" s="105"/>
      <c r="G1542" s="105"/>
      <c r="H1542" s="105"/>
    </row>
    <row r="1543">
      <c r="A1543" s="105"/>
      <c r="B1543" s="105"/>
      <c r="C1543" s="97"/>
      <c r="D1543" s="105"/>
      <c r="E1543" s="105"/>
      <c r="F1543" s="105"/>
      <c r="G1543" s="105"/>
      <c r="H1543" s="105"/>
    </row>
    <row r="1544">
      <c r="A1544" s="105"/>
      <c r="B1544" s="105"/>
      <c r="C1544" s="97"/>
      <c r="D1544" s="105"/>
      <c r="E1544" s="105"/>
      <c r="F1544" s="105"/>
      <c r="G1544" s="105"/>
      <c r="H1544" s="105"/>
    </row>
    <row r="1545">
      <c r="A1545" s="105"/>
      <c r="B1545" s="105"/>
      <c r="C1545" s="97"/>
      <c r="D1545" s="105"/>
      <c r="E1545" s="105"/>
      <c r="F1545" s="105"/>
      <c r="G1545" s="105"/>
      <c r="H1545" s="105"/>
    </row>
    <row r="1546">
      <c r="A1546" s="105"/>
      <c r="B1546" s="105"/>
      <c r="C1546" s="97"/>
      <c r="D1546" s="105"/>
      <c r="E1546" s="105"/>
      <c r="F1546" s="105"/>
      <c r="G1546" s="105"/>
      <c r="H1546" s="105"/>
    </row>
    <row r="1547">
      <c r="A1547" s="105"/>
      <c r="B1547" s="105"/>
      <c r="C1547" s="97"/>
      <c r="D1547" s="105"/>
      <c r="E1547" s="105"/>
      <c r="F1547" s="105"/>
      <c r="G1547" s="105"/>
      <c r="H1547" s="105"/>
    </row>
    <row r="1548">
      <c r="A1548" s="105"/>
      <c r="B1548" s="105"/>
      <c r="C1548" s="97"/>
      <c r="D1548" s="105"/>
      <c r="E1548" s="105"/>
      <c r="F1548" s="105"/>
      <c r="G1548" s="105"/>
      <c r="H1548" s="105"/>
    </row>
    <row r="1549">
      <c r="A1549" s="105"/>
      <c r="B1549" s="105"/>
      <c r="C1549" s="97"/>
      <c r="D1549" s="105"/>
      <c r="E1549" s="105"/>
      <c r="F1549" s="105"/>
      <c r="G1549" s="105"/>
      <c r="H1549" s="105"/>
    </row>
    <row r="1550">
      <c r="A1550" s="105"/>
      <c r="B1550" s="105"/>
      <c r="C1550" s="97"/>
      <c r="D1550" s="105"/>
      <c r="E1550" s="105"/>
      <c r="F1550" s="105"/>
      <c r="G1550" s="105"/>
      <c r="H1550" s="105"/>
    </row>
    <row r="1551">
      <c r="A1551" s="105"/>
      <c r="B1551" s="105"/>
      <c r="C1551" s="97"/>
      <c r="D1551" s="105"/>
      <c r="E1551" s="105"/>
      <c r="F1551" s="105"/>
      <c r="G1551" s="105"/>
      <c r="H1551" s="105"/>
    </row>
    <row r="1552">
      <c r="A1552" s="105"/>
      <c r="B1552" s="105"/>
      <c r="C1552" s="97"/>
      <c r="D1552" s="105"/>
      <c r="E1552" s="105"/>
      <c r="F1552" s="105"/>
      <c r="G1552" s="105"/>
      <c r="H1552" s="105"/>
    </row>
    <row r="1553">
      <c r="A1553" s="105"/>
      <c r="B1553" s="105"/>
      <c r="C1553" s="97"/>
      <c r="D1553" s="105"/>
      <c r="E1553" s="105"/>
      <c r="F1553" s="105"/>
      <c r="G1553" s="105"/>
      <c r="H1553" s="105"/>
    </row>
    <row r="1554">
      <c r="A1554" s="105"/>
      <c r="B1554" s="105"/>
      <c r="C1554" s="97"/>
      <c r="D1554" s="105"/>
      <c r="E1554" s="105"/>
      <c r="F1554" s="105"/>
      <c r="G1554" s="105"/>
      <c r="H1554" s="105"/>
    </row>
    <row r="1555">
      <c r="A1555" s="105"/>
      <c r="B1555" s="105"/>
      <c r="C1555" s="97"/>
      <c r="D1555" s="105"/>
      <c r="E1555" s="105"/>
      <c r="F1555" s="105"/>
      <c r="G1555" s="105"/>
      <c r="H1555" s="105"/>
    </row>
    <row r="1556">
      <c r="A1556" s="105"/>
      <c r="B1556" s="105"/>
      <c r="C1556" s="97"/>
      <c r="D1556" s="105"/>
      <c r="E1556" s="105"/>
      <c r="F1556" s="105"/>
      <c r="G1556" s="105"/>
      <c r="H1556" s="105"/>
    </row>
    <row r="1557">
      <c r="A1557" s="105"/>
      <c r="B1557" s="105"/>
      <c r="C1557" s="97"/>
      <c r="D1557" s="105"/>
      <c r="E1557" s="105"/>
      <c r="F1557" s="105"/>
      <c r="G1557" s="105"/>
      <c r="H1557" s="105"/>
    </row>
    <row r="1558">
      <c r="A1558" s="105"/>
      <c r="B1558" s="105"/>
      <c r="C1558" s="97"/>
      <c r="D1558" s="105"/>
      <c r="E1558" s="105"/>
      <c r="F1558" s="105"/>
      <c r="G1558" s="105"/>
      <c r="H1558" s="105"/>
    </row>
    <row r="1559">
      <c r="A1559" s="105"/>
      <c r="B1559" s="105"/>
      <c r="C1559" s="97"/>
      <c r="D1559" s="105"/>
      <c r="E1559" s="105"/>
      <c r="F1559" s="105"/>
      <c r="G1559" s="105"/>
      <c r="H1559" s="105"/>
    </row>
    <row r="1560">
      <c r="A1560" s="105"/>
      <c r="B1560" s="105"/>
      <c r="C1560" s="97"/>
      <c r="D1560" s="105"/>
      <c r="E1560" s="105"/>
      <c r="F1560" s="105"/>
      <c r="G1560" s="105"/>
      <c r="H1560" s="105"/>
    </row>
    <row r="1561">
      <c r="A1561" s="105"/>
      <c r="B1561" s="105"/>
      <c r="C1561" s="97"/>
      <c r="D1561" s="105"/>
      <c r="E1561" s="105"/>
      <c r="F1561" s="105"/>
      <c r="G1561" s="105"/>
      <c r="H1561" s="105"/>
    </row>
    <row r="1562">
      <c r="A1562" s="105"/>
      <c r="B1562" s="105"/>
      <c r="C1562" s="97"/>
      <c r="D1562" s="105"/>
      <c r="E1562" s="105"/>
      <c r="F1562" s="105"/>
      <c r="G1562" s="105"/>
      <c r="H1562" s="105"/>
    </row>
    <row r="1563">
      <c r="A1563" s="105"/>
      <c r="B1563" s="105"/>
      <c r="C1563" s="97"/>
      <c r="D1563" s="105"/>
      <c r="E1563" s="105"/>
      <c r="F1563" s="105"/>
      <c r="G1563" s="105"/>
      <c r="H1563" s="105"/>
    </row>
    <row r="1564">
      <c r="A1564" s="105"/>
      <c r="B1564" s="105"/>
      <c r="C1564" s="97"/>
      <c r="D1564" s="105"/>
      <c r="E1564" s="105"/>
      <c r="F1564" s="105"/>
      <c r="G1564" s="105"/>
      <c r="H1564" s="105"/>
    </row>
    <row r="1565">
      <c r="A1565" s="105"/>
      <c r="B1565" s="105"/>
      <c r="C1565" s="97"/>
      <c r="D1565" s="105"/>
      <c r="E1565" s="105"/>
      <c r="F1565" s="105"/>
      <c r="G1565" s="105"/>
      <c r="H1565" s="105"/>
    </row>
    <row r="1566">
      <c r="A1566" s="105"/>
      <c r="B1566" s="105"/>
      <c r="C1566" s="97"/>
      <c r="D1566" s="105"/>
      <c r="E1566" s="105"/>
      <c r="F1566" s="105"/>
      <c r="G1566" s="105"/>
      <c r="H1566" s="105"/>
    </row>
    <row r="1567">
      <c r="A1567" s="105"/>
      <c r="B1567" s="105"/>
      <c r="C1567" s="97"/>
      <c r="D1567" s="105"/>
      <c r="E1567" s="105"/>
      <c r="F1567" s="105"/>
      <c r="G1567" s="105"/>
      <c r="H1567" s="105"/>
    </row>
    <row r="1568">
      <c r="A1568" s="105"/>
      <c r="B1568" s="105"/>
      <c r="C1568" s="97"/>
      <c r="D1568" s="105"/>
      <c r="E1568" s="105"/>
      <c r="F1568" s="105"/>
      <c r="G1568" s="105"/>
      <c r="H1568" s="105"/>
    </row>
    <row r="1569">
      <c r="A1569" s="105"/>
      <c r="B1569" s="105"/>
      <c r="C1569" s="97"/>
      <c r="D1569" s="105"/>
      <c r="E1569" s="105"/>
      <c r="F1569" s="105"/>
      <c r="G1569" s="105"/>
      <c r="H1569" s="105"/>
    </row>
    <row r="1570">
      <c r="A1570" s="105"/>
      <c r="B1570" s="105"/>
      <c r="C1570" s="97"/>
      <c r="D1570" s="105"/>
      <c r="E1570" s="105"/>
      <c r="F1570" s="105"/>
      <c r="G1570" s="105"/>
      <c r="H1570" s="105"/>
    </row>
    <row r="1571">
      <c r="A1571" s="105"/>
      <c r="B1571" s="105"/>
      <c r="C1571" s="97"/>
      <c r="D1571" s="105"/>
      <c r="E1571" s="105"/>
      <c r="F1571" s="105"/>
      <c r="G1571" s="105"/>
      <c r="H1571" s="105"/>
    </row>
    <row r="1572">
      <c r="A1572" s="105"/>
      <c r="B1572" s="105"/>
      <c r="C1572" s="97"/>
      <c r="D1572" s="105"/>
      <c r="E1572" s="105"/>
      <c r="F1572" s="105"/>
      <c r="G1572" s="105"/>
      <c r="H1572" s="105"/>
    </row>
    <row r="1573">
      <c r="A1573" s="105"/>
      <c r="B1573" s="105"/>
      <c r="C1573" s="97"/>
      <c r="D1573" s="105"/>
      <c r="E1573" s="105"/>
      <c r="F1573" s="105"/>
      <c r="G1573" s="105"/>
      <c r="H1573" s="105"/>
    </row>
    <row r="1574">
      <c r="A1574" s="105"/>
      <c r="B1574" s="105"/>
      <c r="C1574" s="97"/>
      <c r="D1574" s="105"/>
      <c r="E1574" s="105"/>
      <c r="F1574" s="105"/>
      <c r="G1574" s="105"/>
      <c r="H1574" s="105"/>
    </row>
    <row r="1575">
      <c r="A1575" s="105"/>
      <c r="B1575" s="105"/>
      <c r="C1575" s="97"/>
      <c r="D1575" s="105"/>
      <c r="E1575" s="105"/>
      <c r="F1575" s="105"/>
      <c r="G1575" s="105"/>
      <c r="H1575" s="105"/>
    </row>
    <row r="1576">
      <c r="A1576" s="105"/>
      <c r="B1576" s="105"/>
      <c r="C1576" s="97"/>
      <c r="D1576" s="105"/>
      <c r="E1576" s="105"/>
      <c r="F1576" s="105"/>
      <c r="G1576" s="105"/>
      <c r="H1576" s="105"/>
    </row>
    <row r="1577">
      <c r="A1577" s="105"/>
      <c r="B1577" s="105"/>
      <c r="C1577" s="97"/>
      <c r="D1577" s="105"/>
      <c r="E1577" s="105"/>
      <c r="F1577" s="105"/>
      <c r="G1577" s="105"/>
      <c r="H1577" s="105"/>
    </row>
    <row r="1578">
      <c r="A1578" s="105"/>
      <c r="B1578" s="105"/>
      <c r="C1578" s="97"/>
      <c r="D1578" s="105"/>
      <c r="E1578" s="105"/>
      <c r="F1578" s="105"/>
      <c r="G1578" s="105"/>
      <c r="H1578" s="105"/>
    </row>
    <row r="1579">
      <c r="A1579" s="105"/>
      <c r="B1579" s="105"/>
      <c r="C1579" s="97"/>
      <c r="D1579" s="105"/>
      <c r="E1579" s="105"/>
      <c r="F1579" s="105"/>
      <c r="G1579" s="105"/>
      <c r="H1579" s="105"/>
    </row>
    <row r="1580">
      <c r="A1580" s="105"/>
      <c r="B1580" s="105"/>
      <c r="C1580" s="97"/>
      <c r="D1580" s="105"/>
      <c r="E1580" s="105"/>
      <c r="F1580" s="105"/>
      <c r="G1580" s="105"/>
      <c r="H1580" s="105"/>
    </row>
    <row r="1581">
      <c r="A1581" s="105"/>
      <c r="B1581" s="105"/>
      <c r="C1581" s="97"/>
      <c r="D1581" s="105"/>
      <c r="E1581" s="105"/>
      <c r="F1581" s="105"/>
      <c r="G1581" s="105"/>
      <c r="H1581" s="105"/>
    </row>
    <row r="1582">
      <c r="A1582" s="105"/>
      <c r="B1582" s="105"/>
      <c r="C1582" s="97"/>
      <c r="D1582" s="105"/>
      <c r="E1582" s="105"/>
      <c r="F1582" s="105"/>
      <c r="G1582" s="105"/>
      <c r="H1582" s="105"/>
    </row>
    <row r="1583">
      <c r="A1583" s="105"/>
      <c r="B1583" s="105"/>
      <c r="C1583" s="97"/>
      <c r="D1583" s="105"/>
      <c r="E1583" s="105"/>
      <c r="F1583" s="105"/>
      <c r="G1583" s="105"/>
      <c r="H1583" s="105"/>
    </row>
    <row r="1584">
      <c r="A1584" s="105"/>
      <c r="B1584" s="105"/>
      <c r="C1584" s="97"/>
      <c r="D1584" s="105"/>
      <c r="E1584" s="105"/>
      <c r="F1584" s="105"/>
      <c r="G1584" s="105"/>
      <c r="H1584" s="105"/>
    </row>
    <row r="1585">
      <c r="A1585" s="105"/>
      <c r="B1585" s="105"/>
      <c r="C1585" s="97"/>
      <c r="D1585" s="105"/>
      <c r="E1585" s="105"/>
      <c r="F1585" s="105"/>
      <c r="G1585" s="105"/>
      <c r="H1585" s="105"/>
    </row>
    <row r="1586">
      <c r="A1586" s="105"/>
      <c r="B1586" s="105"/>
      <c r="C1586" s="97"/>
      <c r="D1586" s="105"/>
      <c r="E1586" s="105"/>
      <c r="F1586" s="105"/>
      <c r="G1586" s="105"/>
      <c r="H1586" s="105"/>
    </row>
    <row r="1587">
      <c r="A1587" s="105"/>
      <c r="B1587" s="105"/>
      <c r="C1587" s="97"/>
      <c r="D1587" s="105"/>
      <c r="E1587" s="105"/>
      <c r="F1587" s="105"/>
      <c r="G1587" s="105"/>
      <c r="H1587" s="105"/>
    </row>
    <row r="1588">
      <c r="A1588" s="105"/>
      <c r="B1588" s="105"/>
      <c r="C1588" s="97"/>
      <c r="D1588" s="105"/>
      <c r="E1588" s="105"/>
      <c r="F1588" s="105"/>
      <c r="G1588" s="105"/>
      <c r="H1588" s="105"/>
    </row>
    <row r="1589">
      <c r="A1589" s="105"/>
      <c r="B1589" s="105"/>
      <c r="C1589" s="97"/>
      <c r="D1589" s="105"/>
      <c r="E1589" s="105"/>
      <c r="F1589" s="105"/>
      <c r="G1589" s="105"/>
      <c r="H1589" s="105"/>
    </row>
    <row r="1590">
      <c r="A1590" s="105"/>
      <c r="B1590" s="105"/>
      <c r="C1590" s="97"/>
      <c r="D1590" s="105"/>
      <c r="E1590" s="105"/>
      <c r="F1590" s="105"/>
      <c r="G1590" s="105"/>
      <c r="H1590" s="105"/>
    </row>
    <row r="1591">
      <c r="A1591" s="105"/>
      <c r="B1591" s="105"/>
      <c r="C1591" s="97"/>
      <c r="D1591" s="105"/>
      <c r="E1591" s="105"/>
      <c r="F1591" s="105"/>
      <c r="G1591" s="105"/>
      <c r="H1591" s="105"/>
    </row>
    <row r="1592">
      <c r="A1592" s="105"/>
      <c r="B1592" s="105"/>
      <c r="C1592" s="97"/>
      <c r="D1592" s="105"/>
      <c r="E1592" s="105"/>
      <c r="F1592" s="105"/>
      <c r="G1592" s="105"/>
      <c r="H1592" s="105"/>
    </row>
    <row r="1593">
      <c r="A1593" s="105"/>
      <c r="B1593" s="105"/>
      <c r="C1593" s="97"/>
      <c r="D1593" s="105"/>
      <c r="E1593" s="105"/>
      <c r="F1593" s="105"/>
      <c r="G1593" s="105"/>
      <c r="H1593" s="105"/>
    </row>
    <row r="1594">
      <c r="A1594" s="105"/>
      <c r="B1594" s="105"/>
      <c r="C1594" s="97"/>
      <c r="D1594" s="105"/>
      <c r="E1594" s="105"/>
      <c r="F1594" s="105"/>
      <c r="G1594" s="105"/>
      <c r="H1594" s="105"/>
    </row>
    <row r="1595">
      <c r="A1595" s="105"/>
      <c r="B1595" s="105"/>
      <c r="C1595" s="97"/>
      <c r="D1595" s="105"/>
      <c r="E1595" s="105"/>
      <c r="F1595" s="105"/>
      <c r="G1595" s="105"/>
      <c r="H1595" s="105"/>
    </row>
    <row r="1596">
      <c r="A1596" s="105"/>
      <c r="B1596" s="105"/>
      <c r="C1596" s="97"/>
      <c r="D1596" s="105"/>
      <c r="E1596" s="105"/>
      <c r="F1596" s="105"/>
      <c r="G1596" s="105"/>
      <c r="H1596" s="105"/>
    </row>
    <row r="1597">
      <c r="A1597" s="105"/>
      <c r="B1597" s="105"/>
      <c r="C1597" s="97"/>
      <c r="D1597" s="105"/>
      <c r="E1597" s="105"/>
      <c r="F1597" s="105"/>
      <c r="G1597" s="105"/>
      <c r="H1597" s="105"/>
    </row>
    <row r="1598">
      <c r="A1598" s="105"/>
      <c r="B1598" s="105"/>
      <c r="C1598" s="97"/>
      <c r="D1598" s="105"/>
      <c r="E1598" s="105"/>
      <c r="F1598" s="105"/>
      <c r="G1598" s="105"/>
      <c r="H1598" s="105"/>
    </row>
    <row r="1599">
      <c r="A1599" s="105"/>
      <c r="B1599" s="105"/>
      <c r="C1599" s="97"/>
      <c r="D1599" s="105"/>
      <c r="E1599" s="105"/>
      <c r="F1599" s="105"/>
      <c r="G1599" s="105"/>
      <c r="H1599" s="105"/>
    </row>
    <row r="1600">
      <c r="A1600" s="105"/>
      <c r="B1600" s="105"/>
      <c r="C1600" s="97"/>
      <c r="D1600" s="105"/>
      <c r="E1600" s="105"/>
      <c r="F1600" s="105"/>
      <c r="G1600" s="105"/>
      <c r="H1600" s="105"/>
    </row>
    <row r="1601">
      <c r="A1601" s="105"/>
      <c r="B1601" s="105"/>
      <c r="C1601" s="97"/>
      <c r="D1601" s="105"/>
      <c r="E1601" s="105"/>
      <c r="F1601" s="105"/>
      <c r="G1601" s="105"/>
      <c r="H1601" s="105"/>
    </row>
    <row r="1602">
      <c r="A1602" s="105"/>
      <c r="B1602" s="105"/>
      <c r="C1602" s="97"/>
      <c r="D1602" s="105"/>
      <c r="E1602" s="105"/>
      <c r="F1602" s="105"/>
      <c r="G1602" s="105"/>
      <c r="H1602" s="105"/>
    </row>
    <row r="1603">
      <c r="A1603" s="105"/>
      <c r="B1603" s="105"/>
      <c r="C1603" s="97"/>
      <c r="D1603" s="105"/>
      <c r="E1603" s="105"/>
      <c r="F1603" s="105"/>
      <c r="G1603" s="105"/>
      <c r="H1603" s="105"/>
    </row>
    <row r="1604">
      <c r="A1604" s="105"/>
      <c r="B1604" s="105"/>
      <c r="C1604" s="97"/>
      <c r="D1604" s="105"/>
      <c r="E1604" s="105"/>
      <c r="F1604" s="105"/>
      <c r="G1604" s="105"/>
      <c r="H1604" s="105"/>
    </row>
    <row r="1605">
      <c r="A1605" s="105"/>
      <c r="B1605" s="105"/>
      <c r="C1605" s="97"/>
      <c r="D1605" s="105"/>
      <c r="E1605" s="105"/>
      <c r="F1605" s="105"/>
      <c r="G1605" s="105"/>
      <c r="H1605" s="105"/>
    </row>
    <row r="1606">
      <c r="A1606" s="105"/>
      <c r="B1606" s="105"/>
      <c r="C1606" s="97"/>
      <c r="D1606" s="105"/>
      <c r="E1606" s="105"/>
      <c r="F1606" s="105"/>
      <c r="G1606" s="105"/>
      <c r="H1606" s="105"/>
    </row>
    <row r="1607">
      <c r="A1607" s="105"/>
      <c r="B1607" s="105"/>
      <c r="C1607" s="97"/>
      <c r="D1607" s="105"/>
      <c r="E1607" s="105"/>
      <c r="F1607" s="105"/>
      <c r="G1607" s="105"/>
      <c r="H1607" s="105"/>
    </row>
    <row r="1608">
      <c r="A1608" s="105"/>
      <c r="B1608" s="105"/>
      <c r="C1608" s="97"/>
      <c r="D1608" s="105"/>
      <c r="E1608" s="105"/>
      <c r="F1608" s="105"/>
      <c r="G1608" s="105"/>
      <c r="H1608" s="105"/>
    </row>
    <row r="1609">
      <c r="A1609" s="105"/>
      <c r="B1609" s="105"/>
      <c r="C1609" s="97"/>
      <c r="D1609" s="105"/>
      <c r="E1609" s="105"/>
      <c r="F1609" s="105"/>
      <c r="G1609" s="105"/>
      <c r="H1609" s="105"/>
    </row>
    <row r="1610">
      <c r="A1610" s="105"/>
      <c r="B1610" s="105"/>
      <c r="C1610" s="97"/>
      <c r="D1610" s="105"/>
      <c r="E1610" s="105"/>
      <c r="F1610" s="105"/>
      <c r="G1610" s="105"/>
      <c r="H1610" s="105"/>
    </row>
    <row r="1611">
      <c r="A1611" s="105"/>
      <c r="B1611" s="105"/>
      <c r="C1611" s="97"/>
      <c r="D1611" s="105"/>
      <c r="E1611" s="105"/>
      <c r="F1611" s="105"/>
      <c r="G1611" s="105"/>
      <c r="H1611" s="105"/>
    </row>
    <row r="1612">
      <c r="A1612" s="105"/>
      <c r="B1612" s="105"/>
      <c r="C1612" s="97"/>
      <c r="D1612" s="105"/>
      <c r="E1612" s="105"/>
      <c r="F1612" s="105"/>
      <c r="G1612" s="105"/>
      <c r="H1612" s="105"/>
    </row>
    <row r="1613">
      <c r="A1613" s="105"/>
      <c r="B1613" s="105"/>
      <c r="C1613" s="97"/>
      <c r="D1613" s="105"/>
      <c r="E1613" s="105"/>
      <c r="F1613" s="105"/>
      <c r="G1613" s="105"/>
      <c r="H1613" s="105"/>
    </row>
    <row r="1614">
      <c r="A1614" s="105"/>
      <c r="B1614" s="105"/>
      <c r="C1614" s="97"/>
      <c r="D1614" s="105"/>
      <c r="E1614" s="105"/>
      <c r="F1614" s="105"/>
      <c r="G1614" s="105"/>
      <c r="H1614" s="105"/>
    </row>
    <row r="1615">
      <c r="A1615" s="105"/>
      <c r="B1615" s="105"/>
      <c r="C1615" s="97"/>
      <c r="D1615" s="105"/>
      <c r="E1615" s="105"/>
      <c r="F1615" s="105"/>
      <c r="G1615" s="105"/>
      <c r="H1615" s="105"/>
    </row>
    <row r="1616">
      <c r="A1616" s="105"/>
      <c r="B1616" s="105"/>
      <c r="C1616" s="97"/>
      <c r="D1616" s="105"/>
      <c r="E1616" s="105"/>
      <c r="F1616" s="105"/>
      <c r="G1616" s="105"/>
      <c r="H1616" s="105"/>
    </row>
    <row r="1617">
      <c r="A1617" s="105"/>
      <c r="B1617" s="105"/>
      <c r="C1617" s="97"/>
      <c r="D1617" s="105"/>
      <c r="E1617" s="105"/>
      <c r="F1617" s="105"/>
      <c r="G1617" s="105"/>
      <c r="H1617" s="105"/>
    </row>
    <row r="1618">
      <c r="A1618" s="105"/>
      <c r="B1618" s="105"/>
      <c r="C1618" s="97"/>
      <c r="D1618" s="105"/>
      <c r="E1618" s="105"/>
      <c r="F1618" s="105"/>
      <c r="G1618" s="105"/>
      <c r="H1618" s="105"/>
    </row>
    <row r="1619">
      <c r="A1619" s="105"/>
      <c r="B1619" s="105"/>
      <c r="C1619" s="97"/>
      <c r="D1619" s="105"/>
      <c r="E1619" s="105"/>
      <c r="F1619" s="105"/>
      <c r="G1619" s="105"/>
      <c r="H1619" s="105"/>
    </row>
    <row r="1620">
      <c r="A1620" s="105"/>
      <c r="B1620" s="105"/>
      <c r="C1620" s="97"/>
      <c r="D1620" s="105"/>
      <c r="E1620" s="105"/>
      <c r="F1620" s="105"/>
      <c r="G1620" s="105"/>
      <c r="H1620" s="105"/>
    </row>
    <row r="1621">
      <c r="A1621" s="105"/>
      <c r="B1621" s="105"/>
      <c r="C1621" s="97"/>
      <c r="D1621" s="105"/>
      <c r="E1621" s="105"/>
      <c r="F1621" s="105"/>
      <c r="G1621" s="105"/>
      <c r="H1621" s="105"/>
    </row>
    <row r="1622">
      <c r="A1622" s="105"/>
      <c r="B1622" s="105"/>
      <c r="C1622" s="97"/>
      <c r="D1622" s="105"/>
      <c r="E1622" s="105"/>
      <c r="F1622" s="105"/>
      <c r="G1622" s="105"/>
      <c r="H1622" s="105"/>
    </row>
    <row r="1623">
      <c r="A1623" s="105"/>
      <c r="B1623" s="105"/>
      <c r="C1623" s="97"/>
      <c r="D1623" s="105"/>
      <c r="E1623" s="105"/>
      <c r="F1623" s="105"/>
      <c r="G1623" s="105"/>
      <c r="H1623" s="105"/>
    </row>
    <row r="1624">
      <c r="A1624" s="105"/>
      <c r="B1624" s="105"/>
      <c r="C1624" s="97"/>
      <c r="D1624" s="105"/>
      <c r="E1624" s="105"/>
      <c r="F1624" s="105"/>
      <c r="G1624" s="105"/>
      <c r="H1624" s="105"/>
    </row>
    <row r="1625">
      <c r="A1625" s="105"/>
      <c r="B1625" s="105"/>
      <c r="C1625" s="97"/>
      <c r="D1625" s="105"/>
      <c r="E1625" s="105"/>
      <c r="F1625" s="105"/>
      <c r="G1625" s="105"/>
      <c r="H1625" s="105"/>
    </row>
    <row r="1626">
      <c r="A1626" s="105"/>
      <c r="B1626" s="105"/>
      <c r="C1626" s="97"/>
      <c r="D1626" s="105"/>
      <c r="E1626" s="105"/>
      <c r="F1626" s="105"/>
      <c r="G1626" s="105"/>
      <c r="H1626" s="105"/>
    </row>
    <row r="1627">
      <c r="A1627" s="105"/>
      <c r="B1627" s="105"/>
      <c r="C1627" s="97"/>
      <c r="D1627" s="105"/>
      <c r="E1627" s="105"/>
      <c r="F1627" s="105"/>
      <c r="G1627" s="105"/>
      <c r="H1627" s="105"/>
    </row>
    <row r="1628">
      <c r="A1628" s="105"/>
      <c r="B1628" s="105"/>
      <c r="C1628" s="97"/>
      <c r="D1628" s="105"/>
      <c r="E1628" s="105"/>
      <c r="F1628" s="105"/>
      <c r="G1628" s="105"/>
      <c r="H1628" s="105"/>
    </row>
    <row r="1629">
      <c r="A1629" s="105"/>
      <c r="B1629" s="105"/>
      <c r="C1629" s="97"/>
      <c r="D1629" s="105"/>
      <c r="E1629" s="105"/>
      <c r="F1629" s="105"/>
      <c r="G1629" s="105"/>
      <c r="H1629" s="105"/>
    </row>
    <row r="1630">
      <c r="A1630" s="105"/>
      <c r="B1630" s="105"/>
      <c r="C1630" s="97"/>
      <c r="D1630" s="105"/>
      <c r="E1630" s="105"/>
      <c r="F1630" s="105"/>
      <c r="G1630" s="105"/>
      <c r="H1630" s="105"/>
    </row>
    <row r="1631">
      <c r="A1631" s="105"/>
      <c r="B1631" s="105"/>
      <c r="C1631" s="97"/>
      <c r="D1631" s="105"/>
      <c r="E1631" s="105"/>
      <c r="F1631" s="105"/>
      <c r="G1631" s="105"/>
      <c r="H1631" s="105"/>
    </row>
    <row r="1632">
      <c r="A1632" s="105"/>
      <c r="B1632" s="105"/>
      <c r="C1632" s="97"/>
      <c r="D1632" s="105"/>
      <c r="E1632" s="105"/>
      <c r="F1632" s="105"/>
      <c r="G1632" s="105"/>
      <c r="H1632" s="105"/>
    </row>
    <row r="1633">
      <c r="A1633" s="105"/>
      <c r="B1633" s="105"/>
      <c r="C1633" s="97"/>
      <c r="D1633" s="105"/>
      <c r="E1633" s="105"/>
      <c r="F1633" s="105"/>
      <c r="G1633" s="105"/>
      <c r="H1633" s="105"/>
    </row>
    <row r="1634">
      <c r="A1634" s="105"/>
      <c r="B1634" s="105"/>
      <c r="C1634" s="97"/>
      <c r="D1634" s="105"/>
      <c r="E1634" s="105"/>
      <c r="F1634" s="105"/>
      <c r="G1634" s="105"/>
      <c r="H1634" s="105"/>
    </row>
    <row r="1635">
      <c r="A1635" s="105"/>
      <c r="B1635" s="105"/>
      <c r="C1635" s="97"/>
      <c r="D1635" s="105"/>
      <c r="E1635" s="105"/>
      <c r="F1635" s="105"/>
      <c r="G1635" s="105"/>
      <c r="H1635" s="105"/>
    </row>
    <row r="1636">
      <c r="A1636" s="105"/>
      <c r="B1636" s="105"/>
      <c r="C1636" s="97"/>
      <c r="D1636" s="105"/>
      <c r="E1636" s="105"/>
      <c r="F1636" s="105"/>
      <c r="G1636" s="105"/>
      <c r="H1636" s="105"/>
    </row>
    <row r="1637">
      <c r="A1637" s="105"/>
      <c r="B1637" s="105"/>
      <c r="C1637" s="97"/>
      <c r="D1637" s="105"/>
      <c r="E1637" s="105"/>
      <c r="F1637" s="105"/>
      <c r="G1637" s="105"/>
      <c r="H1637" s="105"/>
    </row>
    <row r="1638">
      <c r="A1638" s="105"/>
      <c r="B1638" s="105"/>
      <c r="C1638" s="97"/>
      <c r="D1638" s="105"/>
      <c r="E1638" s="105"/>
      <c r="F1638" s="105"/>
      <c r="G1638" s="105"/>
      <c r="H1638" s="105"/>
    </row>
    <row r="1639">
      <c r="A1639" s="105"/>
      <c r="B1639" s="105"/>
      <c r="C1639" s="97"/>
      <c r="D1639" s="105"/>
      <c r="E1639" s="105"/>
      <c r="F1639" s="105"/>
      <c r="G1639" s="105"/>
      <c r="H1639" s="105"/>
    </row>
    <row r="1640">
      <c r="A1640" s="105"/>
      <c r="B1640" s="105"/>
      <c r="C1640" s="97"/>
      <c r="D1640" s="105"/>
      <c r="E1640" s="105"/>
      <c r="F1640" s="105"/>
      <c r="G1640" s="105"/>
      <c r="H1640" s="105"/>
    </row>
    <row r="1641">
      <c r="A1641" s="105"/>
      <c r="B1641" s="105"/>
      <c r="C1641" s="97"/>
      <c r="D1641" s="105"/>
      <c r="E1641" s="105"/>
      <c r="F1641" s="105"/>
      <c r="G1641" s="105"/>
      <c r="H1641" s="105"/>
    </row>
    <row r="1642">
      <c r="A1642" s="105"/>
      <c r="B1642" s="105"/>
      <c r="C1642" s="97"/>
      <c r="D1642" s="105"/>
      <c r="E1642" s="105"/>
      <c r="F1642" s="105"/>
      <c r="G1642" s="105"/>
      <c r="H1642" s="105"/>
    </row>
    <row r="1643">
      <c r="A1643" s="105"/>
      <c r="B1643" s="105"/>
      <c r="C1643" s="97"/>
      <c r="D1643" s="105"/>
      <c r="E1643" s="105"/>
      <c r="F1643" s="105"/>
      <c r="G1643" s="105"/>
      <c r="H1643" s="105"/>
    </row>
    <row r="1644">
      <c r="A1644" s="105"/>
      <c r="B1644" s="105"/>
      <c r="C1644" s="97"/>
      <c r="D1644" s="105"/>
      <c r="E1644" s="105"/>
      <c r="F1644" s="105"/>
      <c r="G1644" s="105"/>
      <c r="H1644" s="105"/>
    </row>
    <row r="1645">
      <c r="A1645" s="105"/>
      <c r="B1645" s="105"/>
      <c r="C1645" s="97"/>
      <c r="D1645" s="105"/>
      <c r="E1645" s="105"/>
      <c r="F1645" s="105"/>
      <c r="G1645" s="105"/>
      <c r="H1645" s="105"/>
    </row>
    <row r="1646">
      <c r="A1646" s="105"/>
      <c r="B1646" s="105"/>
      <c r="C1646" s="97"/>
      <c r="D1646" s="105"/>
      <c r="E1646" s="105"/>
      <c r="F1646" s="105"/>
      <c r="G1646" s="105"/>
      <c r="H1646" s="105"/>
    </row>
    <row r="1647">
      <c r="A1647" s="105"/>
      <c r="B1647" s="105"/>
      <c r="C1647" s="97"/>
      <c r="D1647" s="105"/>
      <c r="E1647" s="105"/>
      <c r="F1647" s="105"/>
      <c r="G1647" s="105"/>
      <c r="H1647" s="105"/>
    </row>
    <row r="1648">
      <c r="A1648" s="105"/>
      <c r="B1648" s="105"/>
      <c r="C1648" s="97"/>
      <c r="D1648" s="105"/>
      <c r="E1648" s="105"/>
      <c r="F1648" s="105"/>
      <c r="G1648" s="105"/>
      <c r="H1648" s="105"/>
    </row>
    <row r="1649">
      <c r="A1649" s="105"/>
      <c r="B1649" s="105"/>
      <c r="C1649" s="97"/>
      <c r="D1649" s="105"/>
      <c r="E1649" s="105"/>
      <c r="F1649" s="105"/>
      <c r="G1649" s="105"/>
      <c r="H1649" s="105"/>
    </row>
    <row r="1650">
      <c r="A1650" s="105"/>
      <c r="B1650" s="105"/>
      <c r="C1650" s="97"/>
      <c r="D1650" s="105"/>
      <c r="E1650" s="105"/>
      <c r="F1650" s="105"/>
      <c r="G1650" s="105"/>
      <c r="H1650" s="105"/>
    </row>
    <row r="1651">
      <c r="A1651" s="105"/>
      <c r="B1651" s="105"/>
      <c r="C1651" s="97"/>
      <c r="D1651" s="105"/>
      <c r="E1651" s="105"/>
      <c r="F1651" s="105"/>
      <c r="G1651" s="105"/>
      <c r="H1651" s="105"/>
    </row>
    <row r="1652">
      <c r="A1652" s="105"/>
      <c r="B1652" s="105"/>
      <c r="C1652" s="97"/>
      <c r="D1652" s="105"/>
      <c r="E1652" s="105"/>
      <c r="F1652" s="105"/>
      <c r="G1652" s="105"/>
      <c r="H1652" s="105"/>
    </row>
    <row r="1653">
      <c r="A1653" s="105"/>
      <c r="B1653" s="105"/>
      <c r="C1653" s="97"/>
      <c r="D1653" s="105"/>
      <c r="E1653" s="105"/>
      <c r="F1653" s="105"/>
      <c r="G1653" s="105"/>
      <c r="H1653" s="105"/>
    </row>
    <row r="1654">
      <c r="A1654" s="105"/>
      <c r="B1654" s="105"/>
      <c r="C1654" s="97"/>
      <c r="D1654" s="105"/>
      <c r="E1654" s="105"/>
      <c r="F1654" s="105"/>
      <c r="G1654" s="105"/>
      <c r="H1654" s="105"/>
    </row>
    <row r="1655">
      <c r="A1655" s="105"/>
      <c r="B1655" s="105"/>
      <c r="C1655" s="97"/>
      <c r="D1655" s="105"/>
      <c r="E1655" s="105"/>
      <c r="F1655" s="105"/>
      <c r="G1655" s="105"/>
      <c r="H1655" s="105"/>
    </row>
    <row r="1656">
      <c r="A1656" s="105"/>
      <c r="B1656" s="105"/>
      <c r="C1656" s="97"/>
      <c r="D1656" s="105"/>
      <c r="E1656" s="105"/>
      <c r="F1656" s="105"/>
      <c r="G1656" s="105"/>
      <c r="H1656" s="105"/>
    </row>
    <row r="1657">
      <c r="A1657" s="105"/>
      <c r="B1657" s="105"/>
      <c r="C1657" s="97"/>
      <c r="D1657" s="105"/>
      <c r="E1657" s="105"/>
      <c r="F1657" s="105"/>
      <c r="G1657" s="105"/>
      <c r="H1657" s="105"/>
    </row>
    <row r="1658">
      <c r="A1658" s="105"/>
      <c r="B1658" s="105"/>
      <c r="C1658" s="97"/>
      <c r="D1658" s="105"/>
      <c r="E1658" s="105"/>
      <c r="F1658" s="105"/>
      <c r="G1658" s="105"/>
      <c r="H1658" s="105"/>
    </row>
    <row r="1659">
      <c r="A1659" s="105"/>
      <c r="B1659" s="105"/>
      <c r="C1659" s="97"/>
      <c r="D1659" s="105"/>
      <c r="E1659" s="105"/>
      <c r="F1659" s="105"/>
      <c r="G1659" s="105"/>
      <c r="H1659" s="105"/>
    </row>
    <row r="1660">
      <c r="A1660" s="105"/>
      <c r="B1660" s="105"/>
      <c r="C1660" s="97"/>
      <c r="D1660" s="105"/>
      <c r="E1660" s="105"/>
      <c r="F1660" s="105"/>
      <c r="G1660" s="105"/>
      <c r="H1660" s="105"/>
    </row>
    <row r="1661">
      <c r="A1661" s="105"/>
      <c r="B1661" s="105"/>
      <c r="C1661" s="97"/>
      <c r="D1661" s="105"/>
      <c r="E1661" s="105"/>
      <c r="F1661" s="105"/>
      <c r="G1661" s="105"/>
      <c r="H1661" s="105"/>
    </row>
    <row r="1662">
      <c r="A1662" s="105"/>
      <c r="B1662" s="105"/>
      <c r="C1662" s="97"/>
      <c r="D1662" s="105"/>
      <c r="E1662" s="105"/>
      <c r="F1662" s="105"/>
      <c r="G1662" s="105"/>
      <c r="H1662" s="105"/>
    </row>
    <row r="1663">
      <c r="A1663" s="105"/>
      <c r="B1663" s="105"/>
      <c r="C1663" s="97"/>
      <c r="D1663" s="105"/>
      <c r="E1663" s="105"/>
      <c r="F1663" s="105"/>
      <c r="G1663" s="105"/>
      <c r="H1663" s="105"/>
    </row>
    <row r="1664">
      <c r="A1664" s="105"/>
      <c r="B1664" s="105"/>
      <c r="C1664" s="97"/>
      <c r="D1664" s="105"/>
      <c r="E1664" s="105"/>
      <c r="F1664" s="105"/>
      <c r="G1664" s="105"/>
      <c r="H1664" s="105"/>
    </row>
    <row r="1665">
      <c r="A1665" s="105"/>
      <c r="B1665" s="105"/>
      <c r="C1665" s="97"/>
      <c r="D1665" s="105"/>
      <c r="E1665" s="105"/>
      <c r="F1665" s="105"/>
      <c r="G1665" s="105"/>
      <c r="H1665" s="105"/>
    </row>
    <row r="1666">
      <c r="A1666" s="105"/>
      <c r="B1666" s="105"/>
      <c r="C1666" s="97"/>
      <c r="D1666" s="105"/>
      <c r="E1666" s="105"/>
      <c r="F1666" s="105"/>
      <c r="G1666" s="105"/>
      <c r="H1666" s="105"/>
    </row>
    <row r="1667">
      <c r="A1667" s="105"/>
      <c r="B1667" s="105"/>
      <c r="C1667" s="97"/>
      <c r="D1667" s="105"/>
      <c r="E1667" s="105"/>
      <c r="F1667" s="105"/>
      <c r="G1667" s="105"/>
      <c r="H1667" s="105"/>
    </row>
    <row r="1668">
      <c r="A1668" s="105"/>
      <c r="B1668" s="105"/>
      <c r="C1668" s="97"/>
      <c r="D1668" s="105"/>
      <c r="E1668" s="105"/>
      <c r="F1668" s="105"/>
      <c r="G1668" s="105"/>
      <c r="H1668" s="105"/>
    </row>
    <row r="1669">
      <c r="A1669" s="105"/>
      <c r="B1669" s="105"/>
      <c r="C1669" s="97"/>
      <c r="D1669" s="105"/>
      <c r="E1669" s="105"/>
      <c r="F1669" s="105"/>
      <c r="G1669" s="105"/>
      <c r="H1669" s="105"/>
    </row>
    <row r="1670">
      <c r="A1670" s="105"/>
      <c r="B1670" s="105"/>
      <c r="C1670" s="97"/>
      <c r="D1670" s="105"/>
      <c r="E1670" s="105"/>
      <c r="F1670" s="105"/>
      <c r="G1670" s="105"/>
      <c r="H1670" s="105"/>
    </row>
    <row r="1671">
      <c r="A1671" s="105"/>
      <c r="B1671" s="105"/>
      <c r="C1671" s="97"/>
      <c r="D1671" s="105"/>
      <c r="E1671" s="105"/>
      <c r="F1671" s="105"/>
      <c r="G1671" s="105"/>
      <c r="H1671" s="105"/>
    </row>
    <row r="1672">
      <c r="A1672" s="105"/>
      <c r="B1672" s="105"/>
      <c r="C1672" s="97"/>
      <c r="D1672" s="105"/>
      <c r="E1672" s="105"/>
      <c r="F1672" s="105"/>
      <c r="G1672" s="105"/>
      <c r="H1672" s="105"/>
    </row>
    <row r="1673">
      <c r="A1673" s="105"/>
      <c r="B1673" s="105"/>
      <c r="C1673" s="97"/>
      <c r="D1673" s="105"/>
      <c r="E1673" s="105"/>
      <c r="F1673" s="105"/>
      <c r="G1673" s="105"/>
      <c r="H1673" s="105"/>
    </row>
    <row r="1674">
      <c r="A1674" s="105"/>
      <c r="B1674" s="105"/>
      <c r="C1674" s="97"/>
      <c r="D1674" s="105"/>
      <c r="E1674" s="105"/>
      <c r="F1674" s="105"/>
      <c r="G1674" s="105"/>
      <c r="H1674" s="105"/>
    </row>
    <row r="1675">
      <c r="A1675" s="105"/>
      <c r="B1675" s="105"/>
      <c r="C1675" s="97"/>
      <c r="D1675" s="105"/>
      <c r="E1675" s="105"/>
      <c r="F1675" s="105"/>
      <c r="G1675" s="105"/>
      <c r="H1675" s="105"/>
    </row>
    <row r="1676">
      <c r="A1676" s="105"/>
      <c r="B1676" s="105"/>
      <c r="C1676" s="97"/>
      <c r="D1676" s="105"/>
      <c r="E1676" s="105"/>
      <c r="F1676" s="105"/>
      <c r="G1676" s="105"/>
      <c r="H1676" s="105"/>
    </row>
    <row r="1677">
      <c r="A1677" s="105"/>
      <c r="B1677" s="105"/>
      <c r="C1677" s="97"/>
      <c r="D1677" s="105"/>
      <c r="E1677" s="105"/>
      <c r="F1677" s="105"/>
      <c r="G1677" s="105"/>
      <c r="H1677" s="105"/>
    </row>
    <row r="1678">
      <c r="A1678" s="105"/>
      <c r="B1678" s="105"/>
      <c r="C1678" s="97"/>
      <c r="D1678" s="105"/>
      <c r="E1678" s="105"/>
      <c r="F1678" s="105"/>
      <c r="G1678" s="105"/>
      <c r="H1678" s="105"/>
    </row>
    <row r="1679">
      <c r="A1679" s="105"/>
      <c r="B1679" s="105"/>
      <c r="C1679" s="97"/>
      <c r="D1679" s="105"/>
      <c r="E1679" s="105"/>
      <c r="F1679" s="105"/>
      <c r="G1679" s="105"/>
      <c r="H1679" s="105"/>
    </row>
    <row r="1680">
      <c r="A1680" s="105"/>
      <c r="B1680" s="105"/>
      <c r="C1680" s="97"/>
      <c r="D1680" s="105"/>
      <c r="E1680" s="105"/>
      <c r="F1680" s="105"/>
      <c r="G1680" s="105"/>
      <c r="H1680" s="105"/>
    </row>
    <row r="1681">
      <c r="A1681" s="105"/>
      <c r="B1681" s="105"/>
      <c r="C1681" s="97"/>
      <c r="D1681" s="105"/>
      <c r="E1681" s="105"/>
      <c r="F1681" s="105"/>
      <c r="G1681" s="105"/>
      <c r="H1681" s="105"/>
    </row>
    <row r="1682">
      <c r="A1682" s="105"/>
      <c r="B1682" s="105"/>
      <c r="C1682" s="97"/>
      <c r="D1682" s="105"/>
      <c r="E1682" s="105"/>
      <c r="F1682" s="105"/>
      <c r="G1682" s="105"/>
      <c r="H1682" s="105"/>
    </row>
    <row r="1683">
      <c r="A1683" s="105"/>
      <c r="B1683" s="105"/>
      <c r="C1683" s="97"/>
      <c r="D1683" s="105"/>
      <c r="E1683" s="105"/>
      <c r="F1683" s="105"/>
      <c r="G1683" s="105"/>
      <c r="H1683" s="105"/>
    </row>
    <row r="1684">
      <c r="A1684" s="105"/>
      <c r="B1684" s="105"/>
      <c r="C1684" s="97"/>
      <c r="D1684" s="105"/>
      <c r="E1684" s="105"/>
      <c r="F1684" s="105"/>
      <c r="G1684" s="105"/>
      <c r="H1684" s="105"/>
    </row>
    <row r="1685">
      <c r="A1685" s="105"/>
      <c r="B1685" s="105"/>
      <c r="C1685" s="97"/>
      <c r="D1685" s="105"/>
      <c r="E1685" s="105"/>
      <c r="F1685" s="105"/>
      <c r="G1685" s="105"/>
      <c r="H1685" s="105"/>
    </row>
    <row r="1686">
      <c r="A1686" s="105"/>
      <c r="B1686" s="105"/>
      <c r="C1686" s="97"/>
      <c r="D1686" s="105"/>
      <c r="E1686" s="105"/>
      <c r="F1686" s="105"/>
      <c r="G1686" s="105"/>
      <c r="H1686" s="105"/>
    </row>
    <row r="1687">
      <c r="A1687" s="105"/>
      <c r="B1687" s="105"/>
      <c r="C1687" s="97"/>
      <c r="D1687" s="105"/>
      <c r="E1687" s="105"/>
      <c r="F1687" s="105"/>
      <c r="G1687" s="105"/>
      <c r="H1687" s="105"/>
    </row>
    <row r="1688">
      <c r="A1688" s="105"/>
      <c r="B1688" s="105"/>
      <c r="C1688" s="97"/>
      <c r="D1688" s="105"/>
      <c r="E1688" s="105"/>
      <c r="F1688" s="105"/>
      <c r="G1688" s="105"/>
      <c r="H1688" s="105"/>
    </row>
    <row r="1689">
      <c r="A1689" s="105"/>
      <c r="B1689" s="105"/>
      <c r="C1689" s="97"/>
      <c r="D1689" s="105"/>
      <c r="E1689" s="105"/>
      <c r="F1689" s="105"/>
      <c r="G1689" s="105"/>
      <c r="H1689" s="105"/>
    </row>
    <row r="1690">
      <c r="A1690" s="105"/>
      <c r="B1690" s="105"/>
      <c r="C1690" s="97"/>
      <c r="D1690" s="105"/>
      <c r="E1690" s="105"/>
      <c r="F1690" s="105"/>
      <c r="G1690" s="105"/>
      <c r="H1690" s="105"/>
    </row>
    <row r="1691">
      <c r="A1691" s="105"/>
      <c r="B1691" s="105"/>
      <c r="C1691" s="97"/>
      <c r="D1691" s="105"/>
      <c r="E1691" s="105"/>
      <c r="F1691" s="105"/>
      <c r="G1691" s="105"/>
      <c r="H1691" s="105"/>
    </row>
    <row r="1692">
      <c r="A1692" s="105"/>
      <c r="B1692" s="105"/>
      <c r="C1692" s="97"/>
      <c r="D1692" s="105"/>
      <c r="E1692" s="105"/>
      <c r="F1692" s="105"/>
      <c r="G1692" s="105"/>
      <c r="H1692" s="105"/>
    </row>
    <row r="1693">
      <c r="A1693" s="105"/>
      <c r="B1693" s="105"/>
      <c r="C1693" s="97"/>
      <c r="D1693" s="105"/>
      <c r="E1693" s="105"/>
      <c r="F1693" s="105"/>
      <c r="G1693" s="105"/>
      <c r="H1693" s="105"/>
    </row>
    <row r="1694">
      <c r="A1694" s="105"/>
      <c r="B1694" s="105"/>
      <c r="C1694" s="97"/>
      <c r="D1694" s="105"/>
      <c r="E1694" s="105"/>
      <c r="F1694" s="105"/>
      <c r="G1694" s="105"/>
      <c r="H1694" s="105"/>
    </row>
    <row r="1695">
      <c r="A1695" s="105"/>
      <c r="B1695" s="105"/>
      <c r="C1695" s="97"/>
      <c r="D1695" s="105"/>
      <c r="E1695" s="105"/>
      <c r="F1695" s="105"/>
      <c r="G1695" s="105"/>
      <c r="H1695" s="105"/>
    </row>
    <row r="1696">
      <c r="A1696" s="105"/>
      <c r="B1696" s="105"/>
      <c r="C1696" s="97"/>
      <c r="D1696" s="105"/>
      <c r="E1696" s="105"/>
      <c r="F1696" s="105"/>
      <c r="G1696" s="105"/>
      <c r="H1696" s="105"/>
    </row>
    <row r="1697">
      <c r="A1697" s="105"/>
      <c r="B1697" s="105"/>
      <c r="C1697" s="97"/>
      <c r="D1697" s="105"/>
      <c r="E1697" s="105"/>
      <c r="F1697" s="105"/>
      <c r="G1697" s="105"/>
      <c r="H1697" s="105"/>
    </row>
    <row r="1698">
      <c r="A1698" s="105"/>
      <c r="B1698" s="105"/>
      <c r="C1698" s="97"/>
      <c r="D1698" s="105"/>
      <c r="E1698" s="105"/>
      <c r="F1698" s="105"/>
      <c r="G1698" s="105"/>
      <c r="H1698" s="105"/>
    </row>
    <row r="1699">
      <c r="A1699" s="105"/>
      <c r="B1699" s="105"/>
      <c r="C1699" s="97"/>
      <c r="D1699" s="105"/>
      <c r="E1699" s="105"/>
      <c r="F1699" s="105"/>
      <c r="G1699" s="105"/>
      <c r="H1699" s="105"/>
    </row>
    <row r="1700">
      <c r="A1700" s="105"/>
      <c r="B1700" s="105"/>
      <c r="C1700" s="97"/>
      <c r="D1700" s="105"/>
      <c r="E1700" s="105"/>
      <c r="F1700" s="105"/>
      <c r="G1700" s="105"/>
      <c r="H1700" s="105"/>
    </row>
    <row r="1701">
      <c r="A1701" s="105"/>
      <c r="B1701" s="105"/>
      <c r="C1701" s="97"/>
      <c r="D1701" s="105"/>
      <c r="E1701" s="105"/>
      <c r="F1701" s="105"/>
      <c r="G1701" s="105"/>
      <c r="H1701" s="105"/>
    </row>
    <row r="1702">
      <c r="A1702" s="105"/>
      <c r="B1702" s="105"/>
      <c r="C1702" s="97"/>
      <c r="D1702" s="105"/>
      <c r="E1702" s="105"/>
      <c r="F1702" s="105"/>
      <c r="G1702" s="105"/>
      <c r="H1702" s="105"/>
    </row>
    <row r="1703">
      <c r="A1703" s="105"/>
      <c r="B1703" s="105"/>
      <c r="C1703" s="97"/>
      <c r="D1703" s="105"/>
      <c r="E1703" s="105"/>
      <c r="F1703" s="105"/>
      <c r="G1703" s="105"/>
      <c r="H1703" s="105"/>
    </row>
    <row r="1704">
      <c r="A1704" s="105"/>
      <c r="B1704" s="105"/>
      <c r="C1704" s="97"/>
      <c r="D1704" s="105"/>
      <c r="E1704" s="105"/>
      <c r="F1704" s="105"/>
      <c r="G1704" s="105"/>
      <c r="H1704" s="105"/>
    </row>
    <row r="1705">
      <c r="A1705" s="105"/>
      <c r="B1705" s="105"/>
      <c r="C1705" s="97"/>
      <c r="D1705" s="105"/>
      <c r="E1705" s="105"/>
      <c r="F1705" s="105"/>
      <c r="G1705" s="105"/>
      <c r="H1705" s="105"/>
    </row>
    <row r="1706">
      <c r="A1706" s="105"/>
      <c r="B1706" s="105"/>
      <c r="C1706" s="97"/>
      <c r="D1706" s="105"/>
      <c r="E1706" s="105"/>
      <c r="F1706" s="105"/>
      <c r="G1706" s="105"/>
      <c r="H1706" s="105"/>
    </row>
    <row r="1707">
      <c r="A1707" s="105"/>
      <c r="B1707" s="105"/>
      <c r="C1707" s="97"/>
      <c r="D1707" s="105"/>
      <c r="E1707" s="105"/>
      <c r="F1707" s="105"/>
      <c r="G1707" s="105"/>
      <c r="H1707" s="105"/>
    </row>
    <row r="1708">
      <c r="A1708" s="105"/>
      <c r="B1708" s="105"/>
      <c r="C1708" s="97"/>
      <c r="D1708" s="105"/>
      <c r="E1708" s="105"/>
      <c r="F1708" s="105"/>
      <c r="G1708" s="105"/>
      <c r="H1708" s="105"/>
    </row>
    <row r="1709">
      <c r="A1709" s="105"/>
      <c r="B1709" s="105"/>
      <c r="C1709" s="97"/>
      <c r="D1709" s="105"/>
      <c r="E1709" s="105"/>
      <c r="F1709" s="105"/>
      <c r="G1709" s="105"/>
      <c r="H1709" s="105"/>
    </row>
    <row r="1710">
      <c r="A1710" s="105"/>
      <c r="B1710" s="105"/>
      <c r="C1710" s="97"/>
      <c r="D1710" s="105"/>
      <c r="E1710" s="105"/>
      <c r="F1710" s="105"/>
      <c r="G1710" s="105"/>
      <c r="H1710" s="105"/>
    </row>
    <row r="1711">
      <c r="A1711" s="105"/>
      <c r="B1711" s="105"/>
      <c r="C1711" s="97"/>
      <c r="D1711" s="105"/>
      <c r="E1711" s="105"/>
      <c r="F1711" s="105"/>
      <c r="G1711" s="105"/>
      <c r="H1711" s="105"/>
    </row>
    <row r="1712">
      <c r="A1712" s="105"/>
      <c r="B1712" s="105"/>
      <c r="C1712" s="97"/>
      <c r="D1712" s="105"/>
      <c r="E1712" s="105"/>
      <c r="F1712" s="105"/>
      <c r="G1712" s="105"/>
      <c r="H1712" s="105"/>
    </row>
    <row r="1713">
      <c r="A1713" s="105"/>
      <c r="B1713" s="105"/>
      <c r="C1713" s="97"/>
      <c r="D1713" s="105"/>
      <c r="E1713" s="105"/>
      <c r="F1713" s="105"/>
      <c r="G1713" s="105"/>
      <c r="H1713" s="105"/>
    </row>
    <row r="1714">
      <c r="A1714" s="105"/>
      <c r="B1714" s="105"/>
      <c r="C1714" s="97"/>
      <c r="D1714" s="105"/>
      <c r="E1714" s="105"/>
      <c r="F1714" s="105"/>
      <c r="G1714" s="105"/>
      <c r="H1714" s="105"/>
    </row>
    <row r="1715">
      <c r="A1715" s="105"/>
      <c r="B1715" s="105"/>
      <c r="C1715" s="97"/>
      <c r="D1715" s="105"/>
      <c r="E1715" s="105"/>
      <c r="F1715" s="105"/>
      <c r="G1715" s="105"/>
      <c r="H1715" s="105"/>
    </row>
    <row r="1716">
      <c r="A1716" s="105"/>
      <c r="B1716" s="105"/>
      <c r="C1716" s="97"/>
      <c r="D1716" s="105"/>
      <c r="E1716" s="105"/>
      <c r="F1716" s="105"/>
      <c r="G1716" s="105"/>
      <c r="H1716" s="105"/>
    </row>
    <row r="1717">
      <c r="A1717" s="105"/>
      <c r="B1717" s="105"/>
      <c r="C1717" s="97"/>
      <c r="D1717" s="105"/>
      <c r="E1717" s="105"/>
      <c r="F1717" s="105"/>
      <c r="G1717" s="105"/>
      <c r="H1717" s="105"/>
    </row>
    <row r="1718">
      <c r="A1718" s="105"/>
      <c r="B1718" s="105"/>
      <c r="C1718" s="97"/>
      <c r="D1718" s="105"/>
      <c r="E1718" s="105"/>
      <c r="F1718" s="105"/>
      <c r="G1718" s="105"/>
      <c r="H1718" s="105"/>
    </row>
    <row r="1719">
      <c r="A1719" s="105"/>
      <c r="B1719" s="105"/>
      <c r="C1719" s="97"/>
      <c r="D1719" s="105"/>
      <c r="E1719" s="105"/>
      <c r="F1719" s="105"/>
      <c r="G1719" s="105"/>
      <c r="H1719" s="105"/>
    </row>
    <row r="1720">
      <c r="A1720" s="105"/>
      <c r="B1720" s="105"/>
      <c r="C1720" s="97"/>
      <c r="D1720" s="105"/>
      <c r="E1720" s="105"/>
      <c r="F1720" s="105"/>
      <c r="G1720" s="105"/>
      <c r="H1720" s="105"/>
    </row>
    <row r="1721">
      <c r="A1721" s="105"/>
      <c r="B1721" s="105"/>
      <c r="C1721" s="97"/>
      <c r="D1721" s="105"/>
      <c r="E1721" s="105"/>
      <c r="F1721" s="105"/>
      <c r="G1721" s="105"/>
      <c r="H1721" s="105"/>
    </row>
    <row r="1722">
      <c r="A1722" s="105"/>
      <c r="B1722" s="105"/>
      <c r="C1722" s="97"/>
      <c r="D1722" s="105"/>
      <c r="E1722" s="105"/>
      <c r="F1722" s="105"/>
      <c r="G1722" s="105"/>
      <c r="H1722" s="105"/>
    </row>
    <row r="1723">
      <c r="A1723" s="105"/>
      <c r="B1723" s="105"/>
      <c r="C1723" s="97"/>
      <c r="D1723" s="105"/>
      <c r="E1723" s="105"/>
      <c r="F1723" s="105"/>
      <c r="G1723" s="105"/>
      <c r="H1723" s="105"/>
    </row>
    <row r="1724">
      <c r="A1724" s="105"/>
      <c r="B1724" s="105"/>
      <c r="C1724" s="97"/>
      <c r="D1724" s="105"/>
      <c r="E1724" s="105"/>
      <c r="F1724" s="105"/>
      <c r="G1724" s="105"/>
      <c r="H1724" s="105"/>
    </row>
    <row r="1725">
      <c r="A1725" s="105"/>
      <c r="B1725" s="105"/>
      <c r="C1725" s="97"/>
      <c r="D1725" s="105"/>
      <c r="E1725" s="105"/>
      <c r="F1725" s="105"/>
      <c r="G1725" s="105"/>
      <c r="H1725" s="105"/>
    </row>
    <row r="1726">
      <c r="A1726" s="105"/>
      <c r="B1726" s="105"/>
      <c r="C1726" s="97"/>
      <c r="D1726" s="105"/>
      <c r="E1726" s="105"/>
      <c r="F1726" s="105"/>
      <c r="G1726" s="105"/>
      <c r="H1726" s="105"/>
    </row>
    <row r="1727">
      <c r="A1727" s="105"/>
      <c r="B1727" s="105"/>
      <c r="C1727" s="97"/>
      <c r="D1727" s="105"/>
      <c r="E1727" s="105"/>
      <c r="F1727" s="105"/>
      <c r="G1727" s="105"/>
      <c r="H1727" s="105"/>
    </row>
    <row r="1728">
      <c r="A1728" s="105"/>
      <c r="B1728" s="105"/>
      <c r="C1728" s="97"/>
      <c r="D1728" s="105"/>
      <c r="E1728" s="105"/>
      <c r="F1728" s="105"/>
      <c r="G1728" s="105"/>
      <c r="H1728" s="105"/>
    </row>
    <row r="1729">
      <c r="A1729" s="105"/>
      <c r="B1729" s="105"/>
      <c r="C1729" s="97"/>
      <c r="D1729" s="105"/>
      <c r="E1729" s="105"/>
      <c r="F1729" s="105"/>
      <c r="G1729" s="105"/>
      <c r="H1729" s="105"/>
    </row>
    <row r="1730">
      <c r="A1730" s="105"/>
      <c r="B1730" s="105"/>
      <c r="C1730" s="97"/>
      <c r="D1730" s="105"/>
      <c r="E1730" s="105"/>
      <c r="F1730" s="105"/>
      <c r="G1730" s="105"/>
      <c r="H1730" s="105"/>
    </row>
    <row r="1731">
      <c r="A1731" s="105"/>
      <c r="B1731" s="105"/>
      <c r="C1731" s="97"/>
      <c r="D1731" s="105"/>
      <c r="E1731" s="105"/>
      <c r="F1731" s="105"/>
      <c r="G1731" s="105"/>
      <c r="H1731" s="105"/>
    </row>
    <row r="1732">
      <c r="A1732" s="105"/>
      <c r="B1732" s="105"/>
      <c r="C1732" s="97"/>
      <c r="D1732" s="105"/>
      <c r="E1732" s="105"/>
      <c r="F1732" s="105"/>
      <c r="G1732" s="105"/>
      <c r="H1732" s="105"/>
    </row>
    <row r="1733">
      <c r="A1733" s="105"/>
      <c r="B1733" s="105"/>
      <c r="C1733" s="97"/>
      <c r="D1733" s="105"/>
      <c r="E1733" s="105"/>
      <c r="F1733" s="105"/>
      <c r="G1733" s="105"/>
      <c r="H1733" s="105"/>
    </row>
    <row r="1734">
      <c r="A1734" s="105"/>
      <c r="B1734" s="105"/>
      <c r="C1734" s="97"/>
      <c r="D1734" s="105"/>
      <c r="E1734" s="105"/>
      <c r="F1734" s="105"/>
      <c r="G1734" s="105"/>
      <c r="H1734" s="105"/>
    </row>
    <row r="1735">
      <c r="A1735" s="105"/>
      <c r="B1735" s="105"/>
      <c r="C1735" s="97"/>
      <c r="D1735" s="105"/>
      <c r="E1735" s="105"/>
      <c r="F1735" s="105"/>
      <c r="G1735" s="105"/>
      <c r="H1735" s="105"/>
    </row>
    <row r="1736">
      <c r="A1736" s="105"/>
      <c r="B1736" s="105"/>
      <c r="C1736" s="97"/>
      <c r="D1736" s="105"/>
      <c r="E1736" s="105"/>
      <c r="F1736" s="105"/>
      <c r="G1736" s="105"/>
      <c r="H1736" s="105"/>
    </row>
    <row r="1737">
      <c r="A1737" s="105"/>
      <c r="B1737" s="105"/>
      <c r="C1737" s="97"/>
      <c r="D1737" s="105"/>
      <c r="E1737" s="105"/>
      <c r="F1737" s="105"/>
      <c r="G1737" s="105"/>
      <c r="H1737" s="105"/>
    </row>
    <row r="1738">
      <c r="A1738" s="105"/>
      <c r="B1738" s="105"/>
      <c r="C1738" s="97"/>
      <c r="D1738" s="105"/>
      <c r="E1738" s="105"/>
      <c r="F1738" s="105"/>
      <c r="G1738" s="105"/>
      <c r="H1738" s="105"/>
    </row>
    <row r="1739">
      <c r="A1739" s="105"/>
      <c r="B1739" s="105"/>
      <c r="C1739" s="97"/>
      <c r="D1739" s="105"/>
      <c r="E1739" s="105"/>
      <c r="F1739" s="105"/>
      <c r="G1739" s="105"/>
      <c r="H1739" s="105"/>
    </row>
    <row r="1740">
      <c r="A1740" s="105"/>
      <c r="B1740" s="105"/>
      <c r="C1740" s="97"/>
      <c r="D1740" s="105"/>
      <c r="E1740" s="105"/>
      <c r="F1740" s="105"/>
      <c r="G1740" s="105"/>
      <c r="H1740" s="105"/>
    </row>
    <row r="1741">
      <c r="A1741" s="105"/>
      <c r="B1741" s="105"/>
      <c r="C1741" s="97"/>
      <c r="D1741" s="105"/>
      <c r="E1741" s="105"/>
      <c r="F1741" s="105"/>
      <c r="G1741" s="105"/>
      <c r="H1741" s="105"/>
    </row>
    <row r="1742">
      <c r="A1742" s="105"/>
      <c r="B1742" s="105"/>
      <c r="C1742" s="97"/>
      <c r="D1742" s="105"/>
      <c r="E1742" s="105"/>
      <c r="F1742" s="105"/>
      <c r="G1742" s="105"/>
      <c r="H1742" s="105"/>
    </row>
    <row r="1743">
      <c r="A1743" s="105"/>
      <c r="B1743" s="105"/>
      <c r="C1743" s="97"/>
      <c r="D1743" s="105"/>
      <c r="E1743" s="105"/>
      <c r="F1743" s="105"/>
      <c r="G1743" s="105"/>
      <c r="H1743" s="105"/>
    </row>
    <row r="1744">
      <c r="A1744" s="105"/>
      <c r="B1744" s="105"/>
      <c r="C1744" s="97"/>
      <c r="D1744" s="105"/>
      <c r="E1744" s="105"/>
      <c r="F1744" s="105"/>
      <c r="G1744" s="105"/>
      <c r="H1744" s="105"/>
    </row>
    <row r="1745">
      <c r="A1745" s="105"/>
      <c r="B1745" s="105"/>
      <c r="C1745" s="97"/>
      <c r="D1745" s="105"/>
      <c r="E1745" s="105"/>
      <c r="F1745" s="105"/>
      <c r="G1745" s="105"/>
      <c r="H1745" s="105"/>
    </row>
    <row r="1746">
      <c r="A1746" s="105"/>
      <c r="B1746" s="105"/>
      <c r="C1746" s="97"/>
      <c r="D1746" s="105"/>
      <c r="E1746" s="105"/>
      <c r="F1746" s="105"/>
      <c r="G1746" s="105"/>
      <c r="H1746" s="105"/>
    </row>
    <row r="1747">
      <c r="A1747" s="105"/>
      <c r="B1747" s="105"/>
      <c r="C1747" s="97"/>
      <c r="D1747" s="105"/>
      <c r="E1747" s="105"/>
      <c r="F1747" s="105"/>
      <c r="G1747" s="105"/>
      <c r="H1747" s="105"/>
    </row>
    <row r="1748">
      <c r="A1748" s="105"/>
      <c r="B1748" s="105"/>
      <c r="C1748" s="97"/>
      <c r="D1748" s="105"/>
      <c r="E1748" s="105"/>
      <c r="F1748" s="105"/>
      <c r="G1748" s="105"/>
      <c r="H1748" s="105"/>
    </row>
    <row r="1749">
      <c r="A1749" s="105"/>
      <c r="B1749" s="105"/>
      <c r="C1749" s="97"/>
      <c r="D1749" s="105"/>
      <c r="E1749" s="105"/>
      <c r="F1749" s="105"/>
      <c r="G1749" s="105"/>
      <c r="H1749" s="105"/>
    </row>
    <row r="1750">
      <c r="A1750" s="105"/>
      <c r="B1750" s="105"/>
      <c r="C1750" s="97"/>
      <c r="D1750" s="105"/>
      <c r="E1750" s="105"/>
      <c r="F1750" s="105"/>
      <c r="G1750" s="105"/>
      <c r="H1750" s="105"/>
    </row>
    <row r="1751">
      <c r="A1751" s="105"/>
      <c r="B1751" s="105"/>
      <c r="C1751" s="97"/>
      <c r="D1751" s="105"/>
      <c r="E1751" s="105"/>
      <c r="F1751" s="105"/>
      <c r="G1751" s="105"/>
      <c r="H1751" s="105"/>
    </row>
    <row r="1752">
      <c r="A1752" s="105"/>
      <c r="B1752" s="105"/>
      <c r="C1752" s="97"/>
      <c r="D1752" s="105"/>
      <c r="E1752" s="105"/>
      <c r="F1752" s="105"/>
      <c r="G1752" s="105"/>
      <c r="H1752" s="105"/>
    </row>
    <row r="1753">
      <c r="A1753" s="105"/>
      <c r="B1753" s="105"/>
      <c r="C1753" s="97"/>
      <c r="D1753" s="105"/>
      <c r="E1753" s="105"/>
      <c r="F1753" s="105"/>
      <c r="G1753" s="105"/>
      <c r="H1753" s="105"/>
    </row>
    <row r="1754">
      <c r="A1754" s="105"/>
      <c r="B1754" s="105"/>
      <c r="C1754" s="97"/>
      <c r="D1754" s="105"/>
      <c r="E1754" s="105"/>
      <c r="F1754" s="105"/>
      <c r="G1754" s="105"/>
      <c r="H1754" s="105"/>
    </row>
    <row r="1755">
      <c r="A1755" s="105"/>
      <c r="B1755" s="105"/>
      <c r="C1755" s="97"/>
      <c r="D1755" s="105"/>
      <c r="E1755" s="105"/>
      <c r="F1755" s="105"/>
      <c r="G1755" s="105"/>
      <c r="H1755" s="105"/>
    </row>
    <row r="1756">
      <c r="A1756" s="105"/>
      <c r="B1756" s="105"/>
      <c r="C1756" s="97"/>
      <c r="D1756" s="105"/>
      <c r="E1756" s="105"/>
      <c r="F1756" s="105"/>
      <c r="G1756" s="105"/>
      <c r="H1756" s="105"/>
    </row>
    <row r="1757">
      <c r="A1757" s="105"/>
      <c r="B1757" s="105"/>
      <c r="C1757" s="97"/>
      <c r="D1757" s="105"/>
      <c r="E1757" s="105"/>
      <c r="F1757" s="105"/>
      <c r="G1757" s="105"/>
      <c r="H1757" s="105"/>
    </row>
    <row r="1758">
      <c r="A1758" s="105"/>
      <c r="B1758" s="105"/>
      <c r="C1758" s="97"/>
      <c r="D1758" s="105"/>
      <c r="E1758" s="105"/>
      <c r="F1758" s="105"/>
      <c r="G1758" s="105"/>
      <c r="H1758" s="105"/>
    </row>
    <row r="1759">
      <c r="A1759" s="105"/>
      <c r="B1759" s="105"/>
      <c r="C1759" s="97"/>
      <c r="D1759" s="105"/>
      <c r="E1759" s="105"/>
      <c r="F1759" s="105"/>
      <c r="G1759" s="105"/>
      <c r="H1759" s="105"/>
    </row>
    <row r="1760">
      <c r="A1760" s="105"/>
      <c r="B1760" s="105"/>
      <c r="C1760" s="97"/>
      <c r="D1760" s="105"/>
      <c r="E1760" s="105"/>
      <c r="F1760" s="105"/>
      <c r="G1760" s="105"/>
      <c r="H1760" s="105"/>
    </row>
    <row r="1761">
      <c r="A1761" s="105"/>
      <c r="B1761" s="105"/>
      <c r="C1761" s="97"/>
      <c r="D1761" s="105"/>
      <c r="E1761" s="105"/>
      <c r="F1761" s="105"/>
      <c r="G1761" s="105"/>
      <c r="H1761" s="105"/>
    </row>
    <row r="1762">
      <c r="A1762" s="105"/>
      <c r="B1762" s="105"/>
      <c r="C1762" s="97"/>
      <c r="D1762" s="105"/>
      <c r="E1762" s="105"/>
      <c r="F1762" s="105"/>
      <c r="G1762" s="105"/>
      <c r="H1762" s="105"/>
    </row>
    <row r="1763">
      <c r="A1763" s="105"/>
      <c r="B1763" s="105"/>
      <c r="C1763" s="97"/>
      <c r="D1763" s="105"/>
      <c r="E1763" s="105"/>
      <c r="F1763" s="105"/>
      <c r="G1763" s="105"/>
      <c r="H1763" s="105"/>
    </row>
    <row r="1764">
      <c r="A1764" s="105"/>
      <c r="B1764" s="105"/>
      <c r="C1764" s="97"/>
      <c r="D1764" s="105"/>
      <c r="E1764" s="105"/>
      <c r="F1764" s="105"/>
      <c r="G1764" s="105"/>
      <c r="H1764" s="105"/>
    </row>
    <row r="1765">
      <c r="A1765" s="105"/>
      <c r="B1765" s="105"/>
      <c r="C1765" s="97"/>
      <c r="D1765" s="105"/>
      <c r="E1765" s="105"/>
      <c r="F1765" s="105"/>
      <c r="G1765" s="105"/>
      <c r="H1765" s="105"/>
    </row>
    <row r="1766">
      <c r="A1766" s="105"/>
      <c r="B1766" s="105"/>
      <c r="C1766" s="97"/>
      <c r="D1766" s="105"/>
      <c r="E1766" s="105"/>
      <c r="F1766" s="105"/>
      <c r="G1766" s="105"/>
      <c r="H1766" s="105"/>
    </row>
    <row r="1767">
      <c r="A1767" s="105"/>
      <c r="B1767" s="105"/>
      <c r="C1767" s="97"/>
      <c r="D1767" s="105"/>
      <c r="E1767" s="105"/>
      <c r="F1767" s="105"/>
      <c r="G1767" s="105"/>
      <c r="H1767" s="105"/>
    </row>
    <row r="1768">
      <c r="A1768" s="105"/>
      <c r="B1768" s="105"/>
      <c r="C1768" s="97"/>
      <c r="D1768" s="105"/>
      <c r="E1768" s="105"/>
      <c r="F1768" s="105"/>
      <c r="G1768" s="105"/>
      <c r="H1768" s="105"/>
    </row>
    <row r="1769">
      <c r="A1769" s="105"/>
      <c r="B1769" s="105"/>
      <c r="C1769" s="97"/>
      <c r="D1769" s="105"/>
      <c r="E1769" s="105"/>
      <c r="F1769" s="105"/>
      <c r="G1769" s="105"/>
      <c r="H1769" s="105"/>
    </row>
    <row r="1770">
      <c r="A1770" s="105"/>
      <c r="B1770" s="105"/>
      <c r="C1770" s="97"/>
      <c r="D1770" s="105"/>
      <c r="E1770" s="105"/>
      <c r="F1770" s="105"/>
      <c r="G1770" s="105"/>
      <c r="H1770" s="105"/>
    </row>
    <row r="1771">
      <c r="A1771" s="105"/>
      <c r="B1771" s="105"/>
      <c r="C1771" s="97"/>
      <c r="D1771" s="105"/>
      <c r="E1771" s="105"/>
      <c r="F1771" s="105"/>
      <c r="G1771" s="105"/>
      <c r="H1771" s="105"/>
    </row>
    <row r="1772">
      <c r="A1772" s="105"/>
      <c r="B1772" s="105"/>
      <c r="C1772" s="97"/>
      <c r="D1772" s="105"/>
      <c r="E1772" s="105"/>
      <c r="F1772" s="105"/>
      <c r="G1772" s="105"/>
      <c r="H1772" s="105"/>
    </row>
    <row r="1773">
      <c r="A1773" s="105"/>
      <c r="B1773" s="105"/>
      <c r="C1773" s="97"/>
      <c r="D1773" s="105"/>
      <c r="E1773" s="105"/>
      <c r="F1773" s="105"/>
      <c r="G1773" s="105"/>
      <c r="H1773" s="105"/>
    </row>
    <row r="1774">
      <c r="A1774" s="105"/>
      <c r="B1774" s="105"/>
      <c r="C1774" s="97"/>
      <c r="D1774" s="105"/>
      <c r="E1774" s="105"/>
      <c r="F1774" s="105"/>
      <c r="G1774" s="105"/>
      <c r="H1774" s="105"/>
    </row>
    <row r="1775">
      <c r="A1775" s="105"/>
      <c r="B1775" s="105"/>
      <c r="C1775" s="97"/>
      <c r="D1775" s="105"/>
      <c r="E1775" s="105"/>
      <c r="F1775" s="105"/>
      <c r="G1775" s="105"/>
      <c r="H1775" s="105"/>
    </row>
    <row r="1776">
      <c r="A1776" s="105"/>
      <c r="B1776" s="105"/>
      <c r="C1776" s="97"/>
      <c r="D1776" s="105"/>
      <c r="E1776" s="105"/>
      <c r="F1776" s="105"/>
      <c r="G1776" s="105"/>
      <c r="H1776" s="105"/>
    </row>
    <row r="1777">
      <c r="A1777" s="105"/>
      <c r="B1777" s="105"/>
      <c r="C1777" s="97"/>
      <c r="D1777" s="105"/>
      <c r="E1777" s="105"/>
      <c r="F1777" s="105"/>
      <c r="G1777" s="105"/>
      <c r="H1777" s="105"/>
    </row>
    <row r="1778">
      <c r="A1778" s="105"/>
      <c r="B1778" s="105"/>
      <c r="C1778" s="97"/>
      <c r="D1778" s="105"/>
      <c r="E1778" s="105"/>
      <c r="F1778" s="105"/>
      <c r="G1778" s="105"/>
      <c r="H1778" s="105"/>
    </row>
    <row r="1779">
      <c r="A1779" s="105"/>
      <c r="B1779" s="105"/>
      <c r="C1779" s="97"/>
      <c r="D1779" s="105"/>
      <c r="E1779" s="105"/>
      <c r="F1779" s="105"/>
      <c r="G1779" s="105"/>
      <c r="H1779" s="105"/>
    </row>
    <row r="1780">
      <c r="A1780" s="105"/>
      <c r="B1780" s="105"/>
      <c r="C1780" s="97"/>
      <c r="D1780" s="105"/>
      <c r="E1780" s="105"/>
      <c r="F1780" s="105"/>
      <c r="G1780" s="105"/>
      <c r="H1780" s="105"/>
    </row>
    <row r="1781">
      <c r="A1781" s="105"/>
      <c r="B1781" s="105"/>
      <c r="C1781" s="97"/>
      <c r="D1781" s="105"/>
      <c r="E1781" s="105"/>
      <c r="F1781" s="105"/>
      <c r="G1781" s="105"/>
      <c r="H1781" s="105"/>
    </row>
    <row r="1782">
      <c r="A1782" s="105"/>
      <c r="B1782" s="105"/>
      <c r="C1782" s="97"/>
      <c r="D1782" s="105"/>
      <c r="E1782" s="105"/>
      <c r="F1782" s="105"/>
      <c r="G1782" s="105"/>
      <c r="H1782" s="105"/>
    </row>
    <row r="1783">
      <c r="A1783" s="105"/>
      <c r="B1783" s="105"/>
      <c r="C1783" s="97"/>
      <c r="D1783" s="105"/>
      <c r="E1783" s="105"/>
      <c r="F1783" s="105"/>
      <c r="G1783" s="105"/>
      <c r="H1783" s="105"/>
    </row>
    <row r="1784">
      <c r="A1784" s="105"/>
      <c r="B1784" s="105"/>
      <c r="C1784" s="97"/>
      <c r="D1784" s="105"/>
      <c r="E1784" s="105"/>
      <c r="F1784" s="105"/>
      <c r="G1784" s="105"/>
      <c r="H1784" s="105"/>
    </row>
    <row r="1785">
      <c r="A1785" s="105"/>
      <c r="B1785" s="105"/>
      <c r="C1785" s="97"/>
      <c r="D1785" s="105"/>
      <c r="E1785" s="105"/>
      <c r="F1785" s="105"/>
      <c r="G1785" s="105"/>
      <c r="H1785" s="105"/>
    </row>
    <row r="1786">
      <c r="A1786" s="105"/>
      <c r="B1786" s="105"/>
      <c r="C1786" s="97"/>
      <c r="D1786" s="105"/>
      <c r="E1786" s="105"/>
      <c r="F1786" s="105"/>
      <c r="G1786" s="105"/>
      <c r="H1786" s="105"/>
    </row>
    <row r="1787">
      <c r="A1787" s="105"/>
      <c r="B1787" s="105"/>
      <c r="C1787" s="97"/>
      <c r="D1787" s="105"/>
      <c r="E1787" s="105"/>
      <c r="F1787" s="105"/>
      <c r="G1787" s="105"/>
      <c r="H1787" s="105"/>
    </row>
    <row r="1788">
      <c r="A1788" s="105"/>
      <c r="B1788" s="105"/>
      <c r="C1788" s="97"/>
      <c r="D1788" s="105"/>
      <c r="E1788" s="105"/>
      <c r="F1788" s="105"/>
      <c r="G1788" s="105"/>
      <c r="H1788" s="105"/>
    </row>
    <row r="1789">
      <c r="A1789" s="105"/>
      <c r="B1789" s="105"/>
      <c r="C1789" s="97"/>
      <c r="D1789" s="105"/>
      <c r="E1789" s="105"/>
      <c r="F1789" s="105"/>
      <c r="G1789" s="105"/>
      <c r="H1789" s="105"/>
    </row>
    <row r="1790">
      <c r="A1790" s="105"/>
      <c r="B1790" s="105"/>
      <c r="C1790" s="97"/>
      <c r="D1790" s="105"/>
      <c r="E1790" s="105"/>
      <c r="F1790" s="105"/>
      <c r="G1790" s="105"/>
      <c r="H1790" s="105"/>
    </row>
    <row r="1791">
      <c r="A1791" s="105"/>
      <c r="B1791" s="105"/>
      <c r="C1791" s="97"/>
      <c r="D1791" s="105"/>
      <c r="E1791" s="105"/>
      <c r="F1791" s="105"/>
      <c r="G1791" s="105"/>
      <c r="H1791" s="105"/>
    </row>
    <row r="1792">
      <c r="A1792" s="105"/>
      <c r="B1792" s="105"/>
      <c r="C1792" s="97"/>
      <c r="D1792" s="105"/>
      <c r="E1792" s="105"/>
      <c r="F1792" s="105"/>
      <c r="G1792" s="105"/>
      <c r="H1792" s="105"/>
    </row>
    <row r="1793">
      <c r="A1793" s="105"/>
      <c r="B1793" s="105"/>
      <c r="C1793" s="97"/>
      <c r="D1793" s="105"/>
      <c r="E1793" s="105"/>
      <c r="F1793" s="105"/>
      <c r="G1793" s="105"/>
      <c r="H1793" s="105"/>
    </row>
    <row r="1794">
      <c r="A1794" s="105"/>
      <c r="B1794" s="105"/>
      <c r="C1794" s="97"/>
      <c r="D1794" s="105"/>
      <c r="E1794" s="105"/>
      <c r="F1794" s="105"/>
      <c r="G1794" s="105"/>
      <c r="H1794" s="105"/>
    </row>
    <row r="1795">
      <c r="A1795" s="105"/>
      <c r="B1795" s="105"/>
      <c r="C1795" s="97"/>
      <c r="D1795" s="105"/>
      <c r="E1795" s="105"/>
      <c r="F1795" s="105"/>
      <c r="G1795" s="105"/>
      <c r="H1795" s="105"/>
    </row>
    <row r="1796">
      <c r="A1796" s="105"/>
      <c r="B1796" s="105"/>
      <c r="C1796" s="97"/>
      <c r="D1796" s="105"/>
      <c r="E1796" s="105"/>
      <c r="F1796" s="105"/>
      <c r="G1796" s="105"/>
      <c r="H1796" s="105"/>
    </row>
    <row r="1797">
      <c r="A1797" s="105"/>
      <c r="B1797" s="105"/>
      <c r="C1797" s="97"/>
      <c r="D1797" s="105"/>
      <c r="E1797" s="105"/>
      <c r="F1797" s="105"/>
      <c r="G1797" s="105"/>
      <c r="H1797" s="105"/>
    </row>
    <row r="1798">
      <c r="A1798" s="105"/>
      <c r="B1798" s="105"/>
      <c r="C1798" s="97"/>
      <c r="D1798" s="105"/>
      <c r="E1798" s="105"/>
      <c r="F1798" s="105"/>
      <c r="G1798" s="105"/>
      <c r="H1798" s="105"/>
    </row>
    <row r="1799">
      <c r="A1799" s="105"/>
      <c r="B1799" s="105"/>
      <c r="C1799" s="97"/>
      <c r="D1799" s="105"/>
      <c r="E1799" s="105"/>
      <c r="F1799" s="105"/>
      <c r="G1799" s="105"/>
      <c r="H1799" s="105"/>
    </row>
    <row r="1800">
      <c r="A1800" s="105"/>
      <c r="B1800" s="105"/>
      <c r="C1800" s="97"/>
      <c r="D1800" s="105"/>
      <c r="E1800" s="105"/>
      <c r="F1800" s="105"/>
      <c r="G1800" s="105"/>
      <c r="H1800" s="105"/>
    </row>
    <row r="1801">
      <c r="A1801" s="105"/>
      <c r="B1801" s="105"/>
      <c r="C1801" s="97"/>
      <c r="D1801" s="105"/>
      <c r="E1801" s="105"/>
      <c r="F1801" s="105"/>
      <c r="G1801" s="105"/>
      <c r="H1801" s="105"/>
    </row>
    <row r="1802">
      <c r="A1802" s="105"/>
      <c r="B1802" s="105"/>
      <c r="C1802" s="97"/>
      <c r="D1802" s="105"/>
      <c r="E1802" s="105"/>
      <c r="F1802" s="105"/>
      <c r="G1802" s="105"/>
      <c r="H1802" s="105"/>
    </row>
    <row r="1803">
      <c r="A1803" s="105"/>
      <c r="B1803" s="105"/>
      <c r="C1803" s="97"/>
      <c r="D1803" s="105"/>
      <c r="E1803" s="105"/>
      <c r="F1803" s="105"/>
      <c r="G1803" s="105"/>
      <c r="H1803" s="105"/>
    </row>
    <row r="1804">
      <c r="A1804" s="105"/>
      <c r="B1804" s="105"/>
      <c r="C1804" s="97"/>
      <c r="D1804" s="105"/>
      <c r="E1804" s="105"/>
      <c r="F1804" s="105"/>
      <c r="G1804" s="105"/>
      <c r="H1804" s="105"/>
    </row>
    <row r="1805">
      <c r="A1805" s="105"/>
      <c r="B1805" s="105"/>
      <c r="C1805" s="97"/>
      <c r="D1805" s="105"/>
      <c r="E1805" s="105"/>
      <c r="F1805" s="105"/>
      <c r="G1805" s="105"/>
      <c r="H1805" s="105"/>
    </row>
    <row r="1806">
      <c r="A1806" s="105"/>
      <c r="B1806" s="105"/>
      <c r="C1806" s="97"/>
      <c r="D1806" s="105"/>
      <c r="E1806" s="105"/>
      <c r="F1806" s="105"/>
      <c r="G1806" s="105"/>
      <c r="H1806" s="105"/>
    </row>
    <row r="1807">
      <c r="A1807" s="105"/>
      <c r="B1807" s="105"/>
      <c r="C1807" s="97"/>
      <c r="D1807" s="105"/>
      <c r="E1807" s="105"/>
      <c r="F1807" s="105"/>
      <c r="G1807" s="105"/>
      <c r="H1807" s="105"/>
    </row>
    <row r="1808">
      <c r="A1808" s="105"/>
      <c r="B1808" s="105"/>
      <c r="C1808" s="97"/>
      <c r="D1808" s="105"/>
      <c r="E1808" s="105"/>
      <c r="F1808" s="105"/>
      <c r="G1808" s="105"/>
      <c r="H1808" s="105"/>
    </row>
    <row r="1809">
      <c r="A1809" s="105"/>
      <c r="B1809" s="105"/>
      <c r="C1809" s="97"/>
      <c r="D1809" s="105"/>
      <c r="E1809" s="105"/>
      <c r="F1809" s="105"/>
      <c r="G1809" s="105"/>
      <c r="H1809" s="105"/>
    </row>
    <row r="1810">
      <c r="A1810" s="105"/>
      <c r="B1810" s="105"/>
      <c r="C1810" s="97"/>
      <c r="D1810" s="105"/>
      <c r="E1810" s="105"/>
      <c r="F1810" s="105"/>
      <c r="G1810" s="105"/>
      <c r="H1810" s="105"/>
    </row>
    <row r="1811">
      <c r="A1811" s="105"/>
      <c r="B1811" s="105"/>
      <c r="C1811" s="97"/>
      <c r="D1811" s="105"/>
      <c r="E1811" s="105"/>
      <c r="F1811" s="105"/>
      <c r="G1811" s="105"/>
      <c r="H1811" s="105"/>
    </row>
    <row r="1812">
      <c r="A1812" s="105"/>
      <c r="B1812" s="105"/>
      <c r="C1812" s="97"/>
      <c r="D1812" s="105"/>
      <c r="E1812" s="105"/>
      <c r="F1812" s="105"/>
      <c r="G1812" s="105"/>
      <c r="H1812" s="105"/>
    </row>
    <row r="1813">
      <c r="A1813" s="105"/>
      <c r="B1813" s="105"/>
      <c r="C1813" s="97"/>
      <c r="D1813" s="105"/>
      <c r="E1813" s="105"/>
      <c r="F1813" s="105"/>
      <c r="G1813" s="105"/>
      <c r="H1813" s="105"/>
    </row>
    <row r="1814">
      <c r="A1814" s="105"/>
      <c r="B1814" s="105"/>
      <c r="C1814" s="97"/>
      <c r="D1814" s="105"/>
      <c r="E1814" s="105"/>
      <c r="F1814" s="105"/>
      <c r="G1814" s="105"/>
      <c r="H1814" s="105"/>
    </row>
    <row r="1815">
      <c r="A1815" s="105"/>
      <c r="B1815" s="105"/>
      <c r="C1815" s="97"/>
      <c r="D1815" s="105"/>
      <c r="E1815" s="105"/>
      <c r="F1815" s="105"/>
      <c r="G1815" s="105"/>
      <c r="H1815" s="105"/>
    </row>
    <row r="1816">
      <c r="A1816" s="105"/>
      <c r="B1816" s="105"/>
      <c r="C1816" s="97"/>
      <c r="D1816" s="105"/>
      <c r="E1816" s="105"/>
      <c r="F1816" s="105"/>
      <c r="G1816" s="105"/>
      <c r="H1816" s="105"/>
    </row>
    <row r="1817">
      <c r="A1817" s="105"/>
      <c r="B1817" s="105"/>
      <c r="C1817" s="97"/>
      <c r="D1817" s="105"/>
      <c r="E1817" s="105"/>
      <c r="F1817" s="105"/>
      <c r="G1817" s="105"/>
      <c r="H1817" s="105"/>
    </row>
    <row r="1818">
      <c r="A1818" s="105"/>
      <c r="B1818" s="105"/>
      <c r="C1818" s="97"/>
      <c r="D1818" s="105"/>
      <c r="E1818" s="105"/>
      <c r="F1818" s="105"/>
      <c r="G1818" s="105"/>
      <c r="H1818" s="105"/>
    </row>
    <row r="1819">
      <c r="A1819" s="105"/>
      <c r="B1819" s="105"/>
      <c r="C1819" s="97"/>
      <c r="D1819" s="105"/>
      <c r="E1819" s="105"/>
      <c r="F1819" s="105"/>
      <c r="G1819" s="105"/>
      <c r="H1819" s="105"/>
    </row>
    <row r="1820">
      <c r="A1820" s="105"/>
      <c r="B1820" s="105"/>
      <c r="C1820" s="97"/>
      <c r="D1820" s="105"/>
      <c r="E1820" s="105"/>
      <c r="F1820" s="105"/>
      <c r="G1820" s="105"/>
      <c r="H1820" s="105"/>
    </row>
    <row r="1821">
      <c r="A1821" s="105"/>
      <c r="B1821" s="105"/>
      <c r="C1821" s="97"/>
      <c r="D1821" s="105"/>
      <c r="E1821" s="105"/>
      <c r="F1821" s="105"/>
      <c r="G1821" s="105"/>
      <c r="H1821" s="105"/>
    </row>
    <row r="1822">
      <c r="A1822" s="105"/>
      <c r="B1822" s="105"/>
      <c r="C1822" s="97"/>
      <c r="D1822" s="105"/>
      <c r="E1822" s="105"/>
      <c r="F1822" s="105"/>
      <c r="G1822" s="105"/>
      <c r="H1822" s="105"/>
    </row>
    <row r="1823">
      <c r="A1823" s="105"/>
      <c r="B1823" s="105"/>
      <c r="C1823" s="97"/>
      <c r="D1823" s="105"/>
      <c r="E1823" s="105"/>
      <c r="F1823" s="105"/>
      <c r="G1823" s="105"/>
      <c r="H1823" s="105"/>
    </row>
    <row r="1824">
      <c r="A1824" s="105"/>
      <c r="B1824" s="105"/>
      <c r="C1824" s="97"/>
      <c r="D1824" s="105"/>
      <c r="E1824" s="105"/>
      <c r="F1824" s="105"/>
      <c r="G1824" s="105"/>
      <c r="H1824" s="105"/>
    </row>
    <row r="1825">
      <c r="A1825" s="105"/>
      <c r="B1825" s="105"/>
      <c r="C1825" s="97"/>
      <c r="D1825" s="105"/>
      <c r="E1825" s="105"/>
      <c r="F1825" s="105"/>
      <c r="G1825" s="105"/>
      <c r="H1825" s="105"/>
    </row>
    <row r="1826">
      <c r="A1826" s="105"/>
      <c r="B1826" s="105"/>
      <c r="C1826" s="97"/>
      <c r="D1826" s="105"/>
      <c r="E1826" s="105"/>
      <c r="F1826" s="105"/>
      <c r="G1826" s="105"/>
      <c r="H1826" s="105"/>
    </row>
    <row r="1827">
      <c r="A1827" s="105"/>
      <c r="B1827" s="105"/>
      <c r="C1827" s="97"/>
      <c r="D1827" s="105"/>
      <c r="E1827" s="105"/>
      <c r="F1827" s="105"/>
      <c r="G1827" s="105"/>
      <c r="H1827" s="105"/>
    </row>
    <row r="1828">
      <c r="A1828" s="105"/>
      <c r="B1828" s="105"/>
      <c r="C1828" s="97"/>
      <c r="D1828" s="105"/>
      <c r="E1828" s="105"/>
      <c r="F1828" s="105"/>
      <c r="G1828" s="105"/>
      <c r="H1828" s="105"/>
    </row>
    <row r="1829">
      <c r="A1829" s="105"/>
      <c r="B1829" s="105"/>
      <c r="C1829" s="97"/>
      <c r="D1829" s="105"/>
      <c r="E1829" s="105"/>
      <c r="F1829" s="105"/>
      <c r="G1829" s="105"/>
      <c r="H1829" s="105"/>
    </row>
    <row r="1830">
      <c r="A1830" s="105"/>
      <c r="B1830" s="105"/>
      <c r="C1830" s="97"/>
      <c r="D1830" s="105"/>
      <c r="E1830" s="105"/>
      <c r="F1830" s="105"/>
      <c r="G1830" s="105"/>
      <c r="H1830" s="105"/>
    </row>
    <row r="1831">
      <c r="A1831" s="105"/>
      <c r="B1831" s="105"/>
      <c r="C1831" s="97"/>
      <c r="D1831" s="105"/>
      <c r="E1831" s="105"/>
      <c r="F1831" s="105"/>
      <c r="G1831" s="105"/>
      <c r="H1831" s="105"/>
    </row>
    <row r="1832">
      <c r="A1832" s="105"/>
      <c r="B1832" s="105"/>
      <c r="C1832" s="97"/>
      <c r="D1832" s="105"/>
      <c r="E1832" s="105"/>
      <c r="F1832" s="105"/>
      <c r="G1832" s="105"/>
      <c r="H1832" s="105"/>
    </row>
    <row r="1833">
      <c r="A1833" s="105"/>
      <c r="B1833" s="105"/>
      <c r="C1833" s="97"/>
      <c r="D1833" s="105"/>
      <c r="E1833" s="105"/>
      <c r="F1833" s="105"/>
      <c r="G1833" s="105"/>
      <c r="H1833" s="105"/>
    </row>
    <row r="1834">
      <c r="A1834" s="105"/>
      <c r="B1834" s="105"/>
      <c r="C1834" s="97"/>
      <c r="D1834" s="105"/>
      <c r="E1834" s="105"/>
      <c r="F1834" s="105"/>
      <c r="G1834" s="105"/>
      <c r="H1834" s="105"/>
    </row>
    <row r="1835">
      <c r="A1835" s="105"/>
      <c r="B1835" s="105"/>
      <c r="C1835" s="97"/>
      <c r="D1835" s="105"/>
      <c r="E1835" s="105"/>
      <c r="F1835" s="105"/>
      <c r="G1835" s="105"/>
      <c r="H1835" s="105"/>
    </row>
    <row r="1836">
      <c r="A1836" s="105"/>
      <c r="B1836" s="105"/>
      <c r="C1836" s="97"/>
      <c r="D1836" s="105"/>
      <c r="E1836" s="105"/>
      <c r="F1836" s="105"/>
      <c r="G1836" s="105"/>
      <c r="H1836" s="105"/>
    </row>
    <row r="1837">
      <c r="A1837" s="105"/>
      <c r="B1837" s="105"/>
      <c r="C1837" s="97"/>
      <c r="D1837" s="105"/>
      <c r="E1837" s="105"/>
      <c r="F1837" s="105"/>
      <c r="G1837" s="105"/>
      <c r="H1837" s="105"/>
    </row>
    <row r="1838">
      <c r="A1838" s="105"/>
      <c r="B1838" s="105"/>
      <c r="C1838" s="97"/>
      <c r="D1838" s="105"/>
      <c r="E1838" s="105"/>
      <c r="F1838" s="105"/>
      <c r="G1838" s="105"/>
      <c r="H1838" s="105"/>
    </row>
    <row r="1839">
      <c r="A1839" s="105"/>
      <c r="B1839" s="105"/>
      <c r="C1839" s="97"/>
      <c r="D1839" s="105"/>
      <c r="E1839" s="105"/>
      <c r="F1839" s="105"/>
      <c r="G1839" s="105"/>
      <c r="H1839" s="105"/>
    </row>
    <row r="1840">
      <c r="A1840" s="105"/>
      <c r="B1840" s="105"/>
      <c r="C1840" s="97"/>
      <c r="D1840" s="105"/>
      <c r="E1840" s="105"/>
      <c r="F1840" s="105"/>
      <c r="G1840" s="105"/>
      <c r="H1840" s="105"/>
    </row>
    <row r="1841">
      <c r="A1841" s="105"/>
      <c r="B1841" s="105"/>
      <c r="C1841" s="97"/>
      <c r="D1841" s="105"/>
      <c r="E1841" s="105"/>
      <c r="F1841" s="105"/>
      <c r="G1841" s="105"/>
      <c r="H1841" s="105"/>
    </row>
    <row r="1842">
      <c r="A1842" s="105"/>
      <c r="B1842" s="105"/>
      <c r="C1842" s="97"/>
      <c r="D1842" s="105"/>
      <c r="E1842" s="105"/>
      <c r="F1842" s="105"/>
      <c r="G1842" s="105"/>
      <c r="H1842" s="105"/>
    </row>
    <row r="1843">
      <c r="A1843" s="105"/>
      <c r="B1843" s="105"/>
      <c r="C1843" s="97"/>
      <c r="D1843" s="105"/>
      <c r="E1843" s="105"/>
      <c r="F1843" s="105"/>
      <c r="G1843" s="105"/>
      <c r="H1843" s="105"/>
    </row>
    <row r="1844">
      <c r="A1844" s="105"/>
      <c r="B1844" s="105"/>
      <c r="C1844" s="97"/>
      <c r="D1844" s="105"/>
      <c r="E1844" s="105"/>
      <c r="F1844" s="105"/>
      <c r="G1844" s="105"/>
      <c r="H1844" s="105"/>
    </row>
    <row r="1845">
      <c r="A1845" s="105"/>
      <c r="B1845" s="105"/>
      <c r="C1845" s="97"/>
      <c r="D1845" s="105"/>
      <c r="E1845" s="105"/>
      <c r="F1845" s="105"/>
      <c r="G1845" s="105"/>
      <c r="H1845" s="105"/>
    </row>
    <row r="1846">
      <c r="A1846" s="105"/>
      <c r="B1846" s="105"/>
      <c r="C1846" s="97"/>
      <c r="D1846" s="105"/>
      <c r="E1846" s="105"/>
      <c r="F1846" s="105"/>
      <c r="G1846" s="105"/>
      <c r="H1846" s="105"/>
    </row>
    <row r="1847">
      <c r="A1847" s="105"/>
      <c r="B1847" s="105"/>
      <c r="C1847" s="97"/>
      <c r="D1847" s="105"/>
      <c r="E1847" s="105"/>
      <c r="F1847" s="105"/>
      <c r="G1847" s="105"/>
      <c r="H1847" s="105"/>
    </row>
    <row r="1848">
      <c r="A1848" s="105"/>
      <c r="B1848" s="105"/>
      <c r="C1848" s="97"/>
      <c r="D1848" s="105"/>
      <c r="E1848" s="105"/>
      <c r="F1848" s="105"/>
      <c r="G1848" s="105"/>
      <c r="H1848" s="105"/>
    </row>
    <row r="1849">
      <c r="A1849" s="105"/>
      <c r="B1849" s="105"/>
      <c r="C1849" s="97"/>
      <c r="D1849" s="105"/>
      <c r="E1849" s="105"/>
      <c r="F1849" s="105"/>
      <c r="G1849" s="105"/>
      <c r="H1849" s="105"/>
    </row>
    <row r="1850">
      <c r="A1850" s="105"/>
      <c r="B1850" s="105"/>
      <c r="C1850" s="97"/>
      <c r="D1850" s="105"/>
      <c r="E1850" s="105"/>
      <c r="F1850" s="105"/>
      <c r="G1850" s="105"/>
      <c r="H1850" s="105"/>
    </row>
    <row r="1851">
      <c r="A1851" s="105"/>
      <c r="B1851" s="105"/>
      <c r="C1851" s="97"/>
      <c r="D1851" s="105"/>
      <c r="E1851" s="105"/>
      <c r="F1851" s="105"/>
      <c r="G1851" s="105"/>
      <c r="H1851" s="105"/>
    </row>
    <row r="1852">
      <c r="A1852" s="105"/>
      <c r="B1852" s="105"/>
      <c r="C1852" s="97"/>
      <c r="D1852" s="105"/>
      <c r="E1852" s="105"/>
      <c r="F1852" s="105"/>
      <c r="G1852" s="105"/>
      <c r="H1852" s="105"/>
    </row>
    <row r="1853">
      <c r="A1853" s="105"/>
      <c r="B1853" s="105"/>
      <c r="C1853" s="97"/>
      <c r="D1853" s="105"/>
      <c r="E1853" s="105"/>
      <c r="F1853" s="105"/>
      <c r="G1853" s="105"/>
      <c r="H1853" s="105"/>
    </row>
    <row r="1854">
      <c r="A1854" s="105"/>
      <c r="B1854" s="105"/>
      <c r="C1854" s="97"/>
      <c r="D1854" s="105"/>
      <c r="E1854" s="105"/>
      <c r="F1854" s="105"/>
      <c r="G1854" s="105"/>
      <c r="H1854" s="105"/>
    </row>
    <row r="1855">
      <c r="A1855" s="105"/>
      <c r="B1855" s="105"/>
      <c r="C1855" s="97"/>
      <c r="D1855" s="105"/>
      <c r="E1855" s="105"/>
      <c r="F1855" s="105"/>
      <c r="G1855" s="105"/>
      <c r="H1855" s="105"/>
    </row>
    <row r="1856">
      <c r="A1856" s="105"/>
      <c r="B1856" s="105"/>
      <c r="C1856" s="97"/>
      <c r="D1856" s="105"/>
      <c r="E1856" s="105"/>
      <c r="F1856" s="105"/>
      <c r="G1856" s="105"/>
      <c r="H1856" s="105"/>
    </row>
    <row r="1857">
      <c r="A1857" s="105"/>
      <c r="B1857" s="105"/>
      <c r="C1857" s="97"/>
      <c r="D1857" s="105"/>
      <c r="E1857" s="105"/>
      <c r="F1857" s="105"/>
      <c r="G1857" s="105"/>
      <c r="H1857" s="105"/>
    </row>
    <row r="1858">
      <c r="A1858" s="105"/>
      <c r="B1858" s="105"/>
      <c r="C1858" s="97"/>
      <c r="D1858" s="105"/>
      <c r="E1858" s="105"/>
      <c r="F1858" s="105"/>
      <c r="G1858" s="105"/>
      <c r="H1858" s="105"/>
    </row>
    <row r="1859">
      <c r="A1859" s="105"/>
      <c r="B1859" s="105"/>
      <c r="C1859" s="97"/>
      <c r="D1859" s="105"/>
      <c r="E1859" s="105"/>
      <c r="F1859" s="105"/>
      <c r="G1859" s="105"/>
      <c r="H1859" s="105"/>
    </row>
    <row r="1860">
      <c r="A1860" s="105"/>
      <c r="B1860" s="105"/>
      <c r="C1860" s="97"/>
      <c r="D1860" s="105"/>
      <c r="E1860" s="105"/>
      <c r="F1860" s="105"/>
      <c r="G1860" s="105"/>
      <c r="H1860" s="105"/>
    </row>
    <row r="1861">
      <c r="A1861" s="105"/>
      <c r="B1861" s="105"/>
      <c r="C1861" s="97"/>
      <c r="D1861" s="105"/>
      <c r="E1861" s="105"/>
      <c r="F1861" s="105"/>
      <c r="G1861" s="105"/>
      <c r="H1861" s="105"/>
    </row>
    <row r="1862">
      <c r="A1862" s="105"/>
      <c r="B1862" s="105"/>
      <c r="C1862" s="97"/>
      <c r="D1862" s="105"/>
      <c r="E1862" s="105"/>
      <c r="F1862" s="105"/>
      <c r="G1862" s="105"/>
      <c r="H1862" s="105"/>
    </row>
    <row r="1863">
      <c r="A1863" s="105"/>
      <c r="B1863" s="105"/>
      <c r="C1863" s="97"/>
      <c r="D1863" s="105"/>
      <c r="E1863" s="105"/>
      <c r="F1863" s="105"/>
      <c r="G1863" s="105"/>
      <c r="H1863" s="105"/>
    </row>
    <row r="1864">
      <c r="A1864" s="105"/>
      <c r="B1864" s="105"/>
      <c r="C1864" s="97"/>
      <c r="D1864" s="105"/>
      <c r="E1864" s="105"/>
      <c r="F1864" s="105"/>
      <c r="G1864" s="105"/>
      <c r="H1864" s="105"/>
    </row>
    <row r="1865">
      <c r="A1865" s="105"/>
      <c r="B1865" s="105"/>
      <c r="C1865" s="97"/>
      <c r="D1865" s="105"/>
      <c r="E1865" s="105"/>
      <c r="F1865" s="105"/>
      <c r="G1865" s="105"/>
      <c r="H1865" s="105"/>
    </row>
    <row r="1866">
      <c r="A1866" s="105"/>
      <c r="B1866" s="105"/>
      <c r="C1866" s="97"/>
      <c r="D1866" s="105"/>
      <c r="E1866" s="105"/>
      <c r="F1866" s="105"/>
      <c r="G1866" s="105"/>
      <c r="H1866" s="105"/>
    </row>
    <row r="1867">
      <c r="A1867" s="105"/>
      <c r="B1867" s="105"/>
      <c r="C1867" s="97"/>
      <c r="D1867" s="105"/>
      <c r="E1867" s="105"/>
      <c r="F1867" s="105"/>
      <c r="G1867" s="105"/>
      <c r="H1867" s="105"/>
    </row>
    <row r="1868">
      <c r="A1868" s="105"/>
      <c r="B1868" s="105"/>
      <c r="C1868" s="97"/>
      <c r="D1868" s="105"/>
      <c r="E1868" s="105"/>
      <c r="F1868" s="105"/>
      <c r="G1868" s="105"/>
      <c r="H1868" s="105"/>
    </row>
    <row r="1869">
      <c r="A1869" s="105"/>
      <c r="B1869" s="105"/>
      <c r="C1869" s="97"/>
      <c r="D1869" s="105"/>
      <c r="E1869" s="105"/>
      <c r="F1869" s="105"/>
      <c r="G1869" s="105"/>
      <c r="H1869" s="105"/>
    </row>
    <row r="1870">
      <c r="A1870" s="105"/>
      <c r="B1870" s="105"/>
      <c r="C1870" s="97"/>
      <c r="D1870" s="105"/>
      <c r="E1870" s="105"/>
      <c r="F1870" s="105"/>
      <c r="G1870" s="105"/>
      <c r="H1870" s="105"/>
    </row>
    <row r="1871">
      <c r="A1871" s="105"/>
      <c r="B1871" s="105"/>
      <c r="C1871" s="97"/>
      <c r="D1871" s="105"/>
      <c r="E1871" s="105"/>
      <c r="F1871" s="105"/>
      <c r="G1871" s="105"/>
      <c r="H1871" s="105"/>
    </row>
    <row r="1872">
      <c r="A1872" s="105"/>
      <c r="B1872" s="105"/>
      <c r="C1872" s="97"/>
      <c r="D1872" s="105"/>
      <c r="E1872" s="105"/>
      <c r="F1872" s="105"/>
      <c r="G1872" s="105"/>
      <c r="H1872" s="105"/>
    </row>
    <row r="1873">
      <c r="A1873" s="105"/>
      <c r="B1873" s="105"/>
      <c r="C1873" s="97"/>
      <c r="D1873" s="105"/>
      <c r="E1873" s="105"/>
      <c r="F1873" s="105"/>
      <c r="G1873" s="105"/>
      <c r="H1873" s="105"/>
    </row>
    <row r="1874">
      <c r="A1874" s="105"/>
      <c r="B1874" s="105"/>
      <c r="C1874" s="97"/>
      <c r="D1874" s="105"/>
      <c r="E1874" s="105"/>
      <c r="F1874" s="105"/>
      <c r="G1874" s="105"/>
      <c r="H1874" s="105"/>
    </row>
    <row r="1875">
      <c r="A1875" s="105"/>
      <c r="B1875" s="105"/>
      <c r="C1875" s="97"/>
      <c r="D1875" s="105"/>
      <c r="E1875" s="105"/>
      <c r="F1875" s="105"/>
      <c r="G1875" s="105"/>
      <c r="H1875" s="105"/>
    </row>
    <row r="1876">
      <c r="A1876" s="105"/>
      <c r="B1876" s="105"/>
      <c r="C1876" s="97"/>
      <c r="D1876" s="105"/>
      <c r="E1876" s="105"/>
      <c r="F1876" s="105"/>
      <c r="G1876" s="105"/>
      <c r="H1876" s="105"/>
    </row>
    <row r="1877">
      <c r="A1877" s="105"/>
      <c r="B1877" s="105"/>
      <c r="C1877" s="97"/>
      <c r="D1877" s="105"/>
      <c r="E1877" s="105"/>
      <c r="F1877" s="105"/>
      <c r="G1877" s="105"/>
      <c r="H1877" s="105"/>
    </row>
    <row r="1878">
      <c r="A1878" s="105"/>
      <c r="B1878" s="105"/>
      <c r="C1878" s="97"/>
      <c r="D1878" s="105"/>
      <c r="E1878" s="105"/>
      <c r="F1878" s="105"/>
      <c r="G1878" s="105"/>
      <c r="H1878" s="105"/>
    </row>
    <row r="1879">
      <c r="A1879" s="105"/>
      <c r="B1879" s="105"/>
      <c r="C1879" s="97"/>
      <c r="D1879" s="105"/>
      <c r="E1879" s="105"/>
      <c r="F1879" s="105"/>
      <c r="G1879" s="105"/>
      <c r="H1879" s="105"/>
    </row>
    <row r="1880">
      <c r="A1880" s="105"/>
      <c r="B1880" s="105"/>
      <c r="C1880" s="97"/>
      <c r="D1880" s="105"/>
      <c r="E1880" s="105"/>
      <c r="F1880" s="105"/>
      <c r="G1880" s="105"/>
      <c r="H1880" s="105"/>
    </row>
    <row r="1881">
      <c r="A1881" s="105"/>
      <c r="B1881" s="105"/>
      <c r="C1881" s="97"/>
      <c r="D1881" s="105"/>
      <c r="E1881" s="105"/>
      <c r="F1881" s="105"/>
      <c r="G1881" s="105"/>
      <c r="H1881" s="105"/>
    </row>
    <row r="1882">
      <c r="A1882" s="105"/>
      <c r="B1882" s="105"/>
      <c r="C1882" s="97"/>
      <c r="D1882" s="105"/>
      <c r="E1882" s="105"/>
      <c r="F1882" s="105"/>
      <c r="G1882" s="105"/>
      <c r="H1882" s="105"/>
    </row>
    <row r="1883">
      <c r="A1883" s="105"/>
      <c r="B1883" s="105"/>
      <c r="C1883" s="97"/>
      <c r="D1883" s="105"/>
      <c r="E1883" s="105"/>
      <c r="F1883" s="105"/>
      <c r="G1883" s="105"/>
      <c r="H1883" s="105"/>
    </row>
    <row r="1884">
      <c r="A1884" s="105"/>
      <c r="B1884" s="105"/>
      <c r="C1884" s="97"/>
      <c r="D1884" s="105"/>
      <c r="E1884" s="105"/>
      <c r="F1884" s="105"/>
      <c r="G1884" s="105"/>
      <c r="H1884" s="105"/>
    </row>
    <row r="1885">
      <c r="A1885" s="105"/>
      <c r="B1885" s="105"/>
      <c r="C1885" s="97"/>
      <c r="D1885" s="105"/>
      <c r="E1885" s="105"/>
      <c r="F1885" s="105"/>
      <c r="G1885" s="105"/>
      <c r="H1885" s="105"/>
    </row>
    <row r="1886">
      <c r="A1886" s="105"/>
      <c r="B1886" s="105"/>
      <c r="C1886" s="97"/>
      <c r="D1886" s="105"/>
      <c r="E1886" s="105"/>
      <c r="F1886" s="105"/>
      <c r="G1886" s="105"/>
      <c r="H1886" s="105"/>
    </row>
    <row r="1887">
      <c r="A1887" s="105"/>
      <c r="B1887" s="105"/>
      <c r="C1887" s="97"/>
      <c r="D1887" s="105"/>
      <c r="E1887" s="105"/>
      <c r="F1887" s="105"/>
      <c r="G1887" s="105"/>
      <c r="H1887" s="105"/>
    </row>
    <row r="1888">
      <c r="A1888" s="105"/>
      <c r="B1888" s="105"/>
      <c r="C1888" s="97"/>
      <c r="D1888" s="105"/>
      <c r="E1888" s="105"/>
      <c r="F1888" s="105"/>
      <c r="G1888" s="105"/>
      <c r="H1888" s="105"/>
    </row>
    <row r="1889">
      <c r="A1889" s="105"/>
      <c r="B1889" s="105"/>
      <c r="C1889" s="97"/>
      <c r="D1889" s="105"/>
      <c r="E1889" s="105"/>
      <c r="F1889" s="105"/>
      <c r="G1889" s="105"/>
      <c r="H1889" s="105"/>
    </row>
    <row r="1890">
      <c r="A1890" s="105"/>
      <c r="B1890" s="105"/>
      <c r="C1890" s="97"/>
      <c r="D1890" s="105"/>
      <c r="E1890" s="105"/>
      <c r="F1890" s="105"/>
      <c r="G1890" s="105"/>
      <c r="H1890" s="105"/>
    </row>
    <row r="1891">
      <c r="A1891" s="105"/>
      <c r="B1891" s="105"/>
      <c r="C1891" s="97"/>
      <c r="D1891" s="105"/>
      <c r="E1891" s="105"/>
      <c r="F1891" s="105"/>
      <c r="G1891" s="105"/>
      <c r="H1891" s="105"/>
    </row>
    <row r="1892">
      <c r="A1892" s="105"/>
      <c r="B1892" s="105"/>
      <c r="C1892" s="97"/>
      <c r="D1892" s="105"/>
      <c r="E1892" s="105"/>
      <c r="F1892" s="105"/>
      <c r="G1892" s="105"/>
      <c r="H1892" s="105"/>
    </row>
    <row r="1893">
      <c r="A1893" s="105"/>
      <c r="B1893" s="105"/>
      <c r="C1893" s="97"/>
      <c r="D1893" s="105"/>
      <c r="E1893" s="105"/>
      <c r="F1893" s="105"/>
      <c r="G1893" s="105"/>
      <c r="H1893" s="105"/>
    </row>
    <row r="1894">
      <c r="A1894" s="105"/>
      <c r="B1894" s="105"/>
      <c r="C1894" s="97"/>
      <c r="D1894" s="105"/>
      <c r="E1894" s="105"/>
      <c r="F1894" s="105"/>
      <c r="G1894" s="105"/>
      <c r="H1894" s="105"/>
    </row>
    <row r="1895">
      <c r="A1895" s="105"/>
      <c r="B1895" s="105"/>
      <c r="C1895" s="97"/>
      <c r="D1895" s="105"/>
      <c r="E1895" s="105"/>
      <c r="F1895" s="105"/>
      <c r="G1895" s="105"/>
      <c r="H1895" s="105"/>
    </row>
    <row r="1896">
      <c r="A1896" s="105"/>
      <c r="B1896" s="105"/>
      <c r="C1896" s="97"/>
      <c r="D1896" s="105"/>
      <c r="E1896" s="105"/>
      <c r="F1896" s="105"/>
      <c r="G1896" s="105"/>
      <c r="H1896" s="105"/>
    </row>
    <row r="1897">
      <c r="A1897" s="105"/>
      <c r="B1897" s="105"/>
      <c r="C1897" s="97"/>
      <c r="D1897" s="105"/>
      <c r="E1897" s="105"/>
      <c r="F1897" s="105"/>
      <c r="G1897" s="105"/>
      <c r="H1897" s="105"/>
    </row>
    <row r="1898">
      <c r="A1898" s="105"/>
      <c r="B1898" s="105"/>
      <c r="C1898" s="97"/>
      <c r="D1898" s="105"/>
      <c r="E1898" s="105"/>
      <c r="F1898" s="105"/>
      <c r="G1898" s="105"/>
      <c r="H1898" s="105"/>
    </row>
    <row r="1899">
      <c r="A1899" s="105"/>
      <c r="B1899" s="105"/>
      <c r="C1899" s="97"/>
      <c r="D1899" s="105"/>
      <c r="E1899" s="105"/>
      <c r="F1899" s="105"/>
      <c r="G1899" s="105"/>
      <c r="H1899" s="105"/>
    </row>
    <row r="1900">
      <c r="A1900" s="105"/>
      <c r="B1900" s="105"/>
      <c r="C1900" s="97"/>
      <c r="D1900" s="105"/>
      <c r="E1900" s="105"/>
      <c r="F1900" s="105"/>
      <c r="G1900" s="105"/>
      <c r="H1900" s="105"/>
    </row>
    <row r="1901">
      <c r="A1901" s="105"/>
      <c r="B1901" s="105"/>
      <c r="C1901" s="97"/>
      <c r="D1901" s="105"/>
      <c r="E1901" s="105"/>
      <c r="F1901" s="105"/>
      <c r="G1901" s="105"/>
      <c r="H1901" s="105"/>
    </row>
    <row r="1902">
      <c r="A1902" s="105"/>
      <c r="B1902" s="105"/>
      <c r="C1902" s="97"/>
      <c r="D1902" s="105"/>
      <c r="E1902" s="105"/>
      <c r="F1902" s="105"/>
      <c r="G1902" s="105"/>
      <c r="H1902" s="105"/>
    </row>
    <row r="1903">
      <c r="A1903" s="105"/>
      <c r="B1903" s="105"/>
      <c r="C1903" s="97"/>
      <c r="D1903" s="105"/>
      <c r="E1903" s="105"/>
      <c r="F1903" s="105"/>
      <c r="G1903" s="105"/>
      <c r="H1903" s="105"/>
    </row>
    <row r="1904">
      <c r="A1904" s="105"/>
      <c r="B1904" s="105"/>
      <c r="C1904" s="97"/>
      <c r="D1904" s="105"/>
      <c r="E1904" s="105"/>
      <c r="F1904" s="105"/>
      <c r="G1904" s="105"/>
      <c r="H1904" s="105"/>
    </row>
    <row r="1905">
      <c r="A1905" s="105"/>
      <c r="B1905" s="105"/>
      <c r="C1905" s="97"/>
      <c r="D1905" s="105"/>
      <c r="E1905" s="105"/>
      <c r="F1905" s="105"/>
      <c r="G1905" s="105"/>
      <c r="H1905" s="105"/>
    </row>
    <row r="1906">
      <c r="A1906" s="105"/>
      <c r="B1906" s="105"/>
      <c r="C1906" s="97"/>
      <c r="D1906" s="105"/>
      <c r="E1906" s="105"/>
      <c r="F1906" s="105"/>
      <c r="G1906" s="105"/>
      <c r="H1906" s="105"/>
    </row>
    <row r="1907">
      <c r="A1907" s="105"/>
      <c r="B1907" s="105"/>
      <c r="C1907" s="97"/>
      <c r="D1907" s="105"/>
      <c r="E1907" s="105"/>
      <c r="F1907" s="105"/>
      <c r="G1907" s="105"/>
      <c r="H1907" s="105"/>
    </row>
    <row r="1908">
      <c r="A1908" s="105"/>
      <c r="B1908" s="105"/>
      <c r="C1908" s="97"/>
      <c r="D1908" s="105"/>
      <c r="E1908" s="105"/>
      <c r="F1908" s="105"/>
      <c r="G1908" s="105"/>
      <c r="H1908" s="105"/>
    </row>
    <row r="1909">
      <c r="A1909" s="105"/>
      <c r="B1909" s="105"/>
      <c r="C1909" s="97"/>
      <c r="D1909" s="105"/>
      <c r="E1909" s="105"/>
      <c r="F1909" s="105"/>
      <c r="G1909" s="105"/>
      <c r="H1909" s="105"/>
    </row>
    <row r="1910">
      <c r="A1910" s="105"/>
      <c r="B1910" s="105"/>
      <c r="C1910" s="97"/>
      <c r="D1910" s="105"/>
      <c r="E1910" s="105"/>
      <c r="F1910" s="105"/>
      <c r="G1910" s="105"/>
      <c r="H1910" s="105"/>
    </row>
    <row r="1911">
      <c r="A1911" s="105"/>
      <c r="B1911" s="105"/>
      <c r="C1911" s="97"/>
      <c r="D1911" s="105"/>
      <c r="E1911" s="105"/>
      <c r="F1911" s="105"/>
      <c r="G1911" s="105"/>
      <c r="H1911" s="105"/>
    </row>
    <row r="1912">
      <c r="A1912" s="105"/>
      <c r="B1912" s="105"/>
      <c r="C1912" s="97"/>
      <c r="D1912" s="105"/>
      <c r="E1912" s="105"/>
      <c r="F1912" s="105"/>
      <c r="G1912" s="105"/>
      <c r="H1912" s="105"/>
    </row>
    <row r="1913">
      <c r="A1913" s="105"/>
      <c r="B1913" s="105"/>
      <c r="C1913" s="97"/>
      <c r="D1913" s="105"/>
      <c r="E1913" s="105"/>
      <c r="F1913" s="105"/>
      <c r="G1913" s="105"/>
      <c r="H1913" s="105"/>
    </row>
    <row r="1914">
      <c r="A1914" s="105"/>
      <c r="B1914" s="105"/>
      <c r="C1914" s="97"/>
      <c r="D1914" s="105"/>
      <c r="E1914" s="105"/>
      <c r="F1914" s="105"/>
      <c r="G1914" s="105"/>
      <c r="H1914" s="105"/>
    </row>
    <row r="1915">
      <c r="A1915" s="105"/>
      <c r="B1915" s="105"/>
      <c r="C1915" s="97"/>
      <c r="D1915" s="105"/>
      <c r="E1915" s="105"/>
      <c r="F1915" s="105"/>
      <c r="G1915" s="105"/>
      <c r="H1915" s="105"/>
    </row>
    <row r="1916">
      <c r="A1916" s="105"/>
      <c r="B1916" s="105"/>
      <c r="C1916" s="97"/>
      <c r="D1916" s="105"/>
      <c r="E1916" s="105"/>
      <c r="F1916" s="105"/>
      <c r="G1916" s="105"/>
      <c r="H1916" s="105"/>
    </row>
    <row r="1917">
      <c r="A1917" s="105"/>
      <c r="B1917" s="105"/>
      <c r="C1917" s="97"/>
      <c r="D1917" s="105"/>
      <c r="E1917" s="105"/>
      <c r="F1917" s="105"/>
      <c r="G1917" s="105"/>
      <c r="H1917" s="105"/>
    </row>
    <row r="1918">
      <c r="A1918" s="105"/>
      <c r="B1918" s="105"/>
      <c r="C1918" s="97"/>
      <c r="D1918" s="105"/>
      <c r="E1918" s="105"/>
      <c r="F1918" s="105"/>
      <c r="G1918" s="105"/>
      <c r="H1918" s="105"/>
    </row>
    <row r="1919">
      <c r="A1919" s="105"/>
      <c r="B1919" s="105"/>
      <c r="C1919" s="97"/>
      <c r="D1919" s="105"/>
      <c r="E1919" s="105"/>
      <c r="F1919" s="105"/>
      <c r="G1919" s="105"/>
      <c r="H1919" s="105"/>
    </row>
    <row r="1920">
      <c r="A1920" s="105"/>
      <c r="B1920" s="105"/>
      <c r="C1920" s="97"/>
      <c r="D1920" s="105"/>
      <c r="E1920" s="105"/>
      <c r="F1920" s="105"/>
      <c r="G1920" s="105"/>
      <c r="H1920" s="105"/>
    </row>
    <row r="1921">
      <c r="A1921" s="105"/>
      <c r="B1921" s="105"/>
      <c r="C1921" s="97"/>
      <c r="D1921" s="105"/>
      <c r="E1921" s="105"/>
      <c r="F1921" s="105"/>
      <c r="G1921" s="105"/>
      <c r="H1921" s="105"/>
    </row>
    <row r="1922">
      <c r="A1922" s="105"/>
      <c r="B1922" s="105"/>
      <c r="C1922" s="97"/>
      <c r="D1922" s="105"/>
      <c r="E1922" s="105"/>
      <c r="F1922" s="105"/>
      <c r="G1922" s="105"/>
      <c r="H1922" s="105"/>
    </row>
    <row r="1923">
      <c r="A1923" s="105"/>
      <c r="B1923" s="105"/>
      <c r="C1923" s="97"/>
      <c r="D1923" s="105"/>
      <c r="E1923" s="105"/>
      <c r="F1923" s="105"/>
      <c r="G1923" s="105"/>
      <c r="H1923" s="105"/>
    </row>
    <row r="1924">
      <c r="A1924" s="105"/>
      <c r="B1924" s="105"/>
      <c r="C1924" s="97"/>
      <c r="D1924" s="105"/>
      <c r="E1924" s="105"/>
      <c r="F1924" s="105"/>
      <c r="G1924" s="105"/>
      <c r="H1924" s="105"/>
    </row>
    <row r="1925">
      <c r="A1925" s="105"/>
      <c r="B1925" s="105"/>
      <c r="C1925" s="97"/>
      <c r="D1925" s="105"/>
      <c r="E1925" s="105"/>
      <c r="F1925" s="105"/>
      <c r="G1925" s="105"/>
      <c r="H1925" s="105"/>
    </row>
    <row r="1926">
      <c r="A1926" s="105"/>
      <c r="B1926" s="105"/>
      <c r="C1926" s="97"/>
      <c r="D1926" s="105"/>
      <c r="E1926" s="105"/>
      <c r="F1926" s="105"/>
      <c r="G1926" s="105"/>
      <c r="H1926" s="105"/>
    </row>
    <row r="1927">
      <c r="A1927" s="105"/>
      <c r="B1927" s="105"/>
      <c r="C1927" s="97"/>
      <c r="D1927" s="105"/>
      <c r="E1927" s="105"/>
      <c r="F1927" s="105"/>
      <c r="G1927" s="105"/>
      <c r="H1927" s="105"/>
    </row>
    <row r="1928">
      <c r="A1928" s="105"/>
      <c r="B1928" s="105"/>
      <c r="C1928" s="97"/>
      <c r="D1928" s="105"/>
      <c r="E1928" s="105"/>
      <c r="F1928" s="105"/>
      <c r="G1928" s="105"/>
      <c r="H1928" s="105"/>
    </row>
    <row r="1929">
      <c r="A1929" s="105"/>
      <c r="B1929" s="105"/>
      <c r="C1929" s="97"/>
      <c r="D1929" s="105"/>
      <c r="E1929" s="105"/>
      <c r="F1929" s="105"/>
      <c r="G1929" s="105"/>
      <c r="H1929" s="105"/>
    </row>
    <row r="1930">
      <c r="A1930" s="105"/>
      <c r="B1930" s="105"/>
      <c r="C1930" s="97"/>
      <c r="D1930" s="105"/>
      <c r="E1930" s="105"/>
      <c r="F1930" s="105"/>
      <c r="G1930" s="105"/>
      <c r="H1930" s="105"/>
    </row>
    <row r="1931">
      <c r="A1931" s="105"/>
      <c r="B1931" s="105"/>
      <c r="C1931" s="97"/>
      <c r="D1931" s="105"/>
      <c r="E1931" s="105"/>
      <c r="F1931" s="105"/>
      <c r="G1931" s="105"/>
      <c r="H1931" s="105"/>
    </row>
    <row r="1932">
      <c r="A1932" s="105"/>
      <c r="B1932" s="105"/>
      <c r="C1932" s="97"/>
      <c r="D1932" s="105"/>
      <c r="E1932" s="105"/>
      <c r="F1932" s="105"/>
      <c r="G1932" s="105"/>
      <c r="H1932" s="105"/>
    </row>
    <row r="1933">
      <c r="A1933" s="105"/>
      <c r="B1933" s="105"/>
      <c r="C1933" s="97"/>
      <c r="D1933" s="105"/>
      <c r="E1933" s="105"/>
      <c r="F1933" s="105"/>
      <c r="G1933" s="105"/>
      <c r="H1933" s="105"/>
    </row>
    <row r="1934">
      <c r="A1934" s="105"/>
      <c r="B1934" s="105"/>
      <c r="C1934" s="97"/>
      <c r="D1934" s="105"/>
      <c r="E1934" s="105"/>
      <c r="F1934" s="105"/>
      <c r="G1934" s="105"/>
      <c r="H1934" s="105"/>
    </row>
    <row r="1935">
      <c r="A1935" s="105"/>
      <c r="B1935" s="105"/>
      <c r="C1935" s="97"/>
      <c r="D1935" s="105"/>
      <c r="E1935" s="105"/>
      <c r="F1935" s="105"/>
      <c r="G1935" s="105"/>
      <c r="H1935" s="105"/>
    </row>
    <row r="1936">
      <c r="A1936" s="105"/>
      <c r="B1936" s="105"/>
      <c r="C1936" s="97"/>
      <c r="D1936" s="105"/>
      <c r="E1936" s="105"/>
      <c r="F1936" s="105"/>
      <c r="G1936" s="105"/>
      <c r="H1936" s="105"/>
    </row>
    <row r="1937">
      <c r="A1937" s="105"/>
      <c r="B1937" s="105"/>
      <c r="C1937" s="97"/>
      <c r="D1937" s="105"/>
      <c r="E1937" s="105"/>
      <c r="F1937" s="105"/>
      <c r="G1937" s="105"/>
      <c r="H1937" s="105"/>
    </row>
    <row r="1938">
      <c r="A1938" s="105"/>
      <c r="B1938" s="105"/>
      <c r="C1938" s="97"/>
      <c r="D1938" s="105"/>
      <c r="E1938" s="105"/>
      <c r="F1938" s="105"/>
      <c r="G1938" s="105"/>
      <c r="H1938" s="105"/>
    </row>
    <row r="1939">
      <c r="A1939" s="105"/>
      <c r="B1939" s="105"/>
      <c r="C1939" s="97"/>
      <c r="D1939" s="105"/>
      <c r="E1939" s="105"/>
      <c r="F1939" s="105"/>
      <c r="G1939" s="105"/>
      <c r="H1939" s="105"/>
    </row>
    <row r="1940">
      <c r="A1940" s="105"/>
      <c r="B1940" s="105"/>
      <c r="C1940" s="97"/>
      <c r="D1940" s="105"/>
      <c r="E1940" s="105"/>
      <c r="F1940" s="105"/>
      <c r="G1940" s="105"/>
      <c r="H1940" s="105"/>
    </row>
    <row r="1941">
      <c r="A1941" s="105"/>
      <c r="B1941" s="105"/>
      <c r="C1941" s="97"/>
      <c r="D1941" s="105"/>
      <c r="E1941" s="105"/>
      <c r="F1941" s="105"/>
      <c r="G1941" s="105"/>
      <c r="H1941" s="105"/>
    </row>
    <row r="1942">
      <c r="A1942" s="105"/>
      <c r="B1942" s="105"/>
      <c r="C1942" s="97"/>
      <c r="D1942" s="105"/>
      <c r="E1942" s="105"/>
      <c r="F1942" s="105"/>
      <c r="G1942" s="105"/>
      <c r="H1942" s="105"/>
    </row>
    <row r="1943">
      <c r="A1943" s="105"/>
      <c r="B1943" s="105"/>
      <c r="C1943" s="97"/>
      <c r="D1943" s="105"/>
      <c r="E1943" s="105"/>
      <c r="F1943" s="105"/>
      <c r="G1943" s="105"/>
      <c r="H1943" s="105"/>
    </row>
    <row r="1944">
      <c r="A1944" s="105"/>
      <c r="B1944" s="105"/>
      <c r="C1944" s="97"/>
      <c r="D1944" s="105"/>
      <c r="E1944" s="105"/>
      <c r="F1944" s="105"/>
      <c r="G1944" s="105"/>
      <c r="H1944" s="105"/>
    </row>
    <row r="1945">
      <c r="A1945" s="105"/>
      <c r="B1945" s="105"/>
      <c r="C1945" s="97"/>
      <c r="D1945" s="105"/>
      <c r="E1945" s="105"/>
      <c r="F1945" s="105"/>
      <c r="G1945" s="105"/>
      <c r="H1945" s="105"/>
    </row>
    <row r="1946">
      <c r="A1946" s="105"/>
      <c r="B1946" s="105"/>
      <c r="C1946" s="97"/>
      <c r="D1946" s="105"/>
      <c r="E1946" s="105"/>
      <c r="F1946" s="105"/>
      <c r="G1946" s="105"/>
      <c r="H1946" s="105"/>
    </row>
    <row r="1947">
      <c r="A1947" s="105"/>
      <c r="B1947" s="105"/>
      <c r="C1947" s="97"/>
      <c r="D1947" s="105"/>
      <c r="E1947" s="105"/>
      <c r="F1947" s="105"/>
      <c r="G1947" s="105"/>
      <c r="H1947" s="105"/>
    </row>
    <row r="1948">
      <c r="A1948" s="105"/>
      <c r="B1948" s="105"/>
      <c r="C1948" s="97"/>
      <c r="D1948" s="105"/>
      <c r="E1948" s="105"/>
      <c r="F1948" s="105"/>
      <c r="G1948" s="105"/>
      <c r="H1948" s="105"/>
    </row>
    <row r="1949">
      <c r="A1949" s="105"/>
      <c r="B1949" s="105"/>
      <c r="C1949" s="97"/>
      <c r="D1949" s="105"/>
      <c r="E1949" s="105"/>
      <c r="F1949" s="105"/>
      <c r="G1949" s="105"/>
      <c r="H1949" s="105"/>
    </row>
    <row r="1950">
      <c r="A1950" s="105"/>
      <c r="B1950" s="105"/>
      <c r="C1950" s="97"/>
      <c r="D1950" s="105"/>
      <c r="E1950" s="105"/>
      <c r="F1950" s="105"/>
      <c r="G1950" s="105"/>
      <c r="H1950" s="105"/>
    </row>
    <row r="1951">
      <c r="A1951" s="105"/>
      <c r="B1951" s="105"/>
      <c r="C1951" s="97"/>
      <c r="D1951" s="105"/>
      <c r="E1951" s="105"/>
      <c r="F1951" s="105"/>
      <c r="G1951" s="105"/>
      <c r="H1951" s="105"/>
    </row>
    <row r="1952">
      <c r="A1952" s="105"/>
      <c r="B1952" s="105"/>
      <c r="C1952" s="97"/>
      <c r="D1952" s="105"/>
      <c r="E1952" s="105"/>
      <c r="F1952" s="105"/>
      <c r="G1952" s="105"/>
      <c r="H1952" s="105"/>
    </row>
    <row r="1953">
      <c r="A1953" s="105"/>
      <c r="B1953" s="105"/>
      <c r="C1953" s="97"/>
      <c r="D1953" s="105"/>
      <c r="E1953" s="105"/>
      <c r="F1953" s="105"/>
      <c r="G1953" s="105"/>
      <c r="H1953" s="105"/>
    </row>
    <row r="1954">
      <c r="A1954" s="105"/>
      <c r="B1954" s="105"/>
      <c r="C1954" s="97"/>
      <c r="D1954" s="105"/>
      <c r="E1954" s="105"/>
      <c r="F1954" s="105"/>
      <c r="G1954" s="105"/>
      <c r="H1954" s="105"/>
    </row>
    <row r="1955">
      <c r="A1955" s="105"/>
      <c r="B1955" s="105"/>
      <c r="C1955" s="97"/>
      <c r="D1955" s="105"/>
      <c r="E1955" s="105"/>
      <c r="F1955" s="105"/>
      <c r="G1955" s="105"/>
      <c r="H1955" s="105"/>
    </row>
    <row r="1956">
      <c r="A1956" s="105"/>
      <c r="B1956" s="105"/>
      <c r="C1956" s="97"/>
      <c r="D1956" s="105"/>
      <c r="E1956" s="105"/>
      <c r="F1956" s="105"/>
      <c r="G1956" s="105"/>
      <c r="H1956" s="105"/>
    </row>
    <row r="1957">
      <c r="A1957" s="105"/>
      <c r="B1957" s="105"/>
      <c r="C1957" s="97"/>
      <c r="D1957" s="105"/>
      <c r="E1957" s="105"/>
      <c r="F1957" s="105"/>
      <c r="G1957" s="105"/>
      <c r="H1957" s="105"/>
    </row>
    <row r="1958">
      <c r="A1958" s="105"/>
      <c r="B1958" s="105"/>
      <c r="C1958" s="97"/>
      <c r="D1958" s="105"/>
      <c r="E1958" s="105"/>
      <c r="F1958" s="105"/>
      <c r="G1958" s="105"/>
      <c r="H1958" s="105"/>
    </row>
    <row r="1959">
      <c r="A1959" s="105"/>
      <c r="B1959" s="105"/>
      <c r="C1959" s="97"/>
      <c r="D1959" s="105"/>
      <c r="E1959" s="105"/>
      <c r="F1959" s="105"/>
      <c r="G1959" s="105"/>
      <c r="H1959" s="105"/>
    </row>
    <row r="1960">
      <c r="A1960" s="105"/>
      <c r="B1960" s="105"/>
      <c r="C1960" s="97"/>
      <c r="D1960" s="105"/>
      <c r="E1960" s="105"/>
      <c r="F1960" s="105"/>
      <c r="G1960" s="105"/>
      <c r="H1960" s="105"/>
    </row>
    <row r="1961">
      <c r="A1961" s="105"/>
      <c r="B1961" s="105"/>
      <c r="C1961" s="97"/>
      <c r="D1961" s="105"/>
      <c r="E1961" s="105"/>
      <c r="F1961" s="105"/>
      <c r="G1961" s="105"/>
      <c r="H1961" s="105"/>
    </row>
    <row r="1962">
      <c r="A1962" s="105"/>
      <c r="B1962" s="105"/>
      <c r="C1962" s="97"/>
      <c r="D1962" s="105"/>
      <c r="E1962" s="105"/>
      <c r="F1962" s="105"/>
      <c r="G1962" s="105"/>
      <c r="H1962" s="105"/>
    </row>
    <row r="1963">
      <c r="A1963" s="105"/>
      <c r="B1963" s="105"/>
      <c r="C1963" s="97"/>
      <c r="D1963" s="105"/>
      <c r="E1963" s="105"/>
      <c r="F1963" s="105"/>
      <c r="G1963" s="105"/>
      <c r="H1963" s="105"/>
    </row>
    <row r="1964">
      <c r="A1964" s="105"/>
      <c r="B1964" s="105"/>
      <c r="C1964" s="97"/>
      <c r="D1964" s="105"/>
      <c r="E1964" s="105"/>
      <c r="F1964" s="105"/>
      <c r="G1964" s="105"/>
      <c r="H1964" s="105"/>
    </row>
    <row r="1965">
      <c r="A1965" s="105"/>
      <c r="B1965" s="105"/>
      <c r="C1965" s="97"/>
      <c r="D1965" s="105"/>
      <c r="E1965" s="105"/>
      <c r="F1965" s="105"/>
      <c r="G1965" s="105"/>
      <c r="H1965" s="105"/>
    </row>
    <row r="1966">
      <c r="A1966" s="105"/>
      <c r="B1966" s="105"/>
      <c r="C1966" s="97"/>
      <c r="D1966" s="105"/>
      <c r="E1966" s="105"/>
      <c r="F1966" s="105"/>
      <c r="G1966" s="105"/>
      <c r="H1966" s="105"/>
    </row>
    <row r="1967">
      <c r="A1967" s="105"/>
      <c r="B1967" s="105"/>
      <c r="C1967" s="97"/>
      <c r="D1967" s="105"/>
      <c r="E1967" s="105"/>
      <c r="F1967" s="105"/>
      <c r="G1967" s="105"/>
      <c r="H1967" s="105"/>
    </row>
    <row r="1968">
      <c r="A1968" s="105"/>
      <c r="B1968" s="105"/>
      <c r="C1968" s="97"/>
      <c r="D1968" s="105"/>
      <c r="E1968" s="105"/>
      <c r="F1968" s="105"/>
      <c r="G1968" s="105"/>
      <c r="H1968" s="105"/>
    </row>
    <row r="1969">
      <c r="A1969" s="105"/>
      <c r="B1969" s="105"/>
      <c r="C1969" s="97"/>
      <c r="D1969" s="105"/>
      <c r="E1969" s="105"/>
      <c r="F1969" s="105"/>
      <c r="G1969" s="105"/>
      <c r="H1969" s="105"/>
    </row>
    <row r="1970">
      <c r="A1970" s="105"/>
      <c r="B1970" s="105"/>
      <c r="C1970" s="97"/>
      <c r="D1970" s="105"/>
      <c r="E1970" s="105"/>
      <c r="F1970" s="105"/>
      <c r="G1970" s="105"/>
      <c r="H1970" s="105"/>
    </row>
    <row r="1971">
      <c r="A1971" s="105"/>
      <c r="B1971" s="105"/>
      <c r="C1971" s="97"/>
      <c r="D1971" s="105"/>
      <c r="E1971" s="105"/>
      <c r="F1971" s="105"/>
      <c r="G1971" s="105"/>
      <c r="H1971" s="105"/>
    </row>
    <row r="1972">
      <c r="A1972" s="105"/>
      <c r="B1972" s="105"/>
      <c r="C1972" s="97"/>
      <c r="D1972" s="105"/>
      <c r="E1972" s="105"/>
      <c r="F1972" s="105"/>
      <c r="G1972" s="105"/>
      <c r="H1972" s="105"/>
    </row>
    <row r="1973">
      <c r="A1973" s="105"/>
      <c r="B1973" s="105"/>
      <c r="C1973" s="97"/>
      <c r="D1973" s="105"/>
      <c r="E1973" s="105"/>
      <c r="F1973" s="105"/>
      <c r="G1973" s="105"/>
      <c r="H1973" s="105"/>
    </row>
    <row r="1974">
      <c r="A1974" s="105"/>
      <c r="B1974" s="105"/>
      <c r="C1974" s="97"/>
      <c r="D1974" s="105"/>
      <c r="E1974" s="105"/>
      <c r="F1974" s="105"/>
      <c r="G1974" s="105"/>
      <c r="H1974" s="105"/>
    </row>
    <row r="1975">
      <c r="A1975" s="105"/>
      <c r="B1975" s="105"/>
      <c r="C1975" s="97"/>
      <c r="D1975" s="105"/>
      <c r="E1975" s="105"/>
      <c r="F1975" s="105"/>
      <c r="G1975" s="105"/>
      <c r="H1975" s="105"/>
    </row>
    <row r="1976">
      <c r="A1976" s="105"/>
      <c r="B1976" s="105"/>
      <c r="C1976" s="97"/>
      <c r="D1976" s="105"/>
      <c r="E1976" s="105"/>
      <c r="F1976" s="105"/>
      <c r="G1976" s="105"/>
      <c r="H1976" s="105"/>
    </row>
    <row r="1977">
      <c r="A1977" s="105"/>
      <c r="B1977" s="105"/>
      <c r="C1977" s="97"/>
      <c r="D1977" s="105"/>
      <c r="E1977" s="105"/>
      <c r="F1977" s="105"/>
      <c r="G1977" s="105"/>
      <c r="H1977" s="105"/>
    </row>
    <row r="1978">
      <c r="A1978" s="105"/>
      <c r="B1978" s="105"/>
      <c r="C1978" s="97"/>
      <c r="D1978" s="105"/>
      <c r="E1978" s="105"/>
      <c r="F1978" s="105"/>
      <c r="G1978" s="105"/>
      <c r="H1978" s="105"/>
    </row>
    <row r="1979">
      <c r="A1979" s="105"/>
      <c r="B1979" s="105"/>
      <c r="C1979" s="97"/>
      <c r="D1979" s="105"/>
      <c r="E1979" s="105"/>
      <c r="F1979" s="105"/>
      <c r="G1979" s="105"/>
      <c r="H1979" s="105"/>
    </row>
    <row r="1980">
      <c r="A1980" s="105"/>
      <c r="B1980" s="105"/>
      <c r="C1980" s="97"/>
      <c r="D1980" s="105"/>
      <c r="E1980" s="105"/>
      <c r="F1980" s="105"/>
      <c r="G1980" s="105"/>
      <c r="H1980" s="105"/>
    </row>
    <row r="1981">
      <c r="A1981" s="105"/>
      <c r="B1981" s="105"/>
      <c r="C1981" s="97"/>
      <c r="D1981" s="105"/>
      <c r="E1981" s="105"/>
      <c r="F1981" s="105"/>
      <c r="G1981" s="105"/>
      <c r="H1981" s="105"/>
    </row>
    <row r="1982">
      <c r="A1982" s="105"/>
      <c r="B1982" s="105"/>
      <c r="C1982" s="97"/>
      <c r="D1982" s="105"/>
      <c r="E1982" s="105"/>
      <c r="F1982" s="105"/>
      <c r="G1982" s="105"/>
      <c r="H1982" s="105"/>
    </row>
    <row r="1983">
      <c r="A1983" s="105"/>
      <c r="B1983" s="105"/>
      <c r="C1983" s="97"/>
      <c r="D1983" s="105"/>
      <c r="E1983" s="105"/>
      <c r="F1983" s="105"/>
      <c r="G1983" s="105"/>
      <c r="H1983" s="105"/>
    </row>
    <row r="1984">
      <c r="A1984" s="105"/>
      <c r="B1984" s="105"/>
      <c r="C1984" s="97"/>
      <c r="D1984" s="105"/>
      <c r="E1984" s="105"/>
      <c r="F1984" s="105"/>
      <c r="G1984" s="105"/>
      <c r="H1984" s="105"/>
    </row>
    <row r="1985">
      <c r="A1985" s="105"/>
      <c r="B1985" s="105"/>
      <c r="C1985" s="97"/>
      <c r="D1985" s="105"/>
      <c r="E1985" s="105"/>
      <c r="F1985" s="105"/>
      <c r="G1985" s="105"/>
      <c r="H1985" s="105"/>
    </row>
    <row r="1986">
      <c r="A1986" s="105"/>
      <c r="B1986" s="105"/>
      <c r="C1986" s="97"/>
      <c r="D1986" s="105"/>
      <c r="E1986" s="105"/>
      <c r="F1986" s="105"/>
      <c r="G1986" s="105"/>
      <c r="H1986" s="105"/>
    </row>
    <row r="1987">
      <c r="A1987" s="105"/>
      <c r="B1987" s="105"/>
      <c r="C1987" s="97"/>
      <c r="D1987" s="105"/>
      <c r="E1987" s="105"/>
      <c r="F1987" s="105"/>
      <c r="G1987" s="105"/>
      <c r="H1987" s="105"/>
    </row>
    <row r="1988">
      <c r="A1988" s="105"/>
      <c r="B1988" s="105"/>
      <c r="C1988" s="97"/>
      <c r="D1988" s="105"/>
      <c r="E1988" s="105"/>
      <c r="F1988" s="105"/>
      <c r="G1988" s="105"/>
      <c r="H1988" s="105"/>
    </row>
    <row r="1989">
      <c r="A1989" s="105"/>
      <c r="B1989" s="105"/>
      <c r="C1989" s="97"/>
      <c r="D1989" s="105"/>
      <c r="E1989" s="105"/>
      <c r="F1989" s="105"/>
      <c r="G1989" s="105"/>
      <c r="H1989" s="105"/>
    </row>
    <row r="1990">
      <c r="A1990" s="105"/>
      <c r="B1990" s="105"/>
      <c r="C1990" s="97"/>
      <c r="D1990" s="105"/>
      <c r="E1990" s="105"/>
      <c r="F1990" s="105"/>
      <c r="G1990" s="105"/>
      <c r="H1990" s="105"/>
    </row>
    <row r="1991">
      <c r="A1991" s="105"/>
      <c r="B1991" s="105"/>
      <c r="C1991" s="97"/>
      <c r="D1991" s="105"/>
      <c r="E1991" s="105"/>
      <c r="F1991" s="105"/>
      <c r="G1991" s="105"/>
      <c r="H1991" s="105"/>
    </row>
    <row r="1992">
      <c r="A1992" s="105"/>
      <c r="B1992" s="105"/>
      <c r="C1992" s="97"/>
      <c r="D1992" s="105"/>
      <c r="E1992" s="105"/>
      <c r="F1992" s="105"/>
      <c r="G1992" s="105"/>
      <c r="H1992" s="105"/>
    </row>
    <row r="1993">
      <c r="A1993" s="105"/>
      <c r="B1993" s="105"/>
      <c r="C1993" s="97"/>
      <c r="D1993" s="105"/>
      <c r="E1993" s="105"/>
      <c r="F1993" s="105"/>
      <c r="G1993" s="105"/>
      <c r="H1993" s="105"/>
    </row>
    <row r="1994">
      <c r="A1994" s="105"/>
      <c r="B1994" s="105"/>
      <c r="C1994" s="97"/>
      <c r="D1994" s="105"/>
      <c r="E1994" s="105"/>
      <c r="F1994" s="105"/>
      <c r="G1994" s="105"/>
      <c r="H1994" s="105"/>
    </row>
    <row r="1995">
      <c r="A1995" s="105"/>
      <c r="B1995" s="105"/>
      <c r="C1995" s="97"/>
      <c r="D1995" s="105"/>
      <c r="E1995" s="105"/>
      <c r="F1995" s="105"/>
      <c r="G1995" s="105"/>
      <c r="H1995" s="105"/>
    </row>
    <row r="1996">
      <c r="A1996" s="105"/>
      <c r="B1996" s="105"/>
      <c r="C1996" s="97"/>
      <c r="D1996" s="105"/>
      <c r="E1996" s="105"/>
      <c r="F1996" s="105"/>
      <c r="G1996" s="105"/>
      <c r="H1996" s="105"/>
    </row>
    <row r="1997">
      <c r="A1997" s="105"/>
      <c r="B1997" s="105"/>
      <c r="C1997" s="97"/>
      <c r="D1997" s="105"/>
      <c r="E1997" s="105"/>
      <c r="F1997" s="105"/>
      <c r="G1997" s="105"/>
      <c r="H1997" s="105"/>
    </row>
    <row r="1998">
      <c r="A1998" s="105"/>
      <c r="B1998" s="105"/>
      <c r="C1998" s="97"/>
      <c r="D1998" s="105"/>
      <c r="E1998" s="105"/>
      <c r="F1998" s="105"/>
      <c r="G1998" s="105"/>
      <c r="H1998" s="105"/>
    </row>
    <row r="1999">
      <c r="A1999" s="105"/>
      <c r="B1999" s="105"/>
      <c r="C1999" s="97"/>
      <c r="D1999" s="105"/>
      <c r="E1999" s="105"/>
      <c r="F1999" s="105"/>
      <c r="G1999" s="105"/>
      <c r="H1999" s="105"/>
    </row>
    <row r="2000">
      <c r="A2000" s="105"/>
      <c r="B2000" s="105"/>
      <c r="C2000" s="97"/>
      <c r="D2000" s="105"/>
      <c r="E2000" s="105"/>
      <c r="F2000" s="105"/>
      <c r="G2000" s="105"/>
      <c r="H2000" s="105"/>
    </row>
    <row r="2001">
      <c r="A2001" s="105"/>
      <c r="B2001" s="105"/>
      <c r="C2001" s="97"/>
      <c r="D2001" s="105"/>
      <c r="E2001" s="105"/>
      <c r="F2001" s="105"/>
      <c r="G2001" s="105"/>
      <c r="H2001" s="105"/>
    </row>
    <row r="2002">
      <c r="A2002" s="105"/>
      <c r="B2002" s="105"/>
      <c r="C2002" s="97"/>
      <c r="D2002" s="105"/>
      <c r="E2002" s="105"/>
      <c r="F2002" s="105"/>
      <c r="G2002" s="105"/>
      <c r="H2002" s="105"/>
    </row>
    <row r="2003">
      <c r="A2003" s="105"/>
      <c r="B2003" s="105"/>
      <c r="C2003" s="97"/>
      <c r="D2003" s="105"/>
      <c r="E2003" s="105"/>
      <c r="F2003" s="105"/>
      <c r="G2003" s="105"/>
      <c r="H2003" s="105"/>
    </row>
    <row r="2004">
      <c r="A2004" s="105"/>
      <c r="B2004" s="105"/>
      <c r="C2004" s="97"/>
      <c r="D2004" s="105"/>
      <c r="E2004" s="105"/>
      <c r="F2004" s="105"/>
      <c r="G2004" s="105"/>
      <c r="H2004" s="105"/>
    </row>
    <row r="2005">
      <c r="A2005" s="105"/>
      <c r="B2005" s="105"/>
      <c r="C2005" s="97"/>
      <c r="D2005" s="105"/>
      <c r="E2005" s="105"/>
      <c r="F2005" s="105"/>
      <c r="G2005" s="105"/>
      <c r="H2005" s="105"/>
    </row>
    <row r="2006">
      <c r="A2006" s="105"/>
      <c r="B2006" s="105"/>
      <c r="C2006" s="97"/>
      <c r="D2006" s="105"/>
      <c r="E2006" s="105"/>
      <c r="F2006" s="105"/>
      <c r="G2006" s="105"/>
      <c r="H2006" s="105"/>
    </row>
    <row r="2007">
      <c r="A2007" s="105"/>
      <c r="B2007" s="105"/>
      <c r="C2007" s="97"/>
      <c r="D2007" s="105"/>
      <c r="E2007" s="105"/>
      <c r="F2007" s="105"/>
      <c r="G2007" s="105"/>
      <c r="H2007" s="105"/>
    </row>
    <row r="2008">
      <c r="A2008" s="105"/>
      <c r="B2008" s="105"/>
      <c r="C2008" s="97"/>
      <c r="D2008" s="105"/>
      <c r="E2008" s="105"/>
      <c r="F2008" s="105"/>
      <c r="G2008" s="105"/>
      <c r="H2008" s="105"/>
    </row>
    <row r="2009">
      <c r="A2009" s="105"/>
      <c r="B2009" s="105"/>
      <c r="C2009" s="97"/>
      <c r="D2009" s="105"/>
      <c r="E2009" s="105"/>
      <c r="F2009" s="105"/>
      <c r="G2009" s="105"/>
      <c r="H2009" s="105"/>
    </row>
    <row r="2010">
      <c r="A2010" s="105"/>
      <c r="B2010" s="105"/>
      <c r="C2010" s="97"/>
      <c r="D2010" s="105"/>
      <c r="E2010" s="105"/>
      <c r="F2010" s="105"/>
      <c r="G2010" s="105"/>
      <c r="H2010" s="105"/>
    </row>
    <row r="2011">
      <c r="A2011" s="105"/>
      <c r="B2011" s="105"/>
      <c r="C2011" s="97"/>
      <c r="D2011" s="105"/>
      <c r="E2011" s="105"/>
      <c r="F2011" s="105"/>
      <c r="G2011" s="105"/>
      <c r="H2011" s="105"/>
    </row>
    <row r="2012">
      <c r="A2012" s="105"/>
      <c r="B2012" s="105"/>
      <c r="C2012" s="97"/>
      <c r="D2012" s="105"/>
      <c r="E2012" s="105"/>
      <c r="F2012" s="105"/>
      <c r="G2012" s="105"/>
      <c r="H2012" s="105"/>
    </row>
    <row r="2013">
      <c r="A2013" s="105"/>
      <c r="B2013" s="105"/>
      <c r="C2013" s="97"/>
      <c r="D2013" s="105"/>
      <c r="E2013" s="105"/>
      <c r="F2013" s="105"/>
      <c r="G2013" s="105"/>
      <c r="H2013" s="105"/>
    </row>
    <row r="2014">
      <c r="A2014" s="105"/>
      <c r="B2014" s="105"/>
      <c r="C2014" s="97"/>
      <c r="D2014" s="105"/>
      <c r="E2014" s="105"/>
      <c r="F2014" s="105"/>
      <c r="G2014" s="105"/>
      <c r="H2014" s="105"/>
    </row>
    <row r="2015">
      <c r="A2015" s="105"/>
      <c r="B2015" s="105"/>
      <c r="C2015" s="97"/>
      <c r="D2015" s="105"/>
      <c r="E2015" s="105"/>
      <c r="F2015" s="105"/>
      <c r="G2015" s="105"/>
      <c r="H2015" s="105"/>
    </row>
    <row r="2016">
      <c r="A2016" s="105"/>
      <c r="B2016" s="105"/>
      <c r="C2016" s="97"/>
      <c r="D2016" s="105"/>
      <c r="E2016" s="105"/>
      <c r="F2016" s="105"/>
      <c r="G2016" s="105"/>
      <c r="H2016" s="105"/>
    </row>
    <row r="2017">
      <c r="A2017" s="105"/>
      <c r="B2017" s="105"/>
      <c r="C2017" s="97"/>
      <c r="D2017" s="105"/>
      <c r="E2017" s="105"/>
      <c r="F2017" s="105"/>
      <c r="G2017" s="105"/>
      <c r="H2017" s="105"/>
    </row>
    <row r="2018">
      <c r="A2018" s="105"/>
      <c r="B2018" s="105"/>
      <c r="C2018" s="97"/>
      <c r="D2018" s="105"/>
      <c r="E2018" s="105"/>
      <c r="F2018" s="105"/>
      <c r="G2018" s="105"/>
      <c r="H2018" s="105"/>
    </row>
    <row r="2019">
      <c r="A2019" s="105"/>
      <c r="B2019" s="105"/>
      <c r="C2019" s="97"/>
      <c r="D2019" s="105"/>
      <c r="E2019" s="105"/>
      <c r="F2019" s="105"/>
      <c r="G2019" s="105"/>
      <c r="H2019" s="105"/>
    </row>
    <row r="2020">
      <c r="A2020" s="105"/>
      <c r="B2020" s="105"/>
      <c r="C2020" s="97"/>
      <c r="D2020" s="105"/>
      <c r="E2020" s="105"/>
      <c r="F2020" s="105"/>
      <c r="G2020" s="105"/>
      <c r="H2020" s="105"/>
    </row>
    <row r="2021">
      <c r="A2021" s="105"/>
      <c r="B2021" s="105"/>
      <c r="C2021" s="97"/>
      <c r="D2021" s="105"/>
      <c r="E2021" s="105"/>
      <c r="F2021" s="105"/>
      <c r="G2021" s="105"/>
      <c r="H2021" s="105"/>
    </row>
    <row r="2022">
      <c r="A2022" s="105"/>
      <c r="B2022" s="105"/>
      <c r="C2022" s="97"/>
      <c r="D2022" s="105"/>
      <c r="E2022" s="105"/>
      <c r="F2022" s="105"/>
      <c r="G2022" s="105"/>
      <c r="H2022" s="105"/>
    </row>
    <row r="2023">
      <c r="A2023" s="105"/>
      <c r="B2023" s="105"/>
      <c r="C2023" s="97"/>
      <c r="D2023" s="105"/>
      <c r="E2023" s="105"/>
      <c r="F2023" s="105"/>
      <c r="G2023" s="105"/>
      <c r="H2023" s="105"/>
    </row>
    <row r="2024">
      <c r="A2024" s="105"/>
      <c r="B2024" s="105"/>
      <c r="C2024" s="97"/>
      <c r="D2024" s="105"/>
      <c r="E2024" s="105"/>
      <c r="F2024" s="105"/>
      <c r="G2024" s="105"/>
      <c r="H2024" s="105"/>
    </row>
    <row r="2025">
      <c r="A2025" s="105"/>
      <c r="B2025" s="105"/>
      <c r="C2025" s="97"/>
      <c r="D2025" s="105"/>
      <c r="E2025" s="105"/>
      <c r="F2025" s="105"/>
      <c r="G2025" s="105"/>
      <c r="H2025" s="105"/>
    </row>
    <row r="2026">
      <c r="A2026" s="105"/>
      <c r="B2026" s="105"/>
      <c r="C2026" s="97"/>
      <c r="D2026" s="105"/>
      <c r="E2026" s="105"/>
      <c r="F2026" s="105"/>
      <c r="G2026" s="105"/>
      <c r="H2026" s="105"/>
    </row>
    <row r="2027">
      <c r="A2027" s="105"/>
      <c r="B2027" s="105"/>
      <c r="C2027" s="97"/>
      <c r="D2027" s="105"/>
      <c r="E2027" s="105"/>
      <c r="F2027" s="105"/>
      <c r="G2027" s="105"/>
      <c r="H2027" s="105"/>
    </row>
    <row r="2028">
      <c r="A2028" s="105"/>
      <c r="B2028" s="105"/>
      <c r="C2028" s="97"/>
      <c r="D2028" s="105"/>
      <c r="E2028" s="105"/>
      <c r="F2028" s="105"/>
      <c r="G2028" s="105"/>
      <c r="H2028" s="105"/>
    </row>
    <row r="2029">
      <c r="A2029" s="105"/>
      <c r="B2029" s="105"/>
      <c r="C2029" s="97"/>
      <c r="D2029" s="105"/>
      <c r="E2029" s="105"/>
      <c r="F2029" s="105"/>
      <c r="G2029" s="105"/>
      <c r="H2029" s="105"/>
    </row>
    <row r="2030">
      <c r="A2030" s="105"/>
      <c r="B2030" s="105"/>
      <c r="C2030" s="97"/>
      <c r="D2030" s="105"/>
      <c r="E2030" s="105"/>
      <c r="F2030" s="105"/>
      <c r="G2030" s="105"/>
      <c r="H2030" s="105"/>
    </row>
    <row r="2031">
      <c r="A2031" s="105"/>
      <c r="B2031" s="105"/>
      <c r="C2031" s="97"/>
      <c r="D2031" s="105"/>
      <c r="E2031" s="105"/>
      <c r="F2031" s="105"/>
      <c r="G2031" s="105"/>
      <c r="H2031" s="105"/>
    </row>
    <row r="2032">
      <c r="A2032" s="105"/>
      <c r="B2032" s="105"/>
      <c r="C2032" s="97"/>
      <c r="D2032" s="105"/>
      <c r="E2032" s="105"/>
      <c r="F2032" s="105"/>
      <c r="G2032" s="105"/>
      <c r="H2032" s="105"/>
    </row>
    <row r="2033">
      <c r="A2033" s="105"/>
      <c r="B2033" s="105"/>
      <c r="C2033" s="97"/>
      <c r="D2033" s="105"/>
      <c r="E2033" s="105"/>
      <c r="F2033" s="105"/>
      <c r="G2033" s="105"/>
      <c r="H2033" s="105"/>
    </row>
    <row r="2034">
      <c r="A2034" s="105"/>
      <c r="B2034" s="105"/>
      <c r="C2034" s="97"/>
      <c r="D2034" s="105"/>
      <c r="E2034" s="105"/>
      <c r="F2034" s="105"/>
      <c r="G2034" s="105"/>
      <c r="H2034" s="105"/>
    </row>
    <row r="2035">
      <c r="A2035" s="105"/>
      <c r="B2035" s="105"/>
      <c r="C2035" s="97"/>
      <c r="D2035" s="105"/>
      <c r="E2035" s="105"/>
      <c r="F2035" s="105"/>
      <c r="G2035" s="105"/>
      <c r="H2035" s="105"/>
    </row>
    <row r="2036">
      <c r="A2036" s="105"/>
      <c r="B2036" s="105"/>
      <c r="C2036" s="97"/>
      <c r="D2036" s="105"/>
      <c r="E2036" s="105"/>
      <c r="F2036" s="105"/>
      <c r="G2036" s="105"/>
      <c r="H2036" s="105"/>
    </row>
    <row r="2037">
      <c r="A2037" s="105"/>
      <c r="B2037" s="105"/>
      <c r="C2037" s="97"/>
      <c r="D2037" s="105"/>
      <c r="E2037" s="105"/>
      <c r="F2037" s="105"/>
      <c r="G2037" s="105"/>
      <c r="H2037" s="105"/>
    </row>
    <row r="2038">
      <c r="A2038" s="105"/>
      <c r="B2038" s="105"/>
      <c r="C2038" s="97"/>
      <c r="D2038" s="105"/>
      <c r="E2038" s="105"/>
      <c r="F2038" s="105"/>
      <c r="G2038" s="105"/>
      <c r="H2038" s="105"/>
    </row>
    <row r="2039">
      <c r="A2039" s="105"/>
      <c r="B2039" s="105"/>
      <c r="C2039" s="97"/>
      <c r="D2039" s="105"/>
      <c r="E2039" s="105"/>
      <c r="F2039" s="105"/>
      <c r="G2039" s="105"/>
      <c r="H2039" s="105"/>
    </row>
    <row r="2040">
      <c r="A2040" s="105"/>
      <c r="B2040" s="105"/>
      <c r="C2040" s="97"/>
      <c r="D2040" s="105"/>
      <c r="E2040" s="105"/>
      <c r="F2040" s="105"/>
      <c r="G2040" s="105"/>
      <c r="H2040" s="105"/>
    </row>
    <row r="2041">
      <c r="A2041" s="105"/>
      <c r="B2041" s="105"/>
      <c r="C2041" s="97"/>
      <c r="D2041" s="105"/>
      <c r="E2041" s="105"/>
      <c r="F2041" s="105"/>
      <c r="G2041" s="105"/>
      <c r="H2041" s="105"/>
    </row>
    <row r="2042">
      <c r="A2042" s="105"/>
      <c r="B2042" s="105"/>
      <c r="C2042" s="97"/>
      <c r="D2042" s="105"/>
      <c r="E2042" s="105"/>
      <c r="F2042" s="105"/>
      <c r="G2042" s="105"/>
      <c r="H2042" s="105"/>
    </row>
    <row r="2043">
      <c r="A2043" s="105"/>
      <c r="B2043" s="105"/>
      <c r="C2043" s="97"/>
      <c r="D2043" s="105"/>
      <c r="E2043" s="105"/>
      <c r="F2043" s="105"/>
      <c r="G2043" s="105"/>
      <c r="H2043" s="105"/>
    </row>
    <row r="2044">
      <c r="A2044" s="105"/>
      <c r="B2044" s="105"/>
      <c r="C2044" s="97"/>
      <c r="D2044" s="105"/>
      <c r="E2044" s="105"/>
      <c r="F2044" s="105"/>
      <c r="G2044" s="105"/>
      <c r="H2044" s="105"/>
    </row>
    <row r="2045">
      <c r="A2045" s="105"/>
      <c r="B2045" s="105"/>
      <c r="C2045" s="97"/>
      <c r="D2045" s="105"/>
      <c r="E2045" s="105"/>
      <c r="F2045" s="105"/>
      <c r="G2045" s="105"/>
      <c r="H2045" s="105"/>
    </row>
    <row r="2046">
      <c r="A2046" s="105"/>
      <c r="B2046" s="105"/>
      <c r="C2046" s="97"/>
      <c r="D2046" s="105"/>
      <c r="E2046" s="105"/>
      <c r="F2046" s="105"/>
      <c r="G2046" s="105"/>
      <c r="H2046" s="105"/>
    </row>
    <row r="2047">
      <c r="A2047" s="105"/>
      <c r="B2047" s="105"/>
      <c r="C2047" s="97"/>
      <c r="D2047" s="105"/>
      <c r="E2047" s="105"/>
      <c r="F2047" s="105"/>
      <c r="G2047" s="105"/>
      <c r="H2047" s="105"/>
    </row>
    <row r="2048">
      <c r="A2048" s="105"/>
      <c r="B2048" s="105"/>
      <c r="C2048" s="97"/>
      <c r="D2048" s="105"/>
      <c r="E2048" s="105"/>
      <c r="F2048" s="105"/>
      <c r="G2048" s="105"/>
      <c r="H2048" s="105"/>
    </row>
    <row r="2049">
      <c r="A2049" s="105"/>
      <c r="B2049" s="105"/>
      <c r="C2049" s="97"/>
      <c r="D2049" s="105"/>
      <c r="E2049" s="105"/>
      <c r="F2049" s="105"/>
      <c r="G2049" s="105"/>
      <c r="H2049" s="105"/>
    </row>
    <row r="2050">
      <c r="A2050" s="105"/>
      <c r="B2050" s="105"/>
      <c r="C2050" s="97"/>
      <c r="D2050" s="105"/>
      <c r="E2050" s="105"/>
      <c r="F2050" s="105"/>
      <c r="G2050" s="105"/>
      <c r="H2050" s="105"/>
    </row>
    <row r="2051">
      <c r="A2051" s="105"/>
      <c r="B2051" s="105"/>
      <c r="C2051" s="97"/>
      <c r="D2051" s="105"/>
      <c r="E2051" s="105"/>
      <c r="F2051" s="105"/>
      <c r="G2051" s="105"/>
      <c r="H2051" s="105"/>
    </row>
    <row r="2052">
      <c r="A2052" s="105"/>
      <c r="B2052" s="105"/>
      <c r="C2052" s="97"/>
      <c r="D2052" s="105"/>
      <c r="E2052" s="105"/>
      <c r="F2052" s="105"/>
      <c r="G2052" s="105"/>
      <c r="H2052" s="105"/>
    </row>
    <row r="2053">
      <c r="A2053" s="105"/>
      <c r="B2053" s="105"/>
      <c r="C2053" s="97"/>
      <c r="D2053" s="105"/>
      <c r="E2053" s="105"/>
      <c r="F2053" s="105"/>
      <c r="G2053" s="105"/>
      <c r="H2053" s="105"/>
    </row>
    <row r="2054">
      <c r="A2054" s="105"/>
      <c r="B2054" s="105"/>
      <c r="C2054" s="97"/>
      <c r="D2054" s="105"/>
      <c r="E2054" s="105"/>
      <c r="F2054" s="105"/>
      <c r="G2054" s="105"/>
      <c r="H2054" s="105"/>
    </row>
    <row r="2055">
      <c r="A2055" s="105"/>
      <c r="B2055" s="105"/>
      <c r="C2055" s="97"/>
      <c r="D2055" s="105"/>
      <c r="E2055" s="105"/>
      <c r="F2055" s="105"/>
      <c r="G2055" s="105"/>
      <c r="H2055" s="105"/>
    </row>
    <row r="2056">
      <c r="A2056" s="105"/>
      <c r="B2056" s="105"/>
      <c r="C2056" s="97"/>
      <c r="D2056" s="105"/>
      <c r="E2056" s="105"/>
      <c r="F2056" s="105"/>
      <c r="G2056" s="105"/>
      <c r="H2056" s="105"/>
    </row>
    <row r="2057">
      <c r="A2057" s="105"/>
      <c r="B2057" s="105"/>
      <c r="C2057" s="97"/>
      <c r="D2057" s="105"/>
      <c r="E2057" s="105"/>
      <c r="F2057" s="105"/>
      <c r="G2057" s="105"/>
      <c r="H2057" s="105"/>
    </row>
    <row r="2058">
      <c r="A2058" s="105"/>
      <c r="B2058" s="105"/>
      <c r="C2058" s="97"/>
      <c r="D2058" s="105"/>
      <c r="E2058" s="105"/>
      <c r="F2058" s="105"/>
      <c r="G2058" s="105"/>
      <c r="H2058" s="105"/>
    </row>
    <row r="2059">
      <c r="A2059" s="105"/>
      <c r="B2059" s="105"/>
      <c r="C2059" s="97"/>
      <c r="D2059" s="105"/>
      <c r="E2059" s="105"/>
      <c r="F2059" s="105"/>
      <c r="G2059" s="105"/>
      <c r="H2059" s="105"/>
    </row>
    <row r="2060">
      <c r="A2060" s="105"/>
      <c r="B2060" s="105"/>
      <c r="C2060" s="97"/>
      <c r="D2060" s="105"/>
      <c r="E2060" s="105"/>
      <c r="F2060" s="105"/>
      <c r="G2060" s="105"/>
      <c r="H2060" s="105"/>
    </row>
    <row r="2061">
      <c r="A2061" s="105"/>
      <c r="B2061" s="105"/>
      <c r="C2061" s="97"/>
      <c r="D2061" s="105"/>
      <c r="E2061" s="105"/>
      <c r="F2061" s="105"/>
      <c r="G2061" s="105"/>
      <c r="H2061" s="105"/>
    </row>
    <row r="2062">
      <c r="A2062" s="105"/>
      <c r="B2062" s="105"/>
      <c r="C2062" s="97"/>
      <c r="D2062" s="105"/>
      <c r="E2062" s="105"/>
      <c r="F2062" s="105"/>
      <c r="G2062" s="105"/>
      <c r="H2062" s="105"/>
    </row>
    <row r="2063">
      <c r="A2063" s="105"/>
      <c r="B2063" s="105"/>
      <c r="C2063" s="97"/>
      <c r="D2063" s="105"/>
      <c r="E2063" s="105"/>
      <c r="F2063" s="105"/>
      <c r="G2063" s="105"/>
      <c r="H2063" s="105"/>
    </row>
    <row r="2064">
      <c r="A2064" s="105"/>
      <c r="B2064" s="105"/>
      <c r="C2064" s="97"/>
      <c r="D2064" s="105"/>
      <c r="E2064" s="105"/>
      <c r="F2064" s="105"/>
      <c r="G2064" s="105"/>
      <c r="H2064" s="105"/>
    </row>
    <row r="2065">
      <c r="A2065" s="105"/>
      <c r="B2065" s="105"/>
      <c r="C2065" s="97"/>
      <c r="D2065" s="105"/>
      <c r="E2065" s="105"/>
      <c r="F2065" s="105"/>
      <c r="G2065" s="105"/>
      <c r="H2065" s="105"/>
    </row>
    <row r="2066">
      <c r="A2066" s="105"/>
      <c r="B2066" s="105"/>
      <c r="C2066" s="97"/>
      <c r="D2066" s="105"/>
      <c r="E2066" s="105"/>
      <c r="F2066" s="105"/>
      <c r="G2066" s="105"/>
      <c r="H2066" s="105"/>
    </row>
    <row r="2067">
      <c r="A2067" s="105"/>
      <c r="B2067" s="105"/>
      <c r="C2067" s="97"/>
      <c r="D2067" s="105"/>
      <c r="E2067" s="105"/>
      <c r="F2067" s="105"/>
      <c r="G2067" s="105"/>
      <c r="H2067" s="105"/>
    </row>
    <row r="2068">
      <c r="A2068" s="105"/>
      <c r="B2068" s="105"/>
      <c r="C2068" s="97"/>
      <c r="D2068" s="105"/>
      <c r="E2068" s="105"/>
      <c r="F2068" s="105"/>
      <c r="G2068" s="105"/>
      <c r="H2068" s="105"/>
    </row>
    <row r="2069">
      <c r="A2069" s="105"/>
      <c r="B2069" s="105"/>
      <c r="C2069" s="97"/>
      <c r="D2069" s="105"/>
      <c r="E2069" s="105"/>
      <c r="F2069" s="105"/>
      <c r="G2069" s="105"/>
      <c r="H2069" s="105"/>
    </row>
    <row r="2070">
      <c r="A2070" s="105"/>
      <c r="B2070" s="105"/>
      <c r="C2070" s="97"/>
      <c r="D2070" s="105"/>
      <c r="E2070" s="105"/>
      <c r="F2070" s="105"/>
      <c r="G2070" s="105"/>
      <c r="H2070" s="105"/>
    </row>
    <row r="2071">
      <c r="A2071" s="105"/>
      <c r="B2071" s="105"/>
      <c r="C2071" s="97"/>
      <c r="D2071" s="105"/>
      <c r="E2071" s="105"/>
      <c r="F2071" s="105"/>
      <c r="G2071" s="105"/>
      <c r="H2071" s="105"/>
    </row>
    <row r="2072">
      <c r="A2072" s="105"/>
      <c r="B2072" s="105"/>
      <c r="C2072" s="97"/>
      <c r="D2072" s="105"/>
      <c r="E2072" s="105"/>
      <c r="F2072" s="105"/>
      <c r="G2072" s="105"/>
      <c r="H2072" s="105"/>
    </row>
    <row r="2073">
      <c r="A2073" s="105"/>
      <c r="B2073" s="105"/>
      <c r="C2073" s="97"/>
      <c r="D2073" s="105"/>
      <c r="E2073" s="105"/>
      <c r="F2073" s="105"/>
      <c r="G2073" s="105"/>
      <c r="H2073" s="105"/>
    </row>
    <row r="2074">
      <c r="A2074" s="105"/>
      <c r="B2074" s="105"/>
      <c r="C2074" s="97"/>
      <c r="D2074" s="105"/>
      <c r="E2074" s="105"/>
      <c r="F2074" s="105"/>
      <c r="G2074" s="105"/>
      <c r="H2074" s="105"/>
    </row>
    <row r="2075">
      <c r="A2075" s="105"/>
      <c r="B2075" s="105"/>
      <c r="C2075" s="97"/>
      <c r="D2075" s="105"/>
      <c r="E2075" s="105"/>
      <c r="F2075" s="105"/>
      <c r="G2075" s="105"/>
      <c r="H2075" s="105"/>
    </row>
    <row r="2076">
      <c r="A2076" s="105"/>
      <c r="B2076" s="105"/>
      <c r="C2076" s="97"/>
      <c r="D2076" s="105"/>
      <c r="E2076" s="105"/>
      <c r="F2076" s="105"/>
      <c r="G2076" s="105"/>
      <c r="H2076" s="105"/>
    </row>
    <row r="2077">
      <c r="A2077" s="105"/>
      <c r="B2077" s="105"/>
      <c r="C2077" s="97"/>
      <c r="D2077" s="105"/>
      <c r="E2077" s="105"/>
      <c r="F2077" s="105"/>
      <c r="G2077" s="105"/>
      <c r="H2077" s="105"/>
    </row>
    <row r="2078">
      <c r="A2078" s="105"/>
      <c r="B2078" s="105"/>
      <c r="C2078" s="97"/>
      <c r="D2078" s="105"/>
      <c r="E2078" s="105"/>
      <c r="F2078" s="105"/>
      <c r="G2078" s="105"/>
      <c r="H2078" s="105"/>
    </row>
    <row r="2079">
      <c r="A2079" s="105"/>
      <c r="B2079" s="105"/>
      <c r="C2079" s="97"/>
      <c r="D2079" s="105"/>
      <c r="E2079" s="105"/>
      <c r="F2079" s="105"/>
      <c r="G2079" s="105"/>
      <c r="H2079" s="105"/>
    </row>
    <row r="2080">
      <c r="A2080" s="105"/>
      <c r="B2080" s="105"/>
      <c r="C2080" s="97"/>
      <c r="D2080" s="105"/>
      <c r="E2080" s="105"/>
      <c r="F2080" s="105"/>
      <c r="G2080" s="105"/>
      <c r="H2080" s="105"/>
    </row>
    <row r="2081">
      <c r="A2081" s="105"/>
      <c r="B2081" s="105"/>
      <c r="C2081" s="97"/>
      <c r="D2081" s="105"/>
      <c r="E2081" s="105"/>
      <c r="F2081" s="105"/>
      <c r="G2081" s="105"/>
      <c r="H2081" s="105"/>
    </row>
    <row r="2082">
      <c r="A2082" s="105"/>
      <c r="B2082" s="105"/>
      <c r="C2082" s="97"/>
      <c r="D2082" s="105"/>
      <c r="E2082" s="105"/>
      <c r="F2082" s="105"/>
      <c r="G2082" s="105"/>
      <c r="H2082" s="105"/>
    </row>
    <row r="2083">
      <c r="A2083" s="105"/>
      <c r="B2083" s="105"/>
      <c r="C2083" s="97"/>
      <c r="D2083" s="105"/>
      <c r="E2083" s="105"/>
      <c r="F2083" s="105"/>
      <c r="G2083" s="105"/>
      <c r="H2083" s="105"/>
    </row>
    <row r="2084">
      <c r="A2084" s="105"/>
      <c r="B2084" s="105"/>
      <c r="C2084" s="97"/>
      <c r="D2084" s="105"/>
      <c r="E2084" s="105"/>
      <c r="F2084" s="105"/>
      <c r="G2084" s="105"/>
      <c r="H2084" s="105"/>
    </row>
    <row r="2085">
      <c r="A2085" s="105"/>
      <c r="B2085" s="105"/>
      <c r="C2085" s="97"/>
      <c r="D2085" s="105"/>
      <c r="E2085" s="105"/>
      <c r="F2085" s="105"/>
      <c r="G2085" s="105"/>
      <c r="H2085" s="105"/>
    </row>
    <row r="2086">
      <c r="A2086" s="105"/>
      <c r="B2086" s="105"/>
      <c r="C2086" s="97"/>
      <c r="D2086" s="105"/>
      <c r="E2086" s="105"/>
      <c r="F2086" s="105"/>
      <c r="G2086" s="105"/>
      <c r="H2086" s="105"/>
    </row>
    <row r="2087">
      <c r="A2087" s="105"/>
      <c r="B2087" s="105"/>
      <c r="C2087" s="97"/>
      <c r="D2087" s="105"/>
      <c r="E2087" s="105"/>
      <c r="F2087" s="105"/>
      <c r="G2087" s="105"/>
      <c r="H2087" s="105"/>
    </row>
    <row r="2088">
      <c r="A2088" s="105"/>
      <c r="B2088" s="105"/>
      <c r="C2088" s="97"/>
      <c r="D2088" s="105"/>
      <c r="E2088" s="105"/>
      <c r="F2088" s="105"/>
      <c r="G2088" s="105"/>
      <c r="H2088" s="105"/>
    </row>
    <row r="2089">
      <c r="A2089" s="105"/>
      <c r="B2089" s="105"/>
      <c r="C2089" s="97"/>
      <c r="D2089" s="105"/>
      <c r="E2089" s="105"/>
      <c r="F2089" s="105"/>
      <c r="G2089" s="105"/>
      <c r="H2089" s="105"/>
    </row>
    <row r="2090">
      <c r="A2090" s="105"/>
      <c r="B2090" s="105"/>
      <c r="C2090" s="97"/>
      <c r="D2090" s="105"/>
      <c r="E2090" s="105"/>
      <c r="F2090" s="105"/>
      <c r="G2090" s="105"/>
      <c r="H2090" s="105"/>
    </row>
    <row r="2091">
      <c r="A2091" s="105"/>
      <c r="B2091" s="105"/>
      <c r="C2091" s="97"/>
      <c r="D2091" s="105"/>
      <c r="E2091" s="105"/>
      <c r="F2091" s="105"/>
      <c r="G2091" s="105"/>
      <c r="H2091" s="105"/>
    </row>
    <row r="2092">
      <c r="A2092" s="105"/>
      <c r="B2092" s="105"/>
      <c r="C2092" s="97"/>
      <c r="D2092" s="105"/>
      <c r="E2092" s="105"/>
      <c r="F2092" s="105"/>
      <c r="G2092" s="105"/>
      <c r="H2092" s="105"/>
    </row>
    <row r="2093">
      <c r="A2093" s="105"/>
      <c r="B2093" s="105"/>
      <c r="C2093" s="97"/>
      <c r="D2093" s="105"/>
      <c r="E2093" s="105"/>
      <c r="F2093" s="105"/>
      <c r="G2093" s="105"/>
      <c r="H2093" s="105"/>
    </row>
    <row r="2094">
      <c r="A2094" s="105"/>
      <c r="B2094" s="105"/>
      <c r="C2094" s="97"/>
      <c r="D2094" s="105"/>
      <c r="E2094" s="105"/>
      <c r="F2094" s="105"/>
      <c r="G2094" s="105"/>
      <c r="H2094" s="105"/>
    </row>
    <row r="2095">
      <c r="A2095" s="105"/>
      <c r="B2095" s="105"/>
      <c r="C2095" s="97"/>
      <c r="D2095" s="105"/>
      <c r="E2095" s="105"/>
      <c r="F2095" s="105"/>
      <c r="G2095" s="105"/>
      <c r="H2095" s="105"/>
    </row>
    <row r="2096">
      <c r="A2096" s="105"/>
      <c r="B2096" s="105"/>
      <c r="C2096" s="97"/>
      <c r="D2096" s="105"/>
      <c r="E2096" s="105"/>
      <c r="F2096" s="105"/>
      <c r="G2096" s="105"/>
      <c r="H2096" s="105"/>
    </row>
    <row r="2097">
      <c r="A2097" s="105"/>
      <c r="B2097" s="105"/>
      <c r="C2097" s="97"/>
      <c r="D2097" s="105"/>
      <c r="E2097" s="105"/>
      <c r="F2097" s="105"/>
      <c r="G2097" s="105"/>
      <c r="H2097" s="105"/>
    </row>
    <row r="2098">
      <c r="A2098" s="105"/>
      <c r="B2098" s="105"/>
      <c r="C2098" s="97"/>
      <c r="D2098" s="105"/>
      <c r="E2098" s="105"/>
      <c r="F2098" s="105"/>
      <c r="G2098" s="105"/>
      <c r="H2098" s="105"/>
    </row>
    <row r="2099">
      <c r="A2099" s="105"/>
      <c r="B2099" s="105"/>
      <c r="C2099" s="97"/>
      <c r="D2099" s="105"/>
      <c r="E2099" s="105"/>
      <c r="F2099" s="105"/>
      <c r="G2099" s="105"/>
      <c r="H2099" s="105"/>
    </row>
    <row r="2100">
      <c r="A2100" s="105"/>
      <c r="B2100" s="105"/>
      <c r="C2100" s="97"/>
      <c r="D2100" s="105"/>
      <c r="E2100" s="105"/>
      <c r="F2100" s="105"/>
      <c r="G2100" s="105"/>
      <c r="H2100" s="105"/>
    </row>
    <row r="2101">
      <c r="A2101" s="105"/>
      <c r="B2101" s="105"/>
      <c r="C2101" s="97"/>
      <c r="D2101" s="105"/>
      <c r="E2101" s="105"/>
      <c r="F2101" s="105"/>
      <c r="G2101" s="105"/>
      <c r="H2101" s="105"/>
    </row>
    <row r="2102">
      <c r="A2102" s="105"/>
      <c r="B2102" s="105"/>
      <c r="C2102" s="97"/>
      <c r="D2102" s="105"/>
      <c r="E2102" s="105"/>
      <c r="F2102" s="105"/>
      <c r="G2102" s="105"/>
      <c r="H2102" s="105"/>
    </row>
    <row r="2103">
      <c r="A2103" s="105"/>
      <c r="B2103" s="105"/>
      <c r="C2103" s="97"/>
      <c r="D2103" s="105"/>
      <c r="E2103" s="105"/>
      <c r="F2103" s="105"/>
      <c r="G2103" s="105"/>
      <c r="H2103" s="105"/>
    </row>
    <row r="2104">
      <c r="A2104" s="105"/>
      <c r="B2104" s="105"/>
      <c r="C2104" s="97"/>
      <c r="D2104" s="105"/>
      <c r="E2104" s="105"/>
      <c r="F2104" s="105"/>
      <c r="G2104" s="105"/>
      <c r="H2104" s="105"/>
    </row>
    <row r="2105">
      <c r="A2105" s="105"/>
      <c r="B2105" s="105"/>
      <c r="C2105" s="97"/>
      <c r="D2105" s="105"/>
      <c r="E2105" s="105"/>
      <c r="F2105" s="105"/>
      <c r="G2105" s="105"/>
      <c r="H2105" s="105"/>
    </row>
    <row r="2106">
      <c r="A2106" s="105"/>
      <c r="B2106" s="105"/>
      <c r="C2106" s="97"/>
      <c r="D2106" s="105"/>
      <c r="E2106" s="105"/>
      <c r="F2106" s="105"/>
      <c r="G2106" s="105"/>
      <c r="H2106" s="105"/>
    </row>
    <row r="2107">
      <c r="A2107" s="105"/>
      <c r="B2107" s="105"/>
      <c r="C2107" s="97"/>
      <c r="D2107" s="105"/>
      <c r="E2107" s="105"/>
      <c r="F2107" s="105"/>
      <c r="G2107" s="105"/>
      <c r="H2107" s="105"/>
    </row>
    <row r="2108">
      <c r="A2108" s="105"/>
      <c r="B2108" s="105"/>
      <c r="C2108" s="97"/>
      <c r="D2108" s="105"/>
      <c r="E2108" s="105"/>
      <c r="F2108" s="105"/>
      <c r="G2108" s="105"/>
      <c r="H2108" s="105"/>
    </row>
    <row r="2109">
      <c r="A2109" s="105"/>
      <c r="B2109" s="105"/>
      <c r="C2109" s="97"/>
      <c r="D2109" s="105"/>
      <c r="E2109" s="105"/>
      <c r="F2109" s="105"/>
      <c r="G2109" s="105"/>
      <c r="H2109" s="105"/>
    </row>
    <row r="2110">
      <c r="A2110" s="105"/>
      <c r="B2110" s="105"/>
      <c r="C2110" s="97"/>
      <c r="D2110" s="105"/>
      <c r="E2110" s="105"/>
      <c r="F2110" s="105"/>
      <c r="G2110" s="105"/>
      <c r="H2110" s="105"/>
    </row>
    <row r="2111">
      <c r="A2111" s="105"/>
      <c r="B2111" s="105"/>
      <c r="C2111" s="97"/>
      <c r="D2111" s="105"/>
      <c r="E2111" s="105"/>
      <c r="F2111" s="105"/>
      <c r="G2111" s="105"/>
      <c r="H2111" s="105"/>
    </row>
    <row r="2112">
      <c r="A2112" s="105"/>
      <c r="B2112" s="105"/>
      <c r="C2112" s="97"/>
      <c r="D2112" s="105"/>
      <c r="E2112" s="105"/>
      <c r="F2112" s="105"/>
      <c r="G2112" s="105"/>
      <c r="H2112" s="105"/>
    </row>
    <row r="2113">
      <c r="A2113" s="105"/>
      <c r="B2113" s="105"/>
      <c r="C2113" s="97"/>
      <c r="D2113" s="105"/>
      <c r="E2113" s="105"/>
      <c r="F2113" s="105"/>
      <c r="G2113" s="105"/>
      <c r="H2113" s="105"/>
    </row>
    <row r="2114">
      <c r="A2114" s="105"/>
      <c r="B2114" s="105"/>
      <c r="C2114" s="97"/>
      <c r="D2114" s="105"/>
      <c r="E2114" s="105"/>
      <c r="F2114" s="105"/>
      <c r="G2114" s="105"/>
      <c r="H2114" s="105"/>
    </row>
    <row r="2115">
      <c r="A2115" s="105"/>
      <c r="B2115" s="105"/>
      <c r="C2115" s="97"/>
      <c r="D2115" s="105"/>
      <c r="E2115" s="105"/>
      <c r="F2115" s="105"/>
      <c r="G2115" s="105"/>
      <c r="H2115" s="105"/>
    </row>
    <row r="2116">
      <c r="A2116" s="105"/>
      <c r="B2116" s="105"/>
      <c r="C2116" s="97"/>
      <c r="D2116" s="105"/>
      <c r="E2116" s="105"/>
      <c r="F2116" s="105"/>
      <c r="G2116" s="105"/>
      <c r="H2116" s="105"/>
    </row>
    <row r="2117">
      <c r="A2117" s="105"/>
      <c r="B2117" s="105"/>
      <c r="C2117" s="97"/>
      <c r="D2117" s="105"/>
      <c r="E2117" s="105"/>
      <c r="F2117" s="105"/>
      <c r="G2117" s="105"/>
      <c r="H2117" s="105"/>
    </row>
    <row r="2118">
      <c r="A2118" s="105"/>
      <c r="B2118" s="105"/>
      <c r="C2118" s="97"/>
      <c r="D2118" s="105"/>
      <c r="E2118" s="105"/>
      <c r="F2118" s="105"/>
      <c r="G2118" s="105"/>
      <c r="H2118" s="105"/>
    </row>
    <row r="2119">
      <c r="A2119" s="105"/>
      <c r="B2119" s="105"/>
      <c r="C2119" s="97"/>
      <c r="D2119" s="105"/>
      <c r="E2119" s="105"/>
      <c r="F2119" s="105"/>
      <c r="G2119" s="105"/>
      <c r="H2119" s="105"/>
    </row>
    <row r="2120">
      <c r="A2120" s="105"/>
      <c r="B2120" s="105"/>
      <c r="C2120" s="97"/>
      <c r="D2120" s="105"/>
      <c r="E2120" s="105"/>
      <c r="F2120" s="105"/>
      <c r="G2120" s="105"/>
      <c r="H2120" s="105"/>
    </row>
    <row r="2121">
      <c r="A2121" s="105"/>
      <c r="B2121" s="105"/>
      <c r="C2121" s="97"/>
      <c r="D2121" s="105"/>
      <c r="E2121" s="105"/>
      <c r="F2121" s="105"/>
      <c r="G2121" s="105"/>
      <c r="H2121" s="105"/>
    </row>
    <row r="2122">
      <c r="A2122" s="105"/>
      <c r="B2122" s="105"/>
      <c r="C2122" s="97"/>
      <c r="D2122" s="105"/>
      <c r="E2122" s="105"/>
      <c r="F2122" s="105"/>
      <c r="G2122" s="105"/>
      <c r="H2122" s="105"/>
    </row>
    <row r="2123">
      <c r="A2123" s="105"/>
      <c r="B2123" s="105"/>
      <c r="C2123" s="97"/>
      <c r="D2123" s="105"/>
      <c r="E2123" s="105"/>
      <c r="F2123" s="105"/>
      <c r="G2123" s="105"/>
      <c r="H2123" s="105"/>
    </row>
    <row r="2124">
      <c r="A2124" s="105"/>
      <c r="B2124" s="105"/>
      <c r="C2124" s="97"/>
      <c r="D2124" s="105"/>
      <c r="E2124" s="105"/>
      <c r="F2124" s="105"/>
      <c r="G2124" s="105"/>
      <c r="H2124" s="105"/>
    </row>
    <row r="2125">
      <c r="A2125" s="105"/>
      <c r="B2125" s="105"/>
      <c r="C2125" s="97"/>
      <c r="D2125" s="105"/>
      <c r="E2125" s="105"/>
      <c r="F2125" s="105"/>
      <c r="G2125" s="105"/>
      <c r="H2125" s="105"/>
    </row>
    <row r="2126">
      <c r="A2126" s="105"/>
      <c r="B2126" s="105"/>
      <c r="C2126" s="97"/>
      <c r="D2126" s="105"/>
      <c r="E2126" s="105"/>
      <c r="F2126" s="105"/>
      <c r="G2126" s="105"/>
      <c r="H2126" s="105"/>
    </row>
    <row r="2127">
      <c r="A2127" s="105"/>
      <c r="B2127" s="105"/>
      <c r="C2127" s="97"/>
      <c r="D2127" s="105"/>
      <c r="E2127" s="105"/>
      <c r="F2127" s="105"/>
      <c r="G2127" s="105"/>
      <c r="H2127" s="105"/>
    </row>
    <row r="2128">
      <c r="A2128" s="105"/>
      <c r="B2128" s="105"/>
      <c r="C2128" s="97"/>
      <c r="D2128" s="105"/>
      <c r="E2128" s="105"/>
      <c r="F2128" s="105"/>
      <c r="G2128" s="105"/>
      <c r="H2128" s="105"/>
    </row>
    <row r="2129">
      <c r="A2129" s="105"/>
      <c r="B2129" s="105"/>
      <c r="C2129" s="97"/>
      <c r="D2129" s="105"/>
      <c r="E2129" s="105"/>
      <c r="F2129" s="105"/>
      <c r="G2129" s="105"/>
      <c r="H2129" s="105"/>
    </row>
    <row r="2130">
      <c r="A2130" s="105"/>
      <c r="B2130" s="105"/>
      <c r="C2130" s="97"/>
      <c r="D2130" s="105"/>
      <c r="E2130" s="105"/>
      <c r="F2130" s="105"/>
      <c r="G2130" s="105"/>
      <c r="H2130" s="105"/>
    </row>
    <row r="2131">
      <c r="A2131" s="105"/>
      <c r="B2131" s="105"/>
      <c r="C2131" s="97"/>
      <c r="D2131" s="105"/>
      <c r="E2131" s="105"/>
      <c r="F2131" s="105"/>
      <c r="G2131" s="105"/>
      <c r="H2131" s="105"/>
    </row>
    <row r="2132">
      <c r="A2132" s="105"/>
      <c r="B2132" s="105"/>
      <c r="C2132" s="97"/>
      <c r="D2132" s="105"/>
      <c r="E2132" s="105"/>
      <c r="F2132" s="105"/>
      <c r="G2132" s="105"/>
      <c r="H2132" s="105"/>
    </row>
    <row r="2133">
      <c r="A2133" s="105"/>
      <c r="B2133" s="105"/>
      <c r="C2133" s="97"/>
      <c r="D2133" s="105"/>
      <c r="E2133" s="105"/>
      <c r="F2133" s="105"/>
      <c r="G2133" s="105"/>
      <c r="H2133" s="105"/>
    </row>
    <row r="2134">
      <c r="A2134" s="105"/>
      <c r="B2134" s="105"/>
      <c r="C2134" s="97"/>
      <c r="D2134" s="105"/>
      <c r="E2134" s="105"/>
      <c r="F2134" s="105"/>
      <c r="G2134" s="105"/>
      <c r="H2134" s="105"/>
    </row>
    <row r="2135">
      <c r="A2135" s="105"/>
      <c r="B2135" s="105"/>
      <c r="C2135" s="97"/>
      <c r="D2135" s="105"/>
      <c r="E2135" s="105"/>
      <c r="F2135" s="105"/>
      <c r="G2135" s="105"/>
      <c r="H2135" s="105"/>
    </row>
    <row r="2136">
      <c r="A2136" s="105"/>
      <c r="B2136" s="105"/>
      <c r="C2136" s="97"/>
      <c r="D2136" s="105"/>
      <c r="E2136" s="105"/>
      <c r="F2136" s="105"/>
      <c r="G2136" s="105"/>
      <c r="H2136" s="105"/>
    </row>
    <row r="2137">
      <c r="A2137" s="105"/>
      <c r="B2137" s="105"/>
      <c r="C2137" s="97"/>
      <c r="D2137" s="105"/>
      <c r="E2137" s="105"/>
      <c r="F2137" s="105"/>
      <c r="G2137" s="105"/>
      <c r="H2137" s="105"/>
    </row>
    <row r="2138">
      <c r="A2138" s="105"/>
      <c r="B2138" s="105"/>
      <c r="C2138" s="97"/>
      <c r="D2138" s="105"/>
      <c r="E2138" s="105"/>
      <c r="F2138" s="105"/>
      <c r="G2138" s="105"/>
      <c r="H2138" s="105"/>
    </row>
    <row r="2139">
      <c r="A2139" s="105"/>
      <c r="B2139" s="105"/>
      <c r="C2139" s="97"/>
      <c r="D2139" s="105"/>
      <c r="E2139" s="105"/>
      <c r="F2139" s="105"/>
      <c r="G2139" s="105"/>
      <c r="H2139" s="105"/>
    </row>
    <row r="2140">
      <c r="A2140" s="105"/>
      <c r="B2140" s="105"/>
      <c r="C2140" s="97"/>
      <c r="D2140" s="105"/>
      <c r="E2140" s="105"/>
      <c r="F2140" s="105"/>
      <c r="G2140" s="105"/>
      <c r="H2140" s="105"/>
    </row>
    <row r="2141">
      <c r="A2141" s="105"/>
      <c r="B2141" s="105"/>
      <c r="C2141" s="97"/>
      <c r="D2141" s="105"/>
      <c r="E2141" s="105"/>
      <c r="F2141" s="105"/>
      <c r="G2141" s="105"/>
      <c r="H2141" s="105"/>
    </row>
    <row r="2142">
      <c r="A2142" s="105"/>
      <c r="B2142" s="105"/>
      <c r="C2142" s="97"/>
      <c r="D2142" s="105"/>
      <c r="E2142" s="105"/>
      <c r="F2142" s="105"/>
      <c r="G2142" s="105"/>
      <c r="H2142" s="105"/>
    </row>
    <row r="2143">
      <c r="A2143" s="105"/>
      <c r="B2143" s="105"/>
      <c r="C2143" s="97"/>
      <c r="D2143" s="105"/>
      <c r="E2143" s="105"/>
      <c r="F2143" s="105"/>
      <c r="G2143" s="105"/>
      <c r="H2143" s="105"/>
    </row>
    <row r="2144">
      <c r="A2144" s="105"/>
      <c r="B2144" s="105"/>
      <c r="C2144" s="97"/>
      <c r="D2144" s="105"/>
      <c r="E2144" s="105"/>
      <c r="F2144" s="105"/>
      <c r="G2144" s="105"/>
      <c r="H2144" s="105"/>
    </row>
    <row r="2145">
      <c r="A2145" s="105"/>
      <c r="B2145" s="105"/>
      <c r="C2145" s="97"/>
      <c r="D2145" s="105"/>
      <c r="E2145" s="105"/>
      <c r="F2145" s="105"/>
      <c r="G2145" s="105"/>
      <c r="H2145" s="105"/>
    </row>
    <row r="2146">
      <c r="A2146" s="105"/>
      <c r="B2146" s="105"/>
      <c r="C2146" s="97"/>
      <c r="D2146" s="105"/>
      <c r="E2146" s="105"/>
      <c r="F2146" s="105"/>
      <c r="G2146" s="105"/>
      <c r="H2146" s="105"/>
    </row>
    <row r="2147">
      <c r="A2147" s="105"/>
      <c r="B2147" s="105"/>
      <c r="C2147" s="97"/>
      <c r="D2147" s="105"/>
      <c r="E2147" s="105"/>
      <c r="F2147" s="105"/>
      <c r="G2147" s="105"/>
      <c r="H2147" s="105"/>
    </row>
    <row r="2148">
      <c r="A2148" s="105"/>
      <c r="B2148" s="105"/>
      <c r="C2148" s="97"/>
      <c r="D2148" s="105"/>
      <c r="E2148" s="105"/>
      <c r="F2148" s="105"/>
      <c r="G2148" s="105"/>
      <c r="H2148" s="105"/>
    </row>
    <row r="2149">
      <c r="A2149" s="105"/>
      <c r="B2149" s="105"/>
      <c r="C2149" s="97"/>
      <c r="D2149" s="105"/>
      <c r="E2149" s="105"/>
      <c r="F2149" s="105"/>
      <c r="G2149" s="105"/>
      <c r="H2149" s="105"/>
    </row>
    <row r="2150">
      <c r="A2150" s="105"/>
      <c r="B2150" s="105"/>
      <c r="C2150" s="97"/>
      <c r="D2150" s="105"/>
      <c r="E2150" s="105"/>
      <c r="F2150" s="105"/>
      <c r="G2150" s="105"/>
      <c r="H2150" s="105"/>
    </row>
    <row r="2151">
      <c r="A2151" s="105"/>
      <c r="B2151" s="105"/>
      <c r="C2151" s="97"/>
      <c r="D2151" s="105"/>
      <c r="E2151" s="105"/>
      <c r="F2151" s="105"/>
      <c r="G2151" s="105"/>
      <c r="H2151" s="105"/>
    </row>
    <row r="2152">
      <c r="A2152" s="105"/>
      <c r="B2152" s="105"/>
      <c r="C2152" s="97"/>
      <c r="D2152" s="105"/>
      <c r="E2152" s="105"/>
      <c r="F2152" s="105"/>
      <c r="G2152" s="105"/>
      <c r="H2152" s="105"/>
    </row>
    <row r="2153">
      <c r="A2153" s="105"/>
      <c r="B2153" s="105"/>
      <c r="C2153" s="97"/>
      <c r="D2153" s="105"/>
      <c r="E2153" s="105"/>
      <c r="F2153" s="105"/>
      <c r="G2153" s="105"/>
      <c r="H2153" s="105"/>
    </row>
    <row r="2154">
      <c r="A2154" s="105"/>
      <c r="B2154" s="105"/>
      <c r="C2154" s="97"/>
      <c r="D2154" s="105"/>
      <c r="E2154" s="105"/>
      <c r="F2154" s="105"/>
      <c r="G2154" s="105"/>
      <c r="H2154" s="105"/>
    </row>
    <row r="2155">
      <c r="A2155" s="105"/>
      <c r="B2155" s="105"/>
      <c r="C2155" s="97"/>
      <c r="D2155" s="105"/>
      <c r="E2155" s="105"/>
      <c r="F2155" s="105"/>
      <c r="G2155" s="105"/>
      <c r="H2155" s="105"/>
    </row>
    <row r="2156">
      <c r="A2156" s="105"/>
      <c r="B2156" s="105"/>
      <c r="C2156" s="97"/>
      <c r="D2156" s="105"/>
      <c r="E2156" s="105"/>
      <c r="F2156" s="105"/>
      <c r="G2156" s="105"/>
      <c r="H2156" s="105"/>
    </row>
    <row r="2157">
      <c r="A2157" s="105"/>
      <c r="B2157" s="105"/>
      <c r="C2157" s="97"/>
      <c r="D2157" s="105"/>
      <c r="E2157" s="105"/>
      <c r="F2157" s="105"/>
      <c r="G2157" s="105"/>
      <c r="H2157" s="105"/>
    </row>
    <row r="2158">
      <c r="A2158" s="105"/>
      <c r="B2158" s="105"/>
      <c r="C2158" s="97"/>
      <c r="D2158" s="105"/>
      <c r="E2158" s="105"/>
      <c r="F2158" s="105"/>
      <c r="G2158" s="105"/>
      <c r="H2158" s="105"/>
    </row>
    <row r="2159">
      <c r="A2159" s="105"/>
      <c r="B2159" s="105"/>
      <c r="C2159" s="97"/>
      <c r="D2159" s="105"/>
      <c r="E2159" s="105"/>
      <c r="F2159" s="105"/>
      <c r="G2159" s="105"/>
      <c r="H2159" s="105"/>
    </row>
    <row r="2160">
      <c r="A2160" s="105"/>
      <c r="B2160" s="105"/>
      <c r="C2160" s="97"/>
      <c r="D2160" s="105"/>
      <c r="E2160" s="105"/>
      <c r="F2160" s="105"/>
      <c r="G2160" s="105"/>
      <c r="H2160" s="105"/>
    </row>
    <row r="2161">
      <c r="A2161" s="105"/>
      <c r="B2161" s="105"/>
      <c r="C2161" s="97"/>
      <c r="D2161" s="105"/>
      <c r="E2161" s="105"/>
      <c r="F2161" s="105"/>
      <c r="G2161" s="105"/>
      <c r="H2161" s="105"/>
    </row>
    <row r="2162">
      <c r="A2162" s="105"/>
      <c r="B2162" s="105"/>
      <c r="C2162" s="97"/>
      <c r="D2162" s="105"/>
      <c r="E2162" s="105"/>
      <c r="F2162" s="105"/>
      <c r="G2162" s="105"/>
      <c r="H2162" s="105"/>
    </row>
    <row r="2163">
      <c r="A2163" s="105"/>
      <c r="B2163" s="105"/>
      <c r="C2163" s="97"/>
      <c r="D2163" s="105"/>
      <c r="E2163" s="105"/>
      <c r="F2163" s="105"/>
      <c r="G2163" s="105"/>
      <c r="H2163" s="105"/>
    </row>
    <row r="2164">
      <c r="A2164" s="105"/>
      <c r="B2164" s="105"/>
      <c r="C2164" s="97"/>
      <c r="D2164" s="105"/>
      <c r="E2164" s="105"/>
      <c r="F2164" s="105"/>
      <c r="G2164" s="105"/>
      <c r="H2164" s="105"/>
    </row>
    <row r="2165">
      <c r="A2165" s="105"/>
      <c r="B2165" s="105"/>
      <c r="C2165" s="97"/>
      <c r="D2165" s="105"/>
      <c r="E2165" s="105"/>
      <c r="F2165" s="105"/>
      <c r="G2165" s="105"/>
      <c r="H2165" s="105"/>
    </row>
    <row r="2166">
      <c r="A2166" s="105"/>
      <c r="B2166" s="105"/>
      <c r="C2166" s="97"/>
      <c r="D2166" s="105"/>
      <c r="E2166" s="105"/>
      <c r="F2166" s="105"/>
      <c r="G2166" s="105"/>
      <c r="H2166" s="105"/>
    </row>
    <row r="2167">
      <c r="A2167" s="105"/>
      <c r="B2167" s="105"/>
      <c r="C2167" s="97"/>
      <c r="D2167" s="105"/>
      <c r="E2167" s="105"/>
      <c r="F2167" s="105"/>
      <c r="G2167" s="105"/>
      <c r="H2167" s="105"/>
    </row>
    <row r="2168">
      <c r="A2168" s="105"/>
      <c r="B2168" s="105"/>
      <c r="C2168" s="97"/>
      <c r="D2168" s="105"/>
      <c r="E2168" s="105"/>
      <c r="F2168" s="105"/>
      <c r="G2168" s="105"/>
      <c r="H2168" s="105"/>
    </row>
    <row r="2169">
      <c r="A2169" s="105"/>
      <c r="B2169" s="105"/>
      <c r="C2169" s="97"/>
      <c r="D2169" s="105"/>
      <c r="E2169" s="105"/>
      <c r="F2169" s="105"/>
      <c r="G2169" s="105"/>
      <c r="H2169" s="105"/>
    </row>
    <row r="2170">
      <c r="A2170" s="105"/>
      <c r="B2170" s="105"/>
      <c r="C2170" s="97"/>
      <c r="D2170" s="105"/>
      <c r="E2170" s="105"/>
      <c r="F2170" s="105"/>
      <c r="G2170" s="105"/>
      <c r="H2170" s="105"/>
    </row>
    <row r="2171">
      <c r="A2171" s="105"/>
      <c r="B2171" s="105"/>
      <c r="C2171" s="97"/>
      <c r="D2171" s="105"/>
      <c r="E2171" s="105"/>
      <c r="F2171" s="105"/>
      <c r="G2171" s="105"/>
      <c r="H2171" s="105"/>
    </row>
    <row r="2172">
      <c r="A2172" s="105"/>
      <c r="B2172" s="105"/>
      <c r="C2172" s="97"/>
      <c r="D2172" s="105"/>
      <c r="E2172" s="105"/>
      <c r="F2172" s="105"/>
      <c r="G2172" s="105"/>
      <c r="H2172" s="105"/>
    </row>
    <row r="2173">
      <c r="A2173" s="105"/>
      <c r="B2173" s="105"/>
      <c r="C2173" s="97"/>
      <c r="D2173" s="105"/>
      <c r="E2173" s="105"/>
      <c r="F2173" s="105"/>
      <c r="G2173" s="105"/>
      <c r="H2173" s="105"/>
    </row>
    <row r="2174">
      <c r="A2174" s="105"/>
      <c r="B2174" s="105"/>
      <c r="C2174" s="97"/>
      <c r="D2174" s="105"/>
      <c r="E2174" s="105"/>
      <c r="F2174" s="105"/>
      <c r="G2174" s="105"/>
      <c r="H2174" s="105"/>
    </row>
    <row r="2175">
      <c r="A2175" s="105"/>
      <c r="B2175" s="105"/>
      <c r="C2175" s="97"/>
      <c r="D2175" s="105"/>
      <c r="E2175" s="105"/>
      <c r="F2175" s="105"/>
      <c r="G2175" s="105"/>
      <c r="H2175" s="105"/>
    </row>
    <row r="2176">
      <c r="A2176" s="105"/>
      <c r="B2176" s="105"/>
      <c r="C2176" s="97"/>
      <c r="D2176" s="105"/>
      <c r="E2176" s="105"/>
      <c r="F2176" s="105"/>
      <c r="G2176" s="105"/>
      <c r="H2176" s="105"/>
    </row>
    <row r="2177">
      <c r="A2177" s="105"/>
      <c r="B2177" s="105"/>
      <c r="C2177" s="97"/>
      <c r="D2177" s="105"/>
      <c r="E2177" s="105"/>
      <c r="F2177" s="105"/>
      <c r="G2177" s="105"/>
      <c r="H2177" s="105"/>
    </row>
    <row r="2178">
      <c r="A2178" s="105"/>
      <c r="B2178" s="105"/>
      <c r="C2178" s="97"/>
      <c r="D2178" s="105"/>
      <c r="E2178" s="105"/>
      <c r="F2178" s="105"/>
      <c r="G2178" s="105"/>
      <c r="H2178" s="105"/>
    </row>
    <row r="2179">
      <c r="A2179" s="105"/>
      <c r="B2179" s="105"/>
      <c r="C2179" s="97"/>
      <c r="D2179" s="105"/>
      <c r="E2179" s="105"/>
      <c r="F2179" s="105"/>
      <c r="G2179" s="105"/>
      <c r="H2179" s="105"/>
    </row>
    <row r="2180">
      <c r="A2180" s="105"/>
      <c r="B2180" s="105"/>
      <c r="C2180" s="97"/>
      <c r="D2180" s="105"/>
      <c r="E2180" s="105"/>
      <c r="F2180" s="105"/>
      <c r="G2180" s="105"/>
      <c r="H2180" s="105"/>
    </row>
    <row r="2181">
      <c r="A2181" s="105"/>
      <c r="B2181" s="105"/>
      <c r="C2181" s="97"/>
      <c r="D2181" s="105"/>
      <c r="E2181" s="105"/>
      <c r="F2181" s="105"/>
      <c r="G2181" s="105"/>
      <c r="H2181" s="105"/>
    </row>
    <row r="2182">
      <c r="A2182" s="105"/>
      <c r="B2182" s="105"/>
      <c r="C2182" s="97"/>
      <c r="D2182" s="105"/>
      <c r="E2182" s="105"/>
      <c r="F2182" s="105"/>
      <c r="G2182" s="105"/>
      <c r="H2182" s="105"/>
    </row>
    <row r="2183">
      <c r="A2183" s="105"/>
      <c r="B2183" s="105"/>
      <c r="C2183" s="97"/>
      <c r="D2183" s="105"/>
      <c r="E2183" s="105"/>
      <c r="F2183" s="105"/>
      <c r="G2183" s="105"/>
      <c r="H2183" s="105"/>
    </row>
    <row r="2184">
      <c r="A2184" s="105"/>
      <c r="B2184" s="105"/>
      <c r="C2184" s="97"/>
      <c r="D2184" s="105"/>
      <c r="E2184" s="105"/>
      <c r="F2184" s="105"/>
      <c r="G2184" s="105"/>
      <c r="H2184" s="105"/>
    </row>
    <row r="2185">
      <c r="A2185" s="105"/>
      <c r="B2185" s="105"/>
      <c r="C2185" s="97"/>
      <c r="D2185" s="105"/>
      <c r="E2185" s="105"/>
      <c r="F2185" s="105"/>
      <c r="G2185" s="105"/>
      <c r="H2185" s="105"/>
    </row>
    <row r="2186">
      <c r="A2186" s="105"/>
      <c r="B2186" s="105"/>
      <c r="C2186" s="97"/>
      <c r="D2186" s="105"/>
      <c r="E2186" s="105"/>
      <c r="F2186" s="105"/>
      <c r="G2186" s="105"/>
      <c r="H2186" s="105"/>
    </row>
    <row r="2187">
      <c r="A2187" s="105"/>
      <c r="B2187" s="105"/>
      <c r="C2187" s="97"/>
      <c r="D2187" s="105"/>
      <c r="E2187" s="105"/>
      <c r="F2187" s="105"/>
      <c r="G2187" s="105"/>
      <c r="H2187" s="105"/>
    </row>
    <row r="2188">
      <c r="A2188" s="105"/>
      <c r="B2188" s="105"/>
      <c r="C2188" s="97"/>
      <c r="D2188" s="105"/>
      <c r="E2188" s="105"/>
      <c r="F2188" s="105"/>
      <c r="G2188" s="105"/>
      <c r="H2188" s="105"/>
    </row>
    <row r="2189">
      <c r="A2189" s="105"/>
      <c r="B2189" s="105"/>
      <c r="C2189" s="97"/>
      <c r="D2189" s="105"/>
      <c r="E2189" s="105"/>
      <c r="F2189" s="105"/>
      <c r="G2189" s="105"/>
      <c r="H2189" s="105"/>
    </row>
    <row r="2190">
      <c r="A2190" s="105"/>
      <c r="B2190" s="105"/>
      <c r="C2190" s="97"/>
      <c r="D2190" s="105"/>
      <c r="E2190" s="105"/>
      <c r="F2190" s="105"/>
      <c r="G2190" s="105"/>
      <c r="H2190" s="105"/>
    </row>
    <row r="2191">
      <c r="A2191" s="105"/>
      <c r="B2191" s="105"/>
      <c r="C2191" s="97"/>
      <c r="D2191" s="105"/>
      <c r="E2191" s="105"/>
      <c r="F2191" s="105"/>
      <c r="G2191" s="105"/>
      <c r="H2191" s="105"/>
    </row>
    <row r="2192">
      <c r="A2192" s="105"/>
      <c r="B2192" s="105"/>
      <c r="C2192" s="97"/>
      <c r="D2192" s="105"/>
      <c r="E2192" s="105"/>
      <c r="F2192" s="105"/>
      <c r="G2192" s="105"/>
      <c r="H2192" s="105"/>
    </row>
    <row r="2193">
      <c r="A2193" s="105"/>
      <c r="B2193" s="105"/>
      <c r="C2193" s="97"/>
      <c r="D2193" s="105"/>
      <c r="E2193" s="105"/>
      <c r="F2193" s="105"/>
      <c r="G2193" s="105"/>
      <c r="H2193" s="105"/>
    </row>
    <row r="2194">
      <c r="A2194" s="105"/>
      <c r="B2194" s="105"/>
      <c r="C2194" s="97"/>
      <c r="D2194" s="105"/>
      <c r="E2194" s="105"/>
      <c r="F2194" s="105"/>
      <c r="G2194" s="105"/>
      <c r="H2194" s="105"/>
    </row>
    <row r="2195">
      <c r="A2195" s="105"/>
      <c r="B2195" s="105"/>
      <c r="C2195" s="97"/>
      <c r="D2195" s="105"/>
      <c r="E2195" s="105"/>
      <c r="F2195" s="105"/>
      <c r="G2195" s="105"/>
      <c r="H2195" s="105"/>
    </row>
    <row r="2196">
      <c r="A2196" s="105"/>
      <c r="B2196" s="105"/>
      <c r="C2196" s="97"/>
      <c r="D2196" s="105"/>
      <c r="E2196" s="105"/>
      <c r="F2196" s="105"/>
      <c r="G2196" s="105"/>
      <c r="H2196" s="105"/>
    </row>
    <row r="2197">
      <c r="A2197" s="105"/>
      <c r="B2197" s="105"/>
      <c r="C2197" s="97"/>
      <c r="D2197" s="105"/>
      <c r="E2197" s="105"/>
      <c r="F2197" s="105"/>
      <c r="G2197" s="105"/>
      <c r="H2197" s="105"/>
    </row>
    <row r="2198">
      <c r="A2198" s="105"/>
      <c r="B2198" s="105"/>
      <c r="C2198" s="97"/>
      <c r="D2198" s="105"/>
      <c r="E2198" s="105"/>
      <c r="F2198" s="105"/>
      <c r="G2198" s="105"/>
      <c r="H2198" s="105"/>
    </row>
    <row r="2199">
      <c r="A2199" s="105"/>
      <c r="B2199" s="105"/>
      <c r="C2199" s="97"/>
      <c r="D2199" s="105"/>
      <c r="E2199" s="105"/>
      <c r="F2199" s="105"/>
      <c r="G2199" s="105"/>
      <c r="H2199" s="105"/>
    </row>
    <row r="2200">
      <c r="A2200" s="105"/>
      <c r="B2200" s="105"/>
      <c r="C2200" s="97"/>
      <c r="D2200" s="105"/>
      <c r="E2200" s="105"/>
      <c r="F2200" s="105"/>
      <c r="G2200" s="105"/>
      <c r="H2200" s="105"/>
    </row>
    <row r="2201">
      <c r="A2201" s="105"/>
      <c r="B2201" s="105"/>
      <c r="C2201" s="97"/>
      <c r="D2201" s="105"/>
      <c r="E2201" s="105"/>
      <c r="F2201" s="105"/>
      <c r="G2201" s="105"/>
      <c r="H2201" s="105"/>
    </row>
    <row r="2202">
      <c r="A2202" s="105"/>
      <c r="B2202" s="105"/>
      <c r="C2202" s="97"/>
      <c r="D2202" s="105"/>
      <c r="E2202" s="105"/>
      <c r="F2202" s="105"/>
      <c r="G2202" s="105"/>
      <c r="H2202" s="105"/>
    </row>
    <row r="2203">
      <c r="A2203" s="105"/>
      <c r="B2203" s="105"/>
      <c r="C2203" s="97"/>
      <c r="D2203" s="105"/>
      <c r="E2203" s="105"/>
      <c r="F2203" s="105"/>
      <c r="G2203" s="105"/>
      <c r="H2203" s="105"/>
    </row>
    <row r="2204">
      <c r="A2204" s="105"/>
      <c r="B2204" s="105"/>
      <c r="C2204" s="97"/>
      <c r="D2204" s="105"/>
      <c r="E2204" s="105"/>
      <c r="F2204" s="105"/>
      <c r="G2204" s="105"/>
      <c r="H2204" s="105"/>
    </row>
    <row r="2205">
      <c r="A2205" s="105"/>
      <c r="B2205" s="105"/>
      <c r="C2205" s="97"/>
      <c r="D2205" s="105"/>
      <c r="E2205" s="105"/>
      <c r="F2205" s="105"/>
      <c r="G2205" s="105"/>
      <c r="H2205" s="105"/>
    </row>
    <row r="2206">
      <c r="A2206" s="105"/>
      <c r="B2206" s="105"/>
      <c r="C2206" s="97"/>
      <c r="D2206" s="105"/>
      <c r="E2206" s="105"/>
      <c r="F2206" s="105"/>
      <c r="G2206" s="105"/>
      <c r="H2206" s="105"/>
    </row>
    <row r="2207">
      <c r="A2207" s="105"/>
      <c r="B2207" s="105"/>
      <c r="C2207" s="97"/>
      <c r="D2207" s="105"/>
      <c r="E2207" s="105"/>
      <c r="F2207" s="105"/>
      <c r="G2207" s="105"/>
      <c r="H2207" s="105"/>
    </row>
    <row r="2208">
      <c r="A2208" s="105"/>
      <c r="B2208" s="105"/>
      <c r="C2208" s="97"/>
      <c r="D2208" s="105"/>
      <c r="E2208" s="105"/>
      <c r="F2208" s="105"/>
      <c r="G2208" s="105"/>
      <c r="H2208" s="105"/>
    </row>
    <row r="2209">
      <c r="A2209" s="105"/>
      <c r="B2209" s="105"/>
      <c r="C2209" s="97"/>
      <c r="D2209" s="105"/>
      <c r="E2209" s="105"/>
      <c r="F2209" s="105"/>
      <c r="G2209" s="105"/>
      <c r="H2209" s="105"/>
    </row>
    <row r="2210">
      <c r="A2210" s="105"/>
      <c r="B2210" s="105"/>
      <c r="C2210" s="97"/>
      <c r="D2210" s="105"/>
      <c r="E2210" s="105"/>
      <c r="F2210" s="105"/>
      <c r="G2210" s="105"/>
      <c r="H2210" s="105"/>
    </row>
    <row r="2211">
      <c r="A2211" s="105"/>
      <c r="B2211" s="105"/>
      <c r="C2211" s="97"/>
      <c r="D2211" s="105"/>
      <c r="E2211" s="105"/>
      <c r="F2211" s="105"/>
      <c r="G2211" s="105"/>
      <c r="H2211" s="105"/>
    </row>
    <row r="2212">
      <c r="A2212" s="105"/>
      <c r="B2212" s="105"/>
      <c r="C2212" s="97"/>
      <c r="D2212" s="105"/>
      <c r="E2212" s="105"/>
      <c r="F2212" s="105"/>
      <c r="G2212" s="105"/>
      <c r="H2212" s="105"/>
    </row>
    <row r="2213">
      <c r="A2213" s="105"/>
      <c r="B2213" s="105"/>
      <c r="C2213" s="97"/>
      <c r="D2213" s="105"/>
      <c r="E2213" s="105"/>
      <c r="F2213" s="105"/>
      <c r="G2213" s="105"/>
      <c r="H2213" s="105"/>
    </row>
    <row r="2214">
      <c r="A2214" s="105"/>
      <c r="B2214" s="105"/>
      <c r="C2214" s="97"/>
      <c r="D2214" s="105"/>
      <c r="E2214" s="105"/>
      <c r="F2214" s="105"/>
      <c r="G2214" s="105"/>
      <c r="H2214" s="105"/>
    </row>
    <row r="2215">
      <c r="A2215" s="105"/>
      <c r="B2215" s="105"/>
      <c r="C2215" s="97"/>
      <c r="D2215" s="105"/>
      <c r="E2215" s="105"/>
      <c r="F2215" s="105"/>
      <c r="G2215" s="105"/>
      <c r="H2215" s="105"/>
    </row>
    <row r="2216">
      <c r="A2216" s="105"/>
      <c r="B2216" s="105"/>
      <c r="C2216" s="97"/>
      <c r="D2216" s="105"/>
      <c r="E2216" s="105"/>
      <c r="F2216" s="105"/>
      <c r="G2216" s="105"/>
      <c r="H2216" s="105"/>
    </row>
    <row r="2217">
      <c r="A2217" s="105"/>
      <c r="B2217" s="105"/>
      <c r="C2217" s="97"/>
      <c r="D2217" s="105"/>
      <c r="E2217" s="105"/>
      <c r="F2217" s="105"/>
      <c r="G2217" s="105"/>
      <c r="H2217" s="105"/>
    </row>
    <row r="2218">
      <c r="A2218" s="105"/>
      <c r="B2218" s="105"/>
      <c r="C2218" s="97"/>
      <c r="D2218" s="105"/>
      <c r="E2218" s="105"/>
      <c r="F2218" s="105"/>
      <c r="G2218" s="105"/>
      <c r="H2218" s="105"/>
    </row>
    <row r="2219">
      <c r="A2219" s="105"/>
      <c r="B2219" s="105"/>
      <c r="C2219" s="97"/>
      <c r="D2219" s="105"/>
      <c r="E2219" s="105"/>
      <c r="F2219" s="105"/>
      <c r="G2219" s="105"/>
      <c r="H2219" s="105"/>
    </row>
    <row r="2220">
      <c r="A2220" s="105"/>
      <c r="B2220" s="105"/>
      <c r="C2220" s="97"/>
      <c r="D2220" s="105"/>
      <c r="E2220" s="105"/>
      <c r="F2220" s="105"/>
      <c r="G2220" s="105"/>
      <c r="H2220" s="105"/>
    </row>
    <row r="2221">
      <c r="A2221" s="105"/>
      <c r="B2221" s="105"/>
      <c r="C2221" s="97"/>
      <c r="D2221" s="105"/>
      <c r="E2221" s="105"/>
      <c r="F2221" s="105"/>
      <c r="G2221" s="105"/>
      <c r="H2221" s="105"/>
    </row>
    <row r="2222">
      <c r="A2222" s="105"/>
      <c r="B2222" s="105"/>
      <c r="C2222" s="97"/>
      <c r="D2222" s="105"/>
      <c r="E2222" s="105"/>
      <c r="F2222" s="105"/>
      <c r="G2222" s="105"/>
      <c r="H2222" s="105"/>
    </row>
    <row r="2223">
      <c r="A2223" s="105"/>
      <c r="B2223" s="105"/>
      <c r="C2223" s="97"/>
      <c r="D2223" s="105"/>
      <c r="E2223" s="105"/>
      <c r="F2223" s="105"/>
      <c r="G2223" s="105"/>
      <c r="H2223" s="105"/>
    </row>
    <row r="2224">
      <c r="A2224" s="105"/>
      <c r="B2224" s="105"/>
      <c r="C2224" s="97"/>
      <c r="D2224" s="105"/>
      <c r="E2224" s="105"/>
      <c r="F2224" s="105"/>
      <c r="G2224" s="105"/>
      <c r="H2224" s="105"/>
    </row>
    <row r="2225">
      <c r="A2225" s="105"/>
      <c r="B2225" s="105"/>
      <c r="C2225" s="97"/>
      <c r="D2225" s="105"/>
      <c r="E2225" s="105"/>
      <c r="F2225" s="105"/>
      <c r="G2225" s="105"/>
      <c r="H2225" s="105"/>
    </row>
    <row r="2226">
      <c r="A2226" s="105"/>
      <c r="B2226" s="105"/>
      <c r="C2226" s="97"/>
      <c r="D2226" s="105"/>
      <c r="E2226" s="105"/>
      <c r="F2226" s="105"/>
      <c r="G2226" s="105"/>
      <c r="H2226" s="105"/>
    </row>
    <row r="2227">
      <c r="A2227" s="105"/>
      <c r="B2227" s="105"/>
      <c r="C2227" s="97"/>
      <c r="D2227" s="105"/>
      <c r="E2227" s="105"/>
      <c r="F2227" s="105"/>
      <c r="G2227" s="105"/>
      <c r="H2227" s="105"/>
    </row>
    <row r="2228">
      <c r="A2228" s="105"/>
      <c r="B2228" s="105"/>
      <c r="C2228" s="97"/>
      <c r="D2228" s="105"/>
      <c r="E2228" s="105"/>
      <c r="F2228" s="105"/>
      <c r="G2228" s="105"/>
      <c r="H2228" s="105"/>
    </row>
    <row r="2229">
      <c r="A2229" s="105"/>
      <c r="B2229" s="105"/>
      <c r="C2229" s="97"/>
      <c r="D2229" s="105"/>
      <c r="E2229" s="105"/>
      <c r="F2229" s="105"/>
      <c r="G2229" s="105"/>
      <c r="H2229" s="105"/>
    </row>
    <row r="2230">
      <c r="A2230" s="105"/>
      <c r="B2230" s="105"/>
      <c r="C2230" s="97"/>
      <c r="D2230" s="105"/>
      <c r="E2230" s="105"/>
      <c r="F2230" s="105"/>
      <c r="G2230" s="105"/>
      <c r="H2230" s="105"/>
    </row>
    <row r="2231">
      <c r="A2231" s="105"/>
      <c r="B2231" s="105"/>
      <c r="C2231" s="97"/>
      <c r="D2231" s="105"/>
      <c r="E2231" s="105"/>
      <c r="F2231" s="105"/>
      <c r="G2231" s="105"/>
      <c r="H2231" s="105"/>
    </row>
    <row r="2232">
      <c r="A2232" s="105"/>
      <c r="B2232" s="105"/>
      <c r="C2232" s="97"/>
      <c r="D2232" s="105"/>
      <c r="E2232" s="105"/>
      <c r="F2232" s="105"/>
      <c r="G2232" s="105"/>
      <c r="H2232" s="105"/>
    </row>
    <row r="2233">
      <c r="A2233" s="105"/>
      <c r="B2233" s="105"/>
      <c r="C2233" s="97"/>
      <c r="D2233" s="105"/>
      <c r="E2233" s="105"/>
      <c r="F2233" s="105"/>
      <c r="G2233" s="105"/>
      <c r="H2233" s="105"/>
    </row>
    <row r="2234">
      <c r="A2234" s="105"/>
      <c r="B2234" s="105"/>
      <c r="C2234" s="97"/>
      <c r="D2234" s="105"/>
      <c r="E2234" s="105"/>
      <c r="F2234" s="105"/>
      <c r="G2234" s="105"/>
      <c r="H2234" s="105"/>
    </row>
    <row r="2235">
      <c r="A2235" s="105"/>
      <c r="B2235" s="105"/>
      <c r="C2235" s="97"/>
      <c r="D2235" s="105"/>
      <c r="E2235" s="105"/>
      <c r="F2235" s="105"/>
      <c r="G2235" s="105"/>
      <c r="H2235" s="105"/>
    </row>
    <row r="2236">
      <c r="A2236" s="105"/>
      <c r="B2236" s="105"/>
      <c r="C2236" s="97"/>
      <c r="D2236" s="105"/>
      <c r="E2236" s="105"/>
      <c r="F2236" s="105"/>
      <c r="G2236" s="105"/>
      <c r="H2236" s="105"/>
    </row>
    <row r="2237">
      <c r="A2237" s="105"/>
      <c r="B2237" s="105"/>
      <c r="C2237" s="97"/>
      <c r="D2237" s="105"/>
      <c r="E2237" s="105"/>
      <c r="F2237" s="105"/>
      <c r="G2237" s="105"/>
      <c r="H2237" s="105"/>
    </row>
    <row r="2238">
      <c r="A2238" s="105"/>
      <c r="B2238" s="105"/>
      <c r="C2238" s="97"/>
      <c r="D2238" s="105"/>
      <c r="E2238" s="105"/>
      <c r="F2238" s="105"/>
      <c r="G2238" s="105"/>
      <c r="H2238" s="105"/>
    </row>
    <row r="2239">
      <c r="A2239" s="105"/>
      <c r="B2239" s="105"/>
      <c r="C2239" s="97"/>
      <c r="D2239" s="105"/>
      <c r="E2239" s="105"/>
      <c r="F2239" s="105"/>
      <c r="G2239" s="105"/>
      <c r="H2239" s="105"/>
    </row>
    <row r="2240">
      <c r="A2240" s="105"/>
      <c r="B2240" s="105"/>
      <c r="C2240" s="97"/>
      <c r="D2240" s="105"/>
      <c r="E2240" s="105"/>
      <c r="F2240" s="105"/>
      <c r="G2240" s="105"/>
      <c r="H2240" s="105"/>
    </row>
    <row r="2241">
      <c r="A2241" s="105"/>
      <c r="B2241" s="105"/>
      <c r="C2241" s="97"/>
      <c r="D2241" s="105"/>
      <c r="E2241" s="105"/>
      <c r="F2241" s="105"/>
      <c r="G2241" s="105"/>
      <c r="H2241" s="105"/>
    </row>
    <row r="2242">
      <c r="A2242" s="105"/>
      <c r="B2242" s="105"/>
      <c r="C2242" s="97"/>
      <c r="D2242" s="105"/>
      <c r="E2242" s="105"/>
      <c r="F2242" s="105"/>
      <c r="G2242" s="105"/>
      <c r="H2242" s="105"/>
    </row>
    <row r="2243">
      <c r="A2243" s="105"/>
      <c r="B2243" s="105"/>
      <c r="C2243" s="97"/>
      <c r="D2243" s="105"/>
      <c r="E2243" s="105"/>
      <c r="F2243" s="105"/>
      <c r="G2243" s="105"/>
      <c r="H2243" s="105"/>
    </row>
    <row r="2244">
      <c r="A2244" s="105"/>
      <c r="B2244" s="105"/>
      <c r="C2244" s="97"/>
      <c r="D2244" s="105"/>
      <c r="E2244" s="105"/>
      <c r="F2244" s="105"/>
      <c r="G2244" s="105"/>
      <c r="H2244" s="105"/>
    </row>
    <row r="2245">
      <c r="A2245" s="105"/>
      <c r="B2245" s="105"/>
      <c r="C2245" s="97"/>
      <c r="D2245" s="105"/>
      <c r="E2245" s="105"/>
      <c r="F2245" s="105"/>
      <c r="G2245" s="105"/>
      <c r="H2245" s="105"/>
    </row>
    <row r="2246">
      <c r="A2246" s="105"/>
      <c r="B2246" s="105"/>
      <c r="C2246" s="97"/>
      <c r="D2246" s="105"/>
      <c r="E2246" s="105"/>
      <c r="F2246" s="105"/>
      <c r="G2246" s="105"/>
      <c r="H2246" s="105"/>
    </row>
    <row r="2247">
      <c r="A2247" s="105"/>
      <c r="B2247" s="105"/>
      <c r="C2247" s="97"/>
      <c r="D2247" s="105"/>
      <c r="E2247" s="105"/>
      <c r="F2247" s="105"/>
      <c r="G2247" s="105"/>
      <c r="H2247" s="105"/>
    </row>
    <row r="2248">
      <c r="A2248" s="105"/>
      <c r="B2248" s="105"/>
      <c r="C2248" s="97"/>
      <c r="D2248" s="105"/>
      <c r="E2248" s="105"/>
      <c r="F2248" s="105"/>
      <c r="G2248" s="105"/>
      <c r="H2248" s="105"/>
    </row>
    <row r="2249">
      <c r="A2249" s="105"/>
      <c r="B2249" s="105"/>
      <c r="C2249" s="97"/>
      <c r="D2249" s="105"/>
      <c r="E2249" s="105"/>
      <c r="F2249" s="105"/>
      <c r="G2249" s="105"/>
      <c r="H2249" s="105"/>
    </row>
    <row r="2250">
      <c r="A2250" s="105"/>
      <c r="B2250" s="105"/>
      <c r="C2250" s="97"/>
      <c r="D2250" s="105"/>
      <c r="E2250" s="105"/>
      <c r="F2250" s="105"/>
      <c r="G2250" s="105"/>
      <c r="H2250" s="105"/>
    </row>
    <row r="2251">
      <c r="A2251" s="105"/>
      <c r="B2251" s="105"/>
      <c r="C2251" s="97"/>
      <c r="D2251" s="105"/>
      <c r="E2251" s="105"/>
      <c r="F2251" s="105"/>
      <c r="G2251" s="105"/>
      <c r="H2251" s="105"/>
    </row>
    <row r="2252">
      <c r="A2252" s="105"/>
      <c r="B2252" s="105"/>
      <c r="C2252" s="97"/>
      <c r="D2252" s="105"/>
      <c r="E2252" s="105"/>
      <c r="F2252" s="105"/>
      <c r="G2252" s="105"/>
      <c r="H2252" s="105"/>
    </row>
    <row r="2253">
      <c r="A2253" s="105"/>
      <c r="B2253" s="105"/>
      <c r="C2253" s="97"/>
      <c r="D2253" s="105"/>
      <c r="E2253" s="105"/>
      <c r="F2253" s="105"/>
      <c r="G2253" s="105"/>
      <c r="H2253" s="105"/>
    </row>
    <row r="2254">
      <c r="A2254" s="105"/>
      <c r="B2254" s="105"/>
      <c r="C2254" s="97"/>
      <c r="D2254" s="105"/>
      <c r="E2254" s="105"/>
      <c r="F2254" s="105"/>
      <c r="G2254" s="105"/>
      <c r="H2254" s="105"/>
    </row>
    <row r="2255">
      <c r="A2255" s="105"/>
      <c r="B2255" s="105"/>
      <c r="C2255" s="97"/>
      <c r="D2255" s="105"/>
      <c r="E2255" s="105"/>
      <c r="F2255" s="105"/>
      <c r="G2255" s="105"/>
      <c r="H2255" s="105"/>
    </row>
    <row r="2256">
      <c r="A2256" s="105"/>
      <c r="B2256" s="105"/>
      <c r="C2256" s="97"/>
      <c r="D2256" s="105"/>
      <c r="E2256" s="105"/>
      <c r="F2256" s="105"/>
      <c r="G2256" s="105"/>
      <c r="H2256" s="105"/>
    </row>
    <row r="2257">
      <c r="A2257" s="105"/>
      <c r="B2257" s="105"/>
      <c r="C2257" s="97"/>
      <c r="D2257" s="105"/>
      <c r="E2257" s="105"/>
      <c r="F2257" s="105"/>
      <c r="G2257" s="105"/>
      <c r="H2257" s="105"/>
    </row>
    <row r="2258">
      <c r="A2258" s="105"/>
      <c r="B2258" s="105"/>
      <c r="C2258" s="97"/>
      <c r="D2258" s="105"/>
      <c r="E2258" s="105"/>
      <c r="F2258" s="105"/>
      <c r="G2258" s="105"/>
      <c r="H2258" s="105"/>
    </row>
    <row r="2259">
      <c r="A2259" s="105"/>
      <c r="B2259" s="105"/>
      <c r="C2259" s="97"/>
      <c r="D2259" s="105"/>
      <c r="E2259" s="105"/>
      <c r="F2259" s="105"/>
      <c r="G2259" s="105"/>
      <c r="H2259" s="105"/>
    </row>
    <row r="2260">
      <c r="A2260" s="105"/>
      <c r="B2260" s="105"/>
      <c r="C2260" s="97"/>
      <c r="D2260" s="105"/>
      <c r="E2260" s="105"/>
      <c r="F2260" s="105"/>
      <c r="G2260" s="105"/>
      <c r="H2260" s="105"/>
    </row>
    <row r="2261">
      <c r="A2261" s="105"/>
      <c r="B2261" s="105"/>
      <c r="C2261" s="97"/>
      <c r="D2261" s="105"/>
      <c r="E2261" s="105"/>
      <c r="F2261" s="105"/>
      <c r="G2261" s="105"/>
      <c r="H2261" s="105"/>
    </row>
    <row r="2262">
      <c r="A2262" s="105"/>
      <c r="B2262" s="105"/>
      <c r="C2262" s="97"/>
      <c r="D2262" s="105"/>
      <c r="E2262" s="105"/>
      <c r="F2262" s="105"/>
      <c r="G2262" s="105"/>
      <c r="H2262" s="105"/>
    </row>
    <row r="2263">
      <c r="A2263" s="105"/>
      <c r="B2263" s="105"/>
      <c r="C2263" s="97"/>
      <c r="D2263" s="105"/>
      <c r="E2263" s="105"/>
      <c r="F2263" s="105"/>
      <c r="G2263" s="105"/>
      <c r="H2263" s="105"/>
    </row>
    <row r="2264">
      <c r="A2264" s="105"/>
      <c r="B2264" s="105"/>
      <c r="C2264" s="97"/>
      <c r="D2264" s="105"/>
      <c r="E2264" s="105"/>
      <c r="F2264" s="105"/>
      <c r="G2264" s="105"/>
      <c r="H2264" s="105"/>
    </row>
    <row r="2265">
      <c r="A2265" s="105"/>
      <c r="B2265" s="105"/>
      <c r="C2265" s="97"/>
      <c r="D2265" s="105"/>
      <c r="E2265" s="105"/>
      <c r="F2265" s="105"/>
      <c r="G2265" s="105"/>
      <c r="H2265" s="105"/>
    </row>
    <row r="2266">
      <c r="A2266" s="105"/>
      <c r="B2266" s="105"/>
      <c r="C2266" s="97"/>
      <c r="D2266" s="105"/>
      <c r="E2266" s="105"/>
      <c r="F2266" s="105"/>
      <c r="G2266" s="105"/>
      <c r="H2266" s="105"/>
    </row>
    <row r="2267">
      <c r="A2267" s="105"/>
      <c r="B2267" s="105"/>
      <c r="C2267" s="97"/>
      <c r="D2267" s="105"/>
      <c r="E2267" s="105"/>
      <c r="F2267" s="105"/>
      <c r="G2267" s="105"/>
      <c r="H2267" s="105"/>
    </row>
    <row r="2268">
      <c r="A2268" s="105"/>
      <c r="B2268" s="105"/>
      <c r="C2268" s="97"/>
      <c r="D2268" s="105"/>
      <c r="E2268" s="105"/>
      <c r="F2268" s="105"/>
      <c r="G2268" s="105"/>
      <c r="H2268" s="105"/>
    </row>
    <row r="2269">
      <c r="A2269" s="105"/>
      <c r="B2269" s="105"/>
      <c r="C2269" s="97"/>
      <c r="D2269" s="105"/>
      <c r="E2269" s="105"/>
      <c r="F2269" s="105"/>
      <c r="G2269" s="105"/>
      <c r="H2269" s="105"/>
    </row>
    <row r="2270">
      <c r="A2270" s="105"/>
      <c r="B2270" s="105"/>
      <c r="C2270" s="97"/>
      <c r="D2270" s="105"/>
      <c r="E2270" s="105"/>
      <c r="F2270" s="105"/>
      <c r="G2270" s="105"/>
      <c r="H2270" s="105"/>
    </row>
    <row r="2271">
      <c r="A2271" s="105"/>
      <c r="B2271" s="105"/>
      <c r="C2271" s="97"/>
      <c r="D2271" s="105"/>
      <c r="E2271" s="105"/>
      <c r="F2271" s="105"/>
      <c r="G2271" s="105"/>
      <c r="H2271" s="105"/>
    </row>
    <row r="2272">
      <c r="A2272" s="105"/>
      <c r="B2272" s="105"/>
      <c r="C2272" s="97"/>
      <c r="D2272" s="105"/>
      <c r="E2272" s="105"/>
      <c r="F2272" s="105"/>
      <c r="G2272" s="105"/>
      <c r="H2272" s="105"/>
    </row>
    <row r="2273">
      <c r="A2273" s="105"/>
      <c r="B2273" s="105"/>
      <c r="C2273" s="97"/>
      <c r="D2273" s="105"/>
      <c r="E2273" s="105"/>
      <c r="F2273" s="105"/>
      <c r="G2273" s="105"/>
      <c r="H2273" s="105"/>
    </row>
    <row r="2274">
      <c r="A2274" s="105"/>
      <c r="B2274" s="105"/>
      <c r="C2274" s="97"/>
      <c r="D2274" s="105"/>
      <c r="E2274" s="105"/>
      <c r="F2274" s="105"/>
      <c r="G2274" s="105"/>
      <c r="H2274" s="105"/>
    </row>
    <row r="2275">
      <c r="A2275" s="105"/>
      <c r="B2275" s="105"/>
      <c r="C2275" s="97"/>
      <c r="D2275" s="105"/>
      <c r="E2275" s="105"/>
      <c r="F2275" s="105"/>
      <c r="G2275" s="105"/>
      <c r="H2275" s="105"/>
    </row>
    <row r="2276">
      <c r="A2276" s="105"/>
      <c r="B2276" s="105"/>
      <c r="C2276" s="97"/>
      <c r="D2276" s="105"/>
      <c r="E2276" s="105"/>
      <c r="F2276" s="105"/>
      <c r="G2276" s="105"/>
      <c r="H2276" s="105"/>
    </row>
    <row r="2277">
      <c r="A2277" s="105"/>
      <c r="B2277" s="105"/>
      <c r="C2277" s="97"/>
      <c r="D2277" s="105"/>
      <c r="E2277" s="105"/>
      <c r="F2277" s="105"/>
      <c r="G2277" s="105"/>
      <c r="H2277" s="105"/>
    </row>
    <row r="2278">
      <c r="A2278" s="105"/>
      <c r="B2278" s="105"/>
      <c r="C2278" s="97"/>
      <c r="D2278" s="105"/>
      <c r="E2278" s="105"/>
      <c r="F2278" s="105"/>
      <c r="G2278" s="105"/>
      <c r="H2278" s="105"/>
    </row>
    <row r="2279">
      <c r="A2279" s="105"/>
      <c r="B2279" s="105"/>
      <c r="C2279" s="97"/>
      <c r="D2279" s="105"/>
      <c r="E2279" s="105"/>
      <c r="F2279" s="105"/>
      <c r="G2279" s="105"/>
      <c r="H2279" s="105"/>
    </row>
    <row r="2280">
      <c r="A2280" s="105"/>
      <c r="B2280" s="105"/>
      <c r="C2280" s="97"/>
      <c r="D2280" s="105"/>
      <c r="E2280" s="105"/>
      <c r="F2280" s="105"/>
      <c r="G2280" s="105"/>
      <c r="H2280" s="105"/>
    </row>
    <row r="2281">
      <c r="A2281" s="105"/>
      <c r="B2281" s="105"/>
      <c r="C2281" s="97"/>
      <c r="D2281" s="105"/>
      <c r="E2281" s="105"/>
      <c r="F2281" s="105"/>
      <c r="G2281" s="105"/>
      <c r="H2281" s="105"/>
    </row>
    <row r="2282">
      <c r="A2282" s="105"/>
      <c r="B2282" s="105"/>
      <c r="C2282" s="97"/>
      <c r="D2282" s="105"/>
      <c r="E2282" s="105"/>
      <c r="F2282" s="105"/>
      <c r="G2282" s="105"/>
      <c r="H2282" s="105"/>
    </row>
    <row r="2283">
      <c r="A2283" s="105"/>
      <c r="B2283" s="105"/>
      <c r="C2283" s="97"/>
      <c r="D2283" s="105"/>
      <c r="E2283" s="105"/>
      <c r="F2283" s="105"/>
      <c r="G2283" s="105"/>
      <c r="H2283" s="105"/>
    </row>
    <row r="2284">
      <c r="A2284" s="105"/>
      <c r="B2284" s="105"/>
      <c r="C2284" s="97"/>
      <c r="D2284" s="105"/>
      <c r="E2284" s="105"/>
      <c r="F2284" s="105"/>
      <c r="G2284" s="105"/>
      <c r="H2284" s="105"/>
    </row>
    <row r="2285">
      <c r="A2285" s="105"/>
      <c r="B2285" s="105"/>
      <c r="C2285" s="97"/>
      <c r="D2285" s="105"/>
      <c r="E2285" s="105"/>
      <c r="F2285" s="105"/>
      <c r="G2285" s="105"/>
      <c r="H2285" s="105"/>
    </row>
    <row r="2286">
      <c r="A2286" s="105"/>
      <c r="B2286" s="105"/>
      <c r="C2286" s="97"/>
      <c r="D2286" s="105"/>
      <c r="E2286" s="105"/>
      <c r="F2286" s="105"/>
      <c r="G2286" s="105"/>
      <c r="H2286" s="105"/>
    </row>
    <row r="2287">
      <c r="A2287" s="105"/>
      <c r="B2287" s="105"/>
      <c r="C2287" s="97"/>
      <c r="D2287" s="105"/>
      <c r="E2287" s="105"/>
      <c r="F2287" s="105"/>
      <c r="G2287" s="105"/>
      <c r="H2287" s="105"/>
    </row>
    <row r="2288">
      <c r="A2288" s="105"/>
      <c r="B2288" s="105"/>
      <c r="C2288" s="97"/>
      <c r="D2288" s="105"/>
      <c r="E2288" s="105"/>
      <c r="F2288" s="105"/>
      <c r="G2288" s="105"/>
      <c r="H2288" s="105"/>
    </row>
    <row r="2289">
      <c r="A2289" s="105"/>
      <c r="B2289" s="105"/>
      <c r="C2289" s="97"/>
      <c r="D2289" s="105"/>
      <c r="E2289" s="105"/>
      <c r="F2289" s="105"/>
      <c r="G2289" s="105"/>
      <c r="H2289" s="105"/>
    </row>
    <row r="2290">
      <c r="A2290" s="105"/>
      <c r="B2290" s="105"/>
      <c r="C2290" s="97"/>
      <c r="D2290" s="105"/>
      <c r="E2290" s="105"/>
      <c r="F2290" s="105"/>
      <c r="G2290" s="105"/>
      <c r="H2290" s="105"/>
    </row>
    <row r="2291">
      <c r="A2291" s="105"/>
      <c r="B2291" s="105"/>
      <c r="C2291" s="97"/>
      <c r="D2291" s="105"/>
      <c r="E2291" s="105"/>
      <c r="F2291" s="105"/>
      <c r="G2291" s="105"/>
      <c r="H2291" s="105"/>
    </row>
    <row r="2292">
      <c r="A2292" s="105"/>
      <c r="B2292" s="105"/>
      <c r="C2292" s="97"/>
      <c r="D2292" s="105"/>
      <c r="E2292" s="105"/>
      <c r="F2292" s="105"/>
      <c r="G2292" s="105"/>
      <c r="H2292" s="105"/>
    </row>
    <row r="2293">
      <c r="A2293" s="105"/>
      <c r="B2293" s="105"/>
      <c r="C2293" s="97"/>
      <c r="D2293" s="105"/>
      <c r="E2293" s="105"/>
      <c r="F2293" s="105"/>
      <c r="G2293" s="105"/>
      <c r="H2293" s="105"/>
    </row>
    <row r="2294">
      <c r="A2294" s="105"/>
      <c r="B2294" s="105"/>
      <c r="C2294" s="97"/>
      <c r="D2294" s="105"/>
      <c r="E2294" s="105"/>
      <c r="F2294" s="105"/>
      <c r="G2294" s="105"/>
      <c r="H2294" s="105"/>
    </row>
    <row r="2295">
      <c r="A2295" s="105"/>
      <c r="B2295" s="105"/>
      <c r="C2295" s="97"/>
      <c r="D2295" s="105"/>
      <c r="E2295" s="105"/>
      <c r="F2295" s="105"/>
      <c r="G2295" s="105"/>
      <c r="H2295" s="105"/>
    </row>
    <row r="2296">
      <c r="A2296" s="105"/>
      <c r="B2296" s="105"/>
      <c r="C2296" s="97"/>
      <c r="D2296" s="105"/>
      <c r="E2296" s="105"/>
      <c r="F2296" s="105"/>
      <c r="G2296" s="105"/>
      <c r="H2296" s="105"/>
    </row>
    <row r="2297">
      <c r="A2297" s="105"/>
      <c r="B2297" s="105"/>
      <c r="C2297" s="97"/>
      <c r="D2297" s="105"/>
      <c r="E2297" s="105"/>
      <c r="F2297" s="105"/>
      <c r="G2297" s="105"/>
      <c r="H2297" s="105"/>
    </row>
    <row r="2298">
      <c r="A2298" s="105"/>
      <c r="B2298" s="105"/>
      <c r="C2298" s="97"/>
      <c r="D2298" s="105"/>
      <c r="E2298" s="105"/>
      <c r="F2298" s="105"/>
      <c r="G2298" s="105"/>
      <c r="H2298" s="105"/>
    </row>
    <row r="2299">
      <c r="A2299" s="105"/>
      <c r="B2299" s="105"/>
      <c r="C2299" s="97"/>
      <c r="D2299" s="105"/>
      <c r="E2299" s="105"/>
      <c r="F2299" s="105"/>
      <c r="G2299" s="105"/>
      <c r="H2299" s="105"/>
    </row>
    <row r="2300">
      <c r="A2300" s="105"/>
      <c r="B2300" s="105"/>
      <c r="C2300" s="97"/>
      <c r="D2300" s="105"/>
      <c r="E2300" s="105"/>
      <c r="F2300" s="105"/>
      <c r="G2300" s="105"/>
      <c r="H2300" s="105"/>
    </row>
    <row r="2301">
      <c r="A2301" s="105"/>
      <c r="B2301" s="105"/>
      <c r="C2301" s="97"/>
      <c r="D2301" s="105"/>
      <c r="E2301" s="105"/>
      <c r="F2301" s="105"/>
      <c r="G2301" s="105"/>
      <c r="H2301" s="105"/>
    </row>
    <row r="2302">
      <c r="A2302" s="105"/>
      <c r="B2302" s="105"/>
      <c r="C2302" s="97"/>
      <c r="D2302" s="105"/>
      <c r="E2302" s="105"/>
      <c r="F2302" s="105"/>
      <c r="G2302" s="105"/>
      <c r="H2302" s="105"/>
    </row>
    <row r="2303">
      <c r="A2303" s="105"/>
      <c r="B2303" s="105"/>
      <c r="C2303" s="97"/>
      <c r="D2303" s="105"/>
      <c r="E2303" s="105"/>
      <c r="F2303" s="105"/>
      <c r="G2303" s="105"/>
      <c r="H2303" s="105"/>
    </row>
    <row r="2304">
      <c r="A2304" s="105"/>
      <c r="B2304" s="105"/>
      <c r="C2304" s="97"/>
      <c r="D2304" s="105"/>
      <c r="E2304" s="105"/>
      <c r="F2304" s="105"/>
      <c r="G2304" s="105"/>
      <c r="H2304" s="105"/>
    </row>
    <row r="2305">
      <c r="A2305" s="105"/>
      <c r="B2305" s="105"/>
      <c r="C2305" s="97"/>
      <c r="D2305" s="105"/>
      <c r="E2305" s="105"/>
      <c r="F2305" s="105"/>
      <c r="G2305" s="105"/>
      <c r="H2305" s="105"/>
    </row>
    <row r="2306">
      <c r="A2306" s="105"/>
      <c r="B2306" s="105"/>
      <c r="C2306" s="97"/>
      <c r="D2306" s="105"/>
      <c r="E2306" s="105"/>
      <c r="F2306" s="105"/>
      <c r="G2306" s="105"/>
      <c r="H2306" s="105"/>
    </row>
    <row r="2307">
      <c r="A2307" s="105"/>
      <c r="B2307" s="105"/>
      <c r="C2307" s="97"/>
      <c r="D2307" s="105"/>
      <c r="E2307" s="105"/>
      <c r="F2307" s="105"/>
      <c r="G2307" s="105"/>
      <c r="H2307" s="105"/>
    </row>
    <row r="2308">
      <c r="A2308" s="105"/>
      <c r="B2308" s="105"/>
      <c r="C2308" s="97"/>
      <c r="D2308" s="105"/>
      <c r="E2308" s="105"/>
      <c r="F2308" s="105"/>
      <c r="G2308" s="105"/>
      <c r="H2308" s="105"/>
    </row>
    <row r="2309">
      <c r="A2309" s="105"/>
      <c r="B2309" s="105"/>
      <c r="C2309" s="97"/>
      <c r="D2309" s="105"/>
      <c r="E2309" s="105"/>
      <c r="F2309" s="105"/>
      <c r="G2309" s="105"/>
      <c r="H2309" s="105"/>
    </row>
    <row r="2310">
      <c r="A2310" s="105"/>
      <c r="B2310" s="105"/>
      <c r="C2310" s="97"/>
      <c r="D2310" s="105"/>
      <c r="E2310" s="105"/>
      <c r="F2310" s="105"/>
      <c r="G2310" s="105"/>
      <c r="H2310" s="105"/>
    </row>
    <row r="2311">
      <c r="A2311" s="105"/>
      <c r="B2311" s="105"/>
      <c r="C2311" s="97"/>
      <c r="D2311" s="105"/>
      <c r="E2311" s="105"/>
      <c r="F2311" s="105"/>
      <c r="G2311" s="105"/>
      <c r="H2311" s="105"/>
    </row>
    <row r="2312">
      <c r="A2312" s="105"/>
      <c r="B2312" s="105"/>
      <c r="C2312" s="97"/>
      <c r="D2312" s="105"/>
      <c r="E2312" s="105"/>
      <c r="F2312" s="105"/>
      <c r="G2312" s="105"/>
      <c r="H2312" s="105"/>
    </row>
    <row r="2313">
      <c r="A2313" s="105"/>
      <c r="B2313" s="105"/>
      <c r="C2313" s="97"/>
      <c r="D2313" s="105"/>
      <c r="E2313" s="105"/>
      <c r="F2313" s="105"/>
      <c r="G2313" s="105"/>
      <c r="H2313" s="105"/>
    </row>
    <row r="2314">
      <c r="A2314" s="105"/>
      <c r="B2314" s="105"/>
      <c r="C2314" s="97"/>
      <c r="D2314" s="105"/>
      <c r="E2314" s="105"/>
      <c r="F2314" s="105"/>
      <c r="G2314" s="105"/>
      <c r="H2314" s="105"/>
    </row>
    <row r="2315">
      <c r="A2315" s="105"/>
      <c r="B2315" s="105"/>
      <c r="C2315" s="97"/>
      <c r="D2315" s="105"/>
      <c r="E2315" s="105"/>
      <c r="F2315" s="105"/>
      <c r="G2315" s="105"/>
      <c r="H2315" s="105"/>
    </row>
    <row r="2316">
      <c r="A2316" s="105"/>
      <c r="B2316" s="105"/>
      <c r="C2316" s="97"/>
      <c r="D2316" s="105"/>
      <c r="E2316" s="105"/>
      <c r="F2316" s="105"/>
      <c r="G2316" s="105"/>
      <c r="H2316" s="105"/>
    </row>
    <row r="2317">
      <c r="A2317" s="105"/>
      <c r="B2317" s="105"/>
      <c r="C2317" s="97"/>
      <c r="D2317" s="105"/>
      <c r="E2317" s="105"/>
      <c r="F2317" s="105"/>
      <c r="G2317" s="105"/>
      <c r="H2317" s="105"/>
    </row>
    <row r="2318">
      <c r="A2318" s="105"/>
      <c r="B2318" s="105"/>
      <c r="C2318" s="97"/>
      <c r="D2318" s="105"/>
      <c r="E2318" s="105"/>
      <c r="F2318" s="105"/>
      <c r="G2318" s="105"/>
      <c r="H2318" s="105"/>
    </row>
    <row r="2319">
      <c r="A2319" s="105"/>
      <c r="B2319" s="105"/>
      <c r="C2319" s="97"/>
      <c r="D2319" s="105"/>
      <c r="E2319" s="105"/>
      <c r="F2319" s="105"/>
      <c r="G2319" s="105"/>
      <c r="H2319" s="105"/>
    </row>
    <row r="2320">
      <c r="A2320" s="105"/>
      <c r="B2320" s="105"/>
      <c r="C2320" s="97"/>
      <c r="D2320" s="105"/>
      <c r="E2320" s="105"/>
      <c r="F2320" s="105"/>
      <c r="G2320" s="105"/>
      <c r="H2320" s="105"/>
    </row>
    <row r="2321">
      <c r="A2321" s="105"/>
      <c r="B2321" s="105"/>
      <c r="C2321" s="97"/>
      <c r="D2321" s="105"/>
      <c r="E2321" s="105"/>
      <c r="F2321" s="105"/>
      <c r="G2321" s="105"/>
      <c r="H2321" s="105"/>
    </row>
    <row r="2322">
      <c r="A2322" s="105"/>
      <c r="B2322" s="105"/>
      <c r="C2322" s="97"/>
      <c r="D2322" s="105"/>
      <c r="E2322" s="105"/>
      <c r="F2322" s="105"/>
      <c r="G2322" s="105"/>
      <c r="H2322" s="105"/>
    </row>
    <row r="2323">
      <c r="A2323" s="105"/>
      <c r="B2323" s="105"/>
      <c r="C2323" s="97"/>
      <c r="D2323" s="105"/>
      <c r="E2323" s="105"/>
      <c r="F2323" s="105"/>
      <c r="G2323" s="105"/>
      <c r="H2323" s="105"/>
    </row>
    <row r="2324">
      <c r="A2324" s="105"/>
      <c r="B2324" s="105"/>
      <c r="C2324" s="97"/>
      <c r="D2324" s="105"/>
      <c r="E2324" s="105"/>
      <c r="F2324" s="105"/>
      <c r="G2324" s="105"/>
      <c r="H2324" s="105"/>
    </row>
    <row r="2325">
      <c r="A2325" s="105"/>
      <c r="B2325" s="105"/>
      <c r="C2325" s="97"/>
      <c r="D2325" s="105"/>
      <c r="E2325" s="105"/>
      <c r="F2325" s="105"/>
      <c r="G2325" s="105"/>
      <c r="H2325" s="105"/>
    </row>
    <row r="2326">
      <c r="A2326" s="105"/>
      <c r="B2326" s="105"/>
      <c r="C2326" s="97"/>
      <c r="D2326" s="105"/>
      <c r="E2326" s="105"/>
      <c r="F2326" s="105"/>
      <c r="G2326" s="105"/>
      <c r="H2326" s="105"/>
    </row>
    <row r="2327">
      <c r="A2327" s="105"/>
      <c r="B2327" s="105"/>
      <c r="C2327" s="97"/>
      <c r="D2327" s="105"/>
      <c r="E2327" s="105"/>
      <c r="F2327" s="105"/>
      <c r="G2327" s="105"/>
      <c r="H2327" s="105"/>
    </row>
    <row r="2328">
      <c r="A2328" s="105"/>
      <c r="B2328" s="105"/>
      <c r="C2328" s="97"/>
      <c r="D2328" s="105"/>
      <c r="E2328" s="105"/>
      <c r="F2328" s="105"/>
      <c r="G2328" s="105"/>
      <c r="H2328" s="105"/>
    </row>
    <row r="2329">
      <c r="A2329" s="105"/>
      <c r="B2329" s="105"/>
      <c r="C2329" s="97"/>
      <c r="D2329" s="105"/>
      <c r="E2329" s="105"/>
      <c r="F2329" s="105"/>
      <c r="G2329" s="105"/>
      <c r="H2329" s="105"/>
    </row>
    <row r="2330">
      <c r="A2330" s="105"/>
      <c r="B2330" s="105"/>
      <c r="C2330" s="97"/>
      <c r="D2330" s="105"/>
      <c r="E2330" s="105"/>
      <c r="F2330" s="105"/>
      <c r="G2330" s="105"/>
      <c r="H2330" s="105"/>
    </row>
    <row r="2331">
      <c r="A2331" s="105"/>
      <c r="B2331" s="105"/>
      <c r="C2331" s="97"/>
      <c r="D2331" s="105"/>
      <c r="E2331" s="105"/>
      <c r="F2331" s="105"/>
      <c r="G2331" s="105"/>
      <c r="H2331" s="105"/>
    </row>
    <row r="2332">
      <c r="A2332" s="105"/>
      <c r="B2332" s="105"/>
      <c r="C2332" s="97"/>
      <c r="D2332" s="105"/>
      <c r="E2332" s="105"/>
      <c r="F2332" s="105"/>
      <c r="G2332" s="105"/>
      <c r="H2332" s="105"/>
    </row>
    <row r="2333">
      <c r="A2333" s="105"/>
      <c r="B2333" s="105"/>
      <c r="C2333" s="97"/>
      <c r="D2333" s="105"/>
      <c r="E2333" s="105"/>
      <c r="F2333" s="105"/>
      <c r="G2333" s="105"/>
      <c r="H2333" s="105"/>
    </row>
    <row r="2334">
      <c r="A2334" s="105"/>
      <c r="B2334" s="105"/>
      <c r="C2334" s="97"/>
      <c r="D2334" s="105"/>
      <c r="E2334" s="105"/>
      <c r="F2334" s="105"/>
      <c r="G2334" s="105"/>
      <c r="H2334" s="105"/>
    </row>
    <row r="2335">
      <c r="A2335" s="105"/>
      <c r="B2335" s="105"/>
      <c r="C2335" s="97"/>
      <c r="D2335" s="105"/>
      <c r="E2335" s="105"/>
      <c r="F2335" s="105"/>
      <c r="G2335" s="105"/>
      <c r="H2335" s="105"/>
    </row>
    <row r="2336">
      <c r="A2336" s="105"/>
      <c r="B2336" s="105"/>
      <c r="C2336" s="97"/>
      <c r="D2336" s="105"/>
      <c r="E2336" s="105"/>
      <c r="F2336" s="105"/>
      <c r="G2336" s="105"/>
      <c r="H2336" s="105"/>
    </row>
    <row r="2337">
      <c r="A2337" s="105"/>
      <c r="B2337" s="105"/>
      <c r="C2337" s="97"/>
      <c r="D2337" s="105"/>
      <c r="E2337" s="105"/>
      <c r="F2337" s="105"/>
      <c r="G2337" s="105"/>
      <c r="H2337" s="105"/>
    </row>
    <row r="2338">
      <c r="A2338" s="105"/>
      <c r="B2338" s="105"/>
      <c r="C2338" s="97"/>
      <c r="D2338" s="105"/>
      <c r="E2338" s="105"/>
      <c r="F2338" s="105"/>
      <c r="G2338" s="105"/>
      <c r="H2338" s="105"/>
    </row>
    <row r="2339">
      <c r="A2339" s="105"/>
      <c r="B2339" s="105"/>
      <c r="C2339" s="97"/>
      <c r="D2339" s="105"/>
      <c r="E2339" s="105"/>
      <c r="F2339" s="105"/>
      <c r="G2339" s="105"/>
      <c r="H2339" s="105"/>
    </row>
    <row r="2340">
      <c r="A2340" s="105"/>
      <c r="B2340" s="105"/>
      <c r="C2340" s="97"/>
      <c r="D2340" s="105"/>
      <c r="E2340" s="105"/>
      <c r="F2340" s="105"/>
      <c r="G2340" s="105"/>
      <c r="H2340" s="105"/>
    </row>
    <row r="2341">
      <c r="A2341" s="105"/>
      <c r="B2341" s="105"/>
      <c r="C2341" s="97"/>
      <c r="D2341" s="105"/>
      <c r="E2341" s="105"/>
      <c r="F2341" s="105"/>
      <c r="G2341" s="105"/>
      <c r="H2341" s="105"/>
    </row>
    <row r="2342">
      <c r="A2342" s="105"/>
      <c r="B2342" s="105"/>
      <c r="C2342" s="97"/>
      <c r="D2342" s="105"/>
      <c r="E2342" s="105"/>
      <c r="F2342" s="105"/>
      <c r="G2342" s="105"/>
      <c r="H2342" s="105"/>
    </row>
    <row r="2343">
      <c r="A2343" s="105"/>
      <c r="B2343" s="105"/>
      <c r="C2343" s="97"/>
      <c r="D2343" s="105"/>
      <c r="E2343" s="105"/>
      <c r="F2343" s="105"/>
      <c r="G2343" s="105"/>
      <c r="H2343" s="105"/>
    </row>
    <row r="2344">
      <c r="A2344" s="105"/>
      <c r="B2344" s="105"/>
      <c r="C2344" s="97"/>
      <c r="D2344" s="105"/>
      <c r="E2344" s="105"/>
      <c r="F2344" s="105"/>
      <c r="G2344" s="105"/>
      <c r="H2344" s="105"/>
    </row>
    <row r="2345">
      <c r="A2345" s="105"/>
      <c r="B2345" s="105"/>
      <c r="C2345" s="97"/>
      <c r="D2345" s="105"/>
      <c r="E2345" s="105"/>
      <c r="F2345" s="105"/>
      <c r="G2345" s="105"/>
      <c r="H2345" s="105"/>
    </row>
    <row r="2346">
      <c r="A2346" s="105"/>
      <c r="B2346" s="105"/>
      <c r="C2346" s="97"/>
      <c r="D2346" s="105"/>
      <c r="E2346" s="105"/>
      <c r="F2346" s="105"/>
      <c r="G2346" s="105"/>
      <c r="H2346" s="105"/>
    </row>
    <row r="2347">
      <c r="A2347" s="105"/>
      <c r="B2347" s="105"/>
      <c r="C2347" s="97"/>
      <c r="D2347" s="105"/>
      <c r="E2347" s="105"/>
      <c r="F2347" s="105"/>
      <c r="G2347" s="105"/>
      <c r="H2347" s="105"/>
    </row>
    <row r="2348">
      <c r="A2348" s="105"/>
      <c r="B2348" s="105"/>
      <c r="C2348" s="97"/>
      <c r="D2348" s="105"/>
      <c r="E2348" s="105"/>
      <c r="F2348" s="105"/>
      <c r="G2348" s="105"/>
      <c r="H2348" s="105"/>
    </row>
    <row r="2349">
      <c r="A2349" s="105"/>
      <c r="B2349" s="105"/>
      <c r="C2349" s="97"/>
      <c r="D2349" s="105"/>
      <c r="E2349" s="105"/>
      <c r="F2349" s="105"/>
      <c r="G2349" s="105"/>
      <c r="H2349" s="105"/>
    </row>
    <row r="2350">
      <c r="A2350" s="105"/>
      <c r="B2350" s="105"/>
      <c r="C2350" s="97"/>
      <c r="D2350" s="105"/>
      <c r="E2350" s="105"/>
      <c r="F2350" s="105"/>
      <c r="G2350" s="105"/>
      <c r="H2350" s="105"/>
    </row>
    <row r="2351">
      <c r="A2351" s="105"/>
      <c r="B2351" s="105"/>
      <c r="C2351" s="97"/>
      <c r="D2351" s="105"/>
      <c r="E2351" s="105"/>
      <c r="F2351" s="105"/>
      <c r="G2351" s="105"/>
      <c r="H2351" s="105"/>
    </row>
    <row r="2352">
      <c r="A2352" s="105"/>
      <c r="B2352" s="105"/>
      <c r="C2352" s="97"/>
      <c r="D2352" s="105"/>
      <c r="E2352" s="105"/>
      <c r="F2352" s="105"/>
      <c r="G2352" s="105"/>
      <c r="H2352" s="105"/>
    </row>
    <row r="2353">
      <c r="A2353" s="105"/>
      <c r="B2353" s="105"/>
      <c r="C2353" s="97"/>
      <c r="D2353" s="105"/>
      <c r="E2353" s="105"/>
      <c r="F2353" s="105"/>
      <c r="G2353" s="105"/>
      <c r="H2353" s="105"/>
    </row>
    <row r="2354">
      <c r="A2354" s="105"/>
      <c r="B2354" s="105"/>
      <c r="C2354" s="97"/>
      <c r="D2354" s="105"/>
      <c r="E2354" s="105"/>
      <c r="F2354" s="105"/>
      <c r="G2354" s="105"/>
      <c r="H2354" s="105"/>
    </row>
    <row r="2355">
      <c r="A2355" s="105"/>
      <c r="B2355" s="105"/>
      <c r="C2355" s="97"/>
      <c r="D2355" s="105"/>
      <c r="E2355" s="105"/>
      <c r="F2355" s="105"/>
      <c r="G2355" s="105"/>
      <c r="H2355" s="105"/>
    </row>
    <row r="2356">
      <c r="A2356" s="105"/>
      <c r="B2356" s="105"/>
      <c r="C2356" s="97"/>
      <c r="D2356" s="105"/>
      <c r="E2356" s="105"/>
      <c r="F2356" s="105"/>
      <c r="G2356" s="105"/>
      <c r="H2356" s="105"/>
    </row>
    <row r="2357">
      <c r="A2357" s="105"/>
      <c r="B2357" s="105"/>
      <c r="C2357" s="97"/>
      <c r="D2357" s="105"/>
      <c r="E2357" s="105"/>
      <c r="F2357" s="105"/>
      <c r="G2357" s="105"/>
      <c r="H2357" s="105"/>
    </row>
    <row r="2358">
      <c r="A2358" s="105"/>
      <c r="B2358" s="105"/>
      <c r="C2358" s="97"/>
      <c r="D2358" s="105"/>
      <c r="E2358" s="105"/>
      <c r="F2358" s="105"/>
      <c r="G2358" s="105"/>
      <c r="H2358" s="105"/>
    </row>
    <row r="2359">
      <c r="A2359" s="105"/>
      <c r="B2359" s="105"/>
      <c r="C2359" s="97"/>
      <c r="D2359" s="105"/>
      <c r="E2359" s="105"/>
      <c r="F2359" s="105"/>
      <c r="G2359" s="105"/>
      <c r="H2359" s="105"/>
    </row>
    <row r="2360">
      <c r="A2360" s="105"/>
      <c r="B2360" s="105"/>
      <c r="C2360" s="97"/>
      <c r="D2360" s="105"/>
      <c r="E2360" s="105"/>
      <c r="F2360" s="105"/>
      <c r="G2360" s="105"/>
      <c r="H2360" s="105"/>
    </row>
    <row r="2361">
      <c r="A2361" s="105"/>
      <c r="B2361" s="105"/>
      <c r="C2361" s="97"/>
      <c r="D2361" s="105"/>
      <c r="E2361" s="105"/>
      <c r="F2361" s="105"/>
      <c r="G2361" s="105"/>
      <c r="H2361" s="105"/>
    </row>
    <row r="2362">
      <c r="A2362" s="105"/>
      <c r="B2362" s="105"/>
      <c r="C2362" s="97"/>
      <c r="D2362" s="105"/>
      <c r="E2362" s="105"/>
      <c r="F2362" s="105"/>
      <c r="G2362" s="105"/>
      <c r="H2362" s="105"/>
    </row>
    <row r="2363">
      <c r="A2363" s="105"/>
      <c r="B2363" s="105"/>
      <c r="C2363" s="97"/>
      <c r="D2363" s="105"/>
      <c r="E2363" s="105"/>
      <c r="F2363" s="105"/>
      <c r="G2363" s="105"/>
      <c r="H2363" s="105"/>
    </row>
    <row r="2364">
      <c r="A2364" s="105"/>
      <c r="B2364" s="105"/>
      <c r="C2364" s="97"/>
      <c r="D2364" s="105"/>
      <c r="E2364" s="105"/>
      <c r="F2364" s="105"/>
      <c r="G2364" s="105"/>
      <c r="H2364" s="105"/>
    </row>
    <row r="2365">
      <c r="A2365" s="105"/>
      <c r="B2365" s="105"/>
      <c r="C2365" s="97"/>
      <c r="D2365" s="105"/>
      <c r="E2365" s="105"/>
      <c r="F2365" s="105"/>
      <c r="G2365" s="105"/>
      <c r="H2365" s="105"/>
    </row>
    <row r="2366">
      <c r="A2366" s="105"/>
      <c r="B2366" s="105"/>
      <c r="C2366" s="97"/>
      <c r="D2366" s="105"/>
      <c r="E2366" s="105"/>
      <c r="F2366" s="105"/>
      <c r="G2366" s="105"/>
      <c r="H2366" s="105"/>
    </row>
    <row r="2367">
      <c r="A2367" s="105"/>
      <c r="B2367" s="105"/>
      <c r="C2367" s="97"/>
      <c r="D2367" s="105"/>
      <c r="E2367" s="105"/>
      <c r="F2367" s="105"/>
      <c r="G2367" s="105"/>
      <c r="H2367" s="105"/>
    </row>
    <row r="2368">
      <c r="A2368" s="105"/>
      <c r="B2368" s="105"/>
      <c r="C2368" s="97"/>
      <c r="D2368" s="105"/>
      <c r="E2368" s="105"/>
      <c r="F2368" s="105"/>
      <c r="G2368" s="105"/>
      <c r="H2368" s="105"/>
    </row>
    <row r="2369">
      <c r="A2369" s="105"/>
      <c r="B2369" s="105"/>
      <c r="C2369" s="97"/>
      <c r="D2369" s="105"/>
      <c r="E2369" s="105"/>
      <c r="F2369" s="105"/>
      <c r="G2369" s="105"/>
      <c r="H2369" s="105"/>
    </row>
    <row r="2370">
      <c r="A2370" s="105"/>
      <c r="B2370" s="105"/>
      <c r="C2370" s="97"/>
      <c r="D2370" s="105"/>
      <c r="E2370" s="105"/>
      <c r="F2370" s="105"/>
      <c r="G2370" s="105"/>
      <c r="H2370" s="105"/>
    </row>
    <row r="2371">
      <c r="A2371" s="105"/>
      <c r="B2371" s="105"/>
      <c r="C2371" s="97"/>
      <c r="D2371" s="105"/>
      <c r="E2371" s="105"/>
      <c r="F2371" s="105"/>
      <c r="G2371" s="105"/>
      <c r="H2371" s="105"/>
    </row>
    <row r="2372">
      <c r="A2372" s="105"/>
      <c r="B2372" s="105"/>
      <c r="C2372" s="97"/>
      <c r="D2372" s="105"/>
      <c r="E2372" s="105"/>
      <c r="F2372" s="105"/>
      <c r="G2372" s="105"/>
      <c r="H2372" s="105"/>
    </row>
    <row r="2373">
      <c r="A2373" s="105"/>
      <c r="B2373" s="105"/>
      <c r="C2373" s="97"/>
      <c r="D2373" s="105"/>
      <c r="E2373" s="105"/>
      <c r="F2373" s="105"/>
      <c r="G2373" s="105"/>
      <c r="H2373" s="105"/>
    </row>
    <row r="2374">
      <c r="A2374" s="105"/>
      <c r="B2374" s="105"/>
      <c r="C2374" s="97"/>
      <c r="D2374" s="105"/>
      <c r="E2374" s="105"/>
      <c r="F2374" s="105"/>
      <c r="G2374" s="105"/>
      <c r="H2374" s="105"/>
    </row>
    <row r="2375">
      <c r="A2375" s="105"/>
      <c r="B2375" s="105"/>
      <c r="C2375" s="97"/>
      <c r="D2375" s="105"/>
      <c r="E2375" s="105"/>
      <c r="F2375" s="105"/>
      <c r="G2375" s="105"/>
      <c r="H2375" s="105"/>
    </row>
    <row r="2376">
      <c r="A2376" s="105"/>
      <c r="B2376" s="105"/>
      <c r="C2376" s="97"/>
      <c r="D2376" s="105"/>
      <c r="E2376" s="105"/>
      <c r="F2376" s="105"/>
      <c r="G2376" s="105"/>
      <c r="H2376" s="105"/>
    </row>
    <row r="2377">
      <c r="A2377" s="105"/>
      <c r="B2377" s="105"/>
      <c r="C2377" s="97"/>
      <c r="D2377" s="105"/>
      <c r="E2377" s="105"/>
      <c r="F2377" s="105"/>
      <c r="G2377" s="105"/>
      <c r="H2377" s="105"/>
    </row>
    <row r="2378">
      <c r="A2378" s="105"/>
      <c r="B2378" s="105"/>
      <c r="C2378" s="97"/>
      <c r="D2378" s="105"/>
      <c r="E2378" s="105"/>
      <c r="F2378" s="105"/>
      <c r="G2378" s="105"/>
      <c r="H2378" s="105"/>
    </row>
    <row r="2379">
      <c r="A2379" s="105"/>
      <c r="B2379" s="105"/>
      <c r="C2379" s="97"/>
      <c r="D2379" s="105"/>
      <c r="E2379" s="105"/>
      <c r="F2379" s="105"/>
      <c r="G2379" s="105"/>
      <c r="H2379" s="105"/>
    </row>
    <row r="2380">
      <c r="A2380" s="105"/>
      <c r="B2380" s="105"/>
      <c r="C2380" s="97"/>
      <c r="D2380" s="105"/>
      <c r="E2380" s="105"/>
      <c r="F2380" s="105"/>
      <c r="G2380" s="105"/>
      <c r="H2380" s="105"/>
    </row>
    <row r="2381">
      <c r="A2381" s="105"/>
      <c r="B2381" s="105"/>
      <c r="C2381" s="97"/>
      <c r="D2381" s="105"/>
      <c r="E2381" s="105"/>
      <c r="F2381" s="105"/>
      <c r="G2381" s="105"/>
      <c r="H2381" s="105"/>
    </row>
    <row r="2382">
      <c r="A2382" s="105"/>
      <c r="B2382" s="105"/>
      <c r="C2382" s="97"/>
      <c r="D2382" s="105"/>
      <c r="E2382" s="105"/>
      <c r="F2382" s="105"/>
      <c r="G2382" s="105"/>
      <c r="H2382" s="105"/>
    </row>
    <row r="2383">
      <c r="A2383" s="105"/>
      <c r="B2383" s="105"/>
      <c r="C2383" s="97"/>
      <c r="D2383" s="105"/>
      <c r="E2383" s="105"/>
      <c r="F2383" s="105"/>
      <c r="G2383" s="105"/>
      <c r="H2383" s="105"/>
    </row>
    <row r="2384">
      <c r="A2384" s="105"/>
      <c r="B2384" s="105"/>
      <c r="C2384" s="97"/>
      <c r="D2384" s="105"/>
      <c r="E2384" s="105"/>
      <c r="F2384" s="105"/>
      <c r="G2384" s="105"/>
      <c r="H2384" s="105"/>
    </row>
    <row r="2385">
      <c r="A2385" s="105"/>
      <c r="B2385" s="105"/>
      <c r="C2385" s="97"/>
      <c r="D2385" s="105"/>
      <c r="E2385" s="105"/>
      <c r="F2385" s="105"/>
      <c r="G2385" s="105"/>
      <c r="H2385" s="105"/>
    </row>
    <row r="2386">
      <c r="A2386" s="105"/>
      <c r="B2386" s="105"/>
      <c r="C2386" s="97"/>
      <c r="D2386" s="105"/>
      <c r="E2386" s="105"/>
      <c r="F2386" s="105"/>
      <c r="G2386" s="105"/>
      <c r="H2386" s="105"/>
    </row>
    <row r="2387">
      <c r="A2387" s="105"/>
      <c r="B2387" s="105"/>
      <c r="C2387" s="97"/>
      <c r="D2387" s="105"/>
      <c r="E2387" s="105"/>
      <c r="F2387" s="105"/>
      <c r="G2387" s="105"/>
      <c r="H2387" s="105"/>
    </row>
    <row r="2388">
      <c r="A2388" s="105"/>
      <c r="B2388" s="105"/>
      <c r="C2388" s="97"/>
      <c r="D2388" s="105"/>
      <c r="E2388" s="105"/>
      <c r="F2388" s="105"/>
      <c r="G2388" s="105"/>
      <c r="H2388" s="105"/>
    </row>
    <row r="2389">
      <c r="A2389" s="105"/>
      <c r="B2389" s="105"/>
      <c r="C2389" s="97"/>
      <c r="D2389" s="105"/>
      <c r="E2389" s="105"/>
      <c r="F2389" s="105"/>
      <c r="G2389" s="105"/>
      <c r="H2389" s="105"/>
    </row>
    <row r="2390">
      <c r="A2390" s="105"/>
      <c r="B2390" s="105"/>
      <c r="C2390" s="97"/>
      <c r="D2390" s="105"/>
      <c r="E2390" s="105"/>
      <c r="F2390" s="105"/>
      <c r="G2390" s="105"/>
      <c r="H2390" s="105"/>
    </row>
    <row r="2391">
      <c r="A2391" s="105"/>
      <c r="B2391" s="105"/>
      <c r="C2391" s="97"/>
      <c r="D2391" s="105"/>
      <c r="E2391" s="105"/>
      <c r="F2391" s="105"/>
      <c r="G2391" s="105"/>
      <c r="H2391" s="105"/>
    </row>
    <row r="2392">
      <c r="A2392" s="105"/>
      <c r="B2392" s="105"/>
      <c r="C2392" s="97"/>
      <c r="D2392" s="105"/>
      <c r="E2392" s="105"/>
      <c r="F2392" s="105"/>
      <c r="G2392" s="105"/>
      <c r="H2392" s="105"/>
    </row>
    <row r="2393">
      <c r="A2393" s="105"/>
      <c r="B2393" s="105"/>
      <c r="C2393" s="97"/>
      <c r="D2393" s="105"/>
      <c r="E2393" s="105"/>
      <c r="F2393" s="105"/>
      <c r="G2393" s="105"/>
      <c r="H2393" s="105"/>
    </row>
    <row r="2394">
      <c r="A2394" s="105"/>
      <c r="B2394" s="105"/>
      <c r="C2394" s="97"/>
      <c r="D2394" s="105"/>
      <c r="E2394" s="105"/>
      <c r="F2394" s="105"/>
      <c r="G2394" s="105"/>
      <c r="H2394" s="105"/>
    </row>
    <row r="2395">
      <c r="A2395" s="105"/>
      <c r="B2395" s="105"/>
      <c r="C2395" s="97"/>
      <c r="D2395" s="105"/>
      <c r="E2395" s="105"/>
      <c r="F2395" s="105"/>
      <c r="G2395" s="105"/>
      <c r="H2395" s="105"/>
    </row>
    <row r="2396">
      <c r="A2396" s="105"/>
      <c r="B2396" s="105"/>
      <c r="C2396" s="97"/>
      <c r="D2396" s="105"/>
      <c r="E2396" s="105"/>
      <c r="F2396" s="105"/>
      <c r="G2396" s="105"/>
      <c r="H2396" s="105"/>
    </row>
    <row r="2397">
      <c r="A2397" s="105"/>
      <c r="B2397" s="105"/>
      <c r="C2397" s="97"/>
      <c r="D2397" s="105"/>
      <c r="E2397" s="105"/>
      <c r="F2397" s="105"/>
      <c r="G2397" s="105"/>
      <c r="H2397" s="105"/>
    </row>
    <row r="2398">
      <c r="A2398" s="105"/>
      <c r="B2398" s="105"/>
      <c r="C2398" s="97"/>
      <c r="D2398" s="105"/>
      <c r="E2398" s="105"/>
      <c r="F2398" s="105"/>
      <c r="G2398" s="105"/>
      <c r="H2398" s="105"/>
    </row>
    <row r="2399">
      <c r="A2399" s="105"/>
      <c r="B2399" s="105"/>
      <c r="C2399" s="97"/>
      <c r="D2399" s="105"/>
      <c r="E2399" s="105"/>
      <c r="F2399" s="105"/>
      <c r="G2399" s="105"/>
      <c r="H2399" s="105"/>
    </row>
    <row r="2400">
      <c r="A2400" s="105"/>
      <c r="B2400" s="105"/>
      <c r="C2400" s="97"/>
      <c r="D2400" s="105"/>
      <c r="E2400" s="105"/>
      <c r="F2400" s="105"/>
      <c r="G2400" s="105"/>
      <c r="H2400" s="105"/>
    </row>
    <row r="2401">
      <c r="A2401" s="105"/>
      <c r="B2401" s="105"/>
      <c r="C2401" s="97"/>
      <c r="D2401" s="105"/>
      <c r="E2401" s="105"/>
      <c r="F2401" s="105"/>
      <c r="G2401" s="105"/>
      <c r="H2401" s="105"/>
    </row>
    <row r="2402">
      <c r="A2402" s="105"/>
      <c r="B2402" s="105"/>
      <c r="C2402" s="97"/>
      <c r="D2402" s="105"/>
      <c r="E2402" s="105"/>
      <c r="F2402" s="105"/>
      <c r="G2402" s="105"/>
      <c r="H2402" s="105"/>
    </row>
    <row r="2403">
      <c r="A2403" s="105"/>
      <c r="B2403" s="105"/>
      <c r="C2403" s="97"/>
      <c r="D2403" s="105"/>
      <c r="E2403" s="105"/>
      <c r="F2403" s="105"/>
      <c r="G2403" s="105"/>
      <c r="H2403" s="105"/>
    </row>
    <row r="2404">
      <c r="A2404" s="105"/>
      <c r="B2404" s="105"/>
      <c r="C2404" s="97"/>
      <c r="D2404" s="105"/>
      <c r="E2404" s="105"/>
      <c r="F2404" s="105"/>
      <c r="G2404" s="105"/>
      <c r="H2404" s="105"/>
    </row>
    <row r="2405">
      <c r="A2405" s="105"/>
      <c r="B2405" s="105"/>
      <c r="C2405" s="97"/>
      <c r="D2405" s="105"/>
      <c r="E2405" s="105"/>
      <c r="F2405" s="105"/>
      <c r="G2405" s="105"/>
      <c r="H2405" s="105"/>
    </row>
    <row r="2406">
      <c r="A2406" s="105"/>
      <c r="B2406" s="105"/>
      <c r="C2406" s="97"/>
      <c r="D2406" s="105"/>
      <c r="E2406" s="105"/>
      <c r="F2406" s="105"/>
      <c r="G2406" s="105"/>
      <c r="H2406" s="105"/>
    </row>
    <row r="2407">
      <c r="A2407" s="105"/>
      <c r="B2407" s="105"/>
      <c r="C2407" s="97"/>
      <c r="D2407" s="105"/>
      <c r="E2407" s="105"/>
      <c r="F2407" s="105"/>
      <c r="G2407" s="105"/>
      <c r="H2407" s="105"/>
    </row>
    <row r="2408">
      <c r="A2408" s="105"/>
      <c r="B2408" s="105"/>
      <c r="C2408" s="97"/>
      <c r="D2408" s="105"/>
      <c r="E2408" s="105"/>
      <c r="F2408" s="105"/>
      <c r="G2408" s="105"/>
      <c r="H2408" s="105"/>
    </row>
    <row r="2409">
      <c r="A2409" s="105"/>
      <c r="B2409" s="105"/>
      <c r="C2409" s="97"/>
      <c r="D2409" s="105"/>
      <c r="E2409" s="105"/>
      <c r="F2409" s="105"/>
      <c r="G2409" s="105"/>
      <c r="H2409" s="105"/>
    </row>
    <row r="2410">
      <c r="A2410" s="105"/>
      <c r="B2410" s="105"/>
      <c r="C2410" s="97"/>
      <c r="D2410" s="105"/>
      <c r="E2410" s="105"/>
      <c r="F2410" s="105"/>
      <c r="G2410" s="105"/>
      <c r="H2410" s="105"/>
    </row>
    <row r="2411">
      <c r="A2411" s="105"/>
      <c r="B2411" s="105"/>
      <c r="C2411" s="97"/>
      <c r="D2411" s="105"/>
      <c r="E2411" s="105"/>
      <c r="F2411" s="105"/>
      <c r="G2411" s="105"/>
      <c r="H2411" s="105"/>
    </row>
    <row r="2412">
      <c r="A2412" s="105"/>
      <c r="B2412" s="105"/>
      <c r="C2412" s="97"/>
      <c r="D2412" s="105"/>
      <c r="E2412" s="105"/>
      <c r="F2412" s="105"/>
      <c r="G2412" s="105"/>
      <c r="H2412" s="105"/>
    </row>
    <row r="2413">
      <c r="A2413" s="105"/>
      <c r="B2413" s="105"/>
      <c r="C2413" s="97"/>
      <c r="D2413" s="105"/>
      <c r="E2413" s="105"/>
      <c r="F2413" s="105"/>
      <c r="G2413" s="105"/>
      <c r="H2413" s="105"/>
    </row>
    <row r="2414">
      <c r="A2414" s="105"/>
      <c r="B2414" s="105"/>
      <c r="C2414" s="97"/>
      <c r="D2414" s="105"/>
      <c r="E2414" s="105"/>
      <c r="F2414" s="105"/>
      <c r="G2414" s="105"/>
      <c r="H2414" s="105"/>
    </row>
    <row r="2415">
      <c r="A2415" s="105"/>
      <c r="B2415" s="105"/>
      <c r="C2415" s="97"/>
      <c r="D2415" s="105"/>
      <c r="E2415" s="105"/>
      <c r="F2415" s="105"/>
      <c r="G2415" s="105"/>
      <c r="H2415" s="105"/>
    </row>
    <row r="2416">
      <c r="A2416" s="105"/>
      <c r="B2416" s="105"/>
      <c r="C2416" s="97"/>
      <c r="D2416" s="105"/>
      <c r="E2416" s="105"/>
      <c r="F2416" s="105"/>
      <c r="G2416" s="105"/>
      <c r="H2416" s="105"/>
    </row>
    <row r="2417">
      <c r="A2417" s="105"/>
      <c r="B2417" s="105"/>
      <c r="C2417" s="97"/>
      <c r="D2417" s="105"/>
      <c r="E2417" s="105"/>
      <c r="F2417" s="105"/>
      <c r="G2417" s="105"/>
      <c r="H2417" s="105"/>
    </row>
    <row r="2418">
      <c r="A2418" s="105"/>
      <c r="B2418" s="105"/>
      <c r="C2418" s="97"/>
      <c r="D2418" s="105"/>
      <c r="E2418" s="105"/>
      <c r="F2418" s="105"/>
      <c r="G2418" s="105"/>
      <c r="H2418" s="105"/>
    </row>
    <row r="2419">
      <c r="A2419" s="105"/>
      <c r="B2419" s="105"/>
      <c r="C2419" s="97"/>
      <c r="D2419" s="105"/>
      <c r="E2419" s="105"/>
      <c r="F2419" s="105"/>
      <c r="G2419" s="105"/>
      <c r="H2419" s="105"/>
    </row>
    <row r="2420">
      <c r="A2420" s="105"/>
      <c r="B2420" s="105"/>
      <c r="C2420" s="97"/>
      <c r="D2420" s="105"/>
      <c r="E2420" s="105"/>
      <c r="F2420" s="105"/>
      <c r="G2420" s="105"/>
      <c r="H2420" s="105"/>
    </row>
    <row r="2421">
      <c r="A2421" s="105"/>
      <c r="B2421" s="105"/>
      <c r="C2421" s="97"/>
      <c r="D2421" s="105"/>
      <c r="E2421" s="105"/>
      <c r="F2421" s="105"/>
      <c r="G2421" s="105"/>
      <c r="H2421" s="105"/>
    </row>
    <row r="2422">
      <c r="A2422" s="105"/>
      <c r="B2422" s="105"/>
      <c r="C2422" s="97"/>
      <c r="D2422" s="105"/>
      <c r="E2422" s="105"/>
      <c r="F2422" s="105"/>
      <c r="G2422" s="105"/>
      <c r="H2422" s="105"/>
    </row>
    <row r="2423">
      <c r="A2423" s="105"/>
      <c r="B2423" s="105"/>
      <c r="C2423" s="97"/>
      <c r="D2423" s="105"/>
      <c r="E2423" s="105"/>
      <c r="F2423" s="105"/>
      <c r="G2423" s="105"/>
      <c r="H2423" s="105"/>
    </row>
    <row r="2424">
      <c r="A2424" s="105"/>
      <c r="B2424" s="105"/>
      <c r="C2424" s="97"/>
      <c r="D2424" s="105"/>
      <c r="E2424" s="105"/>
      <c r="F2424" s="105"/>
      <c r="G2424" s="105"/>
      <c r="H2424" s="105"/>
    </row>
    <row r="2425">
      <c r="A2425" s="105"/>
      <c r="B2425" s="105"/>
      <c r="C2425" s="97"/>
      <c r="D2425" s="105"/>
      <c r="E2425" s="105"/>
      <c r="F2425" s="105"/>
      <c r="G2425" s="105"/>
      <c r="H2425" s="105"/>
    </row>
    <row r="2426">
      <c r="A2426" s="105"/>
      <c r="B2426" s="105"/>
      <c r="C2426" s="97"/>
      <c r="D2426" s="105"/>
      <c r="E2426" s="105"/>
      <c r="F2426" s="105"/>
      <c r="G2426" s="105"/>
      <c r="H2426" s="105"/>
    </row>
    <row r="2427">
      <c r="A2427" s="105"/>
      <c r="B2427" s="105"/>
      <c r="C2427" s="97"/>
      <c r="D2427" s="105"/>
      <c r="E2427" s="105"/>
      <c r="F2427" s="105"/>
      <c r="G2427" s="105"/>
      <c r="H2427" s="105"/>
    </row>
    <row r="2428">
      <c r="A2428" s="105"/>
      <c r="B2428" s="105"/>
      <c r="C2428" s="97"/>
      <c r="D2428" s="105"/>
      <c r="E2428" s="105"/>
      <c r="F2428" s="105"/>
      <c r="G2428" s="105"/>
      <c r="H2428" s="105"/>
    </row>
    <row r="2429">
      <c r="A2429" s="105"/>
      <c r="B2429" s="105"/>
      <c r="C2429" s="97"/>
      <c r="D2429" s="105"/>
      <c r="E2429" s="105"/>
      <c r="F2429" s="105"/>
      <c r="G2429" s="105"/>
      <c r="H2429" s="105"/>
    </row>
    <row r="2430">
      <c r="A2430" s="105"/>
      <c r="B2430" s="105"/>
      <c r="C2430" s="97"/>
      <c r="D2430" s="105"/>
      <c r="E2430" s="105"/>
      <c r="F2430" s="105"/>
      <c r="G2430" s="105"/>
      <c r="H2430" s="105"/>
    </row>
    <row r="2431">
      <c r="A2431" s="105"/>
      <c r="B2431" s="105"/>
      <c r="C2431" s="97"/>
      <c r="D2431" s="105"/>
      <c r="E2431" s="105"/>
      <c r="F2431" s="105"/>
      <c r="G2431" s="105"/>
      <c r="H2431" s="105"/>
    </row>
    <row r="2432">
      <c r="A2432" s="105"/>
      <c r="B2432" s="105"/>
      <c r="C2432" s="97"/>
      <c r="D2432" s="105"/>
      <c r="E2432" s="105"/>
      <c r="F2432" s="105"/>
      <c r="G2432" s="105"/>
      <c r="H2432" s="105"/>
    </row>
    <row r="2433">
      <c r="A2433" s="105"/>
      <c r="B2433" s="105"/>
      <c r="C2433" s="97"/>
      <c r="D2433" s="105"/>
      <c r="E2433" s="105"/>
      <c r="F2433" s="105"/>
      <c r="G2433" s="105"/>
      <c r="H2433" s="105"/>
    </row>
    <row r="2434">
      <c r="A2434" s="105"/>
      <c r="B2434" s="105"/>
      <c r="C2434" s="97"/>
      <c r="D2434" s="105"/>
      <c r="E2434" s="105"/>
      <c r="F2434" s="105"/>
      <c r="G2434" s="105"/>
      <c r="H2434" s="105"/>
    </row>
    <row r="2435">
      <c r="A2435" s="105"/>
      <c r="B2435" s="105"/>
      <c r="C2435" s="97"/>
      <c r="D2435" s="105"/>
      <c r="E2435" s="105"/>
      <c r="F2435" s="105"/>
      <c r="G2435" s="105"/>
      <c r="H2435" s="105"/>
    </row>
    <row r="2436">
      <c r="A2436" s="105"/>
      <c r="B2436" s="105"/>
      <c r="C2436" s="97"/>
      <c r="D2436" s="105"/>
      <c r="E2436" s="105"/>
      <c r="F2436" s="105"/>
      <c r="G2436" s="105"/>
      <c r="H2436" s="105"/>
    </row>
    <row r="2437">
      <c r="A2437" s="105"/>
      <c r="B2437" s="105"/>
      <c r="C2437" s="97"/>
      <c r="D2437" s="105"/>
      <c r="E2437" s="105"/>
      <c r="F2437" s="105"/>
      <c r="G2437" s="105"/>
      <c r="H2437" s="105"/>
    </row>
    <row r="2438">
      <c r="A2438" s="105"/>
      <c r="B2438" s="105"/>
      <c r="C2438" s="97"/>
      <c r="D2438" s="105"/>
      <c r="E2438" s="105"/>
      <c r="F2438" s="105"/>
      <c r="G2438" s="105"/>
      <c r="H2438" s="105"/>
    </row>
    <row r="2439">
      <c r="A2439" s="105"/>
      <c r="B2439" s="105"/>
      <c r="C2439" s="97"/>
      <c r="D2439" s="105"/>
      <c r="E2439" s="105"/>
      <c r="F2439" s="105"/>
      <c r="G2439" s="105"/>
      <c r="H2439" s="105"/>
    </row>
    <row r="2440">
      <c r="A2440" s="105"/>
      <c r="B2440" s="105"/>
      <c r="C2440" s="97"/>
      <c r="D2440" s="105"/>
      <c r="E2440" s="105"/>
      <c r="F2440" s="105"/>
      <c r="G2440" s="105"/>
      <c r="H2440" s="105"/>
    </row>
    <row r="2441">
      <c r="A2441" s="105"/>
      <c r="B2441" s="105"/>
      <c r="C2441" s="97"/>
      <c r="D2441" s="105"/>
      <c r="E2441" s="105"/>
      <c r="F2441" s="105"/>
      <c r="G2441" s="105"/>
      <c r="H2441" s="105"/>
    </row>
    <row r="2442">
      <c r="A2442" s="105"/>
      <c r="B2442" s="105"/>
      <c r="C2442" s="97"/>
      <c r="D2442" s="105"/>
      <c r="E2442" s="105"/>
      <c r="F2442" s="105"/>
      <c r="G2442" s="105"/>
      <c r="H2442" s="105"/>
    </row>
    <row r="2443">
      <c r="A2443" s="105"/>
      <c r="B2443" s="105"/>
      <c r="C2443" s="97"/>
      <c r="D2443" s="105"/>
      <c r="E2443" s="105"/>
      <c r="F2443" s="105"/>
      <c r="G2443" s="105"/>
      <c r="H2443" s="105"/>
    </row>
    <row r="2444">
      <c r="A2444" s="105"/>
      <c r="B2444" s="105"/>
      <c r="C2444" s="97"/>
      <c r="D2444" s="105"/>
      <c r="E2444" s="105"/>
      <c r="F2444" s="105"/>
      <c r="G2444" s="105"/>
      <c r="H2444" s="105"/>
    </row>
    <row r="2445">
      <c r="A2445" s="105"/>
      <c r="B2445" s="105"/>
      <c r="C2445" s="97"/>
      <c r="D2445" s="105"/>
      <c r="E2445" s="105"/>
      <c r="F2445" s="105"/>
      <c r="G2445" s="105"/>
      <c r="H2445" s="105"/>
    </row>
    <row r="2446">
      <c r="A2446" s="105"/>
      <c r="B2446" s="105"/>
      <c r="C2446" s="97"/>
      <c r="D2446" s="105"/>
      <c r="E2446" s="105"/>
      <c r="F2446" s="105"/>
      <c r="G2446" s="105"/>
      <c r="H2446" s="105"/>
    </row>
    <row r="2447">
      <c r="A2447" s="105"/>
      <c r="B2447" s="105"/>
      <c r="C2447" s="97"/>
      <c r="D2447" s="105"/>
      <c r="E2447" s="105"/>
      <c r="F2447" s="105"/>
      <c r="G2447" s="105"/>
      <c r="H2447" s="105"/>
    </row>
    <row r="2448">
      <c r="A2448" s="105"/>
      <c r="B2448" s="105"/>
      <c r="C2448" s="97"/>
      <c r="D2448" s="105"/>
      <c r="E2448" s="105"/>
      <c r="F2448" s="105"/>
      <c r="G2448" s="105"/>
      <c r="H2448" s="105"/>
    </row>
    <row r="2449">
      <c r="A2449" s="105"/>
      <c r="B2449" s="105"/>
      <c r="C2449" s="97"/>
      <c r="D2449" s="105"/>
      <c r="E2449" s="105"/>
      <c r="F2449" s="105"/>
      <c r="G2449" s="105"/>
      <c r="H2449" s="105"/>
    </row>
    <row r="2450">
      <c r="A2450" s="105"/>
      <c r="B2450" s="105"/>
      <c r="C2450" s="97"/>
      <c r="D2450" s="105"/>
      <c r="E2450" s="105"/>
      <c r="F2450" s="105"/>
      <c r="G2450" s="105"/>
      <c r="H2450" s="105"/>
    </row>
    <row r="2451">
      <c r="A2451" s="105"/>
      <c r="B2451" s="105"/>
      <c r="C2451" s="97"/>
      <c r="D2451" s="105"/>
      <c r="E2451" s="105"/>
      <c r="F2451" s="105"/>
      <c r="G2451" s="105"/>
      <c r="H2451" s="105"/>
    </row>
    <row r="2452">
      <c r="A2452" s="105"/>
      <c r="B2452" s="105"/>
      <c r="C2452" s="97"/>
      <c r="D2452" s="105"/>
      <c r="E2452" s="105"/>
      <c r="F2452" s="105"/>
      <c r="G2452" s="105"/>
      <c r="H2452" s="105"/>
    </row>
    <row r="2453">
      <c r="A2453" s="105"/>
      <c r="B2453" s="105"/>
      <c r="C2453" s="97"/>
      <c r="D2453" s="105"/>
      <c r="E2453" s="105"/>
      <c r="F2453" s="105"/>
      <c r="G2453" s="105"/>
      <c r="H2453" s="105"/>
    </row>
    <row r="2454">
      <c r="A2454" s="105"/>
      <c r="B2454" s="105"/>
      <c r="C2454" s="97"/>
      <c r="D2454" s="105"/>
      <c r="E2454" s="105"/>
      <c r="F2454" s="105"/>
      <c r="G2454" s="105"/>
      <c r="H2454" s="105"/>
    </row>
    <row r="2455">
      <c r="A2455" s="105"/>
      <c r="B2455" s="105"/>
      <c r="C2455" s="97"/>
      <c r="D2455" s="105"/>
      <c r="E2455" s="105"/>
      <c r="F2455" s="105"/>
      <c r="G2455" s="105"/>
      <c r="H2455" s="105"/>
    </row>
    <row r="2456">
      <c r="A2456" s="105"/>
      <c r="B2456" s="105"/>
      <c r="C2456" s="97"/>
      <c r="D2456" s="105"/>
      <c r="E2456" s="105"/>
      <c r="F2456" s="105"/>
      <c r="G2456" s="105"/>
      <c r="H2456" s="105"/>
    </row>
    <row r="2457">
      <c r="A2457" s="105"/>
      <c r="B2457" s="105"/>
      <c r="C2457" s="97"/>
      <c r="D2457" s="105"/>
      <c r="E2457" s="105"/>
      <c r="F2457" s="105"/>
      <c r="G2457" s="105"/>
      <c r="H2457" s="105"/>
    </row>
    <row r="2458">
      <c r="A2458" s="105"/>
      <c r="B2458" s="105"/>
      <c r="C2458" s="97"/>
      <c r="D2458" s="105"/>
      <c r="E2458" s="105"/>
      <c r="F2458" s="105"/>
      <c r="G2458" s="105"/>
      <c r="H2458" s="105"/>
    </row>
    <row r="2459">
      <c r="A2459" s="105"/>
      <c r="B2459" s="105"/>
      <c r="C2459" s="97"/>
      <c r="D2459" s="105"/>
      <c r="E2459" s="105"/>
      <c r="F2459" s="105"/>
      <c r="G2459" s="105"/>
      <c r="H2459" s="105"/>
    </row>
    <row r="2460">
      <c r="A2460" s="105"/>
      <c r="B2460" s="105"/>
      <c r="C2460" s="97"/>
      <c r="D2460" s="105"/>
      <c r="E2460" s="105"/>
      <c r="F2460" s="105"/>
      <c r="G2460" s="105"/>
      <c r="H2460" s="105"/>
    </row>
    <row r="2461">
      <c r="A2461" s="105"/>
      <c r="B2461" s="105"/>
      <c r="C2461" s="97"/>
      <c r="D2461" s="105"/>
      <c r="E2461" s="105"/>
      <c r="F2461" s="105"/>
      <c r="G2461" s="105"/>
      <c r="H2461" s="105"/>
    </row>
    <row r="2462">
      <c r="A2462" s="105"/>
      <c r="B2462" s="105"/>
      <c r="C2462" s="97"/>
      <c r="D2462" s="105"/>
      <c r="E2462" s="105"/>
      <c r="F2462" s="105"/>
      <c r="G2462" s="105"/>
      <c r="H2462" s="105"/>
    </row>
    <row r="2463">
      <c r="A2463" s="105"/>
      <c r="B2463" s="105"/>
      <c r="C2463" s="97"/>
      <c r="D2463" s="105"/>
      <c r="E2463" s="105"/>
      <c r="F2463" s="105"/>
      <c r="G2463" s="105"/>
      <c r="H2463" s="105"/>
    </row>
    <row r="2464">
      <c r="A2464" s="105"/>
      <c r="B2464" s="105"/>
      <c r="C2464" s="97"/>
      <c r="D2464" s="105"/>
      <c r="E2464" s="105"/>
      <c r="F2464" s="105"/>
      <c r="G2464" s="105"/>
      <c r="H2464" s="105"/>
    </row>
    <row r="2465">
      <c r="A2465" s="105"/>
      <c r="B2465" s="105"/>
      <c r="C2465" s="97"/>
      <c r="D2465" s="105"/>
      <c r="E2465" s="105"/>
      <c r="F2465" s="105"/>
      <c r="G2465" s="105"/>
      <c r="H2465" s="105"/>
    </row>
    <row r="2466">
      <c r="A2466" s="105"/>
      <c r="B2466" s="105"/>
      <c r="C2466" s="97"/>
      <c r="D2466" s="105"/>
      <c r="E2466" s="105"/>
      <c r="F2466" s="105"/>
      <c r="G2466" s="105"/>
      <c r="H2466" s="105"/>
    </row>
    <row r="2467">
      <c r="A2467" s="105"/>
      <c r="B2467" s="105"/>
      <c r="C2467" s="97"/>
      <c r="D2467" s="105"/>
      <c r="E2467" s="105"/>
      <c r="F2467" s="105"/>
      <c r="G2467" s="105"/>
      <c r="H2467" s="105"/>
    </row>
    <row r="2468">
      <c r="A2468" s="105"/>
      <c r="B2468" s="105"/>
      <c r="C2468" s="97"/>
      <c r="D2468" s="105"/>
      <c r="E2468" s="105"/>
      <c r="F2468" s="105"/>
      <c r="G2468" s="105"/>
      <c r="H2468" s="105"/>
    </row>
    <row r="2469">
      <c r="A2469" s="105"/>
      <c r="B2469" s="105"/>
      <c r="C2469" s="97"/>
      <c r="D2469" s="105"/>
      <c r="E2469" s="105"/>
      <c r="F2469" s="105"/>
      <c r="G2469" s="105"/>
      <c r="H2469" s="105"/>
    </row>
    <row r="2470">
      <c r="A2470" s="105"/>
      <c r="B2470" s="105"/>
      <c r="C2470" s="97"/>
      <c r="D2470" s="105"/>
      <c r="E2470" s="105"/>
      <c r="F2470" s="105"/>
      <c r="G2470" s="105"/>
      <c r="H2470" s="105"/>
    </row>
    <row r="2471">
      <c r="A2471" s="105"/>
      <c r="B2471" s="105"/>
      <c r="C2471" s="97"/>
      <c r="D2471" s="105"/>
      <c r="E2471" s="105"/>
      <c r="F2471" s="105"/>
      <c r="G2471" s="105"/>
      <c r="H2471" s="105"/>
    </row>
    <row r="2472">
      <c r="A2472" s="105"/>
      <c r="B2472" s="105"/>
      <c r="C2472" s="97"/>
      <c r="D2472" s="105"/>
      <c r="E2472" s="105"/>
      <c r="F2472" s="105"/>
      <c r="G2472" s="105"/>
      <c r="H2472" s="105"/>
    </row>
    <row r="2473">
      <c r="A2473" s="105"/>
      <c r="B2473" s="105"/>
      <c r="C2473" s="97"/>
      <c r="D2473" s="105"/>
      <c r="E2473" s="105"/>
      <c r="F2473" s="105"/>
      <c r="G2473" s="105"/>
      <c r="H2473" s="105"/>
    </row>
    <row r="2474">
      <c r="A2474" s="105"/>
      <c r="B2474" s="105"/>
      <c r="C2474" s="97"/>
      <c r="D2474" s="105"/>
      <c r="E2474" s="105"/>
      <c r="F2474" s="105"/>
      <c r="G2474" s="105"/>
      <c r="H2474" s="105"/>
    </row>
    <row r="2475">
      <c r="A2475" s="105"/>
      <c r="B2475" s="105"/>
      <c r="C2475" s="97"/>
      <c r="D2475" s="105"/>
      <c r="E2475" s="105"/>
      <c r="F2475" s="105"/>
      <c r="G2475" s="105"/>
      <c r="H2475" s="105"/>
    </row>
  </sheetData>
  <mergeCells count="1">
    <mergeCell ref="A8:G8"/>
  </mergeCells>
  <conditionalFormatting sqref="A8:G8">
    <cfRule type="notContainsBlanks" dxfId="5" priority="1">
      <formula>LEN(TRIM(A8))&gt;0</formula>
    </cfRule>
  </conditionalFormatting>
  <conditionalFormatting sqref="G10:G2475">
    <cfRule type="beginsWith" dxfId="4" priority="2" operator="beginsWith" text="+">
      <formula>LEFT((G10),LEN("+"))=("+")</formula>
    </cfRule>
  </conditionalFormatting>
  <conditionalFormatting sqref="G10:G2475">
    <cfRule type="beginsWith" dxfId="4" priority="3" operator="beginsWith" text="-R">
      <formula>LEFT((G10),LEN("-R"))=("-R")</formula>
    </cfRule>
  </conditionalFormatting>
  <dataValidations>
    <dataValidation type="list" allowBlank="1" showErrorMessage="1" sqref="G6">
      <formula1>"ALL,'+Accuracy,'+Ammo,'+Blast Radius,'+Crit Damage,'+Damage,'+Fire Rate,'+Reload Speed"</formula1>
    </dataValidation>
    <dataValidation type="list" allowBlank="1" showErrorMessage="1" sqref="D6">
      <formula1>"ALL,Barrel,Barrel Accessory,Body,Body Accessory,Foregrip,Grip,Magazine,Manufacturer Part,Scope,Scope Accessory,Stat Modifier,Underbarrel,Underbarrel Accessory"</formula1>
    </dataValidation>
    <dataValidation type="list" allowBlank="1" showErrorMessage="1" sqref="A6">
      <formula1>"ALL,Daedalus,Jakobs,Maliwan,Order,Ripper,Tediore,Torgue,Vladof"</formula1>
    </dataValidation>
    <dataValidation type="list" allowBlank="1" showErrorMessage="1" sqref="B6">
      <formula1>"ALL,Assault Rifle,Pistol,SMG,Shotgun,Sniper"</formula1>
    </dataValidation>
  </dataValidations>
  <drawing r:id="rId1"/>
</worksheet>
</file>